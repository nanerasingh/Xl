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drawings/drawing4.xml" ContentType="application/vnd.openxmlformats-officedocument.drawing+xml"/>
  <Override PartName="/xl/worksheets/sheet16.xml" ContentType="application/vnd.openxmlformats-officedocument.spreadsheetml.worksheet+xml"/>
  <Override PartName="/xl/drawings/drawing5.xml" ContentType="application/vnd.openxmlformats-officedocument.drawing+xml"/>
  <Override PartName="/xl/worksheets/sheet17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Job_Master_Ring" sheetId="2" state="visible" r:id="rId2"/>
    <sheet xmlns:r="http://schemas.openxmlformats.org/officeDocument/2006/relationships" name="OPR_BR1" sheetId="3" state="visible" r:id="rId3"/>
    <sheet xmlns:r="http://schemas.openxmlformats.org/officeDocument/2006/relationships" name="OPR_BR2" sheetId="4" state="visible" r:id="rId4"/>
    <sheet xmlns:r="http://schemas.openxmlformats.org/officeDocument/2006/relationships" name="OPR_CR2" sheetId="5" state="visible" r:id="rId5"/>
    <sheet xmlns:r="http://schemas.openxmlformats.org/officeDocument/2006/relationships" name="OPR_CR3" sheetId="6" state="visible" r:id="rId6"/>
    <sheet xmlns:r="http://schemas.openxmlformats.org/officeDocument/2006/relationships" name="OPR_CR4" sheetId="7" state="visible" r:id="rId7"/>
    <sheet xmlns:r="http://schemas.openxmlformats.org/officeDocument/2006/relationships" name="OPR_RIM" sheetId="8" state="visible" r:id="rId8"/>
    <sheet xmlns:r="http://schemas.openxmlformats.org/officeDocument/2006/relationships" name="OPR_BPR" sheetId="9" state="visible" r:id="rId9"/>
    <sheet xmlns:r="http://schemas.openxmlformats.org/officeDocument/2006/relationships" name="Settings" sheetId="10" state="visible" r:id="rId10"/>
    <sheet xmlns:r="http://schemas.openxmlformats.org/officeDocument/2006/relationships" name="Machine_List" sheetId="11" state="visible" r:id="rId11"/>
    <sheet xmlns:r="http://schemas.openxmlformats.org/officeDocument/2006/relationships" name="Lists" sheetId="12" state="visible" r:id="rId12"/>
    <sheet xmlns:r="http://schemas.openxmlformats.org/officeDocument/2006/relationships" name="CNC_Plan" sheetId="13" state="visible" r:id="rId13"/>
    <sheet xmlns:r="http://schemas.openxmlformats.org/officeDocument/2006/relationships" name="ENG_Plan" sheetId="14" state="visible" r:id="rId14"/>
    <sheet xmlns:r="http://schemas.openxmlformats.org/officeDocument/2006/relationships" name="VENT_Plan" sheetId="15" state="visible" r:id="rId15"/>
    <sheet xmlns:r="http://schemas.openxmlformats.org/officeDocument/2006/relationships" name="FID_Plan" sheetId="16" state="visible" r:id="rId16"/>
    <sheet xmlns:r="http://schemas.openxmlformats.org/officeDocument/2006/relationships" name="QC_Plan" sheetId="17" state="visible" r:id="rId17"/>
  </sheets>
  <definedNames>
    <definedName name="GlobalStartDate">Settings!$K$7</definedName>
    <definedName name="SizeList">Lists!$A$1:$A$15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DD-MMM"/>
    <numFmt numFmtId="165" formatCode="DD-MMM-YY HH:MM"/>
    <numFmt numFmtId="166" formatCode="DD-MMM-YYYY"/>
    <numFmt numFmtId="167" formatCode="yyyy-mm-dd h:mm:ss"/>
    <numFmt numFmtId="168" formatCode="DD-MMM-YY"/>
    <numFmt numFmtId="169" formatCode="0.0%"/>
    <numFmt numFmtId="170" formatCode="DD-MMM-YYYY HH:MM"/>
  </numFmts>
  <fonts count="39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9C5700"/>
      <sz val="8"/>
    </font>
    <font>
      <b val="1"/>
      <color rgb="00FFFFFF"/>
      <sz val="10"/>
    </font>
    <font>
      <b val="1"/>
      <color rgb="00FFFFFF"/>
      <sz val="7"/>
    </font>
    <font>
      <name val="Cambria"/>
      <charset val="1"/>
      <family val="0"/>
      <b val="1"/>
      <color rgb="FFFFFFFF"/>
      <sz val="10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color theme="1"/>
      <sz val="11"/>
    </font>
    <font>
      <b val="1"/>
      <color rgb="001F3864"/>
      <sz val="10"/>
    </font>
    <font>
      <b val="1"/>
      <color rgb="00FFFFFF"/>
      <sz val="9"/>
    </font>
    <font>
      <b val="1"/>
      <sz val="9"/>
    </font>
    <font>
      <b val="1"/>
      <color rgb="00FFFFFF"/>
      <sz val="16"/>
    </font>
    <font>
      <b val="1"/>
      <color rgb="007030A0"/>
      <sz val="11"/>
    </font>
    <font>
      <i val="1"/>
      <color rgb="00595959"/>
      <sz val="9"/>
    </font>
    <font>
      <b val="1"/>
      <color rgb="00FFFFFF"/>
      <sz val="11"/>
    </font>
    <font>
      <b val="1"/>
      <color rgb="001F4E79"/>
      <sz val="14"/>
    </font>
    <font>
      <b val="1"/>
      <color rgb="00375623"/>
      <sz val="14"/>
    </font>
    <font>
      <b val="1"/>
      <color rgb="009C5700"/>
      <sz val="14"/>
    </font>
    <font>
      <b val="1"/>
      <color rgb="009C0006"/>
      <sz val="14"/>
    </font>
    <font>
      <b val="1"/>
      <color rgb="00843C0C"/>
      <sz val="14"/>
    </font>
    <font>
      <b val="1"/>
      <color rgb="0017375E"/>
      <sz val="14"/>
    </font>
    <font>
      <b val="1"/>
      <color rgb="00404040"/>
      <sz val="14"/>
    </font>
    <font>
      <b val="1"/>
      <color rgb="007030A0"/>
      <sz val="12"/>
    </font>
    <font>
      <b val="1"/>
      <color rgb="00FF0000"/>
      <sz val="12"/>
    </font>
    <font>
      <b val="1"/>
      <color rgb="00000000"/>
      <sz val="9"/>
    </font>
    <font>
      <b val="1"/>
      <color rgb="00FFC000"/>
      <sz val="12"/>
    </font>
    <font>
      <b val="1"/>
      <color rgb="0092D050"/>
      <sz val="12"/>
    </font>
    <font>
      <b val="1"/>
      <color rgb="00276221"/>
      <sz val="9"/>
    </font>
    <font>
      <b val="1"/>
      <color rgb="00276221"/>
      <sz val="12"/>
    </font>
    <font>
      <b val="1"/>
      <color rgb="009C5700"/>
      <sz val="9"/>
    </font>
    <font>
      <b val="1"/>
      <color rgb="009C5700"/>
      <sz val="12"/>
    </font>
    <font>
      <b val="1"/>
      <color rgb="009C0006"/>
      <sz val="9"/>
    </font>
    <font>
      <b val="1"/>
      <color rgb="009C0006"/>
      <sz val="12"/>
    </font>
    <font>
      <b val="1"/>
      <sz val="10"/>
    </font>
    <font>
      <b val="1"/>
    </font>
    <font>
      <b val="1"/>
      <color rgb="001F3864"/>
      <sz val="12"/>
    </font>
    <font>
      <b val="1"/>
      <color rgb="001F4E79"/>
      <sz val="12"/>
    </font>
    <font/>
    <font>
      <sz val="10"/>
    </font>
  </fonts>
  <fills count="24">
    <fill>
      <patternFill/>
    </fill>
    <fill>
      <patternFill patternType="gray125"/>
    </fill>
    <fill>
      <patternFill patternType="solid">
        <fgColor rgb="007030A0"/>
      </patternFill>
    </fill>
    <fill>
      <patternFill patternType="solid">
        <fgColor rgb="001F3864"/>
      </patternFill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843C0C"/>
      </patternFill>
    </fill>
    <fill>
      <patternFill patternType="solid">
        <fgColor rgb="00404040"/>
      </patternFill>
    </fill>
    <fill>
      <patternFill patternType="solid">
        <fgColor rgb="009C5700"/>
      </patternFill>
    </fill>
    <fill>
      <patternFill patternType="solid">
        <fgColor rgb="0017375E"/>
      </patternFill>
    </fill>
    <fill>
      <patternFill patternType="solid">
        <fgColor rgb="FF1F4E79"/>
        <bgColor rgb="FF1F4E78"/>
      </patternFill>
    </fill>
    <fill>
      <patternFill patternType="solid">
        <fgColor rgb="FF1F4E78"/>
        <bgColor rgb="FF1F4E79"/>
      </patternFill>
    </fill>
    <fill>
      <patternFill patternType="solid">
        <fgColor rgb="FFE2EFDA"/>
        <bgColor rgb="FFEBF1DE"/>
      </patternFill>
    </fill>
    <fill>
      <patternFill patternType="solid">
        <fgColor rgb="00833C00"/>
      </patternFill>
    </fill>
    <fill>
      <patternFill patternType="solid">
        <fgColor rgb="00595959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9C0006"/>
      </patternFill>
    </fill>
    <fill>
      <patternFill patternType="solid">
        <fgColor rgb="00FF0000"/>
      </patternFill>
    </fill>
    <fill>
      <patternFill patternType="solid">
        <fgColor rgb="00FFC000"/>
      </patternFill>
    </fill>
    <fill>
      <patternFill patternType="solid">
        <fgColor rgb="0092D05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164" fontId="4" fillId="3" borderId="0" applyAlignment="1" pivotButton="0" quotePrefix="0" xfId="0">
      <alignment horizontal="center" textRotation="90"/>
    </xf>
    <xf numFmtId="165" fontId="0" fillId="0" borderId="0" pivotButton="0" quotePrefix="0" xfId="0"/>
    <xf numFmtId="166" fontId="0" fillId="0" borderId="0" pivotButton="0" quotePrefix="0" xfId="0"/>
    <xf numFmtId="0" fontId="5" fillId="10" borderId="0" pivotButton="0" quotePrefix="0" xfId="0"/>
    <xf numFmtId="164" fontId="4" fillId="3" borderId="0" applyAlignment="1" pivotButton="0" quotePrefix="0" xfId="0">
      <alignment horizontal="center" textRotation="90"/>
    </xf>
    <xf numFmtId="165" fontId="0" fillId="0" borderId="0" pivotButton="0" quotePrefix="0" xfId="0"/>
    <xf numFmtId="166" fontId="0" fillId="0" borderId="0" pivotButton="0" quotePrefix="0" xfId="0"/>
    <xf numFmtId="21" fontId="0" fillId="0" borderId="0" pivotButton="0" quotePrefix="0" xfId="0"/>
    <xf numFmtId="167" fontId="0" fillId="0" borderId="0" pivotButton="0" quotePrefix="0" xfId="0"/>
    <xf numFmtId="0" fontId="6" fillId="11" borderId="0" applyAlignment="1" pivotButton="0" quotePrefix="0" xfId="0">
      <alignment horizontal="center" vertical="center"/>
    </xf>
    <xf numFmtId="0" fontId="7" fillId="12" borderId="0" applyAlignment="1" pivotButton="0" quotePrefix="0" xfId="0">
      <alignment horizontal="center" vertical="bottom"/>
    </xf>
    <xf numFmtId="0" fontId="3" fillId="13" borderId="0" applyAlignment="1" pivotButton="0" quotePrefix="0" xfId="0">
      <alignment horizontal="center" vertical="center" wrapText="1"/>
    </xf>
    <xf numFmtId="0" fontId="3" fillId="14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15" borderId="0" applyAlignment="1" pivotButton="0" quotePrefix="0" xfId="0">
      <alignment horizontal="center"/>
    </xf>
    <xf numFmtId="0" fontId="10" fillId="0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 wrapText="1"/>
    </xf>
    <xf numFmtId="166" fontId="12" fillId="0" borderId="0" pivotButton="0" quotePrefix="0" xfId="0"/>
    <xf numFmtId="0" fontId="13" fillId="0" borderId="0" pivotButton="0" quotePrefix="0" xfId="0"/>
    <xf numFmtId="0" fontId="14" fillId="2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 wrapText="1"/>
    </xf>
    <xf numFmtId="0" fontId="9" fillId="17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center" vertical="center" wrapText="1"/>
    </xf>
    <xf numFmtId="0" fontId="15" fillId="16" borderId="0" applyAlignment="1" pivotButton="0" quotePrefix="0" xfId="0">
      <alignment horizontal="center" vertical="center"/>
    </xf>
    <xf numFmtId="0" fontId="16" fillId="16" borderId="0" applyAlignment="1" pivotButton="0" quotePrefix="0" xfId="0">
      <alignment horizontal="center" vertical="center"/>
    </xf>
    <xf numFmtId="0" fontId="17" fillId="16" borderId="0" applyAlignment="1" pivotButton="0" quotePrefix="0" xfId="0">
      <alignment horizontal="center" vertical="center"/>
    </xf>
    <xf numFmtId="0" fontId="18" fillId="16" borderId="0" applyAlignment="1" pivotButton="0" quotePrefix="0" xfId="0">
      <alignment horizontal="center" vertical="center"/>
    </xf>
    <xf numFmtId="0" fontId="19" fillId="16" borderId="0" applyAlignment="1" pivotButton="0" quotePrefix="0" xfId="0">
      <alignment horizontal="center" vertical="center"/>
    </xf>
    <xf numFmtId="168" fontId="20" fillId="16" borderId="0" applyAlignment="1" pivotButton="0" quotePrefix="0" xfId="0">
      <alignment horizontal="center" vertical="center"/>
    </xf>
    <xf numFmtId="0" fontId="21" fillId="16" borderId="0" applyAlignment="1" pivotButton="0" quotePrefix="0" xfId="0">
      <alignment horizontal="center" vertical="center"/>
    </xf>
    <xf numFmtId="0" fontId="14" fillId="9" borderId="0" applyAlignment="1" pivotButton="0" quotePrefix="0" xfId="0">
      <alignment horizontal="center" vertical="center" wrapText="1"/>
    </xf>
    <xf numFmtId="169" fontId="0" fillId="0" borderId="0" pivotButton="0" quotePrefix="0" xfId="0"/>
    <xf numFmtId="9" fontId="0" fillId="0" borderId="0" pivotButton="0" quotePrefix="0" xfId="0"/>
    <xf numFmtId="0" fontId="9" fillId="2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4" fillId="6" borderId="0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center" vertical="center" wrapText="1"/>
    </xf>
    <xf numFmtId="0" fontId="9" fillId="18" borderId="0" applyAlignment="1" pivotButton="0" quotePrefix="0" xfId="0">
      <alignment horizontal="center"/>
    </xf>
    <xf numFmtId="0" fontId="24" fillId="19" borderId="0" applyAlignment="1" pivotButton="0" quotePrefix="0" xfId="0">
      <alignment horizontal="center"/>
    </xf>
    <xf numFmtId="0" fontId="24" fillId="20" borderId="0" applyAlignment="1" pivotButton="0" quotePrefix="0" xfId="0">
      <alignment horizontal="center"/>
    </xf>
    <xf numFmtId="0" fontId="27" fillId="21" borderId="0" applyAlignment="1" pivotButton="0" quotePrefix="0" xfId="0">
      <alignment horizontal="center"/>
    </xf>
    <xf numFmtId="0" fontId="29" fillId="22" borderId="0" applyAlignment="1" pivotButton="0" quotePrefix="0" xfId="0">
      <alignment horizontal="center"/>
    </xf>
    <xf numFmtId="0" fontId="31" fillId="23" borderId="0" applyAlignment="1" pivotButton="0" quotePrefix="0" xfId="0">
      <alignment horizontal="center"/>
    </xf>
    <xf numFmtId="0" fontId="23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center"/>
    </xf>
    <xf numFmtId="0" fontId="30" fillId="0" borderId="0" applyAlignment="1" pivotButton="0" quotePrefix="0" xfId="0">
      <alignment horizontal="center"/>
    </xf>
    <xf numFmtId="0" fontId="32" fillId="0" borderId="0" applyAlignment="1" pivotButton="0" quotePrefix="0" xfId="0">
      <alignment horizontal="center"/>
    </xf>
    <xf numFmtId="0" fontId="33" fillId="0" borderId="0" pivotButton="0" quotePrefix="0" xfId="0"/>
    <xf numFmtId="0" fontId="18" fillId="0" borderId="0" pivotButton="0" quotePrefix="0" xfId="0"/>
    <xf numFmtId="0" fontId="34" fillId="0" borderId="0" pivotButton="0" quotePrefix="0" xfId="0"/>
    <xf numFmtId="169" fontId="32" fillId="0" borderId="0" pivotButton="0" quotePrefix="0" xfId="0"/>
    <xf numFmtId="0" fontId="28" fillId="0" borderId="0" pivotButton="0" quotePrefix="0" xfId="0"/>
    <xf numFmtId="0" fontId="14" fillId="4" borderId="0" applyAlignment="1" pivotButton="0" quotePrefix="0" xfId="0">
      <alignment horizontal="center" vertical="center" wrapText="1"/>
    </xf>
    <xf numFmtId="0" fontId="14" fillId="13" borderId="0" applyAlignment="1" pivotButton="0" quotePrefix="0" xfId="0">
      <alignment horizontal="center" vertical="center" wrapText="1"/>
    </xf>
    <xf numFmtId="0" fontId="14" fillId="7" borderId="0" applyAlignment="1" pivotButton="0" quotePrefix="0" xfId="0">
      <alignment horizontal="center" vertical="center" wrapText="1"/>
    </xf>
    <xf numFmtId="0" fontId="14" fillId="14" borderId="0" applyAlignment="1" pivotButton="0" quotePrefix="0" xfId="0">
      <alignment horizontal="center" vertical="center" wrapText="1"/>
    </xf>
    <xf numFmtId="170" fontId="13" fillId="0" borderId="0" pivotButton="0" quotePrefix="0" xfId="0"/>
    <xf numFmtId="0" fontId="14" fillId="3" borderId="0" applyAlignment="1" pivotButton="0" quotePrefix="0" xfId="0">
      <alignment horizontal="center" vertical="center" wrapText="1"/>
    </xf>
    <xf numFmtId="0" fontId="35" fillId="16" borderId="0" applyAlignment="1" pivotButton="0" quotePrefix="0" xfId="0">
      <alignment horizontal="center" vertical="center"/>
    </xf>
    <xf numFmtId="168" fontId="35" fillId="16" borderId="0" applyAlignment="1" pivotButton="0" quotePrefix="0" xfId="0">
      <alignment horizontal="center" vertical="center"/>
    </xf>
    <xf numFmtId="0" fontId="9" fillId="15" borderId="0" applyAlignment="1" pivotButton="0" quotePrefix="0" xfId="0">
      <alignment horizontal="center" vertical="center" wrapText="1"/>
    </xf>
    <xf numFmtId="0" fontId="9" fillId="14" borderId="0" applyAlignment="1" pivotButton="0" quotePrefix="0" xfId="0">
      <alignment horizontal="center" vertical="center" wrapText="1"/>
    </xf>
    <xf numFmtId="169" fontId="36" fillId="0" borderId="0" pivotButton="0" quotePrefix="0" xfId="0"/>
    <xf numFmtId="0" fontId="32" fillId="0" borderId="0" pivotButton="0" quotePrefix="0" xfId="0"/>
    <xf numFmtId="0" fontId="14" fillId="3" borderId="0" pivotButton="0" quotePrefix="0" xfId="0"/>
    <xf numFmtId="0" fontId="37" fillId="0" borderId="0" pivotButton="0" quotePrefix="0" xfId="0"/>
    <xf numFmtId="0" fontId="34" fillId="0" borderId="0" applyAlignment="1" pivotButton="0" quotePrefix="0" xfId="0">
      <alignment horizontal="center"/>
    </xf>
    <xf numFmtId="0" fontId="37" fillId="0" borderId="0" applyAlignment="1" pivotButton="0" quotePrefix="0" xfId="0">
      <alignment horizontal="center"/>
    </xf>
    <xf numFmtId="3" fontId="37" fillId="0" borderId="0" applyAlignment="1" pivotButton="0" quotePrefix="0" xfId="0">
      <alignment horizontal="center" vertical="center" wrapText="1"/>
    </xf>
    <xf numFmtId="169" fontId="37" fillId="0" borderId="0" applyAlignment="1" pivotButton="0" quotePrefix="0" xfId="0">
      <alignment horizontal="center" vertical="center" wrapText="1"/>
    </xf>
    <xf numFmtId="9" fontId="37" fillId="0" borderId="0" pivotButton="0" quotePrefix="0" xfId="0"/>
    <xf numFmtId="3" fontId="37" fillId="0" borderId="0" applyAlignment="1" pivotButton="0" quotePrefix="0" xfId="0">
      <alignment horizontal="center"/>
    </xf>
    <xf numFmtId="3" fontId="37" fillId="0" borderId="0" pivotButton="0" quotePrefix="0" xfId="0"/>
    <xf numFmtId="169" fontId="37" fillId="0" borderId="0" pivotButton="0" quotePrefix="0" xfId="0"/>
    <xf numFmtId="0" fontId="38" fillId="0" borderId="0" applyAlignment="1" pivotButton="0" quotePrefix="0" xfId="0">
      <alignment horizontal="center" vertical="center"/>
    </xf>
    <xf numFmtId="3" fontId="38" fillId="0" borderId="0" applyAlignment="1" pivotButton="0" quotePrefix="0" xfId="0">
      <alignment horizontal="center" vertical="center"/>
    </xf>
    <xf numFmtId="169" fontId="38" fillId="0" borderId="0" applyAlignment="1" pivotButton="0" quotePrefix="0" xfId="0">
      <alignment horizontal="center" vertical="center"/>
    </xf>
    <xf numFmtId="9" fontId="38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12">
    <dxf>
      <fill>
        <patternFill patternType="solid">
          <fgColor rgb="FFFF0000"/>
        </patternFill>
      </fill>
    </dxf>
    <dxf>
      <fill>
        <patternFill patternType="solid">
          <fgColor rgb="FFFFC000"/>
        </patternFill>
      </fill>
    </dxf>
    <dxf>
      <fill>
        <patternFill patternType="solid">
          <fgColor rgb="FF92D050"/>
        </patternFill>
      </fill>
    </dxf>
    <dxf>
      <font>
        <color rgb="00276221"/>
      </font>
      <fill>
        <patternFill patternType="solid">
          <fgColor rgb="00C6EFCE"/>
        </patternFill>
      </fill>
    </dxf>
    <dxf>
      <font>
        <color rgb="009C5700"/>
      </font>
      <fill>
        <patternFill patternType="solid">
          <fgColor rgb="00FFEB9C"/>
        </patternFill>
      </fill>
    </dxf>
    <dxf>
      <font>
        <color rgb="009C0006"/>
      </font>
      <fill>
        <patternFill patternType="solid">
          <fgColor rgb="00FFC7CE"/>
        </patternFill>
      </fill>
    </dxf>
    <dxf>
      <fill>
        <patternFill patternType="solid">
          <fgColor rgb="00C5A0FF"/>
        </patternFill>
      </fill>
    </dxf>
    <dxf>
      <fill>
        <patternFill patternType="solid">
          <fgColor rgb="007030A0"/>
        </patternFill>
      </fill>
    </dxf>
    <dxf>
      <fill>
        <patternFill patternType="solid">
          <fgColor rgb="00EDEDED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9C5700"/>
      </font>
      <fill>
        <patternFill patternType="solid">
          <fgColor rgb="00FFEB9C"/>
        </patternFill>
      </fill>
    </dxf>
    <dxf>
      <font>
        <b val="1"/>
        <color rgb="00276221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Stage Utilization % vs 90% Target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'Dashboard'!E9</f>
            </strRef>
          </tx>
          <spPr>
            <a:solidFill xmlns:a="http://schemas.openxmlformats.org/drawingml/2006/main">
              <a:srgbClr val="7030A0"/>
            </a:solidFill>
            <a:ln xmlns:a="http://schemas.openxmlformats.org/drawingml/2006/main">
              <a:prstDash val="solid"/>
            </a:ln>
          </spPr>
          <cat>
            <numRef>
              <f>'Dashboard'!$A$10:$A$14</f>
            </numRef>
          </cat>
          <val>
            <numRef>
              <f>'Dashboard'!$E$10:$E$14</f>
            </numRef>
          </val>
        </ser>
        <ser>
          <idx val="1"/>
          <order val="1"/>
          <tx>
            <strRef>
              <f>'Dashboard'!F9</f>
            </strRef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cat>
            <numRef>
              <f>'Dashboard'!$A$10:$A$14</f>
            </numRef>
          </cat>
          <val>
            <numRef>
              <f>'Dashboard'!$F$10:$F$14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Utilization %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 vs Capacity by Stage (Hrs)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'Dashboard'!C9</f>
            </strRef>
          </tx>
          <spPr>
            <a:solidFill xmlns:a="http://schemas.openxmlformats.org/drawingml/2006/main">
              <a:srgbClr val="7030A0"/>
            </a:solidFill>
            <a:ln xmlns:a="http://schemas.openxmlformats.org/drawingml/2006/main">
              <a:prstDash val="solid"/>
            </a:ln>
          </spPr>
          <cat>
            <numRef>
              <f>'Dashboard'!$A$10:$A$14</f>
            </numRef>
          </cat>
          <val>
            <numRef>
              <f>'Dashboard'!$C$10:$C$14</f>
            </numRef>
          </val>
        </ser>
        <ser>
          <idx val="1"/>
          <order val="1"/>
          <tx>
            <strRef>
              <f>'Dashboard'!D9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cat>
            <numRef>
              <f>'Dashboard'!$A$10:$A$14</f>
            </numRef>
          </cat>
          <val>
            <numRef>
              <f>'Dashboard'!$D$10:$D$14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CNC — Monthly Load vs Capacity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'CNC_Plan'!BW3</f>
            </strRef>
          </tx>
          <spPr>
            <a:solidFill xmlns:a="http://schemas.openxmlformats.org/drawingml/2006/main">
              <a:srgbClr val="7030A0"/>
            </a:solidFill>
            <a:ln xmlns:a="http://schemas.openxmlformats.org/drawingml/2006/main">
              <a:prstDash val="solid"/>
            </a:ln>
          </spPr>
          <cat>
            <numRef>
              <f>'CNC_Plan'!$BX$2:$CG$2</f>
            </numRef>
          </cat>
          <val>
            <numRef>
              <f>'CNC_Plan'!$BX$3:$CG$3</f>
            </numRef>
          </val>
        </ser>
        <ser>
          <idx val="1"/>
          <order val="1"/>
          <tx>
            <strRef>
              <f>'CNC_Plan'!BW4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cat>
            <numRef>
              <f>'CNC_Plan'!$BX$2:$CG$2</f>
            </numRef>
          </cat>
          <val>
            <numRef>
              <f>'CNC_Plan'!$BX$4:$CG$4</f>
            </numRef>
          </val>
        </ser>
        <gapWidth val="150"/>
        <overlap val="-5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ENG — Monthly Load vs Capacity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'ENG_Plan'!BW3</f>
            </strRef>
          </tx>
          <spPr>
            <a:solidFill xmlns:a="http://schemas.openxmlformats.org/drawingml/2006/main">
              <a:srgbClr val="7030A0"/>
            </a:solidFill>
            <a:ln xmlns:a="http://schemas.openxmlformats.org/drawingml/2006/main">
              <a:prstDash val="solid"/>
            </a:ln>
          </spPr>
          <cat>
            <numRef>
              <f>'ENG_Plan'!$BX$2:$CG$2</f>
            </numRef>
          </cat>
          <val>
            <numRef>
              <f>'ENG_Plan'!$BX$3:$CG$3</f>
            </numRef>
          </val>
        </ser>
        <ser>
          <idx val="1"/>
          <order val="1"/>
          <tx>
            <strRef>
              <f>'ENG_Plan'!BW4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cat>
            <numRef>
              <f>'ENG_Plan'!$BX$2:$CG$2</f>
            </numRef>
          </cat>
          <val>
            <numRef>
              <f>'ENG_Plan'!$BX$4:$CG$4</f>
            </numRef>
          </val>
        </ser>
        <gapWidth val="150"/>
        <overlap val="-5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VENT — Monthly Load vs Capacity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'VENT_Plan'!BW3</f>
            </strRef>
          </tx>
          <spPr>
            <a:solidFill xmlns:a="http://schemas.openxmlformats.org/drawingml/2006/main">
              <a:srgbClr val="7030A0"/>
            </a:solidFill>
            <a:ln xmlns:a="http://schemas.openxmlformats.org/drawingml/2006/main">
              <a:prstDash val="solid"/>
            </a:ln>
          </spPr>
          <cat>
            <numRef>
              <f>'VENT_Plan'!$BX$2:$CG$2</f>
            </numRef>
          </cat>
          <val>
            <numRef>
              <f>'VENT_Plan'!$BX$3:$CG$3</f>
            </numRef>
          </val>
        </ser>
        <ser>
          <idx val="1"/>
          <order val="1"/>
          <tx>
            <strRef>
              <f>'VENT_Plan'!BW4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cat>
            <numRef>
              <f>'VENT_Plan'!$BX$2:$CG$2</f>
            </numRef>
          </cat>
          <val>
            <numRef>
              <f>'VENT_Plan'!$BX$4:$CG$4</f>
            </numRef>
          </val>
        </ser>
        <gapWidth val="150"/>
        <overlap val="-5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FID — Monthly Load vs Capacity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'FID_Plan'!BW3</f>
            </strRef>
          </tx>
          <spPr>
            <a:solidFill xmlns:a="http://schemas.openxmlformats.org/drawingml/2006/main">
              <a:srgbClr val="7030A0"/>
            </a:solidFill>
            <a:ln xmlns:a="http://schemas.openxmlformats.org/drawingml/2006/main">
              <a:prstDash val="solid"/>
            </a:ln>
          </spPr>
          <cat>
            <numRef>
              <f>'FID_Plan'!$BX$2:$CG$2</f>
            </numRef>
          </cat>
          <val>
            <numRef>
              <f>'FID_Plan'!$BX$3:$CG$3</f>
            </numRef>
          </val>
        </ser>
        <ser>
          <idx val="1"/>
          <order val="1"/>
          <tx>
            <strRef>
              <f>'FID_Plan'!BW4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cat>
            <numRef>
              <f>'FID_Plan'!$BX$2:$CG$2</f>
            </numRef>
          </cat>
          <val>
            <numRef>
              <f>'FID_Plan'!$BX$4:$CG$4</f>
            </numRef>
          </val>
        </ser>
        <gapWidth val="150"/>
        <overlap val="-5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QC — Monthly Load vs Capacity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'QC_Plan'!BW3</f>
            </strRef>
          </tx>
          <spPr>
            <a:solidFill xmlns:a="http://schemas.openxmlformats.org/drawingml/2006/main">
              <a:srgbClr val="7030A0"/>
            </a:solidFill>
            <a:ln xmlns:a="http://schemas.openxmlformats.org/drawingml/2006/main">
              <a:prstDash val="solid"/>
            </a:ln>
          </spPr>
          <cat>
            <numRef>
              <f>'QC_Plan'!$BX$2:$CG$2</f>
            </numRef>
          </cat>
          <val>
            <numRef>
              <f>'QC_Plan'!$BX$3:$CG$3</f>
            </numRef>
          </val>
        </ser>
        <ser>
          <idx val="1"/>
          <order val="1"/>
          <tx>
            <strRef>
              <f>'QC_Plan'!BW4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cat>
            <numRef>
              <f>'QC_Plan'!$BX$2:$CG$2</f>
            </numRef>
          </cat>
          <val>
            <numRef>
              <f>'QC_Plan'!$BX$4:$CG$4</f>
            </numRef>
          </val>
        </ser>
        <gapWidth val="150"/>
        <overlap val="-5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8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22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74</col>
      <colOff>0</colOff>
      <row>5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74</col>
      <colOff>0</colOff>
      <row>5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74</col>
      <colOff>0</colOff>
      <row>5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74</col>
      <colOff>0</colOff>
      <row>5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74</col>
      <colOff>0</colOff>
      <row>5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6" customHeight="1">
      <c r="A1" s="31" t="inlineStr">
        <is>
          <t>RING PARTS — PRODUCTION PLANNING DASHBOARD</t>
        </is>
      </c>
    </row>
    <row r="2">
      <c r="A2" s="32">
        <f>TODAY()</f>
        <v/>
      </c>
      <c r="C2" s="33" t="inlineStr">
        <is>
          <t>Auto-refreshed on open</t>
        </is>
      </c>
    </row>
    <row r="4" ht="20" customHeight="1">
      <c r="A4" s="34" t="inlineStr">
        <is>
          <t>PLAN SUMMARY</t>
        </is>
      </c>
    </row>
    <row r="5" ht="30" customHeight="1">
      <c r="A5" s="35" t="inlineStr">
        <is>
          <t>Total Jobs</t>
        </is>
      </c>
      <c r="B5" s="36" t="inlineStr">
        <is>
          <t>Released</t>
        </is>
      </c>
      <c r="C5" s="37" t="inlineStr">
        <is>
          <t>On Hold</t>
        </is>
      </c>
      <c r="D5" s="38" t="inlineStr">
        <is>
          <t>Cancelled</t>
        </is>
      </c>
      <c r="E5" s="39" t="inlineStr">
        <is>
          <t>High Priority</t>
        </is>
      </c>
      <c r="F5" s="40" t="inlineStr">
        <is>
          <t>Plan Start</t>
        </is>
      </c>
      <c r="G5" s="40" t="inlineStr">
        <is>
          <t>Plan End</t>
        </is>
      </c>
      <c r="H5" s="41" t="inlineStr">
        <is>
          <t>Plan Duration (Days)</t>
        </is>
      </c>
    </row>
    <row r="6" ht="32" customHeight="1">
      <c r="A6" s="42">
        <f>COUNTA(Job_Master_Ring!A4:A1000)</f>
        <v/>
      </c>
      <c r="B6" s="43">
        <f>COUNTIF(Job_Master_Ring!I4:I1000,"Released")</f>
        <v/>
      </c>
      <c r="C6" s="44">
        <f>COUNTIF(Job_Master_Ring!I4:I1000,"On Hold")</f>
        <v/>
      </c>
      <c r="D6" s="45">
        <f>COUNTIF(Job_Master_Ring!I4:I1000,"Cancelled")</f>
        <v/>
      </c>
      <c r="E6" s="46">
        <f>COUNTIF(Job_Master_Ring!G4:G1000,"High")</f>
        <v/>
      </c>
      <c r="F6" s="47">
        <f>MIN(Job_Master_Ring!E4:E1000)</f>
        <v/>
      </c>
      <c r="G6" s="47">
        <f>MAX(Job_Master_Ring!F4:F1000)</f>
        <v/>
      </c>
      <c r="H6" s="48">
        <f>IFERROR(INT(G6-F6),"")</f>
        <v/>
      </c>
    </row>
    <row r="7">
      <c r="B7" s="85" t="inlineStr">
        <is>
          <t>STAGE CAPACITY ANALYSIS</t>
        </is>
      </c>
      <c r="I7" s="86" t="n"/>
      <c r="J7" s="86" t="n"/>
      <c r="K7" s="86" t="n"/>
      <c r="L7" s="86" t="n"/>
      <c r="M7" s="86" t="n"/>
    </row>
    <row r="8" ht="20" customHeight="1">
      <c r="A8" s="34" t="inlineStr">
        <is>
          <t>STAGE LOAD vs CAPACITY SUMMARY</t>
        </is>
      </c>
      <c r="B8" s="81" t="inlineStr">
        <is>
          <t>Stage</t>
        </is>
      </c>
      <c r="C8" s="81" t="inlineStr">
        <is>
          <t>Machines</t>
        </is>
      </c>
      <c r="D8" s="36" t="inlineStr">
        <is>
          <t>Total Load (Hrs)</t>
        </is>
      </c>
      <c r="E8" s="36" t="inlineStr">
        <is>
          <t>Capacity (Hrs)</t>
        </is>
      </c>
      <c r="F8" s="39" t="inlineStr">
        <is>
          <t>Utilization %</t>
        </is>
      </c>
      <c r="G8" s="82" t="inlineStr">
        <is>
          <t>Target</t>
        </is>
      </c>
      <c r="H8" s="86" t="n"/>
      <c r="I8" s="86" t="n"/>
      <c r="J8" s="68" t="inlineStr">
        <is>
          <t>🔴 Bottleneck:</t>
        </is>
      </c>
      <c r="K8" s="69">
        <f>INDEX(B9:B15,MATCH(MAX(F9:F15),F9:F15,0))</f>
        <v/>
      </c>
      <c r="L8" s="86" t="n"/>
      <c r="M8" s="86" t="n"/>
    </row>
    <row r="9">
      <c r="A9" s="49" t="inlineStr">
        <is>
          <t>Stage</t>
        </is>
      </c>
      <c r="B9" s="87" t="inlineStr">
        <is>
          <t>VTL</t>
        </is>
      </c>
      <c r="C9" s="88" t="n">
        <v>4</v>
      </c>
      <c r="D9" s="89">
        <f>IFERROR(SUM(VTL_Plan!L4:L103),0)</f>
        <v/>
      </c>
      <c r="E9" s="89">
        <f>4*189*Settings!$K$4</f>
        <v/>
      </c>
      <c r="F9" s="90">
        <f>IFERROR(D9/E9,0)</f>
        <v/>
      </c>
      <c r="G9" s="91" t="n">
        <v>0.9</v>
      </c>
      <c r="H9" s="86" t="n"/>
      <c r="I9" s="86" t="n"/>
      <c r="J9" s="70" t="inlineStr">
        <is>
          <t>Max Util:</t>
        </is>
      </c>
      <c r="K9" s="71">
        <f>MAX(F9:F15)</f>
        <v/>
      </c>
      <c r="L9" s="86" t="n"/>
      <c r="M9" s="86" t="n"/>
    </row>
    <row r="10">
      <c r="A10" s="95" t="inlineStr">
        <is>
          <t>CNC</t>
        </is>
      </c>
      <c r="B10" s="95" t="n">
        <v>8</v>
      </c>
      <c r="C10" s="96">
        <f>IFERROR(SUM(CNC_Plan!L4:L103),0)</f>
        <v/>
      </c>
      <c r="D10" s="96">
        <f>8*189*Settings!$K$4</f>
        <v/>
      </c>
      <c r="E10" s="97">
        <f>IFERROR(C10/D10,0)</f>
        <v/>
      </c>
      <c r="F10" s="98" t="n">
        <v>0.9</v>
      </c>
      <c r="G10" s="91" t="n">
        <v>0.9</v>
      </c>
      <c r="H10" s="86" t="n"/>
      <c r="I10" s="86" t="n"/>
      <c r="J10" s="68" t="inlineStr">
        <is>
          <t>🟢 Lowest:</t>
        </is>
      </c>
      <c r="K10" s="72">
        <f>INDEX(B9:B15,MATCH(MIN(F9:F15),F9:F15,0))</f>
        <v/>
      </c>
      <c r="L10" s="86" t="n"/>
      <c r="M10" s="86" t="n"/>
    </row>
    <row r="11">
      <c r="A11" s="95" t="inlineStr">
        <is>
          <t>ENG</t>
        </is>
      </c>
      <c r="B11" s="95" t="n">
        <v>14</v>
      </c>
      <c r="C11" s="96">
        <f>IFERROR(SUM(ENG_Plan!L4:L103),0)</f>
        <v/>
      </c>
      <c r="D11" s="96">
        <f>14*189*Settings!$K$4</f>
        <v/>
      </c>
      <c r="E11" s="97">
        <f>IFERROR(C11/D11,0)</f>
        <v/>
      </c>
      <c r="F11" s="98" t="n">
        <v>0.9</v>
      </c>
      <c r="G11" s="91" t="n">
        <v>0.9</v>
      </c>
      <c r="H11" s="86" t="n"/>
      <c r="I11" s="86" t="n"/>
      <c r="J11" s="86" t="n"/>
      <c r="K11" s="86" t="n"/>
      <c r="L11" s="86" t="n"/>
      <c r="M11" s="86" t="n"/>
    </row>
    <row r="12">
      <c r="A12" s="95" t="inlineStr">
        <is>
          <t>VENT</t>
        </is>
      </c>
      <c r="B12" s="95" t="n">
        <v>8</v>
      </c>
      <c r="C12" s="96">
        <f>IFERROR(SUM(VENT_Plan!L4:L103),0)</f>
        <v/>
      </c>
      <c r="D12" s="96">
        <f>8*189*Settings!$K$4</f>
        <v/>
      </c>
      <c r="E12" s="97">
        <f>IFERROR(C12/D12,0)</f>
        <v/>
      </c>
      <c r="F12" s="98" t="n">
        <v>0.9</v>
      </c>
      <c r="G12" s="91" t="n">
        <v>0.9</v>
      </c>
      <c r="H12" s="86" t="n"/>
      <c r="I12" s="86" t="n"/>
      <c r="J12" s="70" t="inlineStr">
        <is>
          <t>Released Jobs %:</t>
        </is>
      </c>
      <c r="K12" s="83">
        <f>IFERROR(COUNTIF(Job_Master_Ring!I4:I1000,"Released")/COUNTA(Job_Master_Ring!A4:A1000),0)</f>
        <v/>
      </c>
      <c r="L12" s="86" t="n"/>
      <c r="M12" s="86" t="n"/>
    </row>
    <row r="13">
      <c r="A13" s="95" t="inlineStr">
        <is>
          <t>FID</t>
        </is>
      </c>
      <c r="B13" s="95" t="n">
        <v>10</v>
      </c>
      <c r="C13" s="96">
        <f>IFERROR(SUM(FID_Plan!L4:L103),0)</f>
        <v/>
      </c>
      <c r="D13" s="96">
        <f>10*189*Settings!$K$4</f>
        <v/>
      </c>
      <c r="E13" s="97">
        <f>IFERROR(C13/D13,0)</f>
        <v/>
      </c>
      <c r="F13" s="98" t="n">
        <v>0.9</v>
      </c>
      <c r="G13" s="91" t="n">
        <v>0.9</v>
      </c>
      <c r="H13" s="86" t="n"/>
      <c r="I13" s="86" t="n"/>
      <c r="J13" s="70" t="inlineStr">
        <is>
          <t>High Priority:</t>
        </is>
      </c>
      <c r="K13" s="84">
        <f>COUNTIF(Job_Master_Ring!G4:G1000,"High")</f>
        <v/>
      </c>
      <c r="L13" s="86" t="n"/>
      <c r="M13" s="86" t="n"/>
    </row>
    <row r="14">
      <c r="A14" s="95" t="inlineStr">
        <is>
          <t>QC</t>
        </is>
      </c>
      <c r="B14" s="95" t="n">
        <v>5</v>
      </c>
      <c r="C14" s="96">
        <f>IFERROR(SUM(QC_Plan!L4:L103),0)</f>
        <v/>
      </c>
      <c r="D14" s="96">
        <f>5*189*Settings!$K$4</f>
        <v/>
      </c>
      <c r="E14" s="97">
        <f>IFERROR(C14/D14,0)</f>
        <v/>
      </c>
      <c r="F14" s="98" t="n">
        <v>0.9</v>
      </c>
      <c r="G14" s="91" t="n">
        <v>0.9</v>
      </c>
      <c r="H14" s="86" t="n"/>
      <c r="I14" s="86" t="n"/>
      <c r="J14" s="86" t="n"/>
      <c r="K14" s="86" t="n"/>
      <c r="L14" s="86" t="n"/>
      <c r="M14" s="86" t="n"/>
    </row>
    <row r="15">
      <c r="B15" s="87" t="n"/>
      <c r="C15" s="92" t="n"/>
      <c r="D15" s="93" t="n"/>
      <c r="E15" s="93" t="n"/>
      <c r="F15" s="94" t="n"/>
      <c r="G15" s="91" t="n">
        <v>0.9</v>
      </c>
      <c r="H15" s="86" t="n"/>
      <c r="I15" s="86" t="n"/>
      <c r="J15" s="86" t="n"/>
      <c r="K15" s="86" t="n"/>
      <c r="L15" s="86" t="n"/>
      <c r="M15" s="86" t="n"/>
    </row>
    <row r="16">
      <c r="B16" s="86" t="n"/>
      <c r="C16" s="86" t="n"/>
      <c r="D16" s="86" t="n"/>
      <c r="E16" s="86" t="n"/>
      <c r="F16" s="86" t="n"/>
      <c r="G16" s="86" t="n"/>
      <c r="H16" s="86" t="n"/>
      <c r="I16" s="86" t="n"/>
      <c r="J16" s="86" t="n"/>
      <c r="K16" s="86" t="n"/>
      <c r="L16" s="86" t="n"/>
      <c r="M16" s="86" t="n"/>
    </row>
    <row r="17">
      <c r="A17" s="34" t="inlineStr">
        <is>
          <t>JOB TYPE BREAKDOWN</t>
        </is>
      </c>
      <c r="B17" s="86" t="n"/>
      <c r="C17" s="86" t="n"/>
      <c r="D17" s="86" t="n"/>
      <c r="E17" s="86" t="n"/>
      <c r="F17" s="86" t="n"/>
      <c r="G17" s="86" t="n"/>
      <c r="H17" s="86" t="n"/>
      <c r="I17" s="86" t="n"/>
      <c r="J17" s="86" t="n"/>
      <c r="K17" s="86" t="n"/>
      <c r="L17" s="86" t="n"/>
      <c r="M17" s="86" t="n"/>
    </row>
    <row r="18">
      <c r="A18" s="52" t="inlineStr">
        <is>
          <t>BR1</t>
        </is>
      </c>
      <c r="B18" s="52" t="inlineStr">
        <is>
          <t>BR2</t>
        </is>
      </c>
      <c r="C18" s="52" t="inlineStr">
        <is>
          <t>CR2</t>
        </is>
      </c>
      <c r="D18" s="52" t="inlineStr">
        <is>
          <t>CR3</t>
        </is>
      </c>
      <c r="E18" s="52" t="inlineStr">
        <is>
          <t>CR4</t>
        </is>
      </c>
      <c r="F18" s="52" t="inlineStr">
        <is>
          <t>RIM</t>
        </is>
      </c>
      <c r="G18" s="52" t="inlineStr">
        <is>
          <t>BPR</t>
        </is>
      </c>
    </row>
    <row r="19">
      <c r="A19" s="53">
        <f>COUNTIF(Job_Master_Ring!C4:C1000,"BR1")</f>
        <v/>
      </c>
      <c r="B19" s="53">
        <f>COUNTIF(Job_Master_Ring!C4:C1000,"BR2")</f>
        <v/>
      </c>
      <c r="C19" s="53">
        <f>COUNTIF(Job_Master_Ring!C4:C1000,"CR2")</f>
        <v/>
      </c>
      <c r="D19" s="53">
        <f>COUNTIF(Job_Master_Ring!C4:C1000,"CR3")</f>
        <v/>
      </c>
      <c r="E19" s="53">
        <f>COUNTIF(Job_Master_Ring!C4:C1000,"CR4")</f>
        <v/>
      </c>
      <c r="F19" s="53">
        <f>COUNTIF(Job_Master_Ring!C4:C1000,"RIM")</f>
        <v/>
      </c>
      <c r="G19" s="53">
        <f>COUNTIF(Job_Master_Ring!C4:C1000,"BPR")</f>
        <v/>
      </c>
    </row>
    <row r="21">
      <c r="A21" s="54" t="inlineStr">
        <is>
          <t>PRIORITY BREAKDOWN</t>
        </is>
      </c>
      <c r="E21" s="55" t="inlineStr">
        <is>
          <t>STATUS BREAKDOWN</t>
        </is>
      </c>
    </row>
    <row r="22">
      <c r="A22" s="56" t="inlineStr">
        <is>
          <t>High</t>
        </is>
      </c>
      <c r="B22" s="57" t="inlineStr">
        <is>
          <t>Medium</t>
        </is>
      </c>
      <c r="C22" s="58" t="inlineStr">
        <is>
          <t>Low</t>
        </is>
      </c>
      <c r="E22" s="59" t="inlineStr">
        <is>
          <t>Released</t>
        </is>
      </c>
      <c r="F22" s="60" t="inlineStr">
        <is>
          <t>On Hold</t>
        </is>
      </c>
      <c r="G22" s="61" t="inlineStr">
        <is>
          <t>Cancelled</t>
        </is>
      </c>
    </row>
    <row r="23">
      <c r="A23" s="62">
        <f>COUNTIF(Job_Master_Ring!G4:G1000,"High")</f>
        <v/>
      </c>
      <c r="B23" s="63">
        <f>COUNTIF(Job_Master_Ring!G4:G1000,"Medium")</f>
        <v/>
      </c>
      <c r="C23" s="64">
        <f>COUNTIF(Job_Master_Ring!G4:G1000,"Low")</f>
        <v/>
      </c>
      <c r="E23" s="65">
        <f>COUNTIF(Job_Master_Ring!I4:I1000,"Released")</f>
        <v/>
      </c>
      <c r="F23" s="66">
        <f>COUNTIF(Job_Master_Ring!I4:I1000,"On Hold")</f>
        <v/>
      </c>
      <c r="G23" s="67">
        <f>COUNTIF(Job_Master_Ring!I4:I1000,"Cancelled")</f>
        <v/>
      </c>
    </row>
    <row r="25">
      <c r="A25" s="54" t="inlineStr">
        <is>
          <t>BOTTLENECK ALERT</t>
        </is>
      </c>
    </row>
    <row r="26">
      <c r="A26" s="68" t="inlineStr">
        <is>
          <t>Highest Loaded Stage:</t>
        </is>
      </c>
      <c r="B26" s="69">
        <f>INDEX(A10:A14,MATCH(MAX(E10:E14),E10:E14,0))</f>
        <v/>
      </c>
    </row>
    <row r="27">
      <c r="A27" s="70" t="inlineStr">
        <is>
          <t>Utilization %:</t>
        </is>
      </c>
      <c r="B27" s="71">
        <f>MAX(E10:E14)</f>
        <v/>
      </c>
    </row>
    <row r="28">
      <c r="A28" s="70" t="inlineStr">
        <is>
          <t>Lowest Loaded Stage:</t>
        </is>
      </c>
      <c r="B28" s="72">
        <f>INDEX(A10:A14,MATCH(MIN(E10:E14),E10:E14,0))</f>
        <v/>
      </c>
    </row>
    <row r="33">
      <c r="B33" s="85" t="inlineStr">
        <is>
          <t>JOB TYPE BREAKDOWN</t>
        </is>
      </c>
    </row>
    <row r="34">
      <c r="B34" s="81" t="inlineStr">
        <is>
          <t>Type</t>
        </is>
      </c>
      <c r="C34" s="81" t="inlineStr">
        <is>
          <t>Count</t>
        </is>
      </c>
      <c r="D34" s="81" t="inlineStr">
        <is>
          <t>% of Total</t>
        </is>
      </c>
    </row>
    <row r="35">
      <c r="B35" t="inlineStr">
        <is>
          <t>BR1</t>
        </is>
      </c>
      <c r="C35">
        <f>COUNTIF(Job_Master_Ring!C4:C1000,"BR1")</f>
        <v/>
      </c>
      <c r="D35" s="50">
        <f>IFERROR(C35/COUNTA(Job_Master_Ring!A4:A1000),0)</f>
        <v/>
      </c>
    </row>
    <row r="36">
      <c r="B36" t="inlineStr">
        <is>
          <t>BR2</t>
        </is>
      </c>
      <c r="C36">
        <f>COUNTIF(Job_Master_Ring!C4:C1000,"BR2")</f>
        <v/>
      </c>
      <c r="D36" s="50">
        <f>IFERROR(C36/COUNTA(Job_Master_Ring!A4:A1000),0)</f>
        <v/>
      </c>
    </row>
    <row r="37">
      <c r="B37" t="inlineStr">
        <is>
          <t>CR2</t>
        </is>
      </c>
      <c r="C37">
        <f>COUNTIF(Job_Master_Ring!C4:C1000,"CR2")</f>
        <v/>
      </c>
      <c r="D37" s="50">
        <f>IFERROR(C37/COUNTA(Job_Master_Ring!A4:A1000),0)</f>
        <v/>
      </c>
    </row>
    <row r="38">
      <c r="B38" t="inlineStr">
        <is>
          <t>CR3</t>
        </is>
      </c>
      <c r="C38">
        <f>COUNTIF(Job_Master_Ring!C4:C1000,"CR3")</f>
        <v/>
      </c>
      <c r="D38" s="50">
        <f>IFERROR(C38/COUNTA(Job_Master_Ring!A4:A1000),0)</f>
        <v/>
      </c>
    </row>
    <row r="39">
      <c r="B39" t="inlineStr">
        <is>
          <t>CR4</t>
        </is>
      </c>
      <c r="C39">
        <f>COUNTIF(Job_Master_Ring!C4:C1000,"CR4")</f>
        <v/>
      </c>
      <c r="D39" s="50">
        <f>IFERROR(C39/COUNTA(Job_Master_Ring!A4:A1000),0)</f>
        <v/>
      </c>
    </row>
    <row r="40">
      <c r="B40" t="inlineStr">
        <is>
          <t>RIM</t>
        </is>
      </c>
      <c r="C40">
        <f>COUNTIF(Job_Master_Ring!C4:C1000,"RIM")</f>
        <v/>
      </c>
      <c r="D40" s="50">
        <f>IFERROR(C40/COUNTA(Job_Master_Ring!A4:A1000),0)</f>
        <v/>
      </c>
    </row>
    <row r="41">
      <c r="B41" t="inlineStr">
        <is>
          <t>BPR</t>
        </is>
      </c>
      <c r="C41">
        <f>COUNTIF(Job_Master_Ring!C4:C1000,"BPR")</f>
        <v/>
      </c>
      <c r="D41" s="50">
        <f>IFERROR(C41/COUNTA(Job_Master_Ring!A4:A1000),0)</f>
        <v/>
      </c>
    </row>
  </sheetData>
  <mergeCells count="6">
    <mergeCell ref="A1:L1"/>
    <mergeCell ref="A25:D25"/>
    <mergeCell ref="A21:C21"/>
    <mergeCell ref="B7:H7"/>
    <mergeCell ref="E21:G21"/>
    <mergeCell ref="A4:L4"/>
  </mergeCells>
  <conditionalFormatting sqref="E10">
    <cfRule type="cellIs" priority="1" operator="greaterThan" dxfId="5">
      <formula>0.9</formula>
    </cfRule>
    <cfRule type="cellIs" priority="2" operator="greaterThan" dxfId="4">
      <formula>0.7</formula>
    </cfRule>
    <cfRule type="cellIs" priority="3" operator="lessThanOrEqual" dxfId="3">
      <formula>0.7</formula>
    </cfRule>
  </conditionalFormatting>
  <conditionalFormatting sqref="E11">
    <cfRule type="cellIs" priority="4" operator="greaterThan" dxfId="5">
      <formula>0.9</formula>
    </cfRule>
    <cfRule type="cellIs" priority="5" operator="greaterThan" dxfId="4">
      <formula>0.7</formula>
    </cfRule>
    <cfRule type="cellIs" priority="6" operator="lessThanOrEqual" dxfId="3">
      <formula>0.7</formula>
    </cfRule>
  </conditionalFormatting>
  <conditionalFormatting sqref="E12">
    <cfRule type="cellIs" priority="7" operator="greaterThan" dxfId="5">
      <formula>0.9</formula>
    </cfRule>
    <cfRule type="cellIs" priority="8" operator="greaterThan" dxfId="4">
      <formula>0.7</formula>
    </cfRule>
    <cfRule type="cellIs" priority="9" operator="lessThanOrEqual" dxfId="3">
      <formula>0.7</formula>
    </cfRule>
  </conditionalFormatting>
  <conditionalFormatting sqref="E13">
    <cfRule type="cellIs" priority="10" operator="greaterThan" dxfId="5">
      <formula>0.9</formula>
    </cfRule>
    <cfRule type="cellIs" priority="11" operator="greaterThan" dxfId="4">
      <formula>0.7</formula>
    </cfRule>
    <cfRule type="cellIs" priority="12" operator="lessThanOrEqual" dxfId="3">
      <formula>0.7</formula>
    </cfRule>
  </conditionalFormatting>
  <conditionalFormatting sqref="E14">
    <cfRule type="cellIs" priority="13" operator="greaterThan" dxfId="5">
      <formula>0.9</formula>
    </cfRule>
    <cfRule type="cellIs" priority="14" operator="greaterThan" dxfId="4">
      <formula>0.7</formula>
    </cfRule>
    <cfRule type="cellIs" priority="15" operator="lessThanOrEqual" dxfId="3">
      <formula>0.7</formula>
    </cfRule>
  </conditionalFormatting>
  <conditionalFormatting sqref="E15">
    <cfRule type="cellIs" priority="16" operator="greaterThan" dxfId="5">
      <formula>0.9</formula>
    </cfRule>
    <cfRule type="cellIs" priority="17" operator="greaterThan" dxfId="4">
      <formula>0.7</formula>
    </cfRule>
    <cfRule type="cellIs" priority="18" operator="lessThanOrEqual" dxfId="3">
      <formula>0.7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53"/>
  <sheetViews>
    <sheetView workbookViewId="0">
      <pane xSplit="11" ySplit="3" topLeftCell="L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8" customWidth="1" min="3" max="3"/>
    <col width="10" customWidth="1" min="4" max="4"/>
    <col width="16" customWidth="1" min="5" max="5"/>
    <col width="16" customWidth="1" min="6" max="6"/>
    <col width="10" customWidth="1" min="7" max="7"/>
    <col width="12" customWidth="1" min="8" max="8"/>
    <col width="12" customWidth="1" min="9" max="9"/>
    <col width="14" customWidth="1" min="10" max="10"/>
    <col width="16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  <col width="3" customWidth="1" min="67" max="67"/>
    <col width="3" customWidth="1" min="68" max="68"/>
    <col width="3" customWidth="1" min="69" max="69"/>
    <col width="3" customWidth="1" min="70" max="70"/>
  </cols>
  <sheetData>
    <row r="1" ht="28" customHeight="1">
      <c r="A1" s="1" t="inlineStr">
        <is>
          <t>JOB MASTER — RING PARTS</t>
        </is>
      </c>
    </row>
    <row r="2">
      <c r="J2" s="2" t="inlineStr">
        <is>
          <t>← Type to override auto date</t>
        </is>
      </c>
    </row>
    <row r="3" ht="40" customHeight="1">
      <c r="A3" s="3" t="inlineStr">
        <is>
          <t>Job ID</t>
        </is>
      </c>
      <c r="B3" s="3" t="inlineStr">
        <is>
          <t>Size</t>
        </is>
      </c>
      <c r="C3" s="4" t="inlineStr">
        <is>
          <t>Type</t>
        </is>
      </c>
      <c r="D3" s="5" t="inlineStr">
        <is>
          <t>No of Parts</t>
        </is>
      </c>
      <c r="E3" s="6" t="inlineStr">
        <is>
          <t>Overall Start</t>
        </is>
      </c>
      <c r="F3" s="6" t="inlineStr">
        <is>
          <t>Overall End</t>
        </is>
      </c>
      <c r="G3" s="7" t="inlineStr">
        <is>
          <t>Priority</t>
        </is>
      </c>
      <c r="H3" s="8" t="inlineStr">
        <is>
          <t>End Month</t>
        </is>
      </c>
      <c r="I3" s="6" t="inlineStr">
        <is>
          <t>Status</t>
        </is>
      </c>
      <c r="J3" s="9" t="inlineStr">
        <is>
          <t>Due Date</t>
        </is>
      </c>
      <c r="K3" s="10" t="inlineStr">
        <is>
          <t>Customer</t>
        </is>
      </c>
      <c r="L3" s="15" t="n">
        <v>46113</v>
      </c>
      <c r="M3" s="15" t="n">
        <v>46114</v>
      </c>
      <c r="N3" s="15" t="n">
        <v>46115</v>
      </c>
      <c r="O3" s="15" t="n">
        <v>46116</v>
      </c>
      <c r="P3" s="15" t="n">
        <v>46118</v>
      </c>
      <c r="Q3" s="15" t="n">
        <v>46119</v>
      </c>
      <c r="R3" s="15" t="n">
        <v>46120</v>
      </c>
      <c r="S3" s="15" t="n">
        <v>46121</v>
      </c>
      <c r="T3" s="15" t="n">
        <v>46122</v>
      </c>
      <c r="U3" s="15" t="n">
        <v>46123</v>
      </c>
      <c r="V3" s="15" t="n">
        <v>46124</v>
      </c>
      <c r="W3" s="15" t="n">
        <v>46125</v>
      </c>
      <c r="X3" s="15" t="n">
        <v>46126</v>
      </c>
      <c r="Y3" s="15" t="n">
        <v>46127</v>
      </c>
      <c r="Z3" s="15" t="n">
        <v>46128</v>
      </c>
      <c r="AA3" s="15" t="n">
        <v>46129</v>
      </c>
      <c r="AB3" s="15" t="n">
        <v>46130</v>
      </c>
      <c r="AC3" s="15" t="n">
        <v>46131</v>
      </c>
      <c r="AD3" s="15" t="n">
        <v>46132</v>
      </c>
      <c r="AE3" s="15" t="n">
        <v>46133</v>
      </c>
      <c r="AF3" s="15" t="n">
        <v>46134</v>
      </c>
      <c r="AG3" s="15" t="n">
        <v>46135</v>
      </c>
      <c r="AH3" s="15" t="n">
        <v>46136</v>
      </c>
      <c r="AI3" s="15" t="n">
        <v>46137</v>
      </c>
      <c r="AJ3" s="15" t="n">
        <v>46138</v>
      </c>
      <c r="AK3" s="15" t="n">
        <v>46139</v>
      </c>
      <c r="AL3" s="15" t="n">
        <v>46140</v>
      </c>
      <c r="AM3" s="15" t="n">
        <v>46141</v>
      </c>
      <c r="AN3" s="15" t="n">
        <v>46142</v>
      </c>
      <c r="AO3" s="15" t="n">
        <v>46143</v>
      </c>
      <c r="AP3" s="15" t="n">
        <v>46144</v>
      </c>
      <c r="AQ3" s="15" t="n">
        <v>46145</v>
      </c>
      <c r="AR3" s="15" t="n">
        <v>46146</v>
      </c>
      <c r="AS3" s="15" t="n">
        <v>46147</v>
      </c>
      <c r="AT3" s="15" t="n">
        <v>46148</v>
      </c>
      <c r="AU3" s="15" t="n">
        <v>46149</v>
      </c>
      <c r="AV3" s="15" t="n">
        <v>46150</v>
      </c>
      <c r="AW3" s="15" t="n">
        <v>46151</v>
      </c>
      <c r="AX3" s="15" t="n">
        <v>46152</v>
      </c>
      <c r="AY3" s="15" t="n">
        <v>46153</v>
      </c>
      <c r="AZ3" s="15" t="n">
        <v>46154</v>
      </c>
      <c r="BA3" s="15" t="n">
        <v>46155</v>
      </c>
      <c r="BB3" s="15" t="n">
        <v>46156</v>
      </c>
      <c r="BC3" s="15" t="n">
        <v>46157</v>
      </c>
      <c r="BD3" s="15" t="n">
        <v>46158</v>
      </c>
      <c r="BE3" s="15" t="n">
        <v>46159</v>
      </c>
      <c r="BF3" s="15" t="n">
        <v>46160</v>
      </c>
      <c r="BG3" s="15" t="n">
        <v>46161</v>
      </c>
      <c r="BH3" s="15" t="n">
        <v>46162</v>
      </c>
      <c r="BI3" s="15" t="n">
        <v>46163</v>
      </c>
      <c r="BJ3" s="15" t="n">
        <v>46164</v>
      </c>
      <c r="BK3" s="15" t="n">
        <v>46165</v>
      </c>
      <c r="BL3" s="15" t="n">
        <v>46166</v>
      </c>
      <c r="BM3" s="15" t="n">
        <v>46167</v>
      </c>
      <c r="BN3" s="15" t="n">
        <v>46168</v>
      </c>
      <c r="BO3" s="15" t="n">
        <v>46169</v>
      </c>
      <c r="BP3" s="15" t="n">
        <v>46170</v>
      </c>
      <c r="BQ3" s="15" t="n">
        <v>46171</v>
      </c>
      <c r="BR3" s="15" t="n">
        <v>46172</v>
      </c>
    </row>
    <row r="4">
      <c r="A4" t="inlineStr">
        <is>
          <t>RJ-101</t>
        </is>
      </c>
      <c r="B4" t="n">
        <v>15</v>
      </c>
      <c r="C4" t="inlineStr">
        <is>
          <t>BR2</t>
        </is>
      </c>
      <c r="D4">
        <f>IF($A4="","",IFERROR(CHOOSE(MATCH($C4,Settings!$L$4:$L$10,0),OPR_BR1!$B$2,OPR_BR2!$B$2,OPR_CR2!$B$2,OPR_CR3!$B$2,OPR_CR4!$B$2,OPR_RIM!$B$2,OPR_BPR!$B$2),1))</f>
        <v/>
      </c>
      <c r="E4" s="16" t="n">
        <v>46220.29166666666</v>
      </c>
      <c r="F4" s="16" t="n">
        <v>46244.29166666666</v>
      </c>
      <c r="G4" t="inlineStr">
        <is>
          <t>High</t>
        </is>
      </c>
      <c r="H4">
        <f>IF($A4="","",TEXT($F4,"MMM-YYYY"))</f>
        <v/>
      </c>
      <c r="I4" t="inlineStr">
        <is>
          <t>Cancelled</t>
        </is>
      </c>
      <c r="J4" s="17">
        <f>IF($A4="","",$F4+30)</f>
        <v/>
      </c>
      <c r="K4" t="inlineStr">
        <is>
          <t>Gamma Inc</t>
        </is>
      </c>
      <c r="L4">
        <f>IF(AND(L$3&gt;=$E4,L$3&lt;=$F4),1,"")</f>
        <v/>
      </c>
      <c r="M4">
        <f>IF(AND(M$3&gt;=$E4,M$3&lt;=$F4),1,"")</f>
        <v/>
      </c>
      <c r="N4">
        <f>IF(AND(N$3&gt;=$E4,N$3&lt;=$F4),1,"")</f>
        <v/>
      </c>
      <c r="O4">
        <f>IF(AND(O$3&gt;=$E4,O$3&lt;=$F4),1,"")</f>
        <v/>
      </c>
      <c r="P4">
        <f>IF(AND(P$3&gt;=$E4,P$3&lt;=$F4),1,"")</f>
        <v/>
      </c>
      <c r="Q4">
        <f>IF(AND(Q$3&gt;=$E4,Q$3&lt;=$F4),1,"")</f>
        <v/>
      </c>
      <c r="R4">
        <f>IF(AND(R$3&gt;=$E4,R$3&lt;=$F4),1,"")</f>
        <v/>
      </c>
      <c r="S4">
        <f>IF(AND(S$3&gt;=$E4,S$3&lt;=$F4),1,"")</f>
        <v/>
      </c>
      <c r="T4">
        <f>IF(AND(T$3&gt;=$E4,T$3&lt;=$F4),1,"")</f>
        <v/>
      </c>
      <c r="U4">
        <f>IF(AND(U$3&gt;=$E4,U$3&lt;=$F4),1,"")</f>
        <v/>
      </c>
      <c r="V4">
        <f>IF(AND(V$3&gt;=$E4,V$3&lt;=$F4),1,"")</f>
        <v/>
      </c>
      <c r="W4">
        <f>IF(AND(W$3&gt;=$E4,W$3&lt;=$F4),1,"")</f>
        <v/>
      </c>
      <c r="X4">
        <f>IF(AND(X$3&gt;=$E4,X$3&lt;=$F4),1,"")</f>
        <v/>
      </c>
      <c r="Y4">
        <f>IF(AND(Y$3&gt;=$E4,Y$3&lt;=$F4),1,"")</f>
        <v/>
      </c>
      <c r="Z4">
        <f>IF(AND(Z$3&gt;=$E4,Z$3&lt;=$F4),1,"")</f>
        <v/>
      </c>
      <c r="AA4">
        <f>IF(AND(AA$3&gt;=$E4,AA$3&lt;=$F4),1,"")</f>
        <v/>
      </c>
      <c r="AB4">
        <f>IF(AND(AB$3&gt;=$E4,AB$3&lt;=$F4),1,"")</f>
        <v/>
      </c>
      <c r="AC4">
        <f>IF(AND(AC$3&gt;=$E4,AC$3&lt;=$F4),1,"")</f>
        <v/>
      </c>
      <c r="AD4">
        <f>IF(AND(AD$3&gt;=$E4,AD$3&lt;=$F4),1,"")</f>
        <v/>
      </c>
      <c r="AE4">
        <f>IF(AND(AE$3&gt;=$E4,AE$3&lt;=$F4),1,"")</f>
        <v/>
      </c>
      <c r="AF4">
        <f>IF(AND(AF$3&gt;=$E4,AF$3&lt;=$F4),1,"")</f>
        <v/>
      </c>
      <c r="AG4">
        <f>IF(AND(AG$3&gt;=$E4,AG$3&lt;=$F4),1,"")</f>
        <v/>
      </c>
      <c r="AH4">
        <f>IF(AND(AH$3&gt;=$E4,AH$3&lt;=$F4),1,"")</f>
        <v/>
      </c>
      <c r="AI4">
        <f>IF(AND(AI$3&gt;=$E4,AI$3&lt;=$F4),1,"")</f>
        <v/>
      </c>
      <c r="AJ4">
        <f>IF(AND(AJ$3&gt;=$E4,AJ$3&lt;=$F4),1,"")</f>
        <v/>
      </c>
      <c r="AK4">
        <f>IF(AND(AK$3&gt;=$E4,AK$3&lt;=$F4),1,"")</f>
        <v/>
      </c>
      <c r="AL4">
        <f>IF(AND(AL$3&gt;=$E4,AL$3&lt;=$F4),1,"")</f>
        <v/>
      </c>
      <c r="AM4">
        <f>IF(AND(AM$3&gt;=$E4,AM$3&lt;=$F4),1,"")</f>
        <v/>
      </c>
      <c r="AN4">
        <f>IF(AND(AN$3&gt;=$E4,AN$3&lt;=$F4),1,"")</f>
        <v/>
      </c>
      <c r="AO4">
        <f>IF(AND(AO$3&gt;=$E4,AO$3&lt;=$F4),1,"")</f>
        <v/>
      </c>
      <c r="AP4">
        <f>IF(AND(AP$3&gt;=$E4,AP$3&lt;=$F4),1,"")</f>
        <v/>
      </c>
      <c r="AQ4">
        <f>IF(AND(AQ$3&gt;=$E4,AQ$3&lt;=$F4),1,"")</f>
        <v/>
      </c>
      <c r="AR4">
        <f>IF(AND(AR$3&gt;=$E4,AR$3&lt;=$F4),1,"")</f>
        <v/>
      </c>
      <c r="AS4">
        <f>IF(AND(AS$3&gt;=$E4,AS$3&lt;=$F4),1,"")</f>
        <v/>
      </c>
      <c r="AT4">
        <f>IF(AND(AT$3&gt;=$E4,AT$3&lt;=$F4),1,"")</f>
        <v/>
      </c>
      <c r="AU4">
        <f>IF(AND(AU$3&gt;=$E4,AU$3&lt;=$F4),1,"")</f>
        <v/>
      </c>
      <c r="AV4">
        <f>IF(AND(AV$3&gt;=$E4,AV$3&lt;=$F4),1,"")</f>
        <v/>
      </c>
      <c r="AW4">
        <f>IF(AND(AW$3&gt;=$E4,AW$3&lt;=$F4),1,"")</f>
        <v/>
      </c>
      <c r="AX4">
        <f>IF(AND(AX$3&gt;=$E4,AX$3&lt;=$F4),1,"")</f>
        <v/>
      </c>
      <c r="AY4">
        <f>IF(AND(AY$3&gt;=$E4,AY$3&lt;=$F4),1,"")</f>
        <v/>
      </c>
      <c r="AZ4">
        <f>IF(AND(AZ$3&gt;=$E4,AZ$3&lt;=$F4),1,"")</f>
        <v/>
      </c>
      <c r="BA4">
        <f>IF(AND(BA$3&gt;=$E4,BA$3&lt;=$F4),1,"")</f>
        <v/>
      </c>
      <c r="BB4">
        <f>IF(AND(BB$3&gt;=$E4,BB$3&lt;=$F4),1,"")</f>
        <v/>
      </c>
      <c r="BC4">
        <f>IF(AND(BC$3&gt;=$E4,BC$3&lt;=$F4),1,"")</f>
        <v/>
      </c>
      <c r="BD4">
        <f>IF(AND(BD$3&gt;=$E4,BD$3&lt;=$F4),1,"")</f>
        <v/>
      </c>
      <c r="BE4">
        <f>IF(AND(BE$3&gt;=$E4,BE$3&lt;=$F4),1,"")</f>
        <v/>
      </c>
      <c r="BF4">
        <f>IF(AND(BF$3&gt;=$E4,BF$3&lt;=$F4),1,"")</f>
        <v/>
      </c>
      <c r="BG4">
        <f>IF(AND(BG$3&gt;=$E4,BG$3&lt;=$F4),1,"")</f>
        <v/>
      </c>
      <c r="BH4">
        <f>IF(AND(BH$3&gt;=$E4,BH$3&lt;=$F4),1,"")</f>
        <v/>
      </c>
      <c r="BI4">
        <f>IF(AND(BI$3&gt;=$E4,BI$3&lt;=$F4),1,"")</f>
        <v/>
      </c>
      <c r="BJ4">
        <f>IF(AND(BJ$3&gt;=$E4,BJ$3&lt;=$F4),1,"")</f>
        <v/>
      </c>
      <c r="BK4">
        <f>IF(AND(BK$3&gt;=$E4,BK$3&lt;=$F4),1,"")</f>
        <v/>
      </c>
      <c r="BL4">
        <f>IF(AND(BL$3&gt;=$E4,BL$3&lt;=$F4),1,"")</f>
        <v/>
      </c>
      <c r="BM4">
        <f>IF(AND(BM$3&gt;=$E4,BM$3&lt;=$F4),1,"")</f>
        <v/>
      </c>
      <c r="BN4">
        <f>IF(AND(BN$3&gt;=$E4,BN$3&lt;=$F4),1,"")</f>
        <v/>
      </c>
      <c r="BO4">
        <f>IF(AND(BO$3&gt;=$E4,BO$3&lt;=$F4),1,"")</f>
        <v/>
      </c>
      <c r="BP4">
        <f>IF(AND(BP$3&gt;=$E4,BP$3&lt;=$F4),1,"")</f>
        <v/>
      </c>
      <c r="BQ4">
        <f>IF(AND(BQ$3&gt;=$E4,BQ$3&lt;=$F4),1,"")</f>
        <v/>
      </c>
      <c r="BR4">
        <f>IF(AND(BR$3&gt;=$E4,BR$3&lt;=$F4),1,"")</f>
        <v/>
      </c>
    </row>
    <row r="5">
      <c r="A5" t="inlineStr">
        <is>
          <t>RJ-102</t>
        </is>
      </c>
      <c r="B5" t="n">
        <v>54</v>
      </c>
      <c r="C5" t="inlineStr">
        <is>
          <t>BR2</t>
        </is>
      </c>
      <c r="D5">
        <f>IF($A5="","",IFERROR(CHOOSE(MATCH($C5,Settings!$L$4:$L$10,0),OPR_BR1!$B$2,OPR_BR2!$B$2,OPR_CR2!$B$2,OPR_CR3!$B$2,OPR_CR4!$B$2,OPR_RIM!$B$2,OPR_BPR!$B$2),1))</f>
        <v/>
      </c>
      <c r="E5" s="16" t="n">
        <v>46230.29166666666</v>
      </c>
      <c r="F5" s="16" t="n">
        <v>46304.29166666666</v>
      </c>
      <c r="G5" t="inlineStr">
        <is>
          <t>Medium</t>
        </is>
      </c>
      <c r="H5">
        <f>IF($A5="","",TEXT($F5,"MMM-YYYY"))</f>
        <v/>
      </c>
      <c r="I5" t="inlineStr">
        <is>
          <t>Released</t>
        </is>
      </c>
      <c r="J5" s="17">
        <f>IF($A5="","",$F5+30)</f>
        <v/>
      </c>
      <c r="K5" t="inlineStr">
        <is>
          <t>Gamma Inc</t>
        </is>
      </c>
      <c r="L5">
        <f>IF(AND(L$3&gt;=$E5,L$3&lt;=$F5),1,"")</f>
        <v/>
      </c>
      <c r="M5">
        <f>IF(AND(M$3&gt;=$E5,M$3&lt;=$F5),1,"")</f>
        <v/>
      </c>
      <c r="N5">
        <f>IF(AND(N$3&gt;=$E5,N$3&lt;=$F5),1,"")</f>
        <v/>
      </c>
      <c r="O5">
        <f>IF(AND(O$3&gt;=$E5,O$3&lt;=$F5),1,"")</f>
        <v/>
      </c>
      <c r="P5">
        <f>IF(AND(P$3&gt;=$E5,P$3&lt;=$F5),1,"")</f>
        <v/>
      </c>
      <c r="Q5">
        <f>IF(AND(Q$3&gt;=$E5,Q$3&lt;=$F5),1,"")</f>
        <v/>
      </c>
      <c r="R5">
        <f>IF(AND(R$3&gt;=$E5,R$3&lt;=$F5),1,"")</f>
        <v/>
      </c>
      <c r="S5">
        <f>IF(AND(S$3&gt;=$E5,S$3&lt;=$F5),1,"")</f>
        <v/>
      </c>
      <c r="T5">
        <f>IF(AND(T$3&gt;=$E5,T$3&lt;=$F5),1,"")</f>
        <v/>
      </c>
      <c r="U5">
        <f>IF(AND(U$3&gt;=$E5,U$3&lt;=$F5),1,"")</f>
        <v/>
      </c>
      <c r="V5">
        <f>IF(AND(V$3&gt;=$E5,V$3&lt;=$F5),1,"")</f>
        <v/>
      </c>
      <c r="W5">
        <f>IF(AND(W$3&gt;=$E5,W$3&lt;=$F5),1,"")</f>
        <v/>
      </c>
      <c r="X5">
        <f>IF(AND(X$3&gt;=$E5,X$3&lt;=$F5),1,"")</f>
        <v/>
      </c>
      <c r="Y5">
        <f>IF(AND(Y$3&gt;=$E5,Y$3&lt;=$F5),1,"")</f>
        <v/>
      </c>
      <c r="Z5">
        <f>IF(AND(Z$3&gt;=$E5,Z$3&lt;=$F5),1,"")</f>
        <v/>
      </c>
      <c r="AA5">
        <f>IF(AND(AA$3&gt;=$E5,AA$3&lt;=$F5),1,"")</f>
        <v/>
      </c>
      <c r="AB5">
        <f>IF(AND(AB$3&gt;=$E5,AB$3&lt;=$F5),1,"")</f>
        <v/>
      </c>
      <c r="AC5">
        <f>IF(AND(AC$3&gt;=$E5,AC$3&lt;=$F5),1,"")</f>
        <v/>
      </c>
      <c r="AD5">
        <f>IF(AND(AD$3&gt;=$E5,AD$3&lt;=$F5),1,"")</f>
        <v/>
      </c>
      <c r="AE5">
        <f>IF(AND(AE$3&gt;=$E5,AE$3&lt;=$F5),1,"")</f>
        <v/>
      </c>
      <c r="AF5">
        <f>IF(AND(AF$3&gt;=$E5,AF$3&lt;=$F5),1,"")</f>
        <v/>
      </c>
      <c r="AG5">
        <f>IF(AND(AG$3&gt;=$E5,AG$3&lt;=$F5),1,"")</f>
        <v/>
      </c>
      <c r="AH5">
        <f>IF(AND(AH$3&gt;=$E5,AH$3&lt;=$F5),1,"")</f>
        <v/>
      </c>
      <c r="AI5">
        <f>IF(AND(AI$3&gt;=$E5,AI$3&lt;=$F5),1,"")</f>
        <v/>
      </c>
      <c r="AJ5">
        <f>IF(AND(AJ$3&gt;=$E5,AJ$3&lt;=$F5),1,"")</f>
        <v/>
      </c>
      <c r="AK5">
        <f>IF(AND(AK$3&gt;=$E5,AK$3&lt;=$F5),1,"")</f>
        <v/>
      </c>
      <c r="AL5">
        <f>IF(AND(AL$3&gt;=$E5,AL$3&lt;=$F5),1,"")</f>
        <v/>
      </c>
      <c r="AM5">
        <f>IF(AND(AM$3&gt;=$E5,AM$3&lt;=$F5),1,"")</f>
        <v/>
      </c>
      <c r="AN5">
        <f>IF(AND(AN$3&gt;=$E5,AN$3&lt;=$F5),1,"")</f>
        <v/>
      </c>
      <c r="AO5">
        <f>IF(AND(AO$3&gt;=$E5,AO$3&lt;=$F5),1,"")</f>
        <v/>
      </c>
      <c r="AP5">
        <f>IF(AND(AP$3&gt;=$E5,AP$3&lt;=$F5),1,"")</f>
        <v/>
      </c>
      <c r="AQ5">
        <f>IF(AND(AQ$3&gt;=$E5,AQ$3&lt;=$F5),1,"")</f>
        <v/>
      </c>
      <c r="AR5">
        <f>IF(AND(AR$3&gt;=$E5,AR$3&lt;=$F5),1,"")</f>
        <v/>
      </c>
      <c r="AS5">
        <f>IF(AND(AS$3&gt;=$E5,AS$3&lt;=$F5),1,"")</f>
        <v/>
      </c>
      <c r="AT5">
        <f>IF(AND(AT$3&gt;=$E5,AT$3&lt;=$F5),1,"")</f>
        <v/>
      </c>
      <c r="AU5">
        <f>IF(AND(AU$3&gt;=$E5,AU$3&lt;=$F5),1,"")</f>
        <v/>
      </c>
      <c r="AV5">
        <f>IF(AND(AV$3&gt;=$E5,AV$3&lt;=$F5),1,"")</f>
        <v/>
      </c>
      <c r="AW5">
        <f>IF(AND(AW$3&gt;=$E5,AW$3&lt;=$F5),1,"")</f>
        <v/>
      </c>
      <c r="AX5">
        <f>IF(AND(AX$3&gt;=$E5,AX$3&lt;=$F5),1,"")</f>
        <v/>
      </c>
      <c r="AY5">
        <f>IF(AND(AY$3&gt;=$E5,AY$3&lt;=$F5),1,"")</f>
        <v/>
      </c>
      <c r="AZ5">
        <f>IF(AND(AZ$3&gt;=$E5,AZ$3&lt;=$F5),1,"")</f>
        <v/>
      </c>
      <c r="BA5">
        <f>IF(AND(BA$3&gt;=$E5,BA$3&lt;=$F5),1,"")</f>
        <v/>
      </c>
      <c r="BB5">
        <f>IF(AND(BB$3&gt;=$E5,BB$3&lt;=$F5),1,"")</f>
        <v/>
      </c>
      <c r="BC5">
        <f>IF(AND(BC$3&gt;=$E5,BC$3&lt;=$F5),1,"")</f>
        <v/>
      </c>
      <c r="BD5">
        <f>IF(AND(BD$3&gt;=$E5,BD$3&lt;=$F5),1,"")</f>
        <v/>
      </c>
      <c r="BE5">
        <f>IF(AND(BE$3&gt;=$E5,BE$3&lt;=$F5),1,"")</f>
        <v/>
      </c>
      <c r="BF5">
        <f>IF(AND(BF$3&gt;=$E5,BF$3&lt;=$F5),1,"")</f>
        <v/>
      </c>
      <c r="BG5">
        <f>IF(AND(BG$3&gt;=$E5,BG$3&lt;=$F5),1,"")</f>
        <v/>
      </c>
      <c r="BH5">
        <f>IF(AND(BH$3&gt;=$E5,BH$3&lt;=$F5),1,"")</f>
        <v/>
      </c>
      <c r="BI5">
        <f>IF(AND(BI$3&gt;=$E5,BI$3&lt;=$F5),1,"")</f>
        <v/>
      </c>
      <c r="BJ5">
        <f>IF(AND(BJ$3&gt;=$E5,BJ$3&lt;=$F5),1,"")</f>
        <v/>
      </c>
      <c r="BK5">
        <f>IF(AND(BK$3&gt;=$E5,BK$3&lt;=$F5),1,"")</f>
        <v/>
      </c>
      <c r="BL5">
        <f>IF(AND(BL$3&gt;=$E5,BL$3&lt;=$F5),1,"")</f>
        <v/>
      </c>
      <c r="BM5">
        <f>IF(AND(BM$3&gt;=$E5,BM$3&lt;=$F5),1,"")</f>
        <v/>
      </c>
      <c r="BN5">
        <f>IF(AND(BN$3&gt;=$E5,BN$3&lt;=$F5),1,"")</f>
        <v/>
      </c>
      <c r="BO5">
        <f>IF(AND(BO$3&gt;=$E5,BO$3&lt;=$F5),1,"")</f>
        <v/>
      </c>
      <c r="BP5">
        <f>IF(AND(BP$3&gt;=$E5,BP$3&lt;=$F5),1,"")</f>
        <v/>
      </c>
      <c r="BQ5">
        <f>IF(AND(BQ$3&gt;=$E5,BQ$3&lt;=$F5),1,"")</f>
        <v/>
      </c>
      <c r="BR5">
        <f>IF(AND(BR$3&gt;=$E5,BR$3&lt;=$F5),1,"")</f>
        <v/>
      </c>
    </row>
    <row r="6">
      <c r="A6" t="inlineStr">
        <is>
          <t>RJ-103</t>
        </is>
      </c>
      <c r="B6" t="n">
        <v>42</v>
      </c>
      <c r="C6" t="inlineStr">
        <is>
          <t>CR3</t>
        </is>
      </c>
      <c r="D6">
        <f>IF($A6="","",IFERROR(CHOOSE(MATCH($C6,Settings!$L$4:$L$10,0),OPR_BR1!$B$2,OPR_BR2!$B$2,OPR_CR2!$B$2,OPR_CR3!$B$2,OPR_CR4!$B$2,OPR_RIM!$B$2,OPR_BPR!$B$2),1))</f>
        <v/>
      </c>
      <c r="E6" s="16" t="n">
        <v>46153.29166666666</v>
      </c>
      <c r="F6" s="16" t="n">
        <v>46221.29166666666</v>
      </c>
      <c r="G6" t="inlineStr">
        <is>
          <t>Medium</t>
        </is>
      </c>
      <c r="H6">
        <f>IF($A6="","",TEXT($F6,"MMM-YYYY"))</f>
        <v/>
      </c>
      <c r="I6" t="inlineStr">
        <is>
          <t>Cancelled</t>
        </is>
      </c>
      <c r="J6" s="17">
        <f>IF($A6="","",$F6+30)</f>
        <v/>
      </c>
      <c r="K6" t="inlineStr">
        <is>
          <t>Delta Co</t>
        </is>
      </c>
      <c r="L6">
        <f>IF(AND(L$3&gt;=$E6,L$3&lt;=$F6),1,"")</f>
        <v/>
      </c>
      <c r="M6">
        <f>IF(AND(M$3&gt;=$E6,M$3&lt;=$F6),1,"")</f>
        <v/>
      </c>
      <c r="N6">
        <f>IF(AND(N$3&gt;=$E6,N$3&lt;=$F6),1,"")</f>
        <v/>
      </c>
      <c r="O6">
        <f>IF(AND(O$3&gt;=$E6,O$3&lt;=$F6),1,"")</f>
        <v/>
      </c>
      <c r="P6">
        <f>IF(AND(P$3&gt;=$E6,P$3&lt;=$F6),1,"")</f>
        <v/>
      </c>
      <c r="Q6">
        <f>IF(AND(Q$3&gt;=$E6,Q$3&lt;=$F6),1,"")</f>
        <v/>
      </c>
      <c r="R6">
        <f>IF(AND(R$3&gt;=$E6,R$3&lt;=$F6),1,"")</f>
        <v/>
      </c>
      <c r="S6">
        <f>IF(AND(S$3&gt;=$E6,S$3&lt;=$F6),1,"")</f>
        <v/>
      </c>
      <c r="T6">
        <f>IF(AND(T$3&gt;=$E6,T$3&lt;=$F6),1,"")</f>
        <v/>
      </c>
      <c r="U6">
        <f>IF(AND(U$3&gt;=$E6,U$3&lt;=$F6),1,"")</f>
        <v/>
      </c>
      <c r="V6">
        <f>IF(AND(V$3&gt;=$E6,V$3&lt;=$F6),1,"")</f>
        <v/>
      </c>
      <c r="W6">
        <f>IF(AND(W$3&gt;=$E6,W$3&lt;=$F6),1,"")</f>
        <v/>
      </c>
      <c r="X6">
        <f>IF(AND(X$3&gt;=$E6,X$3&lt;=$F6),1,"")</f>
        <v/>
      </c>
      <c r="Y6">
        <f>IF(AND(Y$3&gt;=$E6,Y$3&lt;=$F6),1,"")</f>
        <v/>
      </c>
      <c r="Z6">
        <f>IF(AND(Z$3&gt;=$E6,Z$3&lt;=$F6),1,"")</f>
        <v/>
      </c>
      <c r="AA6">
        <f>IF(AND(AA$3&gt;=$E6,AA$3&lt;=$F6),1,"")</f>
        <v/>
      </c>
      <c r="AB6">
        <f>IF(AND(AB$3&gt;=$E6,AB$3&lt;=$F6),1,"")</f>
        <v/>
      </c>
      <c r="AC6">
        <f>IF(AND(AC$3&gt;=$E6,AC$3&lt;=$F6),1,"")</f>
        <v/>
      </c>
      <c r="AD6">
        <f>IF(AND(AD$3&gt;=$E6,AD$3&lt;=$F6),1,"")</f>
        <v/>
      </c>
      <c r="AE6">
        <f>IF(AND(AE$3&gt;=$E6,AE$3&lt;=$F6),1,"")</f>
        <v/>
      </c>
      <c r="AF6">
        <f>IF(AND(AF$3&gt;=$E6,AF$3&lt;=$F6),1,"")</f>
        <v/>
      </c>
      <c r="AG6">
        <f>IF(AND(AG$3&gt;=$E6,AG$3&lt;=$F6),1,"")</f>
        <v/>
      </c>
      <c r="AH6">
        <f>IF(AND(AH$3&gt;=$E6,AH$3&lt;=$F6),1,"")</f>
        <v/>
      </c>
      <c r="AI6">
        <f>IF(AND(AI$3&gt;=$E6,AI$3&lt;=$F6),1,"")</f>
        <v/>
      </c>
      <c r="AJ6">
        <f>IF(AND(AJ$3&gt;=$E6,AJ$3&lt;=$F6),1,"")</f>
        <v/>
      </c>
      <c r="AK6">
        <f>IF(AND(AK$3&gt;=$E6,AK$3&lt;=$F6),1,"")</f>
        <v/>
      </c>
      <c r="AL6">
        <f>IF(AND(AL$3&gt;=$E6,AL$3&lt;=$F6),1,"")</f>
        <v/>
      </c>
      <c r="AM6">
        <f>IF(AND(AM$3&gt;=$E6,AM$3&lt;=$F6),1,"")</f>
        <v/>
      </c>
      <c r="AN6">
        <f>IF(AND(AN$3&gt;=$E6,AN$3&lt;=$F6),1,"")</f>
        <v/>
      </c>
      <c r="AO6">
        <f>IF(AND(AO$3&gt;=$E6,AO$3&lt;=$F6),1,"")</f>
        <v/>
      </c>
      <c r="AP6">
        <f>IF(AND(AP$3&gt;=$E6,AP$3&lt;=$F6),1,"")</f>
        <v/>
      </c>
      <c r="AQ6">
        <f>IF(AND(AQ$3&gt;=$E6,AQ$3&lt;=$F6),1,"")</f>
        <v/>
      </c>
      <c r="AR6">
        <f>IF(AND(AR$3&gt;=$E6,AR$3&lt;=$F6),1,"")</f>
        <v/>
      </c>
      <c r="AS6">
        <f>IF(AND(AS$3&gt;=$E6,AS$3&lt;=$F6),1,"")</f>
        <v/>
      </c>
      <c r="AT6">
        <f>IF(AND(AT$3&gt;=$E6,AT$3&lt;=$F6),1,"")</f>
        <v/>
      </c>
      <c r="AU6">
        <f>IF(AND(AU$3&gt;=$E6,AU$3&lt;=$F6),1,"")</f>
        <v/>
      </c>
      <c r="AV6">
        <f>IF(AND(AV$3&gt;=$E6,AV$3&lt;=$F6),1,"")</f>
        <v/>
      </c>
      <c r="AW6">
        <f>IF(AND(AW$3&gt;=$E6,AW$3&lt;=$F6),1,"")</f>
        <v/>
      </c>
      <c r="AX6">
        <f>IF(AND(AX$3&gt;=$E6,AX$3&lt;=$F6),1,"")</f>
        <v/>
      </c>
      <c r="AY6">
        <f>IF(AND(AY$3&gt;=$E6,AY$3&lt;=$F6),1,"")</f>
        <v/>
      </c>
      <c r="AZ6">
        <f>IF(AND(AZ$3&gt;=$E6,AZ$3&lt;=$F6),1,"")</f>
        <v/>
      </c>
      <c r="BA6">
        <f>IF(AND(BA$3&gt;=$E6,BA$3&lt;=$F6),1,"")</f>
        <v/>
      </c>
      <c r="BB6">
        <f>IF(AND(BB$3&gt;=$E6,BB$3&lt;=$F6),1,"")</f>
        <v/>
      </c>
      <c r="BC6">
        <f>IF(AND(BC$3&gt;=$E6,BC$3&lt;=$F6),1,"")</f>
        <v/>
      </c>
      <c r="BD6">
        <f>IF(AND(BD$3&gt;=$E6,BD$3&lt;=$F6),1,"")</f>
        <v/>
      </c>
      <c r="BE6">
        <f>IF(AND(BE$3&gt;=$E6,BE$3&lt;=$F6),1,"")</f>
        <v/>
      </c>
      <c r="BF6">
        <f>IF(AND(BF$3&gt;=$E6,BF$3&lt;=$F6),1,"")</f>
        <v/>
      </c>
      <c r="BG6">
        <f>IF(AND(BG$3&gt;=$E6,BG$3&lt;=$F6),1,"")</f>
        <v/>
      </c>
      <c r="BH6">
        <f>IF(AND(BH$3&gt;=$E6,BH$3&lt;=$F6),1,"")</f>
        <v/>
      </c>
      <c r="BI6">
        <f>IF(AND(BI$3&gt;=$E6,BI$3&lt;=$F6),1,"")</f>
        <v/>
      </c>
      <c r="BJ6">
        <f>IF(AND(BJ$3&gt;=$E6,BJ$3&lt;=$F6),1,"")</f>
        <v/>
      </c>
      <c r="BK6">
        <f>IF(AND(BK$3&gt;=$E6,BK$3&lt;=$F6),1,"")</f>
        <v/>
      </c>
      <c r="BL6">
        <f>IF(AND(BL$3&gt;=$E6,BL$3&lt;=$F6),1,"")</f>
        <v/>
      </c>
      <c r="BM6">
        <f>IF(AND(BM$3&gt;=$E6,BM$3&lt;=$F6),1,"")</f>
        <v/>
      </c>
      <c r="BN6">
        <f>IF(AND(BN$3&gt;=$E6,BN$3&lt;=$F6),1,"")</f>
        <v/>
      </c>
      <c r="BO6">
        <f>IF(AND(BO$3&gt;=$E6,BO$3&lt;=$F6),1,"")</f>
        <v/>
      </c>
      <c r="BP6">
        <f>IF(AND(BP$3&gt;=$E6,BP$3&lt;=$F6),1,"")</f>
        <v/>
      </c>
      <c r="BQ6">
        <f>IF(AND(BQ$3&gt;=$E6,BQ$3&lt;=$F6),1,"")</f>
        <v/>
      </c>
      <c r="BR6">
        <f>IF(AND(BR$3&gt;=$E6,BR$3&lt;=$F6),1,"")</f>
        <v/>
      </c>
    </row>
    <row r="7">
      <c r="A7" t="inlineStr">
        <is>
          <t>RJ-104</t>
        </is>
      </c>
      <c r="B7" t="n">
        <v>42</v>
      </c>
      <c r="C7" t="inlineStr">
        <is>
          <t>BPR</t>
        </is>
      </c>
      <c r="D7">
        <f>IF($A7="","",IFERROR(CHOOSE(MATCH($C7,Settings!$L$4:$L$10,0),OPR_BR1!$B$2,OPR_BR2!$B$2,OPR_CR2!$B$2,OPR_CR3!$B$2,OPR_CR4!$B$2,OPR_RIM!$B$2,OPR_BPR!$B$2),1))</f>
        <v/>
      </c>
      <c r="E7" s="16" t="n">
        <v>46118.29166666666</v>
      </c>
      <c r="F7" s="16" t="n">
        <v>46161.29166666666</v>
      </c>
      <c r="G7" t="inlineStr">
        <is>
          <t>Low</t>
        </is>
      </c>
      <c r="H7">
        <f>IF($A7="","",TEXT($F7,"MMM-YYYY"))</f>
        <v/>
      </c>
      <c r="I7" t="inlineStr">
        <is>
          <t>Released</t>
        </is>
      </c>
      <c r="J7" s="17">
        <f>IF($A7="","",$F7+30)</f>
        <v/>
      </c>
      <c r="K7" t="inlineStr">
        <is>
          <t>Gamma Inc</t>
        </is>
      </c>
      <c r="L7">
        <f>IF(AND(L$3&gt;=$E7,L$3&lt;=$F7),1,"")</f>
        <v/>
      </c>
      <c r="M7">
        <f>IF(AND(M$3&gt;=$E7,M$3&lt;=$F7),1,"")</f>
        <v/>
      </c>
      <c r="N7">
        <f>IF(AND(N$3&gt;=$E7,N$3&lt;=$F7),1,"")</f>
        <v/>
      </c>
      <c r="O7">
        <f>IF(AND(O$3&gt;=$E7,O$3&lt;=$F7),1,"")</f>
        <v/>
      </c>
      <c r="P7">
        <f>IF(AND(P$3&gt;=$E7,P$3&lt;=$F7),1,"")</f>
        <v/>
      </c>
      <c r="Q7">
        <f>IF(AND(Q$3&gt;=$E7,Q$3&lt;=$F7),1,"")</f>
        <v/>
      </c>
      <c r="R7">
        <f>IF(AND(R$3&gt;=$E7,R$3&lt;=$F7),1,"")</f>
        <v/>
      </c>
      <c r="S7">
        <f>IF(AND(S$3&gt;=$E7,S$3&lt;=$F7),1,"")</f>
        <v/>
      </c>
      <c r="T7">
        <f>IF(AND(T$3&gt;=$E7,T$3&lt;=$F7),1,"")</f>
        <v/>
      </c>
      <c r="U7">
        <f>IF(AND(U$3&gt;=$E7,U$3&lt;=$F7),1,"")</f>
        <v/>
      </c>
      <c r="V7">
        <f>IF(AND(V$3&gt;=$E7,V$3&lt;=$F7),1,"")</f>
        <v/>
      </c>
      <c r="W7">
        <f>IF(AND(W$3&gt;=$E7,W$3&lt;=$F7),1,"")</f>
        <v/>
      </c>
      <c r="X7">
        <f>IF(AND(X$3&gt;=$E7,X$3&lt;=$F7),1,"")</f>
        <v/>
      </c>
      <c r="Y7">
        <f>IF(AND(Y$3&gt;=$E7,Y$3&lt;=$F7),1,"")</f>
        <v/>
      </c>
      <c r="Z7">
        <f>IF(AND(Z$3&gt;=$E7,Z$3&lt;=$F7),1,"")</f>
        <v/>
      </c>
      <c r="AA7">
        <f>IF(AND(AA$3&gt;=$E7,AA$3&lt;=$F7),1,"")</f>
        <v/>
      </c>
      <c r="AB7">
        <f>IF(AND(AB$3&gt;=$E7,AB$3&lt;=$F7),1,"")</f>
        <v/>
      </c>
      <c r="AC7">
        <f>IF(AND(AC$3&gt;=$E7,AC$3&lt;=$F7),1,"")</f>
        <v/>
      </c>
      <c r="AD7">
        <f>IF(AND(AD$3&gt;=$E7,AD$3&lt;=$F7),1,"")</f>
        <v/>
      </c>
      <c r="AE7">
        <f>IF(AND(AE$3&gt;=$E7,AE$3&lt;=$F7),1,"")</f>
        <v/>
      </c>
      <c r="AF7">
        <f>IF(AND(AF$3&gt;=$E7,AF$3&lt;=$F7),1,"")</f>
        <v/>
      </c>
      <c r="AG7">
        <f>IF(AND(AG$3&gt;=$E7,AG$3&lt;=$F7),1,"")</f>
        <v/>
      </c>
      <c r="AH7">
        <f>IF(AND(AH$3&gt;=$E7,AH$3&lt;=$F7),1,"")</f>
        <v/>
      </c>
      <c r="AI7">
        <f>IF(AND(AI$3&gt;=$E7,AI$3&lt;=$F7),1,"")</f>
        <v/>
      </c>
      <c r="AJ7">
        <f>IF(AND(AJ$3&gt;=$E7,AJ$3&lt;=$F7),1,"")</f>
        <v/>
      </c>
      <c r="AK7">
        <f>IF(AND(AK$3&gt;=$E7,AK$3&lt;=$F7),1,"")</f>
        <v/>
      </c>
      <c r="AL7">
        <f>IF(AND(AL$3&gt;=$E7,AL$3&lt;=$F7),1,"")</f>
        <v/>
      </c>
      <c r="AM7">
        <f>IF(AND(AM$3&gt;=$E7,AM$3&lt;=$F7),1,"")</f>
        <v/>
      </c>
      <c r="AN7">
        <f>IF(AND(AN$3&gt;=$E7,AN$3&lt;=$F7),1,"")</f>
        <v/>
      </c>
      <c r="AO7">
        <f>IF(AND(AO$3&gt;=$E7,AO$3&lt;=$F7),1,"")</f>
        <v/>
      </c>
      <c r="AP7">
        <f>IF(AND(AP$3&gt;=$E7,AP$3&lt;=$F7),1,"")</f>
        <v/>
      </c>
      <c r="AQ7">
        <f>IF(AND(AQ$3&gt;=$E7,AQ$3&lt;=$F7),1,"")</f>
        <v/>
      </c>
      <c r="AR7">
        <f>IF(AND(AR$3&gt;=$E7,AR$3&lt;=$F7),1,"")</f>
        <v/>
      </c>
      <c r="AS7">
        <f>IF(AND(AS$3&gt;=$E7,AS$3&lt;=$F7),1,"")</f>
        <v/>
      </c>
      <c r="AT7">
        <f>IF(AND(AT$3&gt;=$E7,AT$3&lt;=$F7),1,"")</f>
        <v/>
      </c>
      <c r="AU7">
        <f>IF(AND(AU$3&gt;=$E7,AU$3&lt;=$F7),1,"")</f>
        <v/>
      </c>
      <c r="AV7">
        <f>IF(AND(AV$3&gt;=$E7,AV$3&lt;=$F7),1,"")</f>
        <v/>
      </c>
      <c r="AW7">
        <f>IF(AND(AW$3&gt;=$E7,AW$3&lt;=$F7),1,"")</f>
        <v/>
      </c>
      <c r="AX7">
        <f>IF(AND(AX$3&gt;=$E7,AX$3&lt;=$F7),1,"")</f>
        <v/>
      </c>
      <c r="AY7">
        <f>IF(AND(AY$3&gt;=$E7,AY$3&lt;=$F7),1,"")</f>
        <v/>
      </c>
      <c r="AZ7">
        <f>IF(AND(AZ$3&gt;=$E7,AZ$3&lt;=$F7),1,"")</f>
        <v/>
      </c>
      <c r="BA7">
        <f>IF(AND(BA$3&gt;=$E7,BA$3&lt;=$F7),1,"")</f>
        <v/>
      </c>
      <c r="BB7">
        <f>IF(AND(BB$3&gt;=$E7,BB$3&lt;=$F7),1,"")</f>
        <v/>
      </c>
      <c r="BC7">
        <f>IF(AND(BC$3&gt;=$E7,BC$3&lt;=$F7),1,"")</f>
        <v/>
      </c>
      <c r="BD7">
        <f>IF(AND(BD$3&gt;=$E7,BD$3&lt;=$F7),1,"")</f>
        <v/>
      </c>
      <c r="BE7">
        <f>IF(AND(BE$3&gt;=$E7,BE$3&lt;=$F7),1,"")</f>
        <v/>
      </c>
      <c r="BF7">
        <f>IF(AND(BF$3&gt;=$E7,BF$3&lt;=$F7),1,"")</f>
        <v/>
      </c>
      <c r="BG7">
        <f>IF(AND(BG$3&gt;=$E7,BG$3&lt;=$F7),1,"")</f>
        <v/>
      </c>
      <c r="BH7">
        <f>IF(AND(BH$3&gt;=$E7,BH$3&lt;=$F7),1,"")</f>
        <v/>
      </c>
      <c r="BI7">
        <f>IF(AND(BI$3&gt;=$E7,BI$3&lt;=$F7),1,"")</f>
        <v/>
      </c>
      <c r="BJ7">
        <f>IF(AND(BJ$3&gt;=$E7,BJ$3&lt;=$F7),1,"")</f>
        <v/>
      </c>
      <c r="BK7">
        <f>IF(AND(BK$3&gt;=$E7,BK$3&lt;=$F7),1,"")</f>
        <v/>
      </c>
      <c r="BL7">
        <f>IF(AND(BL$3&gt;=$E7,BL$3&lt;=$F7),1,"")</f>
        <v/>
      </c>
      <c r="BM7">
        <f>IF(AND(BM$3&gt;=$E7,BM$3&lt;=$F7),1,"")</f>
        <v/>
      </c>
      <c r="BN7">
        <f>IF(AND(BN$3&gt;=$E7,BN$3&lt;=$F7),1,"")</f>
        <v/>
      </c>
      <c r="BO7">
        <f>IF(AND(BO$3&gt;=$E7,BO$3&lt;=$F7),1,"")</f>
        <v/>
      </c>
      <c r="BP7">
        <f>IF(AND(BP$3&gt;=$E7,BP$3&lt;=$F7),1,"")</f>
        <v/>
      </c>
      <c r="BQ7">
        <f>IF(AND(BQ$3&gt;=$E7,BQ$3&lt;=$F7),1,"")</f>
        <v/>
      </c>
      <c r="BR7">
        <f>IF(AND(BR$3&gt;=$E7,BR$3&lt;=$F7),1,"")</f>
        <v/>
      </c>
    </row>
    <row r="8">
      <c r="A8" t="inlineStr">
        <is>
          <t>RJ-105</t>
        </is>
      </c>
      <c r="B8" t="n">
        <v>42</v>
      </c>
      <c r="C8" t="inlineStr">
        <is>
          <t>RIM</t>
        </is>
      </c>
      <c r="D8">
        <f>IF($A8="","",IFERROR(CHOOSE(MATCH($C8,Settings!$L$4:$L$10,0),OPR_BR1!$B$2,OPR_BR2!$B$2,OPR_CR2!$B$2,OPR_CR3!$B$2,OPR_CR4!$B$2,OPR_RIM!$B$2,OPR_BPR!$B$2),1))</f>
        <v/>
      </c>
      <c r="E8" s="16" t="n">
        <v>46220.29166666666</v>
      </c>
      <c r="F8" s="16" t="n">
        <v>46262.29166666666</v>
      </c>
      <c r="G8" t="inlineStr">
        <is>
          <t>High</t>
        </is>
      </c>
      <c r="H8">
        <f>IF($A8="","",TEXT($F8,"MMM-YYYY"))</f>
        <v/>
      </c>
      <c r="I8" t="inlineStr">
        <is>
          <t>Cancelled</t>
        </is>
      </c>
      <c r="J8" s="17">
        <f>IF($A8="","",$F8+30)</f>
        <v/>
      </c>
      <c r="K8" t="inlineStr">
        <is>
          <t>Delta Co</t>
        </is>
      </c>
      <c r="L8">
        <f>IF(AND(L$3&gt;=$E8,L$3&lt;=$F8),1,"")</f>
        <v/>
      </c>
      <c r="M8">
        <f>IF(AND(M$3&gt;=$E8,M$3&lt;=$F8),1,"")</f>
        <v/>
      </c>
      <c r="N8">
        <f>IF(AND(N$3&gt;=$E8,N$3&lt;=$F8),1,"")</f>
        <v/>
      </c>
      <c r="O8">
        <f>IF(AND(O$3&gt;=$E8,O$3&lt;=$F8),1,"")</f>
        <v/>
      </c>
      <c r="P8">
        <f>IF(AND(P$3&gt;=$E8,P$3&lt;=$F8),1,"")</f>
        <v/>
      </c>
      <c r="Q8">
        <f>IF(AND(Q$3&gt;=$E8,Q$3&lt;=$F8),1,"")</f>
        <v/>
      </c>
      <c r="R8">
        <f>IF(AND(R$3&gt;=$E8,R$3&lt;=$F8),1,"")</f>
        <v/>
      </c>
      <c r="S8">
        <f>IF(AND(S$3&gt;=$E8,S$3&lt;=$F8),1,"")</f>
        <v/>
      </c>
      <c r="T8">
        <f>IF(AND(T$3&gt;=$E8,T$3&lt;=$F8),1,"")</f>
        <v/>
      </c>
      <c r="U8">
        <f>IF(AND(U$3&gt;=$E8,U$3&lt;=$F8),1,"")</f>
        <v/>
      </c>
      <c r="V8">
        <f>IF(AND(V$3&gt;=$E8,V$3&lt;=$F8),1,"")</f>
        <v/>
      </c>
      <c r="W8">
        <f>IF(AND(W$3&gt;=$E8,W$3&lt;=$F8),1,"")</f>
        <v/>
      </c>
      <c r="X8">
        <f>IF(AND(X$3&gt;=$E8,X$3&lt;=$F8),1,"")</f>
        <v/>
      </c>
      <c r="Y8">
        <f>IF(AND(Y$3&gt;=$E8,Y$3&lt;=$F8),1,"")</f>
        <v/>
      </c>
      <c r="Z8">
        <f>IF(AND(Z$3&gt;=$E8,Z$3&lt;=$F8),1,"")</f>
        <v/>
      </c>
      <c r="AA8">
        <f>IF(AND(AA$3&gt;=$E8,AA$3&lt;=$F8),1,"")</f>
        <v/>
      </c>
      <c r="AB8">
        <f>IF(AND(AB$3&gt;=$E8,AB$3&lt;=$F8),1,"")</f>
        <v/>
      </c>
      <c r="AC8">
        <f>IF(AND(AC$3&gt;=$E8,AC$3&lt;=$F8),1,"")</f>
        <v/>
      </c>
      <c r="AD8">
        <f>IF(AND(AD$3&gt;=$E8,AD$3&lt;=$F8),1,"")</f>
        <v/>
      </c>
      <c r="AE8">
        <f>IF(AND(AE$3&gt;=$E8,AE$3&lt;=$F8),1,"")</f>
        <v/>
      </c>
      <c r="AF8">
        <f>IF(AND(AF$3&gt;=$E8,AF$3&lt;=$F8),1,"")</f>
        <v/>
      </c>
      <c r="AG8">
        <f>IF(AND(AG$3&gt;=$E8,AG$3&lt;=$F8),1,"")</f>
        <v/>
      </c>
      <c r="AH8">
        <f>IF(AND(AH$3&gt;=$E8,AH$3&lt;=$F8),1,"")</f>
        <v/>
      </c>
      <c r="AI8">
        <f>IF(AND(AI$3&gt;=$E8,AI$3&lt;=$F8),1,"")</f>
        <v/>
      </c>
      <c r="AJ8">
        <f>IF(AND(AJ$3&gt;=$E8,AJ$3&lt;=$F8),1,"")</f>
        <v/>
      </c>
      <c r="AK8">
        <f>IF(AND(AK$3&gt;=$E8,AK$3&lt;=$F8),1,"")</f>
        <v/>
      </c>
      <c r="AL8">
        <f>IF(AND(AL$3&gt;=$E8,AL$3&lt;=$F8),1,"")</f>
        <v/>
      </c>
      <c r="AM8">
        <f>IF(AND(AM$3&gt;=$E8,AM$3&lt;=$F8),1,"")</f>
        <v/>
      </c>
      <c r="AN8">
        <f>IF(AND(AN$3&gt;=$E8,AN$3&lt;=$F8),1,"")</f>
        <v/>
      </c>
      <c r="AO8">
        <f>IF(AND(AO$3&gt;=$E8,AO$3&lt;=$F8),1,"")</f>
        <v/>
      </c>
      <c r="AP8">
        <f>IF(AND(AP$3&gt;=$E8,AP$3&lt;=$F8),1,"")</f>
        <v/>
      </c>
      <c r="AQ8">
        <f>IF(AND(AQ$3&gt;=$E8,AQ$3&lt;=$F8),1,"")</f>
        <v/>
      </c>
      <c r="AR8">
        <f>IF(AND(AR$3&gt;=$E8,AR$3&lt;=$F8),1,"")</f>
        <v/>
      </c>
      <c r="AS8">
        <f>IF(AND(AS$3&gt;=$E8,AS$3&lt;=$F8),1,"")</f>
        <v/>
      </c>
      <c r="AT8">
        <f>IF(AND(AT$3&gt;=$E8,AT$3&lt;=$F8),1,"")</f>
        <v/>
      </c>
      <c r="AU8">
        <f>IF(AND(AU$3&gt;=$E8,AU$3&lt;=$F8),1,"")</f>
        <v/>
      </c>
      <c r="AV8">
        <f>IF(AND(AV$3&gt;=$E8,AV$3&lt;=$F8),1,"")</f>
        <v/>
      </c>
      <c r="AW8">
        <f>IF(AND(AW$3&gt;=$E8,AW$3&lt;=$F8),1,"")</f>
        <v/>
      </c>
      <c r="AX8">
        <f>IF(AND(AX$3&gt;=$E8,AX$3&lt;=$F8),1,"")</f>
        <v/>
      </c>
      <c r="AY8">
        <f>IF(AND(AY$3&gt;=$E8,AY$3&lt;=$F8),1,"")</f>
        <v/>
      </c>
      <c r="AZ8">
        <f>IF(AND(AZ$3&gt;=$E8,AZ$3&lt;=$F8),1,"")</f>
        <v/>
      </c>
      <c r="BA8">
        <f>IF(AND(BA$3&gt;=$E8,BA$3&lt;=$F8),1,"")</f>
        <v/>
      </c>
      <c r="BB8">
        <f>IF(AND(BB$3&gt;=$E8,BB$3&lt;=$F8),1,"")</f>
        <v/>
      </c>
      <c r="BC8">
        <f>IF(AND(BC$3&gt;=$E8,BC$3&lt;=$F8),1,"")</f>
        <v/>
      </c>
      <c r="BD8">
        <f>IF(AND(BD$3&gt;=$E8,BD$3&lt;=$F8),1,"")</f>
        <v/>
      </c>
      <c r="BE8">
        <f>IF(AND(BE$3&gt;=$E8,BE$3&lt;=$F8),1,"")</f>
        <v/>
      </c>
      <c r="BF8">
        <f>IF(AND(BF$3&gt;=$E8,BF$3&lt;=$F8),1,"")</f>
        <v/>
      </c>
      <c r="BG8">
        <f>IF(AND(BG$3&gt;=$E8,BG$3&lt;=$F8),1,"")</f>
        <v/>
      </c>
      <c r="BH8">
        <f>IF(AND(BH$3&gt;=$E8,BH$3&lt;=$F8),1,"")</f>
        <v/>
      </c>
      <c r="BI8">
        <f>IF(AND(BI$3&gt;=$E8,BI$3&lt;=$F8),1,"")</f>
        <v/>
      </c>
      <c r="BJ8">
        <f>IF(AND(BJ$3&gt;=$E8,BJ$3&lt;=$F8),1,"")</f>
        <v/>
      </c>
      <c r="BK8">
        <f>IF(AND(BK$3&gt;=$E8,BK$3&lt;=$F8),1,"")</f>
        <v/>
      </c>
      <c r="BL8">
        <f>IF(AND(BL$3&gt;=$E8,BL$3&lt;=$F8),1,"")</f>
        <v/>
      </c>
      <c r="BM8">
        <f>IF(AND(BM$3&gt;=$E8,BM$3&lt;=$F8),1,"")</f>
        <v/>
      </c>
      <c r="BN8">
        <f>IF(AND(BN$3&gt;=$E8,BN$3&lt;=$F8),1,"")</f>
        <v/>
      </c>
      <c r="BO8">
        <f>IF(AND(BO$3&gt;=$E8,BO$3&lt;=$F8),1,"")</f>
        <v/>
      </c>
      <c r="BP8">
        <f>IF(AND(BP$3&gt;=$E8,BP$3&lt;=$F8),1,"")</f>
        <v/>
      </c>
      <c r="BQ8">
        <f>IF(AND(BQ$3&gt;=$E8,BQ$3&lt;=$F8),1,"")</f>
        <v/>
      </c>
      <c r="BR8">
        <f>IF(AND(BR$3&gt;=$E8,BR$3&lt;=$F8),1,"")</f>
        <v/>
      </c>
    </row>
    <row r="9">
      <c r="A9" t="inlineStr">
        <is>
          <t>RJ-106</t>
        </is>
      </c>
      <c r="B9" t="n">
        <v>9</v>
      </c>
      <c r="C9" t="inlineStr">
        <is>
          <t>CR3</t>
        </is>
      </c>
      <c r="D9">
        <f>IF($A9="","",IFERROR(CHOOSE(MATCH($C9,Settings!$L$4:$L$10,0),OPR_BR1!$B$2,OPR_BR2!$B$2,OPR_CR2!$B$2,OPR_CR3!$B$2,OPR_CR4!$B$2,OPR_RIM!$B$2,OPR_BPR!$B$2),1))</f>
        <v/>
      </c>
      <c r="E9" s="16" t="n">
        <v>46195.29166666666</v>
      </c>
      <c r="F9" s="16" t="n">
        <v>46263.29166666666</v>
      </c>
      <c r="G9" t="inlineStr">
        <is>
          <t>High</t>
        </is>
      </c>
      <c r="H9">
        <f>IF($A9="","",TEXT($F9,"MMM-YYYY"))</f>
        <v/>
      </c>
      <c r="I9" t="inlineStr">
        <is>
          <t>Released</t>
        </is>
      </c>
      <c r="J9" s="17">
        <f>IF($A9="","",$F9+30)</f>
        <v/>
      </c>
      <c r="K9" t="inlineStr">
        <is>
          <t>Sigma Mfg</t>
        </is>
      </c>
      <c r="L9">
        <f>IF(AND(L$3&gt;=$E9,L$3&lt;=$F9),1,"")</f>
        <v/>
      </c>
      <c r="M9">
        <f>IF(AND(M$3&gt;=$E9,M$3&lt;=$F9),1,"")</f>
        <v/>
      </c>
      <c r="N9">
        <f>IF(AND(N$3&gt;=$E9,N$3&lt;=$F9),1,"")</f>
        <v/>
      </c>
      <c r="O9">
        <f>IF(AND(O$3&gt;=$E9,O$3&lt;=$F9),1,"")</f>
        <v/>
      </c>
      <c r="P9">
        <f>IF(AND(P$3&gt;=$E9,P$3&lt;=$F9),1,"")</f>
        <v/>
      </c>
      <c r="Q9">
        <f>IF(AND(Q$3&gt;=$E9,Q$3&lt;=$F9),1,"")</f>
        <v/>
      </c>
      <c r="R9">
        <f>IF(AND(R$3&gt;=$E9,R$3&lt;=$F9),1,"")</f>
        <v/>
      </c>
      <c r="S9">
        <f>IF(AND(S$3&gt;=$E9,S$3&lt;=$F9),1,"")</f>
        <v/>
      </c>
      <c r="T9">
        <f>IF(AND(T$3&gt;=$E9,T$3&lt;=$F9),1,"")</f>
        <v/>
      </c>
      <c r="U9">
        <f>IF(AND(U$3&gt;=$E9,U$3&lt;=$F9),1,"")</f>
        <v/>
      </c>
      <c r="V9">
        <f>IF(AND(V$3&gt;=$E9,V$3&lt;=$F9),1,"")</f>
        <v/>
      </c>
      <c r="W9">
        <f>IF(AND(W$3&gt;=$E9,W$3&lt;=$F9),1,"")</f>
        <v/>
      </c>
      <c r="X9">
        <f>IF(AND(X$3&gt;=$E9,X$3&lt;=$F9),1,"")</f>
        <v/>
      </c>
      <c r="Y9">
        <f>IF(AND(Y$3&gt;=$E9,Y$3&lt;=$F9),1,"")</f>
        <v/>
      </c>
      <c r="Z9">
        <f>IF(AND(Z$3&gt;=$E9,Z$3&lt;=$F9),1,"")</f>
        <v/>
      </c>
      <c r="AA9">
        <f>IF(AND(AA$3&gt;=$E9,AA$3&lt;=$F9),1,"")</f>
        <v/>
      </c>
      <c r="AB9">
        <f>IF(AND(AB$3&gt;=$E9,AB$3&lt;=$F9),1,"")</f>
        <v/>
      </c>
      <c r="AC9">
        <f>IF(AND(AC$3&gt;=$E9,AC$3&lt;=$F9),1,"")</f>
        <v/>
      </c>
      <c r="AD9">
        <f>IF(AND(AD$3&gt;=$E9,AD$3&lt;=$F9),1,"")</f>
        <v/>
      </c>
      <c r="AE9">
        <f>IF(AND(AE$3&gt;=$E9,AE$3&lt;=$F9),1,"")</f>
        <v/>
      </c>
      <c r="AF9">
        <f>IF(AND(AF$3&gt;=$E9,AF$3&lt;=$F9),1,"")</f>
        <v/>
      </c>
      <c r="AG9">
        <f>IF(AND(AG$3&gt;=$E9,AG$3&lt;=$F9),1,"")</f>
        <v/>
      </c>
      <c r="AH9">
        <f>IF(AND(AH$3&gt;=$E9,AH$3&lt;=$F9),1,"")</f>
        <v/>
      </c>
      <c r="AI9">
        <f>IF(AND(AI$3&gt;=$E9,AI$3&lt;=$F9),1,"")</f>
        <v/>
      </c>
      <c r="AJ9">
        <f>IF(AND(AJ$3&gt;=$E9,AJ$3&lt;=$F9),1,"")</f>
        <v/>
      </c>
      <c r="AK9">
        <f>IF(AND(AK$3&gt;=$E9,AK$3&lt;=$F9),1,"")</f>
        <v/>
      </c>
      <c r="AL9">
        <f>IF(AND(AL$3&gt;=$E9,AL$3&lt;=$F9),1,"")</f>
        <v/>
      </c>
      <c r="AM9">
        <f>IF(AND(AM$3&gt;=$E9,AM$3&lt;=$F9),1,"")</f>
        <v/>
      </c>
      <c r="AN9">
        <f>IF(AND(AN$3&gt;=$E9,AN$3&lt;=$F9),1,"")</f>
        <v/>
      </c>
      <c r="AO9">
        <f>IF(AND(AO$3&gt;=$E9,AO$3&lt;=$F9),1,"")</f>
        <v/>
      </c>
      <c r="AP9">
        <f>IF(AND(AP$3&gt;=$E9,AP$3&lt;=$F9),1,"")</f>
        <v/>
      </c>
      <c r="AQ9">
        <f>IF(AND(AQ$3&gt;=$E9,AQ$3&lt;=$F9),1,"")</f>
        <v/>
      </c>
      <c r="AR9">
        <f>IF(AND(AR$3&gt;=$E9,AR$3&lt;=$F9),1,"")</f>
        <v/>
      </c>
      <c r="AS9">
        <f>IF(AND(AS$3&gt;=$E9,AS$3&lt;=$F9),1,"")</f>
        <v/>
      </c>
      <c r="AT9">
        <f>IF(AND(AT$3&gt;=$E9,AT$3&lt;=$F9),1,"")</f>
        <v/>
      </c>
      <c r="AU9">
        <f>IF(AND(AU$3&gt;=$E9,AU$3&lt;=$F9),1,"")</f>
        <v/>
      </c>
      <c r="AV9">
        <f>IF(AND(AV$3&gt;=$E9,AV$3&lt;=$F9),1,"")</f>
        <v/>
      </c>
      <c r="AW9">
        <f>IF(AND(AW$3&gt;=$E9,AW$3&lt;=$F9),1,"")</f>
        <v/>
      </c>
      <c r="AX9">
        <f>IF(AND(AX$3&gt;=$E9,AX$3&lt;=$F9),1,"")</f>
        <v/>
      </c>
      <c r="AY9">
        <f>IF(AND(AY$3&gt;=$E9,AY$3&lt;=$F9),1,"")</f>
        <v/>
      </c>
      <c r="AZ9">
        <f>IF(AND(AZ$3&gt;=$E9,AZ$3&lt;=$F9),1,"")</f>
        <v/>
      </c>
      <c r="BA9">
        <f>IF(AND(BA$3&gt;=$E9,BA$3&lt;=$F9),1,"")</f>
        <v/>
      </c>
      <c r="BB9">
        <f>IF(AND(BB$3&gt;=$E9,BB$3&lt;=$F9),1,"")</f>
        <v/>
      </c>
      <c r="BC9">
        <f>IF(AND(BC$3&gt;=$E9,BC$3&lt;=$F9),1,"")</f>
        <v/>
      </c>
      <c r="BD9">
        <f>IF(AND(BD$3&gt;=$E9,BD$3&lt;=$F9),1,"")</f>
        <v/>
      </c>
      <c r="BE9">
        <f>IF(AND(BE$3&gt;=$E9,BE$3&lt;=$F9),1,"")</f>
        <v/>
      </c>
      <c r="BF9">
        <f>IF(AND(BF$3&gt;=$E9,BF$3&lt;=$F9),1,"")</f>
        <v/>
      </c>
      <c r="BG9">
        <f>IF(AND(BG$3&gt;=$E9,BG$3&lt;=$F9),1,"")</f>
        <v/>
      </c>
      <c r="BH9">
        <f>IF(AND(BH$3&gt;=$E9,BH$3&lt;=$F9),1,"")</f>
        <v/>
      </c>
      <c r="BI9">
        <f>IF(AND(BI$3&gt;=$E9,BI$3&lt;=$F9),1,"")</f>
        <v/>
      </c>
      <c r="BJ9">
        <f>IF(AND(BJ$3&gt;=$E9,BJ$3&lt;=$F9),1,"")</f>
        <v/>
      </c>
      <c r="BK9">
        <f>IF(AND(BK$3&gt;=$E9,BK$3&lt;=$F9),1,"")</f>
        <v/>
      </c>
      <c r="BL9">
        <f>IF(AND(BL$3&gt;=$E9,BL$3&lt;=$F9),1,"")</f>
        <v/>
      </c>
      <c r="BM9">
        <f>IF(AND(BM$3&gt;=$E9,BM$3&lt;=$F9),1,"")</f>
        <v/>
      </c>
      <c r="BN9">
        <f>IF(AND(BN$3&gt;=$E9,BN$3&lt;=$F9),1,"")</f>
        <v/>
      </c>
      <c r="BO9">
        <f>IF(AND(BO$3&gt;=$E9,BO$3&lt;=$F9),1,"")</f>
        <v/>
      </c>
      <c r="BP9">
        <f>IF(AND(BP$3&gt;=$E9,BP$3&lt;=$F9),1,"")</f>
        <v/>
      </c>
      <c r="BQ9">
        <f>IF(AND(BQ$3&gt;=$E9,BQ$3&lt;=$F9),1,"")</f>
        <v/>
      </c>
      <c r="BR9">
        <f>IF(AND(BR$3&gt;=$E9,BR$3&lt;=$F9),1,"")</f>
        <v/>
      </c>
    </row>
    <row r="10">
      <c r="A10" t="inlineStr">
        <is>
          <t>RJ-107</t>
        </is>
      </c>
      <c r="B10" t="n">
        <v>20</v>
      </c>
      <c r="C10" t="inlineStr">
        <is>
          <t>BR2</t>
        </is>
      </c>
      <c r="D10">
        <f>IF($A10="","",IFERROR(CHOOSE(MATCH($C10,Settings!$L$4:$L$10,0),OPR_BR1!$B$2,OPR_BR2!$B$2,OPR_CR2!$B$2,OPR_CR3!$B$2,OPR_CR4!$B$2,OPR_RIM!$B$2,OPR_BPR!$B$2),1))</f>
        <v/>
      </c>
      <c r="E10" s="16" t="n">
        <v>46152.29166666666</v>
      </c>
      <c r="F10" s="16" t="n">
        <v>46208.29166666666</v>
      </c>
      <c r="G10" t="inlineStr">
        <is>
          <t>High</t>
        </is>
      </c>
      <c r="H10">
        <f>IF($A10="","",TEXT($F10,"MMM-YYYY"))</f>
        <v/>
      </c>
      <c r="I10" t="inlineStr">
        <is>
          <t>On Hold</t>
        </is>
      </c>
      <c r="J10" s="17">
        <f>IF($A10="","",$F10+30)</f>
        <v/>
      </c>
      <c r="K10" t="inlineStr">
        <is>
          <t>Beta Ltd</t>
        </is>
      </c>
      <c r="L10">
        <f>IF(AND(L$3&gt;=$E10,L$3&lt;=$F10),1,"")</f>
        <v/>
      </c>
      <c r="M10">
        <f>IF(AND(M$3&gt;=$E10,M$3&lt;=$F10),1,"")</f>
        <v/>
      </c>
      <c r="N10">
        <f>IF(AND(N$3&gt;=$E10,N$3&lt;=$F10),1,"")</f>
        <v/>
      </c>
      <c r="O10">
        <f>IF(AND(O$3&gt;=$E10,O$3&lt;=$F10),1,"")</f>
        <v/>
      </c>
      <c r="P10">
        <f>IF(AND(P$3&gt;=$E10,P$3&lt;=$F10),1,"")</f>
        <v/>
      </c>
      <c r="Q10">
        <f>IF(AND(Q$3&gt;=$E10,Q$3&lt;=$F10),1,"")</f>
        <v/>
      </c>
      <c r="R10">
        <f>IF(AND(R$3&gt;=$E10,R$3&lt;=$F10),1,"")</f>
        <v/>
      </c>
      <c r="S10">
        <f>IF(AND(S$3&gt;=$E10,S$3&lt;=$F10),1,"")</f>
        <v/>
      </c>
      <c r="T10">
        <f>IF(AND(T$3&gt;=$E10,T$3&lt;=$F10),1,"")</f>
        <v/>
      </c>
      <c r="U10">
        <f>IF(AND(U$3&gt;=$E10,U$3&lt;=$F10),1,"")</f>
        <v/>
      </c>
      <c r="V10">
        <f>IF(AND(V$3&gt;=$E10,V$3&lt;=$F10),1,"")</f>
        <v/>
      </c>
      <c r="W10">
        <f>IF(AND(W$3&gt;=$E10,W$3&lt;=$F10),1,"")</f>
        <v/>
      </c>
      <c r="X10">
        <f>IF(AND(X$3&gt;=$E10,X$3&lt;=$F10),1,"")</f>
        <v/>
      </c>
      <c r="Y10">
        <f>IF(AND(Y$3&gt;=$E10,Y$3&lt;=$F10),1,"")</f>
        <v/>
      </c>
      <c r="Z10">
        <f>IF(AND(Z$3&gt;=$E10,Z$3&lt;=$F10),1,"")</f>
        <v/>
      </c>
      <c r="AA10">
        <f>IF(AND(AA$3&gt;=$E10,AA$3&lt;=$F10),1,"")</f>
        <v/>
      </c>
      <c r="AB10">
        <f>IF(AND(AB$3&gt;=$E10,AB$3&lt;=$F10),1,"")</f>
        <v/>
      </c>
      <c r="AC10">
        <f>IF(AND(AC$3&gt;=$E10,AC$3&lt;=$F10),1,"")</f>
        <v/>
      </c>
      <c r="AD10">
        <f>IF(AND(AD$3&gt;=$E10,AD$3&lt;=$F10),1,"")</f>
        <v/>
      </c>
      <c r="AE10">
        <f>IF(AND(AE$3&gt;=$E10,AE$3&lt;=$F10),1,"")</f>
        <v/>
      </c>
      <c r="AF10">
        <f>IF(AND(AF$3&gt;=$E10,AF$3&lt;=$F10),1,"")</f>
        <v/>
      </c>
      <c r="AG10">
        <f>IF(AND(AG$3&gt;=$E10,AG$3&lt;=$F10),1,"")</f>
        <v/>
      </c>
      <c r="AH10">
        <f>IF(AND(AH$3&gt;=$E10,AH$3&lt;=$F10),1,"")</f>
        <v/>
      </c>
      <c r="AI10">
        <f>IF(AND(AI$3&gt;=$E10,AI$3&lt;=$F10),1,"")</f>
        <v/>
      </c>
      <c r="AJ10">
        <f>IF(AND(AJ$3&gt;=$E10,AJ$3&lt;=$F10),1,"")</f>
        <v/>
      </c>
      <c r="AK10">
        <f>IF(AND(AK$3&gt;=$E10,AK$3&lt;=$F10),1,"")</f>
        <v/>
      </c>
      <c r="AL10">
        <f>IF(AND(AL$3&gt;=$E10,AL$3&lt;=$F10),1,"")</f>
        <v/>
      </c>
      <c r="AM10">
        <f>IF(AND(AM$3&gt;=$E10,AM$3&lt;=$F10),1,"")</f>
        <v/>
      </c>
      <c r="AN10">
        <f>IF(AND(AN$3&gt;=$E10,AN$3&lt;=$F10),1,"")</f>
        <v/>
      </c>
      <c r="AO10">
        <f>IF(AND(AO$3&gt;=$E10,AO$3&lt;=$F10),1,"")</f>
        <v/>
      </c>
      <c r="AP10">
        <f>IF(AND(AP$3&gt;=$E10,AP$3&lt;=$F10),1,"")</f>
        <v/>
      </c>
      <c r="AQ10">
        <f>IF(AND(AQ$3&gt;=$E10,AQ$3&lt;=$F10),1,"")</f>
        <v/>
      </c>
      <c r="AR10">
        <f>IF(AND(AR$3&gt;=$E10,AR$3&lt;=$F10),1,"")</f>
        <v/>
      </c>
      <c r="AS10">
        <f>IF(AND(AS$3&gt;=$E10,AS$3&lt;=$F10),1,"")</f>
        <v/>
      </c>
      <c r="AT10">
        <f>IF(AND(AT$3&gt;=$E10,AT$3&lt;=$F10),1,"")</f>
        <v/>
      </c>
      <c r="AU10">
        <f>IF(AND(AU$3&gt;=$E10,AU$3&lt;=$F10),1,"")</f>
        <v/>
      </c>
      <c r="AV10">
        <f>IF(AND(AV$3&gt;=$E10,AV$3&lt;=$F10),1,"")</f>
        <v/>
      </c>
      <c r="AW10">
        <f>IF(AND(AW$3&gt;=$E10,AW$3&lt;=$F10),1,"")</f>
        <v/>
      </c>
      <c r="AX10">
        <f>IF(AND(AX$3&gt;=$E10,AX$3&lt;=$F10),1,"")</f>
        <v/>
      </c>
      <c r="AY10">
        <f>IF(AND(AY$3&gt;=$E10,AY$3&lt;=$F10),1,"")</f>
        <v/>
      </c>
      <c r="AZ10">
        <f>IF(AND(AZ$3&gt;=$E10,AZ$3&lt;=$F10),1,"")</f>
        <v/>
      </c>
      <c r="BA10">
        <f>IF(AND(BA$3&gt;=$E10,BA$3&lt;=$F10),1,"")</f>
        <v/>
      </c>
      <c r="BB10">
        <f>IF(AND(BB$3&gt;=$E10,BB$3&lt;=$F10),1,"")</f>
        <v/>
      </c>
      <c r="BC10">
        <f>IF(AND(BC$3&gt;=$E10,BC$3&lt;=$F10),1,"")</f>
        <v/>
      </c>
      <c r="BD10">
        <f>IF(AND(BD$3&gt;=$E10,BD$3&lt;=$F10),1,"")</f>
        <v/>
      </c>
      <c r="BE10">
        <f>IF(AND(BE$3&gt;=$E10,BE$3&lt;=$F10),1,"")</f>
        <v/>
      </c>
      <c r="BF10">
        <f>IF(AND(BF$3&gt;=$E10,BF$3&lt;=$F10),1,"")</f>
        <v/>
      </c>
      <c r="BG10">
        <f>IF(AND(BG$3&gt;=$E10,BG$3&lt;=$F10),1,"")</f>
        <v/>
      </c>
      <c r="BH10">
        <f>IF(AND(BH$3&gt;=$E10,BH$3&lt;=$F10),1,"")</f>
        <v/>
      </c>
      <c r="BI10">
        <f>IF(AND(BI$3&gt;=$E10,BI$3&lt;=$F10),1,"")</f>
        <v/>
      </c>
      <c r="BJ10">
        <f>IF(AND(BJ$3&gt;=$E10,BJ$3&lt;=$F10),1,"")</f>
        <v/>
      </c>
      <c r="BK10">
        <f>IF(AND(BK$3&gt;=$E10,BK$3&lt;=$F10),1,"")</f>
        <v/>
      </c>
      <c r="BL10">
        <f>IF(AND(BL$3&gt;=$E10,BL$3&lt;=$F10),1,"")</f>
        <v/>
      </c>
      <c r="BM10">
        <f>IF(AND(BM$3&gt;=$E10,BM$3&lt;=$F10),1,"")</f>
        <v/>
      </c>
      <c r="BN10">
        <f>IF(AND(BN$3&gt;=$E10,BN$3&lt;=$F10),1,"")</f>
        <v/>
      </c>
      <c r="BO10">
        <f>IF(AND(BO$3&gt;=$E10,BO$3&lt;=$F10),1,"")</f>
        <v/>
      </c>
      <c r="BP10">
        <f>IF(AND(BP$3&gt;=$E10,BP$3&lt;=$F10),1,"")</f>
        <v/>
      </c>
      <c r="BQ10">
        <f>IF(AND(BQ$3&gt;=$E10,BQ$3&lt;=$F10),1,"")</f>
        <v/>
      </c>
      <c r="BR10">
        <f>IF(AND(BR$3&gt;=$E10,BR$3&lt;=$F10),1,"")</f>
        <v/>
      </c>
    </row>
    <row r="11">
      <c r="A11" t="inlineStr">
        <is>
          <t>RJ-108</t>
        </is>
      </c>
      <c r="B11" t="n">
        <v>63</v>
      </c>
      <c r="C11" t="inlineStr">
        <is>
          <t>BR1</t>
        </is>
      </c>
      <c r="D11">
        <f>IF($A11="","",IFERROR(CHOOSE(MATCH($C11,Settings!$L$4:$L$10,0),OPR_BR1!$B$2,OPR_BR2!$B$2,OPR_CR2!$B$2,OPR_CR3!$B$2,OPR_CR4!$B$2,OPR_RIM!$B$2,OPR_BPR!$B$2),1))</f>
        <v/>
      </c>
      <c r="E11" s="16" t="n">
        <v>46154.29166666666</v>
      </c>
      <c r="F11" s="16" t="n">
        <v>46214.29166666666</v>
      </c>
      <c r="G11" t="inlineStr">
        <is>
          <t>High</t>
        </is>
      </c>
      <c r="H11">
        <f>IF($A11="","",TEXT($F11,"MMM-YYYY"))</f>
        <v/>
      </c>
      <c r="I11" t="inlineStr">
        <is>
          <t>On Hold</t>
        </is>
      </c>
      <c r="J11" s="17">
        <f>IF($A11="","",$F11+30)</f>
        <v/>
      </c>
      <c r="K11" t="inlineStr">
        <is>
          <t>Gamma Inc</t>
        </is>
      </c>
      <c r="L11">
        <f>IF(AND(L$3&gt;=$E11,L$3&lt;=$F11),1,"")</f>
        <v/>
      </c>
      <c r="M11">
        <f>IF(AND(M$3&gt;=$E11,M$3&lt;=$F11),1,"")</f>
        <v/>
      </c>
      <c r="N11">
        <f>IF(AND(N$3&gt;=$E11,N$3&lt;=$F11),1,"")</f>
        <v/>
      </c>
      <c r="O11">
        <f>IF(AND(O$3&gt;=$E11,O$3&lt;=$F11),1,"")</f>
        <v/>
      </c>
      <c r="P11">
        <f>IF(AND(P$3&gt;=$E11,P$3&lt;=$F11),1,"")</f>
        <v/>
      </c>
      <c r="Q11">
        <f>IF(AND(Q$3&gt;=$E11,Q$3&lt;=$F11),1,"")</f>
        <v/>
      </c>
      <c r="R11">
        <f>IF(AND(R$3&gt;=$E11,R$3&lt;=$F11),1,"")</f>
        <v/>
      </c>
      <c r="S11">
        <f>IF(AND(S$3&gt;=$E11,S$3&lt;=$F11),1,"")</f>
        <v/>
      </c>
      <c r="T11">
        <f>IF(AND(T$3&gt;=$E11,T$3&lt;=$F11),1,"")</f>
        <v/>
      </c>
      <c r="U11">
        <f>IF(AND(U$3&gt;=$E11,U$3&lt;=$F11),1,"")</f>
        <v/>
      </c>
      <c r="V11">
        <f>IF(AND(V$3&gt;=$E11,V$3&lt;=$F11),1,"")</f>
        <v/>
      </c>
      <c r="W11">
        <f>IF(AND(W$3&gt;=$E11,W$3&lt;=$F11),1,"")</f>
        <v/>
      </c>
      <c r="X11">
        <f>IF(AND(X$3&gt;=$E11,X$3&lt;=$F11),1,"")</f>
        <v/>
      </c>
      <c r="Y11">
        <f>IF(AND(Y$3&gt;=$E11,Y$3&lt;=$F11),1,"")</f>
        <v/>
      </c>
      <c r="Z11">
        <f>IF(AND(Z$3&gt;=$E11,Z$3&lt;=$F11),1,"")</f>
        <v/>
      </c>
      <c r="AA11">
        <f>IF(AND(AA$3&gt;=$E11,AA$3&lt;=$F11),1,"")</f>
        <v/>
      </c>
      <c r="AB11">
        <f>IF(AND(AB$3&gt;=$E11,AB$3&lt;=$F11),1,"")</f>
        <v/>
      </c>
      <c r="AC11">
        <f>IF(AND(AC$3&gt;=$E11,AC$3&lt;=$F11),1,"")</f>
        <v/>
      </c>
      <c r="AD11">
        <f>IF(AND(AD$3&gt;=$E11,AD$3&lt;=$F11),1,"")</f>
        <v/>
      </c>
      <c r="AE11">
        <f>IF(AND(AE$3&gt;=$E11,AE$3&lt;=$F11),1,"")</f>
        <v/>
      </c>
      <c r="AF11">
        <f>IF(AND(AF$3&gt;=$E11,AF$3&lt;=$F11),1,"")</f>
        <v/>
      </c>
      <c r="AG11">
        <f>IF(AND(AG$3&gt;=$E11,AG$3&lt;=$F11),1,"")</f>
        <v/>
      </c>
      <c r="AH11">
        <f>IF(AND(AH$3&gt;=$E11,AH$3&lt;=$F11),1,"")</f>
        <v/>
      </c>
      <c r="AI11">
        <f>IF(AND(AI$3&gt;=$E11,AI$3&lt;=$F11),1,"")</f>
        <v/>
      </c>
      <c r="AJ11">
        <f>IF(AND(AJ$3&gt;=$E11,AJ$3&lt;=$F11),1,"")</f>
        <v/>
      </c>
      <c r="AK11">
        <f>IF(AND(AK$3&gt;=$E11,AK$3&lt;=$F11),1,"")</f>
        <v/>
      </c>
      <c r="AL11">
        <f>IF(AND(AL$3&gt;=$E11,AL$3&lt;=$F11),1,"")</f>
        <v/>
      </c>
      <c r="AM11">
        <f>IF(AND(AM$3&gt;=$E11,AM$3&lt;=$F11),1,"")</f>
        <v/>
      </c>
      <c r="AN11">
        <f>IF(AND(AN$3&gt;=$E11,AN$3&lt;=$F11),1,"")</f>
        <v/>
      </c>
      <c r="AO11">
        <f>IF(AND(AO$3&gt;=$E11,AO$3&lt;=$F11),1,"")</f>
        <v/>
      </c>
      <c r="AP11">
        <f>IF(AND(AP$3&gt;=$E11,AP$3&lt;=$F11),1,"")</f>
        <v/>
      </c>
      <c r="AQ11">
        <f>IF(AND(AQ$3&gt;=$E11,AQ$3&lt;=$F11),1,"")</f>
        <v/>
      </c>
      <c r="AR11">
        <f>IF(AND(AR$3&gt;=$E11,AR$3&lt;=$F11),1,"")</f>
        <v/>
      </c>
      <c r="AS11">
        <f>IF(AND(AS$3&gt;=$E11,AS$3&lt;=$F11),1,"")</f>
        <v/>
      </c>
      <c r="AT11">
        <f>IF(AND(AT$3&gt;=$E11,AT$3&lt;=$F11),1,"")</f>
        <v/>
      </c>
      <c r="AU11">
        <f>IF(AND(AU$3&gt;=$E11,AU$3&lt;=$F11),1,"")</f>
        <v/>
      </c>
      <c r="AV11">
        <f>IF(AND(AV$3&gt;=$E11,AV$3&lt;=$F11),1,"")</f>
        <v/>
      </c>
      <c r="AW11">
        <f>IF(AND(AW$3&gt;=$E11,AW$3&lt;=$F11),1,"")</f>
        <v/>
      </c>
      <c r="AX11">
        <f>IF(AND(AX$3&gt;=$E11,AX$3&lt;=$F11),1,"")</f>
        <v/>
      </c>
      <c r="AY11">
        <f>IF(AND(AY$3&gt;=$E11,AY$3&lt;=$F11),1,"")</f>
        <v/>
      </c>
      <c r="AZ11">
        <f>IF(AND(AZ$3&gt;=$E11,AZ$3&lt;=$F11),1,"")</f>
        <v/>
      </c>
      <c r="BA11">
        <f>IF(AND(BA$3&gt;=$E11,BA$3&lt;=$F11),1,"")</f>
        <v/>
      </c>
      <c r="BB11">
        <f>IF(AND(BB$3&gt;=$E11,BB$3&lt;=$F11),1,"")</f>
        <v/>
      </c>
      <c r="BC11">
        <f>IF(AND(BC$3&gt;=$E11,BC$3&lt;=$F11),1,"")</f>
        <v/>
      </c>
      <c r="BD11">
        <f>IF(AND(BD$3&gt;=$E11,BD$3&lt;=$F11),1,"")</f>
        <v/>
      </c>
      <c r="BE11">
        <f>IF(AND(BE$3&gt;=$E11,BE$3&lt;=$F11),1,"")</f>
        <v/>
      </c>
      <c r="BF11">
        <f>IF(AND(BF$3&gt;=$E11,BF$3&lt;=$F11),1,"")</f>
        <v/>
      </c>
      <c r="BG11">
        <f>IF(AND(BG$3&gt;=$E11,BG$3&lt;=$F11),1,"")</f>
        <v/>
      </c>
      <c r="BH11">
        <f>IF(AND(BH$3&gt;=$E11,BH$3&lt;=$F11),1,"")</f>
        <v/>
      </c>
      <c r="BI11">
        <f>IF(AND(BI$3&gt;=$E11,BI$3&lt;=$F11),1,"")</f>
        <v/>
      </c>
      <c r="BJ11">
        <f>IF(AND(BJ$3&gt;=$E11,BJ$3&lt;=$F11),1,"")</f>
        <v/>
      </c>
      <c r="BK11">
        <f>IF(AND(BK$3&gt;=$E11,BK$3&lt;=$F11),1,"")</f>
        <v/>
      </c>
      <c r="BL11">
        <f>IF(AND(BL$3&gt;=$E11,BL$3&lt;=$F11),1,"")</f>
        <v/>
      </c>
      <c r="BM11">
        <f>IF(AND(BM$3&gt;=$E11,BM$3&lt;=$F11),1,"")</f>
        <v/>
      </c>
      <c r="BN11">
        <f>IF(AND(BN$3&gt;=$E11,BN$3&lt;=$F11),1,"")</f>
        <v/>
      </c>
      <c r="BO11">
        <f>IF(AND(BO$3&gt;=$E11,BO$3&lt;=$F11),1,"")</f>
        <v/>
      </c>
      <c r="BP11">
        <f>IF(AND(BP$3&gt;=$E11,BP$3&lt;=$F11),1,"")</f>
        <v/>
      </c>
      <c r="BQ11">
        <f>IF(AND(BQ$3&gt;=$E11,BQ$3&lt;=$F11),1,"")</f>
        <v/>
      </c>
      <c r="BR11">
        <f>IF(AND(BR$3&gt;=$E11,BR$3&lt;=$F11),1,"")</f>
        <v/>
      </c>
    </row>
    <row r="12">
      <c r="A12" t="inlineStr">
        <is>
          <t>RJ-109</t>
        </is>
      </c>
      <c r="B12" t="n">
        <v>46</v>
      </c>
      <c r="C12" t="inlineStr">
        <is>
          <t>BR2</t>
        </is>
      </c>
      <c r="D12">
        <f>IF($A12="","",IFERROR(CHOOSE(MATCH($C12,Settings!$L$4:$L$10,0),OPR_BR1!$B$2,OPR_BR2!$B$2,OPR_CR2!$B$2,OPR_CR3!$B$2,OPR_CR4!$B$2,OPR_RIM!$B$2,OPR_BPR!$B$2),1))</f>
        <v/>
      </c>
      <c r="E12" s="16" t="n">
        <v>46220.29166666666</v>
      </c>
      <c r="F12" s="16" t="n">
        <v>46255.29166666666</v>
      </c>
      <c r="G12" t="inlineStr">
        <is>
          <t>High</t>
        </is>
      </c>
      <c r="H12">
        <f>IF($A12="","",TEXT($F12,"MMM-YYYY"))</f>
        <v/>
      </c>
      <c r="I12" t="inlineStr">
        <is>
          <t>On Hold</t>
        </is>
      </c>
      <c r="J12" s="17">
        <f>IF($A12="","",$F12+30)</f>
        <v/>
      </c>
      <c r="K12" t="inlineStr">
        <is>
          <t>Beta Ltd</t>
        </is>
      </c>
      <c r="L12">
        <f>IF(AND(L$3&gt;=$E12,L$3&lt;=$F12),1,"")</f>
        <v/>
      </c>
      <c r="M12">
        <f>IF(AND(M$3&gt;=$E12,M$3&lt;=$F12),1,"")</f>
        <v/>
      </c>
      <c r="N12">
        <f>IF(AND(N$3&gt;=$E12,N$3&lt;=$F12),1,"")</f>
        <v/>
      </c>
      <c r="O12">
        <f>IF(AND(O$3&gt;=$E12,O$3&lt;=$F12),1,"")</f>
        <v/>
      </c>
      <c r="P12">
        <f>IF(AND(P$3&gt;=$E12,P$3&lt;=$F12),1,"")</f>
        <v/>
      </c>
      <c r="Q12">
        <f>IF(AND(Q$3&gt;=$E12,Q$3&lt;=$F12),1,"")</f>
        <v/>
      </c>
      <c r="R12">
        <f>IF(AND(R$3&gt;=$E12,R$3&lt;=$F12),1,"")</f>
        <v/>
      </c>
      <c r="S12">
        <f>IF(AND(S$3&gt;=$E12,S$3&lt;=$F12),1,"")</f>
        <v/>
      </c>
      <c r="T12">
        <f>IF(AND(T$3&gt;=$E12,T$3&lt;=$F12),1,"")</f>
        <v/>
      </c>
      <c r="U12">
        <f>IF(AND(U$3&gt;=$E12,U$3&lt;=$F12),1,"")</f>
        <v/>
      </c>
      <c r="V12">
        <f>IF(AND(V$3&gt;=$E12,V$3&lt;=$F12),1,"")</f>
        <v/>
      </c>
      <c r="W12">
        <f>IF(AND(W$3&gt;=$E12,W$3&lt;=$F12),1,"")</f>
        <v/>
      </c>
      <c r="X12">
        <f>IF(AND(X$3&gt;=$E12,X$3&lt;=$F12),1,"")</f>
        <v/>
      </c>
      <c r="Y12">
        <f>IF(AND(Y$3&gt;=$E12,Y$3&lt;=$F12),1,"")</f>
        <v/>
      </c>
      <c r="Z12">
        <f>IF(AND(Z$3&gt;=$E12,Z$3&lt;=$F12),1,"")</f>
        <v/>
      </c>
      <c r="AA12">
        <f>IF(AND(AA$3&gt;=$E12,AA$3&lt;=$F12),1,"")</f>
        <v/>
      </c>
      <c r="AB12">
        <f>IF(AND(AB$3&gt;=$E12,AB$3&lt;=$F12),1,"")</f>
        <v/>
      </c>
      <c r="AC12">
        <f>IF(AND(AC$3&gt;=$E12,AC$3&lt;=$F12),1,"")</f>
        <v/>
      </c>
      <c r="AD12">
        <f>IF(AND(AD$3&gt;=$E12,AD$3&lt;=$F12),1,"")</f>
        <v/>
      </c>
      <c r="AE12">
        <f>IF(AND(AE$3&gt;=$E12,AE$3&lt;=$F12),1,"")</f>
        <v/>
      </c>
      <c r="AF12">
        <f>IF(AND(AF$3&gt;=$E12,AF$3&lt;=$F12),1,"")</f>
        <v/>
      </c>
      <c r="AG12">
        <f>IF(AND(AG$3&gt;=$E12,AG$3&lt;=$F12),1,"")</f>
        <v/>
      </c>
      <c r="AH12">
        <f>IF(AND(AH$3&gt;=$E12,AH$3&lt;=$F12),1,"")</f>
        <v/>
      </c>
      <c r="AI12">
        <f>IF(AND(AI$3&gt;=$E12,AI$3&lt;=$F12),1,"")</f>
        <v/>
      </c>
      <c r="AJ12">
        <f>IF(AND(AJ$3&gt;=$E12,AJ$3&lt;=$F12),1,"")</f>
        <v/>
      </c>
      <c r="AK12">
        <f>IF(AND(AK$3&gt;=$E12,AK$3&lt;=$F12),1,"")</f>
        <v/>
      </c>
      <c r="AL12">
        <f>IF(AND(AL$3&gt;=$E12,AL$3&lt;=$F12),1,"")</f>
        <v/>
      </c>
      <c r="AM12">
        <f>IF(AND(AM$3&gt;=$E12,AM$3&lt;=$F12),1,"")</f>
        <v/>
      </c>
      <c r="AN12">
        <f>IF(AND(AN$3&gt;=$E12,AN$3&lt;=$F12),1,"")</f>
        <v/>
      </c>
      <c r="AO12">
        <f>IF(AND(AO$3&gt;=$E12,AO$3&lt;=$F12),1,"")</f>
        <v/>
      </c>
      <c r="AP12">
        <f>IF(AND(AP$3&gt;=$E12,AP$3&lt;=$F12),1,"")</f>
        <v/>
      </c>
      <c r="AQ12">
        <f>IF(AND(AQ$3&gt;=$E12,AQ$3&lt;=$F12),1,"")</f>
        <v/>
      </c>
      <c r="AR12">
        <f>IF(AND(AR$3&gt;=$E12,AR$3&lt;=$F12),1,"")</f>
        <v/>
      </c>
      <c r="AS12">
        <f>IF(AND(AS$3&gt;=$E12,AS$3&lt;=$F12),1,"")</f>
        <v/>
      </c>
      <c r="AT12">
        <f>IF(AND(AT$3&gt;=$E12,AT$3&lt;=$F12),1,"")</f>
        <v/>
      </c>
      <c r="AU12">
        <f>IF(AND(AU$3&gt;=$E12,AU$3&lt;=$F12),1,"")</f>
        <v/>
      </c>
      <c r="AV12">
        <f>IF(AND(AV$3&gt;=$E12,AV$3&lt;=$F12),1,"")</f>
        <v/>
      </c>
      <c r="AW12">
        <f>IF(AND(AW$3&gt;=$E12,AW$3&lt;=$F12),1,"")</f>
        <v/>
      </c>
      <c r="AX12">
        <f>IF(AND(AX$3&gt;=$E12,AX$3&lt;=$F12),1,"")</f>
        <v/>
      </c>
      <c r="AY12">
        <f>IF(AND(AY$3&gt;=$E12,AY$3&lt;=$F12),1,"")</f>
        <v/>
      </c>
      <c r="AZ12">
        <f>IF(AND(AZ$3&gt;=$E12,AZ$3&lt;=$F12),1,"")</f>
        <v/>
      </c>
      <c r="BA12">
        <f>IF(AND(BA$3&gt;=$E12,BA$3&lt;=$F12),1,"")</f>
        <v/>
      </c>
      <c r="BB12">
        <f>IF(AND(BB$3&gt;=$E12,BB$3&lt;=$F12),1,"")</f>
        <v/>
      </c>
      <c r="BC12">
        <f>IF(AND(BC$3&gt;=$E12,BC$3&lt;=$F12),1,"")</f>
        <v/>
      </c>
      <c r="BD12">
        <f>IF(AND(BD$3&gt;=$E12,BD$3&lt;=$F12),1,"")</f>
        <v/>
      </c>
      <c r="BE12">
        <f>IF(AND(BE$3&gt;=$E12,BE$3&lt;=$F12),1,"")</f>
        <v/>
      </c>
      <c r="BF12">
        <f>IF(AND(BF$3&gt;=$E12,BF$3&lt;=$F12),1,"")</f>
        <v/>
      </c>
      <c r="BG12">
        <f>IF(AND(BG$3&gt;=$E12,BG$3&lt;=$F12),1,"")</f>
        <v/>
      </c>
      <c r="BH12">
        <f>IF(AND(BH$3&gt;=$E12,BH$3&lt;=$F12),1,"")</f>
        <v/>
      </c>
      <c r="BI12">
        <f>IF(AND(BI$3&gt;=$E12,BI$3&lt;=$F12),1,"")</f>
        <v/>
      </c>
      <c r="BJ12">
        <f>IF(AND(BJ$3&gt;=$E12,BJ$3&lt;=$F12),1,"")</f>
        <v/>
      </c>
      <c r="BK12">
        <f>IF(AND(BK$3&gt;=$E12,BK$3&lt;=$F12),1,"")</f>
        <v/>
      </c>
      <c r="BL12">
        <f>IF(AND(BL$3&gt;=$E12,BL$3&lt;=$F12),1,"")</f>
        <v/>
      </c>
      <c r="BM12">
        <f>IF(AND(BM$3&gt;=$E12,BM$3&lt;=$F12),1,"")</f>
        <v/>
      </c>
      <c r="BN12">
        <f>IF(AND(BN$3&gt;=$E12,BN$3&lt;=$F12),1,"")</f>
        <v/>
      </c>
      <c r="BO12">
        <f>IF(AND(BO$3&gt;=$E12,BO$3&lt;=$F12),1,"")</f>
        <v/>
      </c>
      <c r="BP12">
        <f>IF(AND(BP$3&gt;=$E12,BP$3&lt;=$F12),1,"")</f>
        <v/>
      </c>
      <c r="BQ12">
        <f>IF(AND(BQ$3&gt;=$E12,BQ$3&lt;=$F12),1,"")</f>
        <v/>
      </c>
      <c r="BR12">
        <f>IF(AND(BR$3&gt;=$E12,BR$3&lt;=$F12),1,"")</f>
        <v/>
      </c>
    </row>
    <row r="13">
      <c r="A13" t="inlineStr">
        <is>
          <t>RJ-110</t>
        </is>
      </c>
      <c r="B13" t="n">
        <v>20</v>
      </c>
      <c r="C13" t="inlineStr">
        <is>
          <t>CR2</t>
        </is>
      </c>
      <c r="D13">
        <f>IF($A13="","",IFERROR(CHOOSE(MATCH($C13,Settings!$L$4:$L$10,0),OPR_BR1!$B$2,OPR_BR2!$B$2,OPR_CR2!$B$2,OPR_CR3!$B$2,OPR_CR4!$B$2,OPR_RIM!$B$2,OPR_BPR!$B$2),1))</f>
        <v/>
      </c>
      <c r="E13" s="16" t="n">
        <v>46139.29166666666</v>
      </c>
      <c r="F13" s="16" t="n">
        <v>46191.29166666666</v>
      </c>
      <c r="G13" t="inlineStr">
        <is>
          <t>Low</t>
        </is>
      </c>
      <c r="H13">
        <f>IF($A13="","",TEXT($F13,"MMM-YYYY"))</f>
        <v/>
      </c>
      <c r="I13" t="inlineStr">
        <is>
          <t>Released</t>
        </is>
      </c>
      <c r="J13" s="17">
        <f>IF($A13="","",$F13+30)</f>
        <v/>
      </c>
      <c r="K13" t="inlineStr">
        <is>
          <t>Delta Co</t>
        </is>
      </c>
      <c r="L13">
        <f>IF(AND(L$3&gt;=$E13,L$3&lt;=$F13),1,"")</f>
        <v/>
      </c>
      <c r="M13">
        <f>IF(AND(M$3&gt;=$E13,M$3&lt;=$F13),1,"")</f>
        <v/>
      </c>
      <c r="N13">
        <f>IF(AND(N$3&gt;=$E13,N$3&lt;=$F13),1,"")</f>
        <v/>
      </c>
      <c r="O13">
        <f>IF(AND(O$3&gt;=$E13,O$3&lt;=$F13),1,"")</f>
        <v/>
      </c>
      <c r="P13">
        <f>IF(AND(P$3&gt;=$E13,P$3&lt;=$F13),1,"")</f>
        <v/>
      </c>
      <c r="Q13">
        <f>IF(AND(Q$3&gt;=$E13,Q$3&lt;=$F13),1,"")</f>
        <v/>
      </c>
      <c r="R13">
        <f>IF(AND(R$3&gt;=$E13,R$3&lt;=$F13),1,"")</f>
        <v/>
      </c>
      <c r="S13">
        <f>IF(AND(S$3&gt;=$E13,S$3&lt;=$F13),1,"")</f>
        <v/>
      </c>
      <c r="T13">
        <f>IF(AND(T$3&gt;=$E13,T$3&lt;=$F13),1,"")</f>
        <v/>
      </c>
      <c r="U13">
        <f>IF(AND(U$3&gt;=$E13,U$3&lt;=$F13),1,"")</f>
        <v/>
      </c>
      <c r="V13">
        <f>IF(AND(V$3&gt;=$E13,V$3&lt;=$F13),1,"")</f>
        <v/>
      </c>
      <c r="W13">
        <f>IF(AND(W$3&gt;=$E13,W$3&lt;=$F13),1,"")</f>
        <v/>
      </c>
      <c r="X13">
        <f>IF(AND(X$3&gt;=$E13,X$3&lt;=$F13),1,"")</f>
        <v/>
      </c>
      <c r="Y13">
        <f>IF(AND(Y$3&gt;=$E13,Y$3&lt;=$F13),1,"")</f>
        <v/>
      </c>
      <c r="Z13">
        <f>IF(AND(Z$3&gt;=$E13,Z$3&lt;=$F13),1,"")</f>
        <v/>
      </c>
      <c r="AA13">
        <f>IF(AND(AA$3&gt;=$E13,AA$3&lt;=$F13),1,"")</f>
        <v/>
      </c>
      <c r="AB13">
        <f>IF(AND(AB$3&gt;=$E13,AB$3&lt;=$F13),1,"")</f>
        <v/>
      </c>
      <c r="AC13">
        <f>IF(AND(AC$3&gt;=$E13,AC$3&lt;=$F13),1,"")</f>
        <v/>
      </c>
      <c r="AD13">
        <f>IF(AND(AD$3&gt;=$E13,AD$3&lt;=$F13),1,"")</f>
        <v/>
      </c>
      <c r="AE13">
        <f>IF(AND(AE$3&gt;=$E13,AE$3&lt;=$F13),1,"")</f>
        <v/>
      </c>
      <c r="AF13">
        <f>IF(AND(AF$3&gt;=$E13,AF$3&lt;=$F13),1,"")</f>
        <v/>
      </c>
      <c r="AG13">
        <f>IF(AND(AG$3&gt;=$E13,AG$3&lt;=$F13),1,"")</f>
        <v/>
      </c>
      <c r="AH13">
        <f>IF(AND(AH$3&gt;=$E13,AH$3&lt;=$F13),1,"")</f>
        <v/>
      </c>
      <c r="AI13">
        <f>IF(AND(AI$3&gt;=$E13,AI$3&lt;=$F13),1,"")</f>
        <v/>
      </c>
      <c r="AJ13">
        <f>IF(AND(AJ$3&gt;=$E13,AJ$3&lt;=$F13),1,"")</f>
        <v/>
      </c>
      <c r="AK13">
        <f>IF(AND(AK$3&gt;=$E13,AK$3&lt;=$F13),1,"")</f>
        <v/>
      </c>
      <c r="AL13">
        <f>IF(AND(AL$3&gt;=$E13,AL$3&lt;=$F13),1,"")</f>
        <v/>
      </c>
      <c r="AM13">
        <f>IF(AND(AM$3&gt;=$E13,AM$3&lt;=$F13),1,"")</f>
        <v/>
      </c>
      <c r="AN13">
        <f>IF(AND(AN$3&gt;=$E13,AN$3&lt;=$F13),1,"")</f>
        <v/>
      </c>
      <c r="AO13">
        <f>IF(AND(AO$3&gt;=$E13,AO$3&lt;=$F13),1,"")</f>
        <v/>
      </c>
      <c r="AP13">
        <f>IF(AND(AP$3&gt;=$E13,AP$3&lt;=$F13),1,"")</f>
        <v/>
      </c>
      <c r="AQ13">
        <f>IF(AND(AQ$3&gt;=$E13,AQ$3&lt;=$F13),1,"")</f>
        <v/>
      </c>
      <c r="AR13">
        <f>IF(AND(AR$3&gt;=$E13,AR$3&lt;=$F13),1,"")</f>
        <v/>
      </c>
      <c r="AS13">
        <f>IF(AND(AS$3&gt;=$E13,AS$3&lt;=$F13),1,"")</f>
        <v/>
      </c>
      <c r="AT13">
        <f>IF(AND(AT$3&gt;=$E13,AT$3&lt;=$F13),1,"")</f>
        <v/>
      </c>
      <c r="AU13">
        <f>IF(AND(AU$3&gt;=$E13,AU$3&lt;=$F13),1,"")</f>
        <v/>
      </c>
      <c r="AV13">
        <f>IF(AND(AV$3&gt;=$E13,AV$3&lt;=$F13),1,"")</f>
        <v/>
      </c>
      <c r="AW13">
        <f>IF(AND(AW$3&gt;=$E13,AW$3&lt;=$F13),1,"")</f>
        <v/>
      </c>
      <c r="AX13">
        <f>IF(AND(AX$3&gt;=$E13,AX$3&lt;=$F13),1,"")</f>
        <v/>
      </c>
      <c r="AY13">
        <f>IF(AND(AY$3&gt;=$E13,AY$3&lt;=$F13),1,"")</f>
        <v/>
      </c>
      <c r="AZ13">
        <f>IF(AND(AZ$3&gt;=$E13,AZ$3&lt;=$F13),1,"")</f>
        <v/>
      </c>
      <c r="BA13">
        <f>IF(AND(BA$3&gt;=$E13,BA$3&lt;=$F13),1,"")</f>
        <v/>
      </c>
      <c r="BB13">
        <f>IF(AND(BB$3&gt;=$E13,BB$3&lt;=$F13),1,"")</f>
        <v/>
      </c>
      <c r="BC13">
        <f>IF(AND(BC$3&gt;=$E13,BC$3&lt;=$F13),1,"")</f>
        <v/>
      </c>
      <c r="BD13">
        <f>IF(AND(BD$3&gt;=$E13,BD$3&lt;=$F13),1,"")</f>
        <v/>
      </c>
      <c r="BE13">
        <f>IF(AND(BE$3&gt;=$E13,BE$3&lt;=$F13),1,"")</f>
        <v/>
      </c>
      <c r="BF13">
        <f>IF(AND(BF$3&gt;=$E13,BF$3&lt;=$F13),1,"")</f>
        <v/>
      </c>
      <c r="BG13">
        <f>IF(AND(BG$3&gt;=$E13,BG$3&lt;=$F13),1,"")</f>
        <v/>
      </c>
      <c r="BH13">
        <f>IF(AND(BH$3&gt;=$E13,BH$3&lt;=$F13),1,"")</f>
        <v/>
      </c>
      <c r="BI13">
        <f>IF(AND(BI$3&gt;=$E13,BI$3&lt;=$F13),1,"")</f>
        <v/>
      </c>
      <c r="BJ13">
        <f>IF(AND(BJ$3&gt;=$E13,BJ$3&lt;=$F13),1,"")</f>
        <v/>
      </c>
      <c r="BK13">
        <f>IF(AND(BK$3&gt;=$E13,BK$3&lt;=$F13),1,"")</f>
        <v/>
      </c>
      <c r="BL13">
        <f>IF(AND(BL$3&gt;=$E13,BL$3&lt;=$F13),1,"")</f>
        <v/>
      </c>
      <c r="BM13">
        <f>IF(AND(BM$3&gt;=$E13,BM$3&lt;=$F13),1,"")</f>
        <v/>
      </c>
      <c r="BN13">
        <f>IF(AND(BN$3&gt;=$E13,BN$3&lt;=$F13),1,"")</f>
        <v/>
      </c>
      <c r="BO13">
        <f>IF(AND(BO$3&gt;=$E13,BO$3&lt;=$F13),1,"")</f>
        <v/>
      </c>
      <c r="BP13">
        <f>IF(AND(BP$3&gt;=$E13,BP$3&lt;=$F13),1,"")</f>
        <v/>
      </c>
      <c r="BQ13">
        <f>IF(AND(BQ$3&gt;=$E13,BQ$3&lt;=$F13),1,"")</f>
        <v/>
      </c>
      <c r="BR13">
        <f>IF(AND(BR$3&gt;=$E13,BR$3&lt;=$F13),1,"")</f>
        <v/>
      </c>
    </row>
    <row r="14">
      <c r="A14" t="inlineStr">
        <is>
          <t>RJ-111</t>
        </is>
      </c>
      <c r="B14" t="n">
        <v>50</v>
      </c>
      <c r="C14" t="inlineStr">
        <is>
          <t>BR2</t>
        </is>
      </c>
      <c r="D14">
        <f>IF($A14="","",IFERROR(CHOOSE(MATCH($C14,Settings!$L$4:$L$10,0),OPR_BR1!$B$2,OPR_BR2!$B$2,OPR_CR2!$B$2,OPR_CR3!$B$2,OPR_CR4!$B$2,OPR_RIM!$B$2,OPR_BPR!$B$2),1))</f>
        <v/>
      </c>
      <c r="E14" s="16" t="n">
        <v>46218.29166666666</v>
      </c>
      <c r="F14" s="16" t="n">
        <v>46292.29166666666</v>
      </c>
      <c r="G14" t="inlineStr">
        <is>
          <t>Low</t>
        </is>
      </c>
      <c r="H14">
        <f>IF($A14="","",TEXT($F14,"MMM-YYYY"))</f>
        <v/>
      </c>
      <c r="I14" t="inlineStr">
        <is>
          <t>Cancelled</t>
        </is>
      </c>
      <c r="J14" s="17">
        <f>IF($A14="","",$F14+30)</f>
        <v/>
      </c>
      <c r="K14" t="inlineStr">
        <is>
          <t>Delta Co</t>
        </is>
      </c>
      <c r="L14">
        <f>IF(AND(L$3&gt;=$E14,L$3&lt;=$F14),1,"")</f>
        <v/>
      </c>
      <c r="M14">
        <f>IF(AND(M$3&gt;=$E14,M$3&lt;=$F14),1,"")</f>
        <v/>
      </c>
      <c r="N14">
        <f>IF(AND(N$3&gt;=$E14,N$3&lt;=$F14),1,"")</f>
        <v/>
      </c>
      <c r="O14">
        <f>IF(AND(O$3&gt;=$E14,O$3&lt;=$F14),1,"")</f>
        <v/>
      </c>
      <c r="P14">
        <f>IF(AND(P$3&gt;=$E14,P$3&lt;=$F14),1,"")</f>
        <v/>
      </c>
      <c r="Q14">
        <f>IF(AND(Q$3&gt;=$E14,Q$3&lt;=$F14),1,"")</f>
        <v/>
      </c>
      <c r="R14">
        <f>IF(AND(R$3&gt;=$E14,R$3&lt;=$F14),1,"")</f>
        <v/>
      </c>
      <c r="S14">
        <f>IF(AND(S$3&gt;=$E14,S$3&lt;=$F14),1,"")</f>
        <v/>
      </c>
      <c r="T14">
        <f>IF(AND(T$3&gt;=$E14,T$3&lt;=$F14),1,"")</f>
        <v/>
      </c>
      <c r="U14">
        <f>IF(AND(U$3&gt;=$E14,U$3&lt;=$F14),1,"")</f>
        <v/>
      </c>
      <c r="V14">
        <f>IF(AND(V$3&gt;=$E14,V$3&lt;=$F14),1,"")</f>
        <v/>
      </c>
      <c r="W14">
        <f>IF(AND(W$3&gt;=$E14,W$3&lt;=$F14),1,"")</f>
        <v/>
      </c>
      <c r="X14">
        <f>IF(AND(X$3&gt;=$E14,X$3&lt;=$F14),1,"")</f>
        <v/>
      </c>
      <c r="Y14">
        <f>IF(AND(Y$3&gt;=$E14,Y$3&lt;=$F14),1,"")</f>
        <v/>
      </c>
      <c r="Z14">
        <f>IF(AND(Z$3&gt;=$E14,Z$3&lt;=$F14),1,"")</f>
        <v/>
      </c>
      <c r="AA14">
        <f>IF(AND(AA$3&gt;=$E14,AA$3&lt;=$F14),1,"")</f>
        <v/>
      </c>
      <c r="AB14">
        <f>IF(AND(AB$3&gt;=$E14,AB$3&lt;=$F14),1,"")</f>
        <v/>
      </c>
      <c r="AC14">
        <f>IF(AND(AC$3&gt;=$E14,AC$3&lt;=$F14),1,"")</f>
        <v/>
      </c>
      <c r="AD14">
        <f>IF(AND(AD$3&gt;=$E14,AD$3&lt;=$F14),1,"")</f>
        <v/>
      </c>
      <c r="AE14">
        <f>IF(AND(AE$3&gt;=$E14,AE$3&lt;=$F14),1,"")</f>
        <v/>
      </c>
      <c r="AF14">
        <f>IF(AND(AF$3&gt;=$E14,AF$3&lt;=$F14),1,"")</f>
        <v/>
      </c>
      <c r="AG14">
        <f>IF(AND(AG$3&gt;=$E14,AG$3&lt;=$F14),1,"")</f>
        <v/>
      </c>
      <c r="AH14">
        <f>IF(AND(AH$3&gt;=$E14,AH$3&lt;=$F14),1,"")</f>
        <v/>
      </c>
      <c r="AI14">
        <f>IF(AND(AI$3&gt;=$E14,AI$3&lt;=$F14),1,"")</f>
        <v/>
      </c>
      <c r="AJ14">
        <f>IF(AND(AJ$3&gt;=$E14,AJ$3&lt;=$F14),1,"")</f>
        <v/>
      </c>
      <c r="AK14">
        <f>IF(AND(AK$3&gt;=$E14,AK$3&lt;=$F14),1,"")</f>
        <v/>
      </c>
      <c r="AL14">
        <f>IF(AND(AL$3&gt;=$E14,AL$3&lt;=$F14),1,"")</f>
        <v/>
      </c>
      <c r="AM14">
        <f>IF(AND(AM$3&gt;=$E14,AM$3&lt;=$F14),1,"")</f>
        <v/>
      </c>
      <c r="AN14">
        <f>IF(AND(AN$3&gt;=$E14,AN$3&lt;=$F14),1,"")</f>
        <v/>
      </c>
      <c r="AO14">
        <f>IF(AND(AO$3&gt;=$E14,AO$3&lt;=$F14),1,"")</f>
        <v/>
      </c>
      <c r="AP14">
        <f>IF(AND(AP$3&gt;=$E14,AP$3&lt;=$F14),1,"")</f>
        <v/>
      </c>
      <c r="AQ14">
        <f>IF(AND(AQ$3&gt;=$E14,AQ$3&lt;=$F14),1,"")</f>
        <v/>
      </c>
      <c r="AR14">
        <f>IF(AND(AR$3&gt;=$E14,AR$3&lt;=$F14),1,"")</f>
        <v/>
      </c>
      <c r="AS14">
        <f>IF(AND(AS$3&gt;=$E14,AS$3&lt;=$F14),1,"")</f>
        <v/>
      </c>
      <c r="AT14">
        <f>IF(AND(AT$3&gt;=$E14,AT$3&lt;=$F14),1,"")</f>
        <v/>
      </c>
      <c r="AU14">
        <f>IF(AND(AU$3&gt;=$E14,AU$3&lt;=$F14),1,"")</f>
        <v/>
      </c>
      <c r="AV14">
        <f>IF(AND(AV$3&gt;=$E14,AV$3&lt;=$F14),1,"")</f>
        <v/>
      </c>
      <c r="AW14">
        <f>IF(AND(AW$3&gt;=$E14,AW$3&lt;=$F14),1,"")</f>
        <v/>
      </c>
      <c r="AX14">
        <f>IF(AND(AX$3&gt;=$E14,AX$3&lt;=$F14),1,"")</f>
        <v/>
      </c>
      <c r="AY14">
        <f>IF(AND(AY$3&gt;=$E14,AY$3&lt;=$F14),1,"")</f>
        <v/>
      </c>
      <c r="AZ14">
        <f>IF(AND(AZ$3&gt;=$E14,AZ$3&lt;=$F14),1,"")</f>
        <v/>
      </c>
      <c r="BA14">
        <f>IF(AND(BA$3&gt;=$E14,BA$3&lt;=$F14),1,"")</f>
        <v/>
      </c>
      <c r="BB14">
        <f>IF(AND(BB$3&gt;=$E14,BB$3&lt;=$F14),1,"")</f>
        <v/>
      </c>
      <c r="BC14">
        <f>IF(AND(BC$3&gt;=$E14,BC$3&lt;=$F14),1,"")</f>
        <v/>
      </c>
      <c r="BD14">
        <f>IF(AND(BD$3&gt;=$E14,BD$3&lt;=$F14),1,"")</f>
        <v/>
      </c>
      <c r="BE14">
        <f>IF(AND(BE$3&gt;=$E14,BE$3&lt;=$F14),1,"")</f>
        <v/>
      </c>
      <c r="BF14">
        <f>IF(AND(BF$3&gt;=$E14,BF$3&lt;=$F14),1,"")</f>
        <v/>
      </c>
      <c r="BG14">
        <f>IF(AND(BG$3&gt;=$E14,BG$3&lt;=$F14),1,"")</f>
        <v/>
      </c>
      <c r="BH14">
        <f>IF(AND(BH$3&gt;=$E14,BH$3&lt;=$F14),1,"")</f>
        <v/>
      </c>
      <c r="BI14">
        <f>IF(AND(BI$3&gt;=$E14,BI$3&lt;=$F14),1,"")</f>
        <v/>
      </c>
      <c r="BJ14">
        <f>IF(AND(BJ$3&gt;=$E14,BJ$3&lt;=$F14),1,"")</f>
        <v/>
      </c>
      <c r="BK14">
        <f>IF(AND(BK$3&gt;=$E14,BK$3&lt;=$F14),1,"")</f>
        <v/>
      </c>
      <c r="BL14">
        <f>IF(AND(BL$3&gt;=$E14,BL$3&lt;=$F14),1,"")</f>
        <v/>
      </c>
      <c r="BM14">
        <f>IF(AND(BM$3&gt;=$E14,BM$3&lt;=$F14),1,"")</f>
        <v/>
      </c>
      <c r="BN14">
        <f>IF(AND(BN$3&gt;=$E14,BN$3&lt;=$F14),1,"")</f>
        <v/>
      </c>
      <c r="BO14">
        <f>IF(AND(BO$3&gt;=$E14,BO$3&lt;=$F14),1,"")</f>
        <v/>
      </c>
      <c r="BP14">
        <f>IF(AND(BP$3&gt;=$E14,BP$3&lt;=$F14),1,"")</f>
        <v/>
      </c>
      <c r="BQ14">
        <f>IF(AND(BQ$3&gt;=$E14,BQ$3&lt;=$F14),1,"")</f>
        <v/>
      </c>
      <c r="BR14">
        <f>IF(AND(BR$3&gt;=$E14,BR$3&lt;=$F14),1,"")</f>
        <v/>
      </c>
    </row>
    <row r="15">
      <c r="A15" t="inlineStr">
        <is>
          <t>RJ-112</t>
        </is>
      </c>
      <c r="B15" t="n">
        <v>46</v>
      </c>
      <c r="C15" t="inlineStr">
        <is>
          <t>CR4</t>
        </is>
      </c>
      <c r="D15">
        <f>IF($A15="","",IFERROR(CHOOSE(MATCH($C15,Settings!$L$4:$L$10,0),OPR_BR1!$B$2,OPR_BR2!$B$2,OPR_CR2!$B$2,OPR_CR3!$B$2,OPR_CR4!$B$2,OPR_RIM!$B$2,OPR_BPR!$B$2),1))</f>
        <v/>
      </c>
      <c r="E15" s="16" t="n">
        <v>46217.29166666666</v>
      </c>
      <c r="F15" s="16" t="n">
        <v>46241.29166666666</v>
      </c>
      <c r="G15" t="inlineStr">
        <is>
          <t>Low</t>
        </is>
      </c>
      <c r="H15">
        <f>IF($A15="","",TEXT($F15,"MMM-YYYY"))</f>
        <v/>
      </c>
      <c r="I15" t="inlineStr">
        <is>
          <t>Released</t>
        </is>
      </c>
      <c r="J15" s="17">
        <f>IF($A15="","",$F15+30)</f>
        <v/>
      </c>
      <c r="K15" t="inlineStr">
        <is>
          <t>Delta Co</t>
        </is>
      </c>
      <c r="L15">
        <f>IF(AND(L$3&gt;=$E15,L$3&lt;=$F15),1,"")</f>
        <v/>
      </c>
      <c r="M15">
        <f>IF(AND(M$3&gt;=$E15,M$3&lt;=$F15),1,"")</f>
        <v/>
      </c>
      <c r="N15">
        <f>IF(AND(N$3&gt;=$E15,N$3&lt;=$F15),1,"")</f>
        <v/>
      </c>
      <c r="O15">
        <f>IF(AND(O$3&gt;=$E15,O$3&lt;=$F15),1,"")</f>
        <v/>
      </c>
      <c r="P15">
        <f>IF(AND(P$3&gt;=$E15,P$3&lt;=$F15),1,"")</f>
        <v/>
      </c>
      <c r="Q15">
        <f>IF(AND(Q$3&gt;=$E15,Q$3&lt;=$F15),1,"")</f>
        <v/>
      </c>
      <c r="R15">
        <f>IF(AND(R$3&gt;=$E15,R$3&lt;=$F15),1,"")</f>
        <v/>
      </c>
      <c r="S15">
        <f>IF(AND(S$3&gt;=$E15,S$3&lt;=$F15),1,"")</f>
        <v/>
      </c>
      <c r="T15">
        <f>IF(AND(T$3&gt;=$E15,T$3&lt;=$F15),1,"")</f>
        <v/>
      </c>
      <c r="U15">
        <f>IF(AND(U$3&gt;=$E15,U$3&lt;=$F15),1,"")</f>
        <v/>
      </c>
      <c r="V15">
        <f>IF(AND(V$3&gt;=$E15,V$3&lt;=$F15),1,"")</f>
        <v/>
      </c>
      <c r="W15">
        <f>IF(AND(W$3&gt;=$E15,W$3&lt;=$F15),1,"")</f>
        <v/>
      </c>
      <c r="X15">
        <f>IF(AND(X$3&gt;=$E15,X$3&lt;=$F15),1,"")</f>
        <v/>
      </c>
      <c r="Y15">
        <f>IF(AND(Y$3&gt;=$E15,Y$3&lt;=$F15),1,"")</f>
        <v/>
      </c>
      <c r="Z15">
        <f>IF(AND(Z$3&gt;=$E15,Z$3&lt;=$F15),1,"")</f>
        <v/>
      </c>
      <c r="AA15">
        <f>IF(AND(AA$3&gt;=$E15,AA$3&lt;=$F15),1,"")</f>
        <v/>
      </c>
      <c r="AB15">
        <f>IF(AND(AB$3&gt;=$E15,AB$3&lt;=$F15),1,"")</f>
        <v/>
      </c>
      <c r="AC15">
        <f>IF(AND(AC$3&gt;=$E15,AC$3&lt;=$F15),1,"")</f>
        <v/>
      </c>
      <c r="AD15">
        <f>IF(AND(AD$3&gt;=$E15,AD$3&lt;=$F15),1,"")</f>
        <v/>
      </c>
      <c r="AE15">
        <f>IF(AND(AE$3&gt;=$E15,AE$3&lt;=$F15),1,"")</f>
        <v/>
      </c>
      <c r="AF15">
        <f>IF(AND(AF$3&gt;=$E15,AF$3&lt;=$F15),1,"")</f>
        <v/>
      </c>
      <c r="AG15">
        <f>IF(AND(AG$3&gt;=$E15,AG$3&lt;=$F15),1,"")</f>
        <v/>
      </c>
      <c r="AH15">
        <f>IF(AND(AH$3&gt;=$E15,AH$3&lt;=$F15),1,"")</f>
        <v/>
      </c>
      <c r="AI15">
        <f>IF(AND(AI$3&gt;=$E15,AI$3&lt;=$F15),1,"")</f>
        <v/>
      </c>
      <c r="AJ15">
        <f>IF(AND(AJ$3&gt;=$E15,AJ$3&lt;=$F15),1,"")</f>
        <v/>
      </c>
      <c r="AK15">
        <f>IF(AND(AK$3&gt;=$E15,AK$3&lt;=$F15),1,"")</f>
        <v/>
      </c>
      <c r="AL15">
        <f>IF(AND(AL$3&gt;=$E15,AL$3&lt;=$F15),1,"")</f>
        <v/>
      </c>
      <c r="AM15">
        <f>IF(AND(AM$3&gt;=$E15,AM$3&lt;=$F15),1,"")</f>
        <v/>
      </c>
      <c r="AN15">
        <f>IF(AND(AN$3&gt;=$E15,AN$3&lt;=$F15),1,"")</f>
        <v/>
      </c>
      <c r="AO15">
        <f>IF(AND(AO$3&gt;=$E15,AO$3&lt;=$F15),1,"")</f>
        <v/>
      </c>
      <c r="AP15">
        <f>IF(AND(AP$3&gt;=$E15,AP$3&lt;=$F15),1,"")</f>
        <v/>
      </c>
      <c r="AQ15">
        <f>IF(AND(AQ$3&gt;=$E15,AQ$3&lt;=$F15),1,"")</f>
        <v/>
      </c>
      <c r="AR15">
        <f>IF(AND(AR$3&gt;=$E15,AR$3&lt;=$F15),1,"")</f>
        <v/>
      </c>
      <c r="AS15">
        <f>IF(AND(AS$3&gt;=$E15,AS$3&lt;=$F15),1,"")</f>
        <v/>
      </c>
      <c r="AT15">
        <f>IF(AND(AT$3&gt;=$E15,AT$3&lt;=$F15),1,"")</f>
        <v/>
      </c>
      <c r="AU15">
        <f>IF(AND(AU$3&gt;=$E15,AU$3&lt;=$F15),1,"")</f>
        <v/>
      </c>
      <c r="AV15">
        <f>IF(AND(AV$3&gt;=$E15,AV$3&lt;=$F15),1,"")</f>
        <v/>
      </c>
      <c r="AW15">
        <f>IF(AND(AW$3&gt;=$E15,AW$3&lt;=$F15),1,"")</f>
        <v/>
      </c>
      <c r="AX15">
        <f>IF(AND(AX$3&gt;=$E15,AX$3&lt;=$F15),1,"")</f>
        <v/>
      </c>
      <c r="AY15">
        <f>IF(AND(AY$3&gt;=$E15,AY$3&lt;=$F15),1,"")</f>
        <v/>
      </c>
      <c r="AZ15">
        <f>IF(AND(AZ$3&gt;=$E15,AZ$3&lt;=$F15),1,"")</f>
        <v/>
      </c>
      <c r="BA15">
        <f>IF(AND(BA$3&gt;=$E15,BA$3&lt;=$F15),1,"")</f>
        <v/>
      </c>
      <c r="BB15">
        <f>IF(AND(BB$3&gt;=$E15,BB$3&lt;=$F15),1,"")</f>
        <v/>
      </c>
      <c r="BC15">
        <f>IF(AND(BC$3&gt;=$E15,BC$3&lt;=$F15),1,"")</f>
        <v/>
      </c>
      <c r="BD15">
        <f>IF(AND(BD$3&gt;=$E15,BD$3&lt;=$F15),1,"")</f>
        <v/>
      </c>
      <c r="BE15">
        <f>IF(AND(BE$3&gt;=$E15,BE$3&lt;=$F15),1,"")</f>
        <v/>
      </c>
      <c r="BF15">
        <f>IF(AND(BF$3&gt;=$E15,BF$3&lt;=$F15),1,"")</f>
        <v/>
      </c>
      <c r="BG15">
        <f>IF(AND(BG$3&gt;=$E15,BG$3&lt;=$F15),1,"")</f>
        <v/>
      </c>
      <c r="BH15">
        <f>IF(AND(BH$3&gt;=$E15,BH$3&lt;=$F15),1,"")</f>
        <v/>
      </c>
      <c r="BI15">
        <f>IF(AND(BI$3&gt;=$E15,BI$3&lt;=$F15),1,"")</f>
        <v/>
      </c>
      <c r="BJ15">
        <f>IF(AND(BJ$3&gt;=$E15,BJ$3&lt;=$F15),1,"")</f>
        <v/>
      </c>
      <c r="BK15">
        <f>IF(AND(BK$3&gt;=$E15,BK$3&lt;=$F15),1,"")</f>
        <v/>
      </c>
      <c r="BL15">
        <f>IF(AND(BL$3&gt;=$E15,BL$3&lt;=$F15),1,"")</f>
        <v/>
      </c>
      <c r="BM15">
        <f>IF(AND(BM$3&gt;=$E15,BM$3&lt;=$F15),1,"")</f>
        <v/>
      </c>
      <c r="BN15">
        <f>IF(AND(BN$3&gt;=$E15,BN$3&lt;=$F15),1,"")</f>
        <v/>
      </c>
      <c r="BO15">
        <f>IF(AND(BO$3&gt;=$E15,BO$3&lt;=$F15),1,"")</f>
        <v/>
      </c>
      <c r="BP15">
        <f>IF(AND(BP$3&gt;=$E15,BP$3&lt;=$F15),1,"")</f>
        <v/>
      </c>
      <c r="BQ15">
        <f>IF(AND(BQ$3&gt;=$E15,BQ$3&lt;=$F15),1,"")</f>
        <v/>
      </c>
      <c r="BR15">
        <f>IF(AND(BR$3&gt;=$E15,BR$3&lt;=$F15),1,"")</f>
        <v/>
      </c>
    </row>
    <row r="16">
      <c r="A16" t="inlineStr">
        <is>
          <t>RJ-113</t>
        </is>
      </c>
      <c r="B16" t="n">
        <v>25</v>
      </c>
      <c r="C16" t="inlineStr">
        <is>
          <t>BR1</t>
        </is>
      </c>
      <c r="D16">
        <f>IF($A16="","",IFERROR(CHOOSE(MATCH($C16,Settings!$L$4:$L$10,0),OPR_BR1!$B$2,OPR_BR2!$B$2,OPR_CR2!$B$2,OPR_CR3!$B$2,OPR_CR4!$B$2,OPR_RIM!$B$2,OPR_BPR!$B$2),1))</f>
        <v/>
      </c>
      <c r="E16" s="16" t="n">
        <v>46151.29166666666</v>
      </c>
      <c r="F16" s="16" t="n">
        <v>46205.29166666666</v>
      </c>
      <c r="G16" t="inlineStr">
        <is>
          <t>Low</t>
        </is>
      </c>
      <c r="H16">
        <f>IF($A16="","",TEXT($F16,"MMM-YYYY"))</f>
        <v/>
      </c>
      <c r="I16" t="inlineStr">
        <is>
          <t>Cancelled</t>
        </is>
      </c>
      <c r="J16" s="17">
        <f>IF($A16="","",$F16+30)</f>
        <v/>
      </c>
      <c r="K16" t="inlineStr">
        <is>
          <t>Gamma Inc</t>
        </is>
      </c>
      <c r="L16">
        <f>IF(AND(L$3&gt;=$E16,L$3&lt;=$F16),1,"")</f>
        <v/>
      </c>
      <c r="M16">
        <f>IF(AND(M$3&gt;=$E16,M$3&lt;=$F16),1,"")</f>
        <v/>
      </c>
      <c r="N16">
        <f>IF(AND(N$3&gt;=$E16,N$3&lt;=$F16),1,"")</f>
        <v/>
      </c>
      <c r="O16">
        <f>IF(AND(O$3&gt;=$E16,O$3&lt;=$F16),1,"")</f>
        <v/>
      </c>
      <c r="P16">
        <f>IF(AND(P$3&gt;=$E16,P$3&lt;=$F16),1,"")</f>
        <v/>
      </c>
      <c r="Q16">
        <f>IF(AND(Q$3&gt;=$E16,Q$3&lt;=$F16),1,"")</f>
        <v/>
      </c>
      <c r="R16">
        <f>IF(AND(R$3&gt;=$E16,R$3&lt;=$F16),1,"")</f>
        <v/>
      </c>
      <c r="S16">
        <f>IF(AND(S$3&gt;=$E16,S$3&lt;=$F16),1,"")</f>
        <v/>
      </c>
      <c r="T16">
        <f>IF(AND(T$3&gt;=$E16,T$3&lt;=$F16),1,"")</f>
        <v/>
      </c>
      <c r="U16">
        <f>IF(AND(U$3&gt;=$E16,U$3&lt;=$F16),1,"")</f>
        <v/>
      </c>
      <c r="V16">
        <f>IF(AND(V$3&gt;=$E16,V$3&lt;=$F16),1,"")</f>
        <v/>
      </c>
      <c r="W16">
        <f>IF(AND(W$3&gt;=$E16,W$3&lt;=$F16),1,"")</f>
        <v/>
      </c>
      <c r="X16">
        <f>IF(AND(X$3&gt;=$E16,X$3&lt;=$F16),1,"")</f>
        <v/>
      </c>
      <c r="Y16">
        <f>IF(AND(Y$3&gt;=$E16,Y$3&lt;=$F16),1,"")</f>
        <v/>
      </c>
      <c r="Z16">
        <f>IF(AND(Z$3&gt;=$E16,Z$3&lt;=$F16),1,"")</f>
        <v/>
      </c>
      <c r="AA16">
        <f>IF(AND(AA$3&gt;=$E16,AA$3&lt;=$F16),1,"")</f>
        <v/>
      </c>
      <c r="AB16">
        <f>IF(AND(AB$3&gt;=$E16,AB$3&lt;=$F16),1,"")</f>
        <v/>
      </c>
      <c r="AC16">
        <f>IF(AND(AC$3&gt;=$E16,AC$3&lt;=$F16),1,"")</f>
        <v/>
      </c>
      <c r="AD16">
        <f>IF(AND(AD$3&gt;=$E16,AD$3&lt;=$F16),1,"")</f>
        <v/>
      </c>
      <c r="AE16">
        <f>IF(AND(AE$3&gt;=$E16,AE$3&lt;=$F16),1,"")</f>
        <v/>
      </c>
      <c r="AF16">
        <f>IF(AND(AF$3&gt;=$E16,AF$3&lt;=$F16),1,"")</f>
        <v/>
      </c>
      <c r="AG16">
        <f>IF(AND(AG$3&gt;=$E16,AG$3&lt;=$F16),1,"")</f>
        <v/>
      </c>
      <c r="AH16">
        <f>IF(AND(AH$3&gt;=$E16,AH$3&lt;=$F16),1,"")</f>
        <v/>
      </c>
      <c r="AI16">
        <f>IF(AND(AI$3&gt;=$E16,AI$3&lt;=$F16),1,"")</f>
        <v/>
      </c>
      <c r="AJ16">
        <f>IF(AND(AJ$3&gt;=$E16,AJ$3&lt;=$F16),1,"")</f>
        <v/>
      </c>
      <c r="AK16">
        <f>IF(AND(AK$3&gt;=$E16,AK$3&lt;=$F16),1,"")</f>
        <v/>
      </c>
      <c r="AL16">
        <f>IF(AND(AL$3&gt;=$E16,AL$3&lt;=$F16),1,"")</f>
        <v/>
      </c>
      <c r="AM16">
        <f>IF(AND(AM$3&gt;=$E16,AM$3&lt;=$F16),1,"")</f>
        <v/>
      </c>
      <c r="AN16">
        <f>IF(AND(AN$3&gt;=$E16,AN$3&lt;=$F16),1,"")</f>
        <v/>
      </c>
      <c r="AO16">
        <f>IF(AND(AO$3&gt;=$E16,AO$3&lt;=$F16),1,"")</f>
        <v/>
      </c>
      <c r="AP16">
        <f>IF(AND(AP$3&gt;=$E16,AP$3&lt;=$F16),1,"")</f>
        <v/>
      </c>
      <c r="AQ16">
        <f>IF(AND(AQ$3&gt;=$E16,AQ$3&lt;=$F16),1,"")</f>
        <v/>
      </c>
      <c r="AR16">
        <f>IF(AND(AR$3&gt;=$E16,AR$3&lt;=$F16),1,"")</f>
        <v/>
      </c>
      <c r="AS16">
        <f>IF(AND(AS$3&gt;=$E16,AS$3&lt;=$F16),1,"")</f>
        <v/>
      </c>
      <c r="AT16">
        <f>IF(AND(AT$3&gt;=$E16,AT$3&lt;=$F16),1,"")</f>
        <v/>
      </c>
      <c r="AU16">
        <f>IF(AND(AU$3&gt;=$E16,AU$3&lt;=$F16),1,"")</f>
        <v/>
      </c>
      <c r="AV16">
        <f>IF(AND(AV$3&gt;=$E16,AV$3&lt;=$F16),1,"")</f>
        <v/>
      </c>
      <c r="AW16">
        <f>IF(AND(AW$3&gt;=$E16,AW$3&lt;=$F16),1,"")</f>
        <v/>
      </c>
      <c r="AX16">
        <f>IF(AND(AX$3&gt;=$E16,AX$3&lt;=$F16),1,"")</f>
        <v/>
      </c>
      <c r="AY16">
        <f>IF(AND(AY$3&gt;=$E16,AY$3&lt;=$F16),1,"")</f>
        <v/>
      </c>
      <c r="AZ16">
        <f>IF(AND(AZ$3&gt;=$E16,AZ$3&lt;=$F16),1,"")</f>
        <v/>
      </c>
      <c r="BA16">
        <f>IF(AND(BA$3&gt;=$E16,BA$3&lt;=$F16),1,"")</f>
        <v/>
      </c>
      <c r="BB16">
        <f>IF(AND(BB$3&gt;=$E16,BB$3&lt;=$F16),1,"")</f>
        <v/>
      </c>
      <c r="BC16">
        <f>IF(AND(BC$3&gt;=$E16,BC$3&lt;=$F16),1,"")</f>
        <v/>
      </c>
      <c r="BD16">
        <f>IF(AND(BD$3&gt;=$E16,BD$3&lt;=$F16),1,"")</f>
        <v/>
      </c>
      <c r="BE16">
        <f>IF(AND(BE$3&gt;=$E16,BE$3&lt;=$F16),1,"")</f>
        <v/>
      </c>
      <c r="BF16">
        <f>IF(AND(BF$3&gt;=$E16,BF$3&lt;=$F16),1,"")</f>
        <v/>
      </c>
      <c r="BG16">
        <f>IF(AND(BG$3&gt;=$E16,BG$3&lt;=$F16),1,"")</f>
        <v/>
      </c>
      <c r="BH16">
        <f>IF(AND(BH$3&gt;=$E16,BH$3&lt;=$F16),1,"")</f>
        <v/>
      </c>
      <c r="BI16">
        <f>IF(AND(BI$3&gt;=$E16,BI$3&lt;=$F16),1,"")</f>
        <v/>
      </c>
      <c r="BJ16">
        <f>IF(AND(BJ$3&gt;=$E16,BJ$3&lt;=$F16),1,"")</f>
        <v/>
      </c>
      <c r="BK16">
        <f>IF(AND(BK$3&gt;=$E16,BK$3&lt;=$F16),1,"")</f>
        <v/>
      </c>
      <c r="BL16">
        <f>IF(AND(BL$3&gt;=$E16,BL$3&lt;=$F16),1,"")</f>
        <v/>
      </c>
      <c r="BM16">
        <f>IF(AND(BM$3&gt;=$E16,BM$3&lt;=$F16),1,"")</f>
        <v/>
      </c>
      <c r="BN16">
        <f>IF(AND(BN$3&gt;=$E16,BN$3&lt;=$F16),1,"")</f>
        <v/>
      </c>
      <c r="BO16">
        <f>IF(AND(BO$3&gt;=$E16,BO$3&lt;=$F16),1,"")</f>
        <v/>
      </c>
      <c r="BP16">
        <f>IF(AND(BP$3&gt;=$E16,BP$3&lt;=$F16),1,"")</f>
        <v/>
      </c>
      <c r="BQ16">
        <f>IF(AND(BQ$3&gt;=$E16,BQ$3&lt;=$F16),1,"")</f>
        <v/>
      </c>
      <c r="BR16">
        <f>IF(AND(BR$3&gt;=$E16,BR$3&lt;=$F16),1,"")</f>
        <v/>
      </c>
    </row>
    <row r="17">
      <c r="A17" t="inlineStr">
        <is>
          <t>RJ-114</t>
        </is>
      </c>
      <c r="B17" t="n">
        <v>25</v>
      </c>
      <c r="C17" t="inlineStr">
        <is>
          <t>BR2</t>
        </is>
      </c>
      <c r="D17">
        <f>IF($A17="","",IFERROR(CHOOSE(MATCH($C17,Settings!$L$4:$L$10,0),OPR_BR1!$B$2,OPR_BR2!$B$2,OPR_CR2!$B$2,OPR_CR3!$B$2,OPR_CR4!$B$2,OPR_RIM!$B$2,OPR_BPR!$B$2),1))</f>
        <v/>
      </c>
      <c r="E17" s="16" t="n">
        <v>46214.29166666666</v>
      </c>
      <c r="F17" s="16" t="n">
        <v>46285.29166666666</v>
      </c>
      <c r="G17" t="inlineStr">
        <is>
          <t>High</t>
        </is>
      </c>
      <c r="H17">
        <f>IF($A17="","",TEXT($F17,"MMM-YYYY"))</f>
        <v/>
      </c>
      <c r="I17" t="inlineStr">
        <is>
          <t>Cancelled</t>
        </is>
      </c>
      <c r="J17" s="17">
        <f>IF($A17="","",$F17+30)</f>
        <v/>
      </c>
      <c r="K17" t="inlineStr">
        <is>
          <t>Delta Co</t>
        </is>
      </c>
      <c r="L17">
        <f>IF(AND(L$3&gt;=$E17,L$3&lt;=$F17),1,"")</f>
        <v/>
      </c>
      <c r="M17">
        <f>IF(AND(M$3&gt;=$E17,M$3&lt;=$F17),1,"")</f>
        <v/>
      </c>
      <c r="N17">
        <f>IF(AND(N$3&gt;=$E17,N$3&lt;=$F17),1,"")</f>
        <v/>
      </c>
      <c r="O17">
        <f>IF(AND(O$3&gt;=$E17,O$3&lt;=$F17),1,"")</f>
        <v/>
      </c>
      <c r="P17">
        <f>IF(AND(P$3&gt;=$E17,P$3&lt;=$F17),1,"")</f>
        <v/>
      </c>
      <c r="Q17">
        <f>IF(AND(Q$3&gt;=$E17,Q$3&lt;=$F17),1,"")</f>
        <v/>
      </c>
      <c r="R17">
        <f>IF(AND(R$3&gt;=$E17,R$3&lt;=$F17),1,"")</f>
        <v/>
      </c>
      <c r="S17">
        <f>IF(AND(S$3&gt;=$E17,S$3&lt;=$F17),1,"")</f>
        <v/>
      </c>
      <c r="T17">
        <f>IF(AND(T$3&gt;=$E17,T$3&lt;=$F17),1,"")</f>
        <v/>
      </c>
      <c r="U17">
        <f>IF(AND(U$3&gt;=$E17,U$3&lt;=$F17),1,"")</f>
        <v/>
      </c>
      <c r="V17">
        <f>IF(AND(V$3&gt;=$E17,V$3&lt;=$F17),1,"")</f>
        <v/>
      </c>
      <c r="W17">
        <f>IF(AND(W$3&gt;=$E17,W$3&lt;=$F17),1,"")</f>
        <v/>
      </c>
      <c r="X17">
        <f>IF(AND(X$3&gt;=$E17,X$3&lt;=$F17),1,"")</f>
        <v/>
      </c>
      <c r="Y17">
        <f>IF(AND(Y$3&gt;=$E17,Y$3&lt;=$F17),1,"")</f>
        <v/>
      </c>
      <c r="Z17">
        <f>IF(AND(Z$3&gt;=$E17,Z$3&lt;=$F17),1,"")</f>
        <v/>
      </c>
      <c r="AA17">
        <f>IF(AND(AA$3&gt;=$E17,AA$3&lt;=$F17),1,"")</f>
        <v/>
      </c>
      <c r="AB17">
        <f>IF(AND(AB$3&gt;=$E17,AB$3&lt;=$F17),1,"")</f>
        <v/>
      </c>
      <c r="AC17">
        <f>IF(AND(AC$3&gt;=$E17,AC$3&lt;=$F17),1,"")</f>
        <v/>
      </c>
      <c r="AD17">
        <f>IF(AND(AD$3&gt;=$E17,AD$3&lt;=$F17),1,"")</f>
        <v/>
      </c>
      <c r="AE17">
        <f>IF(AND(AE$3&gt;=$E17,AE$3&lt;=$F17),1,"")</f>
        <v/>
      </c>
      <c r="AF17">
        <f>IF(AND(AF$3&gt;=$E17,AF$3&lt;=$F17),1,"")</f>
        <v/>
      </c>
      <c r="AG17">
        <f>IF(AND(AG$3&gt;=$E17,AG$3&lt;=$F17),1,"")</f>
        <v/>
      </c>
      <c r="AH17">
        <f>IF(AND(AH$3&gt;=$E17,AH$3&lt;=$F17),1,"")</f>
        <v/>
      </c>
      <c r="AI17">
        <f>IF(AND(AI$3&gt;=$E17,AI$3&lt;=$F17),1,"")</f>
        <v/>
      </c>
      <c r="AJ17">
        <f>IF(AND(AJ$3&gt;=$E17,AJ$3&lt;=$F17),1,"")</f>
        <v/>
      </c>
      <c r="AK17">
        <f>IF(AND(AK$3&gt;=$E17,AK$3&lt;=$F17),1,"")</f>
        <v/>
      </c>
      <c r="AL17">
        <f>IF(AND(AL$3&gt;=$E17,AL$3&lt;=$F17),1,"")</f>
        <v/>
      </c>
      <c r="AM17">
        <f>IF(AND(AM$3&gt;=$E17,AM$3&lt;=$F17),1,"")</f>
        <v/>
      </c>
      <c r="AN17">
        <f>IF(AND(AN$3&gt;=$E17,AN$3&lt;=$F17),1,"")</f>
        <v/>
      </c>
      <c r="AO17">
        <f>IF(AND(AO$3&gt;=$E17,AO$3&lt;=$F17),1,"")</f>
        <v/>
      </c>
      <c r="AP17">
        <f>IF(AND(AP$3&gt;=$E17,AP$3&lt;=$F17),1,"")</f>
        <v/>
      </c>
      <c r="AQ17">
        <f>IF(AND(AQ$3&gt;=$E17,AQ$3&lt;=$F17),1,"")</f>
        <v/>
      </c>
      <c r="AR17">
        <f>IF(AND(AR$3&gt;=$E17,AR$3&lt;=$F17),1,"")</f>
        <v/>
      </c>
      <c r="AS17">
        <f>IF(AND(AS$3&gt;=$E17,AS$3&lt;=$F17),1,"")</f>
        <v/>
      </c>
      <c r="AT17">
        <f>IF(AND(AT$3&gt;=$E17,AT$3&lt;=$F17),1,"")</f>
        <v/>
      </c>
      <c r="AU17">
        <f>IF(AND(AU$3&gt;=$E17,AU$3&lt;=$F17),1,"")</f>
        <v/>
      </c>
      <c r="AV17">
        <f>IF(AND(AV$3&gt;=$E17,AV$3&lt;=$F17),1,"")</f>
        <v/>
      </c>
      <c r="AW17">
        <f>IF(AND(AW$3&gt;=$E17,AW$3&lt;=$F17),1,"")</f>
        <v/>
      </c>
      <c r="AX17">
        <f>IF(AND(AX$3&gt;=$E17,AX$3&lt;=$F17),1,"")</f>
        <v/>
      </c>
      <c r="AY17">
        <f>IF(AND(AY$3&gt;=$E17,AY$3&lt;=$F17),1,"")</f>
        <v/>
      </c>
      <c r="AZ17">
        <f>IF(AND(AZ$3&gt;=$E17,AZ$3&lt;=$F17),1,"")</f>
        <v/>
      </c>
      <c r="BA17">
        <f>IF(AND(BA$3&gt;=$E17,BA$3&lt;=$F17),1,"")</f>
        <v/>
      </c>
      <c r="BB17">
        <f>IF(AND(BB$3&gt;=$E17,BB$3&lt;=$F17),1,"")</f>
        <v/>
      </c>
      <c r="BC17">
        <f>IF(AND(BC$3&gt;=$E17,BC$3&lt;=$F17),1,"")</f>
        <v/>
      </c>
      <c r="BD17">
        <f>IF(AND(BD$3&gt;=$E17,BD$3&lt;=$F17),1,"")</f>
        <v/>
      </c>
      <c r="BE17">
        <f>IF(AND(BE$3&gt;=$E17,BE$3&lt;=$F17),1,"")</f>
        <v/>
      </c>
      <c r="BF17">
        <f>IF(AND(BF$3&gt;=$E17,BF$3&lt;=$F17),1,"")</f>
        <v/>
      </c>
      <c r="BG17">
        <f>IF(AND(BG$3&gt;=$E17,BG$3&lt;=$F17),1,"")</f>
        <v/>
      </c>
      <c r="BH17">
        <f>IF(AND(BH$3&gt;=$E17,BH$3&lt;=$F17),1,"")</f>
        <v/>
      </c>
      <c r="BI17">
        <f>IF(AND(BI$3&gt;=$E17,BI$3&lt;=$F17),1,"")</f>
        <v/>
      </c>
      <c r="BJ17">
        <f>IF(AND(BJ$3&gt;=$E17,BJ$3&lt;=$F17),1,"")</f>
        <v/>
      </c>
      <c r="BK17">
        <f>IF(AND(BK$3&gt;=$E17,BK$3&lt;=$F17),1,"")</f>
        <v/>
      </c>
      <c r="BL17">
        <f>IF(AND(BL$3&gt;=$E17,BL$3&lt;=$F17),1,"")</f>
        <v/>
      </c>
      <c r="BM17">
        <f>IF(AND(BM$3&gt;=$E17,BM$3&lt;=$F17),1,"")</f>
        <v/>
      </c>
      <c r="BN17">
        <f>IF(AND(BN$3&gt;=$E17,BN$3&lt;=$F17),1,"")</f>
        <v/>
      </c>
      <c r="BO17">
        <f>IF(AND(BO$3&gt;=$E17,BO$3&lt;=$F17),1,"")</f>
        <v/>
      </c>
      <c r="BP17">
        <f>IF(AND(BP$3&gt;=$E17,BP$3&lt;=$F17),1,"")</f>
        <v/>
      </c>
      <c r="BQ17">
        <f>IF(AND(BQ$3&gt;=$E17,BQ$3&lt;=$F17),1,"")</f>
        <v/>
      </c>
      <c r="BR17">
        <f>IF(AND(BR$3&gt;=$E17,BR$3&lt;=$F17),1,"")</f>
        <v/>
      </c>
    </row>
    <row r="18">
      <c r="A18" t="inlineStr">
        <is>
          <t>RJ-115</t>
        </is>
      </c>
      <c r="B18" t="n">
        <v>34</v>
      </c>
      <c r="C18" t="inlineStr">
        <is>
          <t>CR3</t>
        </is>
      </c>
      <c r="D18">
        <f>IF($A18="","",IFERROR(CHOOSE(MATCH($C18,Settings!$L$4:$L$10,0),OPR_BR1!$B$2,OPR_BR2!$B$2,OPR_CR2!$B$2,OPR_CR3!$B$2,OPR_CR4!$B$2,OPR_RIM!$B$2,OPR_BPR!$B$2),1))</f>
        <v/>
      </c>
      <c r="E18" s="16" t="n">
        <v>46183.29166666666</v>
      </c>
      <c r="F18" s="16" t="n">
        <v>46242.29166666666</v>
      </c>
      <c r="G18" t="inlineStr">
        <is>
          <t>High</t>
        </is>
      </c>
      <c r="H18">
        <f>IF($A18="","",TEXT($F18,"MMM-YYYY"))</f>
        <v/>
      </c>
      <c r="I18" t="inlineStr">
        <is>
          <t>On Hold</t>
        </is>
      </c>
      <c r="J18" s="17">
        <f>IF($A18="","",$F18+30)</f>
        <v/>
      </c>
      <c r="K18" t="inlineStr">
        <is>
          <t>Gamma Inc</t>
        </is>
      </c>
      <c r="L18">
        <f>IF(AND(L$3&gt;=$E18,L$3&lt;=$F18),1,"")</f>
        <v/>
      </c>
      <c r="M18">
        <f>IF(AND(M$3&gt;=$E18,M$3&lt;=$F18),1,"")</f>
        <v/>
      </c>
      <c r="N18">
        <f>IF(AND(N$3&gt;=$E18,N$3&lt;=$F18),1,"")</f>
        <v/>
      </c>
      <c r="O18">
        <f>IF(AND(O$3&gt;=$E18,O$3&lt;=$F18),1,"")</f>
        <v/>
      </c>
      <c r="P18">
        <f>IF(AND(P$3&gt;=$E18,P$3&lt;=$F18),1,"")</f>
        <v/>
      </c>
      <c r="Q18">
        <f>IF(AND(Q$3&gt;=$E18,Q$3&lt;=$F18),1,"")</f>
        <v/>
      </c>
      <c r="R18">
        <f>IF(AND(R$3&gt;=$E18,R$3&lt;=$F18),1,"")</f>
        <v/>
      </c>
      <c r="S18">
        <f>IF(AND(S$3&gt;=$E18,S$3&lt;=$F18),1,"")</f>
        <v/>
      </c>
      <c r="T18">
        <f>IF(AND(T$3&gt;=$E18,T$3&lt;=$F18),1,"")</f>
        <v/>
      </c>
      <c r="U18">
        <f>IF(AND(U$3&gt;=$E18,U$3&lt;=$F18),1,"")</f>
        <v/>
      </c>
      <c r="V18">
        <f>IF(AND(V$3&gt;=$E18,V$3&lt;=$F18),1,"")</f>
        <v/>
      </c>
      <c r="W18">
        <f>IF(AND(W$3&gt;=$E18,W$3&lt;=$F18),1,"")</f>
        <v/>
      </c>
      <c r="X18">
        <f>IF(AND(X$3&gt;=$E18,X$3&lt;=$F18),1,"")</f>
        <v/>
      </c>
      <c r="Y18">
        <f>IF(AND(Y$3&gt;=$E18,Y$3&lt;=$F18),1,"")</f>
        <v/>
      </c>
      <c r="Z18">
        <f>IF(AND(Z$3&gt;=$E18,Z$3&lt;=$F18),1,"")</f>
        <v/>
      </c>
      <c r="AA18">
        <f>IF(AND(AA$3&gt;=$E18,AA$3&lt;=$F18),1,"")</f>
        <v/>
      </c>
      <c r="AB18">
        <f>IF(AND(AB$3&gt;=$E18,AB$3&lt;=$F18),1,"")</f>
        <v/>
      </c>
      <c r="AC18">
        <f>IF(AND(AC$3&gt;=$E18,AC$3&lt;=$F18),1,"")</f>
        <v/>
      </c>
      <c r="AD18">
        <f>IF(AND(AD$3&gt;=$E18,AD$3&lt;=$F18),1,"")</f>
        <v/>
      </c>
      <c r="AE18">
        <f>IF(AND(AE$3&gt;=$E18,AE$3&lt;=$F18),1,"")</f>
        <v/>
      </c>
      <c r="AF18">
        <f>IF(AND(AF$3&gt;=$E18,AF$3&lt;=$F18),1,"")</f>
        <v/>
      </c>
      <c r="AG18">
        <f>IF(AND(AG$3&gt;=$E18,AG$3&lt;=$F18),1,"")</f>
        <v/>
      </c>
      <c r="AH18">
        <f>IF(AND(AH$3&gt;=$E18,AH$3&lt;=$F18),1,"")</f>
        <v/>
      </c>
      <c r="AI18">
        <f>IF(AND(AI$3&gt;=$E18,AI$3&lt;=$F18),1,"")</f>
        <v/>
      </c>
      <c r="AJ18">
        <f>IF(AND(AJ$3&gt;=$E18,AJ$3&lt;=$F18),1,"")</f>
        <v/>
      </c>
      <c r="AK18">
        <f>IF(AND(AK$3&gt;=$E18,AK$3&lt;=$F18),1,"")</f>
        <v/>
      </c>
      <c r="AL18">
        <f>IF(AND(AL$3&gt;=$E18,AL$3&lt;=$F18),1,"")</f>
        <v/>
      </c>
      <c r="AM18">
        <f>IF(AND(AM$3&gt;=$E18,AM$3&lt;=$F18),1,"")</f>
        <v/>
      </c>
      <c r="AN18">
        <f>IF(AND(AN$3&gt;=$E18,AN$3&lt;=$F18),1,"")</f>
        <v/>
      </c>
      <c r="AO18">
        <f>IF(AND(AO$3&gt;=$E18,AO$3&lt;=$F18),1,"")</f>
        <v/>
      </c>
      <c r="AP18">
        <f>IF(AND(AP$3&gt;=$E18,AP$3&lt;=$F18),1,"")</f>
        <v/>
      </c>
      <c r="AQ18">
        <f>IF(AND(AQ$3&gt;=$E18,AQ$3&lt;=$F18),1,"")</f>
        <v/>
      </c>
      <c r="AR18">
        <f>IF(AND(AR$3&gt;=$E18,AR$3&lt;=$F18),1,"")</f>
        <v/>
      </c>
      <c r="AS18">
        <f>IF(AND(AS$3&gt;=$E18,AS$3&lt;=$F18),1,"")</f>
        <v/>
      </c>
      <c r="AT18">
        <f>IF(AND(AT$3&gt;=$E18,AT$3&lt;=$F18),1,"")</f>
        <v/>
      </c>
      <c r="AU18">
        <f>IF(AND(AU$3&gt;=$E18,AU$3&lt;=$F18),1,"")</f>
        <v/>
      </c>
      <c r="AV18">
        <f>IF(AND(AV$3&gt;=$E18,AV$3&lt;=$F18),1,"")</f>
        <v/>
      </c>
      <c r="AW18">
        <f>IF(AND(AW$3&gt;=$E18,AW$3&lt;=$F18),1,"")</f>
        <v/>
      </c>
      <c r="AX18">
        <f>IF(AND(AX$3&gt;=$E18,AX$3&lt;=$F18),1,"")</f>
        <v/>
      </c>
      <c r="AY18">
        <f>IF(AND(AY$3&gt;=$E18,AY$3&lt;=$F18),1,"")</f>
        <v/>
      </c>
      <c r="AZ18">
        <f>IF(AND(AZ$3&gt;=$E18,AZ$3&lt;=$F18),1,"")</f>
        <v/>
      </c>
      <c r="BA18">
        <f>IF(AND(BA$3&gt;=$E18,BA$3&lt;=$F18),1,"")</f>
        <v/>
      </c>
      <c r="BB18">
        <f>IF(AND(BB$3&gt;=$E18,BB$3&lt;=$F18),1,"")</f>
        <v/>
      </c>
      <c r="BC18">
        <f>IF(AND(BC$3&gt;=$E18,BC$3&lt;=$F18),1,"")</f>
        <v/>
      </c>
      <c r="BD18">
        <f>IF(AND(BD$3&gt;=$E18,BD$3&lt;=$F18),1,"")</f>
        <v/>
      </c>
      <c r="BE18">
        <f>IF(AND(BE$3&gt;=$E18,BE$3&lt;=$F18),1,"")</f>
        <v/>
      </c>
      <c r="BF18">
        <f>IF(AND(BF$3&gt;=$E18,BF$3&lt;=$F18),1,"")</f>
        <v/>
      </c>
      <c r="BG18">
        <f>IF(AND(BG$3&gt;=$E18,BG$3&lt;=$F18),1,"")</f>
        <v/>
      </c>
      <c r="BH18">
        <f>IF(AND(BH$3&gt;=$E18,BH$3&lt;=$F18),1,"")</f>
        <v/>
      </c>
      <c r="BI18">
        <f>IF(AND(BI$3&gt;=$E18,BI$3&lt;=$F18),1,"")</f>
        <v/>
      </c>
      <c r="BJ18">
        <f>IF(AND(BJ$3&gt;=$E18,BJ$3&lt;=$F18),1,"")</f>
        <v/>
      </c>
      <c r="BK18">
        <f>IF(AND(BK$3&gt;=$E18,BK$3&lt;=$F18),1,"")</f>
        <v/>
      </c>
      <c r="BL18">
        <f>IF(AND(BL$3&gt;=$E18,BL$3&lt;=$F18),1,"")</f>
        <v/>
      </c>
      <c r="BM18">
        <f>IF(AND(BM$3&gt;=$E18,BM$3&lt;=$F18),1,"")</f>
        <v/>
      </c>
      <c r="BN18">
        <f>IF(AND(BN$3&gt;=$E18,BN$3&lt;=$F18),1,"")</f>
        <v/>
      </c>
      <c r="BO18">
        <f>IF(AND(BO$3&gt;=$E18,BO$3&lt;=$F18),1,"")</f>
        <v/>
      </c>
      <c r="BP18">
        <f>IF(AND(BP$3&gt;=$E18,BP$3&lt;=$F18),1,"")</f>
        <v/>
      </c>
      <c r="BQ18">
        <f>IF(AND(BQ$3&gt;=$E18,BQ$3&lt;=$F18),1,"")</f>
        <v/>
      </c>
      <c r="BR18">
        <f>IF(AND(BR$3&gt;=$E18,BR$3&lt;=$F18),1,"")</f>
        <v/>
      </c>
    </row>
    <row r="19">
      <c r="A19" t="inlineStr">
        <is>
          <t>RJ-116</t>
        </is>
      </c>
      <c r="B19" t="n">
        <v>15</v>
      </c>
      <c r="C19" t="inlineStr">
        <is>
          <t>CR2</t>
        </is>
      </c>
      <c r="D19">
        <f>IF($A19="","",IFERROR(CHOOSE(MATCH($C19,Settings!$L$4:$L$10,0),OPR_BR1!$B$2,OPR_BR2!$B$2,OPR_CR2!$B$2,OPR_CR3!$B$2,OPR_CR4!$B$2,OPR_RIM!$B$2,OPR_BPR!$B$2),1))</f>
        <v/>
      </c>
      <c r="E19" s="16" t="n">
        <v>46167.29166666666</v>
      </c>
      <c r="F19" s="16" t="n">
        <v>46241.29166666666</v>
      </c>
      <c r="G19" t="inlineStr">
        <is>
          <t>High</t>
        </is>
      </c>
      <c r="H19">
        <f>IF($A19="","",TEXT($F19,"MMM-YYYY"))</f>
        <v/>
      </c>
      <c r="I19" t="inlineStr">
        <is>
          <t>On Hold</t>
        </is>
      </c>
      <c r="J19" s="17">
        <f>IF($A19="","",$F19+30)</f>
        <v/>
      </c>
      <c r="K19" t="inlineStr">
        <is>
          <t>Sigma Mfg</t>
        </is>
      </c>
      <c r="L19">
        <f>IF(AND(L$3&gt;=$E19,L$3&lt;=$F19),1,"")</f>
        <v/>
      </c>
      <c r="M19">
        <f>IF(AND(M$3&gt;=$E19,M$3&lt;=$F19),1,"")</f>
        <v/>
      </c>
      <c r="N19">
        <f>IF(AND(N$3&gt;=$E19,N$3&lt;=$F19),1,"")</f>
        <v/>
      </c>
      <c r="O19">
        <f>IF(AND(O$3&gt;=$E19,O$3&lt;=$F19),1,"")</f>
        <v/>
      </c>
      <c r="P19">
        <f>IF(AND(P$3&gt;=$E19,P$3&lt;=$F19),1,"")</f>
        <v/>
      </c>
      <c r="Q19">
        <f>IF(AND(Q$3&gt;=$E19,Q$3&lt;=$F19),1,"")</f>
        <v/>
      </c>
      <c r="R19">
        <f>IF(AND(R$3&gt;=$E19,R$3&lt;=$F19),1,"")</f>
        <v/>
      </c>
      <c r="S19">
        <f>IF(AND(S$3&gt;=$E19,S$3&lt;=$F19),1,"")</f>
        <v/>
      </c>
      <c r="T19">
        <f>IF(AND(T$3&gt;=$E19,T$3&lt;=$F19),1,"")</f>
        <v/>
      </c>
      <c r="U19">
        <f>IF(AND(U$3&gt;=$E19,U$3&lt;=$F19),1,"")</f>
        <v/>
      </c>
      <c r="V19">
        <f>IF(AND(V$3&gt;=$E19,V$3&lt;=$F19),1,"")</f>
        <v/>
      </c>
      <c r="W19">
        <f>IF(AND(W$3&gt;=$E19,W$3&lt;=$F19),1,"")</f>
        <v/>
      </c>
      <c r="X19">
        <f>IF(AND(X$3&gt;=$E19,X$3&lt;=$F19),1,"")</f>
        <v/>
      </c>
      <c r="Y19">
        <f>IF(AND(Y$3&gt;=$E19,Y$3&lt;=$F19),1,"")</f>
        <v/>
      </c>
      <c r="Z19">
        <f>IF(AND(Z$3&gt;=$E19,Z$3&lt;=$F19),1,"")</f>
        <v/>
      </c>
      <c r="AA19">
        <f>IF(AND(AA$3&gt;=$E19,AA$3&lt;=$F19),1,"")</f>
        <v/>
      </c>
      <c r="AB19">
        <f>IF(AND(AB$3&gt;=$E19,AB$3&lt;=$F19),1,"")</f>
        <v/>
      </c>
      <c r="AC19">
        <f>IF(AND(AC$3&gt;=$E19,AC$3&lt;=$F19),1,"")</f>
        <v/>
      </c>
      <c r="AD19">
        <f>IF(AND(AD$3&gt;=$E19,AD$3&lt;=$F19),1,"")</f>
        <v/>
      </c>
      <c r="AE19">
        <f>IF(AND(AE$3&gt;=$E19,AE$3&lt;=$F19),1,"")</f>
        <v/>
      </c>
      <c r="AF19">
        <f>IF(AND(AF$3&gt;=$E19,AF$3&lt;=$F19),1,"")</f>
        <v/>
      </c>
      <c r="AG19">
        <f>IF(AND(AG$3&gt;=$E19,AG$3&lt;=$F19),1,"")</f>
        <v/>
      </c>
      <c r="AH19">
        <f>IF(AND(AH$3&gt;=$E19,AH$3&lt;=$F19),1,"")</f>
        <v/>
      </c>
      <c r="AI19">
        <f>IF(AND(AI$3&gt;=$E19,AI$3&lt;=$F19),1,"")</f>
        <v/>
      </c>
      <c r="AJ19">
        <f>IF(AND(AJ$3&gt;=$E19,AJ$3&lt;=$F19),1,"")</f>
        <v/>
      </c>
      <c r="AK19">
        <f>IF(AND(AK$3&gt;=$E19,AK$3&lt;=$F19),1,"")</f>
        <v/>
      </c>
      <c r="AL19">
        <f>IF(AND(AL$3&gt;=$E19,AL$3&lt;=$F19),1,"")</f>
        <v/>
      </c>
      <c r="AM19">
        <f>IF(AND(AM$3&gt;=$E19,AM$3&lt;=$F19),1,"")</f>
        <v/>
      </c>
      <c r="AN19">
        <f>IF(AND(AN$3&gt;=$E19,AN$3&lt;=$F19),1,"")</f>
        <v/>
      </c>
      <c r="AO19">
        <f>IF(AND(AO$3&gt;=$E19,AO$3&lt;=$F19),1,"")</f>
        <v/>
      </c>
      <c r="AP19">
        <f>IF(AND(AP$3&gt;=$E19,AP$3&lt;=$F19),1,"")</f>
        <v/>
      </c>
      <c r="AQ19">
        <f>IF(AND(AQ$3&gt;=$E19,AQ$3&lt;=$F19),1,"")</f>
        <v/>
      </c>
      <c r="AR19">
        <f>IF(AND(AR$3&gt;=$E19,AR$3&lt;=$F19),1,"")</f>
        <v/>
      </c>
      <c r="AS19">
        <f>IF(AND(AS$3&gt;=$E19,AS$3&lt;=$F19),1,"")</f>
        <v/>
      </c>
      <c r="AT19">
        <f>IF(AND(AT$3&gt;=$E19,AT$3&lt;=$F19),1,"")</f>
        <v/>
      </c>
      <c r="AU19">
        <f>IF(AND(AU$3&gt;=$E19,AU$3&lt;=$F19),1,"")</f>
        <v/>
      </c>
      <c r="AV19">
        <f>IF(AND(AV$3&gt;=$E19,AV$3&lt;=$F19),1,"")</f>
        <v/>
      </c>
      <c r="AW19">
        <f>IF(AND(AW$3&gt;=$E19,AW$3&lt;=$F19),1,"")</f>
        <v/>
      </c>
      <c r="AX19">
        <f>IF(AND(AX$3&gt;=$E19,AX$3&lt;=$F19),1,"")</f>
        <v/>
      </c>
      <c r="AY19">
        <f>IF(AND(AY$3&gt;=$E19,AY$3&lt;=$F19),1,"")</f>
        <v/>
      </c>
      <c r="AZ19">
        <f>IF(AND(AZ$3&gt;=$E19,AZ$3&lt;=$F19),1,"")</f>
        <v/>
      </c>
      <c r="BA19">
        <f>IF(AND(BA$3&gt;=$E19,BA$3&lt;=$F19),1,"")</f>
        <v/>
      </c>
      <c r="BB19">
        <f>IF(AND(BB$3&gt;=$E19,BB$3&lt;=$F19),1,"")</f>
        <v/>
      </c>
      <c r="BC19">
        <f>IF(AND(BC$3&gt;=$E19,BC$3&lt;=$F19),1,"")</f>
        <v/>
      </c>
      <c r="BD19">
        <f>IF(AND(BD$3&gt;=$E19,BD$3&lt;=$F19),1,"")</f>
        <v/>
      </c>
      <c r="BE19">
        <f>IF(AND(BE$3&gt;=$E19,BE$3&lt;=$F19),1,"")</f>
        <v/>
      </c>
      <c r="BF19">
        <f>IF(AND(BF$3&gt;=$E19,BF$3&lt;=$F19),1,"")</f>
        <v/>
      </c>
      <c r="BG19">
        <f>IF(AND(BG$3&gt;=$E19,BG$3&lt;=$F19),1,"")</f>
        <v/>
      </c>
      <c r="BH19">
        <f>IF(AND(BH$3&gt;=$E19,BH$3&lt;=$F19),1,"")</f>
        <v/>
      </c>
      <c r="BI19">
        <f>IF(AND(BI$3&gt;=$E19,BI$3&lt;=$F19),1,"")</f>
        <v/>
      </c>
      <c r="BJ19">
        <f>IF(AND(BJ$3&gt;=$E19,BJ$3&lt;=$F19),1,"")</f>
        <v/>
      </c>
      <c r="BK19">
        <f>IF(AND(BK$3&gt;=$E19,BK$3&lt;=$F19),1,"")</f>
        <v/>
      </c>
      <c r="BL19">
        <f>IF(AND(BL$3&gt;=$E19,BL$3&lt;=$F19),1,"")</f>
        <v/>
      </c>
      <c r="BM19">
        <f>IF(AND(BM$3&gt;=$E19,BM$3&lt;=$F19),1,"")</f>
        <v/>
      </c>
      <c r="BN19">
        <f>IF(AND(BN$3&gt;=$E19,BN$3&lt;=$F19),1,"")</f>
        <v/>
      </c>
      <c r="BO19">
        <f>IF(AND(BO$3&gt;=$E19,BO$3&lt;=$F19),1,"")</f>
        <v/>
      </c>
      <c r="BP19">
        <f>IF(AND(BP$3&gt;=$E19,BP$3&lt;=$F19),1,"")</f>
        <v/>
      </c>
      <c r="BQ19">
        <f>IF(AND(BQ$3&gt;=$E19,BQ$3&lt;=$F19),1,"")</f>
        <v/>
      </c>
      <c r="BR19">
        <f>IF(AND(BR$3&gt;=$E19,BR$3&lt;=$F19),1,"")</f>
        <v/>
      </c>
    </row>
    <row r="20">
      <c r="A20" t="inlineStr">
        <is>
          <t>RJ-117</t>
        </is>
      </c>
      <c r="B20" t="n">
        <v>46</v>
      </c>
      <c r="C20" t="inlineStr">
        <is>
          <t>BR2</t>
        </is>
      </c>
      <c r="D20">
        <f>IF($A20="","",IFERROR(CHOOSE(MATCH($C20,Settings!$L$4:$L$10,0),OPR_BR1!$B$2,OPR_BR2!$B$2,OPR_CR2!$B$2,OPR_CR3!$B$2,OPR_CR4!$B$2,OPR_RIM!$B$2,OPR_BPR!$B$2),1))</f>
        <v/>
      </c>
      <c r="E20" s="16" t="n">
        <v>46143.29166666666</v>
      </c>
      <c r="F20" s="16" t="n">
        <v>46202.29166666666</v>
      </c>
      <c r="G20" t="inlineStr">
        <is>
          <t>Low</t>
        </is>
      </c>
      <c r="H20">
        <f>IF($A20="","",TEXT($F20,"MMM-YYYY"))</f>
        <v/>
      </c>
      <c r="I20" t="inlineStr">
        <is>
          <t>On Hold</t>
        </is>
      </c>
      <c r="J20" s="17">
        <f>IF($A20="","",$F20+30)</f>
        <v/>
      </c>
      <c r="K20" t="inlineStr">
        <is>
          <t>Alpha Corp</t>
        </is>
      </c>
      <c r="L20">
        <f>IF(AND(L$3&gt;=$E20,L$3&lt;=$F20),1,"")</f>
        <v/>
      </c>
      <c r="M20">
        <f>IF(AND(M$3&gt;=$E20,M$3&lt;=$F20),1,"")</f>
        <v/>
      </c>
      <c r="N20">
        <f>IF(AND(N$3&gt;=$E20,N$3&lt;=$F20),1,"")</f>
        <v/>
      </c>
      <c r="O20">
        <f>IF(AND(O$3&gt;=$E20,O$3&lt;=$F20),1,"")</f>
        <v/>
      </c>
      <c r="P20">
        <f>IF(AND(P$3&gt;=$E20,P$3&lt;=$F20),1,"")</f>
        <v/>
      </c>
      <c r="Q20">
        <f>IF(AND(Q$3&gt;=$E20,Q$3&lt;=$F20),1,"")</f>
        <v/>
      </c>
      <c r="R20">
        <f>IF(AND(R$3&gt;=$E20,R$3&lt;=$F20),1,"")</f>
        <v/>
      </c>
      <c r="S20">
        <f>IF(AND(S$3&gt;=$E20,S$3&lt;=$F20),1,"")</f>
        <v/>
      </c>
      <c r="T20">
        <f>IF(AND(T$3&gt;=$E20,T$3&lt;=$F20),1,"")</f>
        <v/>
      </c>
      <c r="U20">
        <f>IF(AND(U$3&gt;=$E20,U$3&lt;=$F20),1,"")</f>
        <v/>
      </c>
      <c r="V20">
        <f>IF(AND(V$3&gt;=$E20,V$3&lt;=$F20),1,"")</f>
        <v/>
      </c>
      <c r="W20">
        <f>IF(AND(W$3&gt;=$E20,W$3&lt;=$F20),1,"")</f>
        <v/>
      </c>
      <c r="X20">
        <f>IF(AND(X$3&gt;=$E20,X$3&lt;=$F20),1,"")</f>
        <v/>
      </c>
      <c r="Y20">
        <f>IF(AND(Y$3&gt;=$E20,Y$3&lt;=$F20),1,"")</f>
        <v/>
      </c>
      <c r="Z20">
        <f>IF(AND(Z$3&gt;=$E20,Z$3&lt;=$F20),1,"")</f>
        <v/>
      </c>
      <c r="AA20">
        <f>IF(AND(AA$3&gt;=$E20,AA$3&lt;=$F20),1,"")</f>
        <v/>
      </c>
      <c r="AB20">
        <f>IF(AND(AB$3&gt;=$E20,AB$3&lt;=$F20),1,"")</f>
        <v/>
      </c>
      <c r="AC20">
        <f>IF(AND(AC$3&gt;=$E20,AC$3&lt;=$F20),1,"")</f>
        <v/>
      </c>
      <c r="AD20">
        <f>IF(AND(AD$3&gt;=$E20,AD$3&lt;=$F20),1,"")</f>
        <v/>
      </c>
      <c r="AE20">
        <f>IF(AND(AE$3&gt;=$E20,AE$3&lt;=$F20),1,"")</f>
        <v/>
      </c>
      <c r="AF20">
        <f>IF(AND(AF$3&gt;=$E20,AF$3&lt;=$F20),1,"")</f>
        <v/>
      </c>
      <c r="AG20">
        <f>IF(AND(AG$3&gt;=$E20,AG$3&lt;=$F20),1,"")</f>
        <v/>
      </c>
      <c r="AH20">
        <f>IF(AND(AH$3&gt;=$E20,AH$3&lt;=$F20),1,"")</f>
        <v/>
      </c>
      <c r="AI20">
        <f>IF(AND(AI$3&gt;=$E20,AI$3&lt;=$F20),1,"")</f>
        <v/>
      </c>
      <c r="AJ20">
        <f>IF(AND(AJ$3&gt;=$E20,AJ$3&lt;=$F20),1,"")</f>
        <v/>
      </c>
      <c r="AK20">
        <f>IF(AND(AK$3&gt;=$E20,AK$3&lt;=$F20),1,"")</f>
        <v/>
      </c>
      <c r="AL20">
        <f>IF(AND(AL$3&gt;=$E20,AL$3&lt;=$F20),1,"")</f>
        <v/>
      </c>
      <c r="AM20">
        <f>IF(AND(AM$3&gt;=$E20,AM$3&lt;=$F20),1,"")</f>
        <v/>
      </c>
      <c r="AN20">
        <f>IF(AND(AN$3&gt;=$E20,AN$3&lt;=$F20),1,"")</f>
        <v/>
      </c>
      <c r="AO20">
        <f>IF(AND(AO$3&gt;=$E20,AO$3&lt;=$F20),1,"")</f>
        <v/>
      </c>
      <c r="AP20">
        <f>IF(AND(AP$3&gt;=$E20,AP$3&lt;=$F20),1,"")</f>
        <v/>
      </c>
      <c r="AQ20">
        <f>IF(AND(AQ$3&gt;=$E20,AQ$3&lt;=$F20),1,"")</f>
        <v/>
      </c>
      <c r="AR20">
        <f>IF(AND(AR$3&gt;=$E20,AR$3&lt;=$F20),1,"")</f>
        <v/>
      </c>
      <c r="AS20">
        <f>IF(AND(AS$3&gt;=$E20,AS$3&lt;=$F20),1,"")</f>
        <v/>
      </c>
      <c r="AT20">
        <f>IF(AND(AT$3&gt;=$E20,AT$3&lt;=$F20),1,"")</f>
        <v/>
      </c>
      <c r="AU20">
        <f>IF(AND(AU$3&gt;=$E20,AU$3&lt;=$F20),1,"")</f>
        <v/>
      </c>
      <c r="AV20">
        <f>IF(AND(AV$3&gt;=$E20,AV$3&lt;=$F20),1,"")</f>
        <v/>
      </c>
      <c r="AW20">
        <f>IF(AND(AW$3&gt;=$E20,AW$3&lt;=$F20),1,"")</f>
        <v/>
      </c>
      <c r="AX20">
        <f>IF(AND(AX$3&gt;=$E20,AX$3&lt;=$F20),1,"")</f>
        <v/>
      </c>
      <c r="AY20">
        <f>IF(AND(AY$3&gt;=$E20,AY$3&lt;=$F20),1,"")</f>
        <v/>
      </c>
      <c r="AZ20">
        <f>IF(AND(AZ$3&gt;=$E20,AZ$3&lt;=$F20),1,"")</f>
        <v/>
      </c>
      <c r="BA20">
        <f>IF(AND(BA$3&gt;=$E20,BA$3&lt;=$F20),1,"")</f>
        <v/>
      </c>
      <c r="BB20">
        <f>IF(AND(BB$3&gt;=$E20,BB$3&lt;=$F20),1,"")</f>
        <v/>
      </c>
      <c r="BC20">
        <f>IF(AND(BC$3&gt;=$E20,BC$3&lt;=$F20),1,"")</f>
        <v/>
      </c>
      <c r="BD20">
        <f>IF(AND(BD$3&gt;=$E20,BD$3&lt;=$F20),1,"")</f>
        <v/>
      </c>
      <c r="BE20">
        <f>IF(AND(BE$3&gt;=$E20,BE$3&lt;=$F20),1,"")</f>
        <v/>
      </c>
      <c r="BF20">
        <f>IF(AND(BF$3&gt;=$E20,BF$3&lt;=$F20),1,"")</f>
        <v/>
      </c>
      <c r="BG20">
        <f>IF(AND(BG$3&gt;=$E20,BG$3&lt;=$F20),1,"")</f>
        <v/>
      </c>
      <c r="BH20">
        <f>IF(AND(BH$3&gt;=$E20,BH$3&lt;=$F20),1,"")</f>
        <v/>
      </c>
      <c r="BI20">
        <f>IF(AND(BI$3&gt;=$E20,BI$3&lt;=$F20),1,"")</f>
        <v/>
      </c>
      <c r="BJ20">
        <f>IF(AND(BJ$3&gt;=$E20,BJ$3&lt;=$F20),1,"")</f>
        <v/>
      </c>
      <c r="BK20">
        <f>IF(AND(BK$3&gt;=$E20,BK$3&lt;=$F20),1,"")</f>
        <v/>
      </c>
      <c r="BL20">
        <f>IF(AND(BL$3&gt;=$E20,BL$3&lt;=$F20),1,"")</f>
        <v/>
      </c>
      <c r="BM20">
        <f>IF(AND(BM$3&gt;=$E20,BM$3&lt;=$F20),1,"")</f>
        <v/>
      </c>
      <c r="BN20">
        <f>IF(AND(BN$3&gt;=$E20,BN$3&lt;=$F20),1,"")</f>
        <v/>
      </c>
      <c r="BO20">
        <f>IF(AND(BO$3&gt;=$E20,BO$3&lt;=$F20),1,"")</f>
        <v/>
      </c>
      <c r="BP20">
        <f>IF(AND(BP$3&gt;=$E20,BP$3&lt;=$F20),1,"")</f>
        <v/>
      </c>
      <c r="BQ20">
        <f>IF(AND(BQ$3&gt;=$E20,BQ$3&lt;=$F20),1,"")</f>
        <v/>
      </c>
      <c r="BR20">
        <f>IF(AND(BR$3&gt;=$E20,BR$3&lt;=$F20),1,"")</f>
        <v/>
      </c>
    </row>
    <row r="21">
      <c r="A21" t="inlineStr">
        <is>
          <t>RJ-118</t>
        </is>
      </c>
      <c r="B21" t="n">
        <v>63</v>
      </c>
      <c r="C21" t="inlineStr">
        <is>
          <t>CR3</t>
        </is>
      </c>
      <c r="D21">
        <f>IF($A21="","",IFERROR(CHOOSE(MATCH($C21,Settings!$L$4:$L$10,0),OPR_BR1!$B$2,OPR_BR2!$B$2,OPR_CR2!$B$2,OPR_CR3!$B$2,OPR_CR4!$B$2,OPR_RIM!$B$2,OPR_BPR!$B$2),1))</f>
        <v/>
      </c>
      <c r="E21" s="16" t="n">
        <v>46184.29166666666</v>
      </c>
      <c r="F21" s="16" t="n">
        <v>46198.29166666666</v>
      </c>
      <c r="G21" t="inlineStr">
        <is>
          <t>Medium</t>
        </is>
      </c>
      <c r="H21">
        <f>IF($A21="","",TEXT($F21,"MMM-YYYY"))</f>
        <v/>
      </c>
      <c r="I21" t="inlineStr">
        <is>
          <t>Cancelled</t>
        </is>
      </c>
      <c r="J21" s="17">
        <f>IF($A21="","",$F21+30)</f>
        <v/>
      </c>
      <c r="K21" t="inlineStr">
        <is>
          <t>Gamma Inc</t>
        </is>
      </c>
      <c r="L21">
        <f>IF(AND(L$3&gt;=$E21,L$3&lt;=$F21),1,"")</f>
        <v/>
      </c>
      <c r="M21">
        <f>IF(AND(M$3&gt;=$E21,M$3&lt;=$F21),1,"")</f>
        <v/>
      </c>
      <c r="N21">
        <f>IF(AND(N$3&gt;=$E21,N$3&lt;=$F21),1,"")</f>
        <v/>
      </c>
      <c r="O21">
        <f>IF(AND(O$3&gt;=$E21,O$3&lt;=$F21),1,"")</f>
        <v/>
      </c>
      <c r="P21">
        <f>IF(AND(P$3&gt;=$E21,P$3&lt;=$F21),1,"")</f>
        <v/>
      </c>
      <c r="Q21">
        <f>IF(AND(Q$3&gt;=$E21,Q$3&lt;=$F21),1,"")</f>
        <v/>
      </c>
      <c r="R21">
        <f>IF(AND(R$3&gt;=$E21,R$3&lt;=$F21),1,"")</f>
        <v/>
      </c>
      <c r="S21">
        <f>IF(AND(S$3&gt;=$E21,S$3&lt;=$F21),1,"")</f>
        <v/>
      </c>
      <c r="T21">
        <f>IF(AND(T$3&gt;=$E21,T$3&lt;=$F21),1,"")</f>
        <v/>
      </c>
      <c r="U21">
        <f>IF(AND(U$3&gt;=$E21,U$3&lt;=$F21),1,"")</f>
        <v/>
      </c>
      <c r="V21">
        <f>IF(AND(V$3&gt;=$E21,V$3&lt;=$F21),1,"")</f>
        <v/>
      </c>
      <c r="W21">
        <f>IF(AND(W$3&gt;=$E21,W$3&lt;=$F21),1,"")</f>
        <v/>
      </c>
      <c r="X21">
        <f>IF(AND(X$3&gt;=$E21,X$3&lt;=$F21),1,"")</f>
        <v/>
      </c>
      <c r="Y21">
        <f>IF(AND(Y$3&gt;=$E21,Y$3&lt;=$F21),1,"")</f>
        <v/>
      </c>
      <c r="Z21">
        <f>IF(AND(Z$3&gt;=$E21,Z$3&lt;=$F21),1,"")</f>
        <v/>
      </c>
      <c r="AA21">
        <f>IF(AND(AA$3&gt;=$E21,AA$3&lt;=$F21),1,"")</f>
        <v/>
      </c>
      <c r="AB21">
        <f>IF(AND(AB$3&gt;=$E21,AB$3&lt;=$F21),1,"")</f>
        <v/>
      </c>
      <c r="AC21">
        <f>IF(AND(AC$3&gt;=$E21,AC$3&lt;=$F21),1,"")</f>
        <v/>
      </c>
      <c r="AD21">
        <f>IF(AND(AD$3&gt;=$E21,AD$3&lt;=$F21),1,"")</f>
        <v/>
      </c>
      <c r="AE21">
        <f>IF(AND(AE$3&gt;=$E21,AE$3&lt;=$F21),1,"")</f>
        <v/>
      </c>
      <c r="AF21">
        <f>IF(AND(AF$3&gt;=$E21,AF$3&lt;=$F21),1,"")</f>
        <v/>
      </c>
      <c r="AG21">
        <f>IF(AND(AG$3&gt;=$E21,AG$3&lt;=$F21),1,"")</f>
        <v/>
      </c>
      <c r="AH21">
        <f>IF(AND(AH$3&gt;=$E21,AH$3&lt;=$F21),1,"")</f>
        <v/>
      </c>
      <c r="AI21">
        <f>IF(AND(AI$3&gt;=$E21,AI$3&lt;=$F21),1,"")</f>
        <v/>
      </c>
      <c r="AJ21">
        <f>IF(AND(AJ$3&gt;=$E21,AJ$3&lt;=$F21),1,"")</f>
        <v/>
      </c>
      <c r="AK21">
        <f>IF(AND(AK$3&gt;=$E21,AK$3&lt;=$F21),1,"")</f>
        <v/>
      </c>
      <c r="AL21">
        <f>IF(AND(AL$3&gt;=$E21,AL$3&lt;=$F21),1,"")</f>
        <v/>
      </c>
      <c r="AM21">
        <f>IF(AND(AM$3&gt;=$E21,AM$3&lt;=$F21),1,"")</f>
        <v/>
      </c>
      <c r="AN21">
        <f>IF(AND(AN$3&gt;=$E21,AN$3&lt;=$F21),1,"")</f>
        <v/>
      </c>
      <c r="AO21">
        <f>IF(AND(AO$3&gt;=$E21,AO$3&lt;=$F21),1,"")</f>
        <v/>
      </c>
      <c r="AP21">
        <f>IF(AND(AP$3&gt;=$E21,AP$3&lt;=$F21),1,"")</f>
        <v/>
      </c>
      <c r="AQ21">
        <f>IF(AND(AQ$3&gt;=$E21,AQ$3&lt;=$F21),1,"")</f>
        <v/>
      </c>
      <c r="AR21">
        <f>IF(AND(AR$3&gt;=$E21,AR$3&lt;=$F21),1,"")</f>
        <v/>
      </c>
      <c r="AS21">
        <f>IF(AND(AS$3&gt;=$E21,AS$3&lt;=$F21),1,"")</f>
        <v/>
      </c>
      <c r="AT21">
        <f>IF(AND(AT$3&gt;=$E21,AT$3&lt;=$F21),1,"")</f>
        <v/>
      </c>
      <c r="AU21">
        <f>IF(AND(AU$3&gt;=$E21,AU$3&lt;=$F21),1,"")</f>
        <v/>
      </c>
      <c r="AV21">
        <f>IF(AND(AV$3&gt;=$E21,AV$3&lt;=$F21),1,"")</f>
        <v/>
      </c>
      <c r="AW21">
        <f>IF(AND(AW$3&gt;=$E21,AW$3&lt;=$F21),1,"")</f>
        <v/>
      </c>
      <c r="AX21">
        <f>IF(AND(AX$3&gt;=$E21,AX$3&lt;=$F21),1,"")</f>
        <v/>
      </c>
      <c r="AY21">
        <f>IF(AND(AY$3&gt;=$E21,AY$3&lt;=$F21),1,"")</f>
        <v/>
      </c>
      <c r="AZ21">
        <f>IF(AND(AZ$3&gt;=$E21,AZ$3&lt;=$F21),1,"")</f>
        <v/>
      </c>
      <c r="BA21">
        <f>IF(AND(BA$3&gt;=$E21,BA$3&lt;=$F21),1,"")</f>
        <v/>
      </c>
      <c r="BB21">
        <f>IF(AND(BB$3&gt;=$E21,BB$3&lt;=$F21),1,"")</f>
        <v/>
      </c>
      <c r="BC21">
        <f>IF(AND(BC$3&gt;=$E21,BC$3&lt;=$F21),1,"")</f>
        <v/>
      </c>
      <c r="BD21">
        <f>IF(AND(BD$3&gt;=$E21,BD$3&lt;=$F21),1,"")</f>
        <v/>
      </c>
      <c r="BE21">
        <f>IF(AND(BE$3&gt;=$E21,BE$3&lt;=$F21),1,"")</f>
        <v/>
      </c>
      <c r="BF21">
        <f>IF(AND(BF$3&gt;=$E21,BF$3&lt;=$F21),1,"")</f>
        <v/>
      </c>
      <c r="BG21">
        <f>IF(AND(BG$3&gt;=$E21,BG$3&lt;=$F21),1,"")</f>
        <v/>
      </c>
      <c r="BH21">
        <f>IF(AND(BH$3&gt;=$E21,BH$3&lt;=$F21),1,"")</f>
        <v/>
      </c>
      <c r="BI21">
        <f>IF(AND(BI$3&gt;=$E21,BI$3&lt;=$F21),1,"")</f>
        <v/>
      </c>
      <c r="BJ21">
        <f>IF(AND(BJ$3&gt;=$E21,BJ$3&lt;=$F21),1,"")</f>
        <v/>
      </c>
      <c r="BK21">
        <f>IF(AND(BK$3&gt;=$E21,BK$3&lt;=$F21),1,"")</f>
        <v/>
      </c>
      <c r="BL21">
        <f>IF(AND(BL$3&gt;=$E21,BL$3&lt;=$F21),1,"")</f>
        <v/>
      </c>
      <c r="BM21">
        <f>IF(AND(BM$3&gt;=$E21,BM$3&lt;=$F21),1,"")</f>
        <v/>
      </c>
      <c r="BN21">
        <f>IF(AND(BN$3&gt;=$E21,BN$3&lt;=$F21),1,"")</f>
        <v/>
      </c>
      <c r="BO21">
        <f>IF(AND(BO$3&gt;=$E21,BO$3&lt;=$F21),1,"")</f>
        <v/>
      </c>
      <c r="BP21">
        <f>IF(AND(BP$3&gt;=$E21,BP$3&lt;=$F21),1,"")</f>
        <v/>
      </c>
      <c r="BQ21">
        <f>IF(AND(BQ$3&gt;=$E21,BQ$3&lt;=$F21),1,"")</f>
        <v/>
      </c>
      <c r="BR21">
        <f>IF(AND(BR$3&gt;=$E21,BR$3&lt;=$F21),1,"")</f>
        <v/>
      </c>
    </row>
    <row r="22">
      <c r="A22" t="inlineStr">
        <is>
          <t>RJ-119</t>
        </is>
      </c>
      <c r="B22" t="n">
        <v>9</v>
      </c>
      <c r="C22" t="inlineStr">
        <is>
          <t>CR2</t>
        </is>
      </c>
      <c r="D22">
        <f>IF($A22="","",IFERROR(CHOOSE(MATCH($C22,Settings!$L$4:$L$10,0),OPR_BR1!$B$2,OPR_BR2!$B$2,OPR_CR2!$B$2,OPR_CR3!$B$2,OPR_CR4!$B$2,OPR_RIM!$B$2,OPR_BPR!$B$2),1))</f>
        <v/>
      </c>
      <c r="E22" s="16" t="n">
        <v>46175.29166666666</v>
      </c>
      <c r="F22" s="16" t="n">
        <v>46230.29166666666</v>
      </c>
      <c r="G22" t="inlineStr">
        <is>
          <t>Low</t>
        </is>
      </c>
      <c r="H22">
        <f>IF($A22="","",TEXT($F22,"MMM-YYYY"))</f>
        <v/>
      </c>
      <c r="I22" t="inlineStr">
        <is>
          <t>Cancelled</t>
        </is>
      </c>
      <c r="J22" s="17">
        <f>IF($A22="","",$F22+30)</f>
        <v/>
      </c>
      <c r="K22" t="inlineStr">
        <is>
          <t>Beta Ltd</t>
        </is>
      </c>
      <c r="L22">
        <f>IF(AND(L$3&gt;=$E22,L$3&lt;=$F22),1,"")</f>
        <v/>
      </c>
      <c r="M22">
        <f>IF(AND(M$3&gt;=$E22,M$3&lt;=$F22),1,"")</f>
        <v/>
      </c>
      <c r="N22">
        <f>IF(AND(N$3&gt;=$E22,N$3&lt;=$F22),1,"")</f>
        <v/>
      </c>
      <c r="O22">
        <f>IF(AND(O$3&gt;=$E22,O$3&lt;=$F22),1,"")</f>
        <v/>
      </c>
      <c r="P22">
        <f>IF(AND(P$3&gt;=$E22,P$3&lt;=$F22),1,"")</f>
        <v/>
      </c>
      <c r="Q22">
        <f>IF(AND(Q$3&gt;=$E22,Q$3&lt;=$F22),1,"")</f>
        <v/>
      </c>
      <c r="R22">
        <f>IF(AND(R$3&gt;=$E22,R$3&lt;=$F22),1,"")</f>
        <v/>
      </c>
      <c r="S22">
        <f>IF(AND(S$3&gt;=$E22,S$3&lt;=$F22),1,"")</f>
        <v/>
      </c>
      <c r="T22">
        <f>IF(AND(T$3&gt;=$E22,T$3&lt;=$F22),1,"")</f>
        <v/>
      </c>
      <c r="U22">
        <f>IF(AND(U$3&gt;=$E22,U$3&lt;=$F22),1,"")</f>
        <v/>
      </c>
      <c r="V22">
        <f>IF(AND(V$3&gt;=$E22,V$3&lt;=$F22),1,"")</f>
        <v/>
      </c>
      <c r="W22">
        <f>IF(AND(W$3&gt;=$E22,W$3&lt;=$F22),1,"")</f>
        <v/>
      </c>
      <c r="X22">
        <f>IF(AND(X$3&gt;=$E22,X$3&lt;=$F22),1,"")</f>
        <v/>
      </c>
      <c r="Y22">
        <f>IF(AND(Y$3&gt;=$E22,Y$3&lt;=$F22),1,"")</f>
        <v/>
      </c>
      <c r="Z22">
        <f>IF(AND(Z$3&gt;=$E22,Z$3&lt;=$F22),1,"")</f>
        <v/>
      </c>
      <c r="AA22">
        <f>IF(AND(AA$3&gt;=$E22,AA$3&lt;=$F22),1,"")</f>
        <v/>
      </c>
      <c r="AB22">
        <f>IF(AND(AB$3&gt;=$E22,AB$3&lt;=$F22),1,"")</f>
        <v/>
      </c>
      <c r="AC22">
        <f>IF(AND(AC$3&gt;=$E22,AC$3&lt;=$F22),1,"")</f>
        <v/>
      </c>
      <c r="AD22">
        <f>IF(AND(AD$3&gt;=$E22,AD$3&lt;=$F22),1,"")</f>
        <v/>
      </c>
      <c r="AE22">
        <f>IF(AND(AE$3&gt;=$E22,AE$3&lt;=$F22),1,"")</f>
        <v/>
      </c>
      <c r="AF22">
        <f>IF(AND(AF$3&gt;=$E22,AF$3&lt;=$F22),1,"")</f>
        <v/>
      </c>
      <c r="AG22">
        <f>IF(AND(AG$3&gt;=$E22,AG$3&lt;=$F22),1,"")</f>
        <v/>
      </c>
      <c r="AH22">
        <f>IF(AND(AH$3&gt;=$E22,AH$3&lt;=$F22),1,"")</f>
        <v/>
      </c>
      <c r="AI22">
        <f>IF(AND(AI$3&gt;=$E22,AI$3&lt;=$F22),1,"")</f>
        <v/>
      </c>
      <c r="AJ22">
        <f>IF(AND(AJ$3&gt;=$E22,AJ$3&lt;=$F22),1,"")</f>
        <v/>
      </c>
      <c r="AK22">
        <f>IF(AND(AK$3&gt;=$E22,AK$3&lt;=$F22),1,"")</f>
        <v/>
      </c>
      <c r="AL22">
        <f>IF(AND(AL$3&gt;=$E22,AL$3&lt;=$F22),1,"")</f>
        <v/>
      </c>
      <c r="AM22">
        <f>IF(AND(AM$3&gt;=$E22,AM$3&lt;=$F22),1,"")</f>
        <v/>
      </c>
      <c r="AN22">
        <f>IF(AND(AN$3&gt;=$E22,AN$3&lt;=$F22),1,"")</f>
        <v/>
      </c>
      <c r="AO22">
        <f>IF(AND(AO$3&gt;=$E22,AO$3&lt;=$F22),1,"")</f>
        <v/>
      </c>
      <c r="AP22">
        <f>IF(AND(AP$3&gt;=$E22,AP$3&lt;=$F22),1,"")</f>
        <v/>
      </c>
      <c r="AQ22">
        <f>IF(AND(AQ$3&gt;=$E22,AQ$3&lt;=$F22),1,"")</f>
        <v/>
      </c>
      <c r="AR22">
        <f>IF(AND(AR$3&gt;=$E22,AR$3&lt;=$F22),1,"")</f>
        <v/>
      </c>
      <c r="AS22">
        <f>IF(AND(AS$3&gt;=$E22,AS$3&lt;=$F22),1,"")</f>
        <v/>
      </c>
      <c r="AT22">
        <f>IF(AND(AT$3&gt;=$E22,AT$3&lt;=$F22),1,"")</f>
        <v/>
      </c>
      <c r="AU22">
        <f>IF(AND(AU$3&gt;=$E22,AU$3&lt;=$F22),1,"")</f>
        <v/>
      </c>
      <c r="AV22">
        <f>IF(AND(AV$3&gt;=$E22,AV$3&lt;=$F22),1,"")</f>
        <v/>
      </c>
      <c r="AW22">
        <f>IF(AND(AW$3&gt;=$E22,AW$3&lt;=$F22),1,"")</f>
        <v/>
      </c>
      <c r="AX22">
        <f>IF(AND(AX$3&gt;=$E22,AX$3&lt;=$F22),1,"")</f>
        <v/>
      </c>
      <c r="AY22">
        <f>IF(AND(AY$3&gt;=$E22,AY$3&lt;=$F22),1,"")</f>
        <v/>
      </c>
      <c r="AZ22">
        <f>IF(AND(AZ$3&gt;=$E22,AZ$3&lt;=$F22),1,"")</f>
        <v/>
      </c>
      <c r="BA22">
        <f>IF(AND(BA$3&gt;=$E22,BA$3&lt;=$F22),1,"")</f>
        <v/>
      </c>
      <c r="BB22">
        <f>IF(AND(BB$3&gt;=$E22,BB$3&lt;=$F22),1,"")</f>
        <v/>
      </c>
      <c r="BC22">
        <f>IF(AND(BC$3&gt;=$E22,BC$3&lt;=$F22),1,"")</f>
        <v/>
      </c>
      <c r="BD22">
        <f>IF(AND(BD$3&gt;=$E22,BD$3&lt;=$F22),1,"")</f>
        <v/>
      </c>
      <c r="BE22">
        <f>IF(AND(BE$3&gt;=$E22,BE$3&lt;=$F22),1,"")</f>
        <v/>
      </c>
      <c r="BF22">
        <f>IF(AND(BF$3&gt;=$E22,BF$3&lt;=$F22),1,"")</f>
        <v/>
      </c>
      <c r="BG22">
        <f>IF(AND(BG$3&gt;=$E22,BG$3&lt;=$F22),1,"")</f>
        <v/>
      </c>
      <c r="BH22">
        <f>IF(AND(BH$3&gt;=$E22,BH$3&lt;=$F22),1,"")</f>
        <v/>
      </c>
      <c r="BI22">
        <f>IF(AND(BI$3&gt;=$E22,BI$3&lt;=$F22),1,"")</f>
        <v/>
      </c>
      <c r="BJ22">
        <f>IF(AND(BJ$3&gt;=$E22,BJ$3&lt;=$F22),1,"")</f>
        <v/>
      </c>
      <c r="BK22">
        <f>IF(AND(BK$3&gt;=$E22,BK$3&lt;=$F22),1,"")</f>
        <v/>
      </c>
      <c r="BL22">
        <f>IF(AND(BL$3&gt;=$E22,BL$3&lt;=$F22),1,"")</f>
        <v/>
      </c>
      <c r="BM22">
        <f>IF(AND(BM$3&gt;=$E22,BM$3&lt;=$F22),1,"")</f>
        <v/>
      </c>
      <c r="BN22">
        <f>IF(AND(BN$3&gt;=$E22,BN$3&lt;=$F22),1,"")</f>
        <v/>
      </c>
      <c r="BO22">
        <f>IF(AND(BO$3&gt;=$E22,BO$3&lt;=$F22),1,"")</f>
        <v/>
      </c>
      <c r="BP22">
        <f>IF(AND(BP$3&gt;=$E22,BP$3&lt;=$F22),1,"")</f>
        <v/>
      </c>
      <c r="BQ22">
        <f>IF(AND(BQ$3&gt;=$E22,BQ$3&lt;=$F22),1,"")</f>
        <v/>
      </c>
      <c r="BR22">
        <f>IF(AND(BR$3&gt;=$E22,BR$3&lt;=$F22),1,"")</f>
        <v/>
      </c>
    </row>
    <row r="23">
      <c r="A23" t="inlineStr">
        <is>
          <t>RJ-120</t>
        </is>
      </c>
      <c r="B23" t="n">
        <v>34</v>
      </c>
      <c r="C23" t="inlineStr">
        <is>
          <t>CR4</t>
        </is>
      </c>
      <c r="D23">
        <f>IF($A23="","",IFERROR(CHOOSE(MATCH($C23,Settings!$L$4:$L$10,0),OPR_BR1!$B$2,OPR_BR2!$B$2,OPR_CR2!$B$2,OPR_CR3!$B$2,OPR_CR4!$B$2,OPR_RIM!$B$2,OPR_BPR!$B$2),1))</f>
        <v/>
      </c>
      <c r="E23" s="16" t="n">
        <v>46147.29166666666</v>
      </c>
      <c r="F23" s="16" t="n">
        <v>46223.29166666666</v>
      </c>
      <c r="G23" t="inlineStr">
        <is>
          <t>Medium</t>
        </is>
      </c>
      <c r="H23">
        <f>IF($A23="","",TEXT($F23,"MMM-YYYY"))</f>
        <v/>
      </c>
      <c r="I23" t="inlineStr">
        <is>
          <t>Cancelled</t>
        </is>
      </c>
      <c r="J23" s="17">
        <f>IF($A23="","",$F23+30)</f>
        <v/>
      </c>
      <c r="K23" t="inlineStr">
        <is>
          <t>Delta Co</t>
        </is>
      </c>
      <c r="L23">
        <f>IF(AND(L$3&gt;=$E23,L$3&lt;=$F23),1,"")</f>
        <v/>
      </c>
      <c r="M23">
        <f>IF(AND(M$3&gt;=$E23,M$3&lt;=$F23),1,"")</f>
        <v/>
      </c>
      <c r="N23">
        <f>IF(AND(N$3&gt;=$E23,N$3&lt;=$F23),1,"")</f>
        <v/>
      </c>
      <c r="O23">
        <f>IF(AND(O$3&gt;=$E23,O$3&lt;=$F23),1,"")</f>
        <v/>
      </c>
      <c r="P23">
        <f>IF(AND(P$3&gt;=$E23,P$3&lt;=$F23),1,"")</f>
        <v/>
      </c>
      <c r="Q23">
        <f>IF(AND(Q$3&gt;=$E23,Q$3&lt;=$F23),1,"")</f>
        <v/>
      </c>
      <c r="R23">
        <f>IF(AND(R$3&gt;=$E23,R$3&lt;=$F23),1,"")</f>
        <v/>
      </c>
      <c r="S23">
        <f>IF(AND(S$3&gt;=$E23,S$3&lt;=$F23),1,"")</f>
        <v/>
      </c>
      <c r="T23">
        <f>IF(AND(T$3&gt;=$E23,T$3&lt;=$F23),1,"")</f>
        <v/>
      </c>
      <c r="U23">
        <f>IF(AND(U$3&gt;=$E23,U$3&lt;=$F23),1,"")</f>
        <v/>
      </c>
      <c r="V23">
        <f>IF(AND(V$3&gt;=$E23,V$3&lt;=$F23),1,"")</f>
        <v/>
      </c>
      <c r="W23">
        <f>IF(AND(W$3&gt;=$E23,W$3&lt;=$F23),1,"")</f>
        <v/>
      </c>
      <c r="X23">
        <f>IF(AND(X$3&gt;=$E23,X$3&lt;=$F23),1,"")</f>
        <v/>
      </c>
      <c r="Y23">
        <f>IF(AND(Y$3&gt;=$E23,Y$3&lt;=$F23),1,"")</f>
        <v/>
      </c>
      <c r="Z23">
        <f>IF(AND(Z$3&gt;=$E23,Z$3&lt;=$F23),1,"")</f>
        <v/>
      </c>
      <c r="AA23">
        <f>IF(AND(AA$3&gt;=$E23,AA$3&lt;=$F23),1,"")</f>
        <v/>
      </c>
      <c r="AB23">
        <f>IF(AND(AB$3&gt;=$E23,AB$3&lt;=$F23),1,"")</f>
        <v/>
      </c>
      <c r="AC23">
        <f>IF(AND(AC$3&gt;=$E23,AC$3&lt;=$F23),1,"")</f>
        <v/>
      </c>
      <c r="AD23">
        <f>IF(AND(AD$3&gt;=$E23,AD$3&lt;=$F23),1,"")</f>
        <v/>
      </c>
      <c r="AE23">
        <f>IF(AND(AE$3&gt;=$E23,AE$3&lt;=$F23),1,"")</f>
        <v/>
      </c>
      <c r="AF23">
        <f>IF(AND(AF$3&gt;=$E23,AF$3&lt;=$F23),1,"")</f>
        <v/>
      </c>
      <c r="AG23">
        <f>IF(AND(AG$3&gt;=$E23,AG$3&lt;=$F23),1,"")</f>
        <v/>
      </c>
      <c r="AH23">
        <f>IF(AND(AH$3&gt;=$E23,AH$3&lt;=$F23),1,"")</f>
        <v/>
      </c>
      <c r="AI23">
        <f>IF(AND(AI$3&gt;=$E23,AI$3&lt;=$F23),1,"")</f>
        <v/>
      </c>
      <c r="AJ23">
        <f>IF(AND(AJ$3&gt;=$E23,AJ$3&lt;=$F23),1,"")</f>
        <v/>
      </c>
      <c r="AK23">
        <f>IF(AND(AK$3&gt;=$E23,AK$3&lt;=$F23),1,"")</f>
        <v/>
      </c>
      <c r="AL23">
        <f>IF(AND(AL$3&gt;=$E23,AL$3&lt;=$F23),1,"")</f>
        <v/>
      </c>
      <c r="AM23">
        <f>IF(AND(AM$3&gt;=$E23,AM$3&lt;=$F23),1,"")</f>
        <v/>
      </c>
      <c r="AN23">
        <f>IF(AND(AN$3&gt;=$E23,AN$3&lt;=$F23),1,"")</f>
        <v/>
      </c>
      <c r="AO23">
        <f>IF(AND(AO$3&gt;=$E23,AO$3&lt;=$F23),1,"")</f>
        <v/>
      </c>
      <c r="AP23">
        <f>IF(AND(AP$3&gt;=$E23,AP$3&lt;=$F23),1,"")</f>
        <v/>
      </c>
      <c r="AQ23">
        <f>IF(AND(AQ$3&gt;=$E23,AQ$3&lt;=$F23),1,"")</f>
        <v/>
      </c>
      <c r="AR23">
        <f>IF(AND(AR$3&gt;=$E23,AR$3&lt;=$F23),1,"")</f>
        <v/>
      </c>
      <c r="AS23">
        <f>IF(AND(AS$3&gt;=$E23,AS$3&lt;=$F23),1,"")</f>
        <v/>
      </c>
      <c r="AT23">
        <f>IF(AND(AT$3&gt;=$E23,AT$3&lt;=$F23),1,"")</f>
        <v/>
      </c>
      <c r="AU23">
        <f>IF(AND(AU$3&gt;=$E23,AU$3&lt;=$F23),1,"")</f>
        <v/>
      </c>
      <c r="AV23">
        <f>IF(AND(AV$3&gt;=$E23,AV$3&lt;=$F23),1,"")</f>
        <v/>
      </c>
      <c r="AW23">
        <f>IF(AND(AW$3&gt;=$E23,AW$3&lt;=$F23),1,"")</f>
        <v/>
      </c>
      <c r="AX23">
        <f>IF(AND(AX$3&gt;=$E23,AX$3&lt;=$F23),1,"")</f>
        <v/>
      </c>
      <c r="AY23">
        <f>IF(AND(AY$3&gt;=$E23,AY$3&lt;=$F23),1,"")</f>
        <v/>
      </c>
      <c r="AZ23">
        <f>IF(AND(AZ$3&gt;=$E23,AZ$3&lt;=$F23),1,"")</f>
        <v/>
      </c>
      <c r="BA23">
        <f>IF(AND(BA$3&gt;=$E23,BA$3&lt;=$F23),1,"")</f>
        <v/>
      </c>
      <c r="BB23">
        <f>IF(AND(BB$3&gt;=$E23,BB$3&lt;=$F23),1,"")</f>
        <v/>
      </c>
      <c r="BC23">
        <f>IF(AND(BC$3&gt;=$E23,BC$3&lt;=$F23),1,"")</f>
        <v/>
      </c>
      <c r="BD23">
        <f>IF(AND(BD$3&gt;=$E23,BD$3&lt;=$F23),1,"")</f>
        <v/>
      </c>
      <c r="BE23">
        <f>IF(AND(BE$3&gt;=$E23,BE$3&lt;=$F23),1,"")</f>
        <v/>
      </c>
      <c r="BF23">
        <f>IF(AND(BF$3&gt;=$E23,BF$3&lt;=$F23),1,"")</f>
        <v/>
      </c>
      <c r="BG23">
        <f>IF(AND(BG$3&gt;=$E23,BG$3&lt;=$F23),1,"")</f>
        <v/>
      </c>
      <c r="BH23">
        <f>IF(AND(BH$3&gt;=$E23,BH$3&lt;=$F23),1,"")</f>
        <v/>
      </c>
      <c r="BI23">
        <f>IF(AND(BI$3&gt;=$E23,BI$3&lt;=$F23),1,"")</f>
        <v/>
      </c>
      <c r="BJ23">
        <f>IF(AND(BJ$3&gt;=$E23,BJ$3&lt;=$F23),1,"")</f>
        <v/>
      </c>
      <c r="BK23">
        <f>IF(AND(BK$3&gt;=$E23,BK$3&lt;=$F23),1,"")</f>
        <v/>
      </c>
      <c r="BL23">
        <f>IF(AND(BL$3&gt;=$E23,BL$3&lt;=$F23),1,"")</f>
        <v/>
      </c>
      <c r="BM23">
        <f>IF(AND(BM$3&gt;=$E23,BM$3&lt;=$F23),1,"")</f>
        <v/>
      </c>
      <c r="BN23">
        <f>IF(AND(BN$3&gt;=$E23,BN$3&lt;=$F23),1,"")</f>
        <v/>
      </c>
      <c r="BO23">
        <f>IF(AND(BO$3&gt;=$E23,BO$3&lt;=$F23),1,"")</f>
        <v/>
      </c>
      <c r="BP23">
        <f>IF(AND(BP$3&gt;=$E23,BP$3&lt;=$F23),1,"")</f>
        <v/>
      </c>
      <c r="BQ23">
        <f>IF(AND(BQ$3&gt;=$E23,BQ$3&lt;=$F23),1,"")</f>
        <v/>
      </c>
      <c r="BR23">
        <f>IF(AND(BR$3&gt;=$E23,BR$3&lt;=$F23),1,"")</f>
        <v/>
      </c>
    </row>
    <row r="24">
      <c r="A24" t="inlineStr">
        <is>
          <t>RJ-121</t>
        </is>
      </c>
      <c r="B24" t="n">
        <v>20</v>
      </c>
      <c r="C24" t="inlineStr">
        <is>
          <t>RIM</t>
        </is>
      </c>
      <c r="D24">
        <f>IF($A24="","",IFERROR(CHOOSE(MATCH($C24,Settings!$L$4:$L$10,0),OPR_BR1!$B$2,OPR_BR2!$B$2,OPR_CR2!$B$2,OPR_CR3!$B$2,OPR_CR4!$B$2,OPR_RIM!$B$2,OPR_BPR!$B$2),1))</f>
        <v/>
      </c>
      <c r="E24" s="16" t="n">
        <v>46139.29166666666</v>
      </c>
      <c r="F24" s="16" t="n">
        <v>46197.29166666666</v>
      </c>
      <c r="G24" t="inlineStr">
        <is>
          <t>High</t>
        </is>
      </c>
      <c r="H24">
        <f>IF($A24="","",TEXT($F24,"MMM-YYYY"))</f>
        <v/>
      </c>
      <c r="I24" t="inlineStr">
        <is>
          <t>Released</t>
        </is>
      </c>
      <c r="J24" s="17">
        <f>IF($A24="","",$F24+30)</f>
        <v/>
      </c>
      <c r="K24" t="inlineStr">
        <is>
          <t>Sigma Mfg</t>
        </is>
      </c>
      <c r="L24">
        <f>IF(AND(L$3&gt;=$E24,L$3&lt;=$F24),1,"")</f>
        <v/>
      </c>
      <c r="M24">
        <f>IF(AND(M$3&gt;=$E24,M$3&lt;=$F24),1,"")</f>
        <v/>
      </c>
      <c r="N24">
        <f>IF(AND(N$3&gt;=$E24,N$3&lt;=$F24),1,"")</f>
        <v/>
      </c>
      <c r="O24">
        <f>IF(AND(O$3&gt;=$E24,O$3&lt;=$F24),1,"")</f>
        <v/>
      </c>
      <c r="P24">
        <f>IF(AND(P$3&gt;=$E24,P$3&lt;=$F24),1,"")</f>
        <v/>
      </c>
      <c r="Q24">
        <f>IF(AND(Q$3&gt;=$E24,Q$3&lt;=$F24),1,"")</f>
        <v/>
      </c>
      <c r="R24">
        <f>IF(AND(R$3&gt;=$E24,R$3&lt;=$F24),1,"")</f>
        <v/>
      </c>
      <c r="S24">
        <f>IF(AND(S$3&gt;=$E24,S$3&lt;=$F24),1,"")</f>
        <v/>
      </c>
      <c r="T24">
        <f>IF(AND(T$3&gt;=$E24,T$3&lt;=$F24),1,"")</f>
        <v/>
      </c>
      <c r="U24">
        <f>IF(AND(U$3&gt;=$E24,U$3&lt;=$F24),1,"")</f>
        <v/>
      </c>
      <c r="V24">
        <f>IF(AND(V$3&gt;=$E24,V$3&lt;=$F24),1,"")</f>
        <v/>
      </c>
      <c r="W24">
        <f>IF(AND(W$3&gt;=$E24,W$3&lt;=$F24),1,"")</f>
        <v/>
      </c>
      <c r="X24">
        <f>IF(AND(X$3&gt;=$E24,X$3&lt;=$F24),1,"")</f>
        <v/>
      </c>
      <c r="Y24">
        <f>IF(AND(Y$3&gt;=$E24,Y$3&lt;=$F24),1,"")</f>
        <v/>
      </c>
      <c r="Z24">
        <f>IF(AND(Z$3&gt;=$E24,Z$3&lt;=$F24),1,"")</f>
        <v/>
      </c>
      <c r="AA24">
        <f>IF(AND(AA$3&gt;=$E24,AA$3&lt;=$F24),1,"")</f>
        <v/>
      </c>
      <c r="AB24">
        <f>IF(AND(AB$3&gt;=$E24,AB$3&lt;=$F24),1,"")</f>
        <v/>
      </c>
      <c r="AC24">
        <f>IF(AND(AC$3&gt;=$E24,AC$3&lt;=$F24),1,"")</f>
        <v/>
      </c>
      <c r="AD24">
        <f>IF(AND(AD$3&gt;=$E24,AD$3&lt;=$F24),1,"")</f>
        <v/>
      </c>
      <c r="AE24">
        <f>IF(AND(AE$3&gt;=$E24,AE$3&lt;=$F24),1,"")</f>
        <v/>
      </c>
      <c r="AF24">
        <f>IF(AND(AF$3&gt;=$E24,AF$3&lt;=$F24),1,"")</f>
        <v/>
      </c>
      <c r="AG24">
        <f>IF(AND(AG$3&gt;=$E24,AG$3&lt;=$F24),1,"")</f>
        <v/>
      </c>
      <c r="AH24">
        <f>IF(AND(AH$3&gt;=$E24,AH$3&lt;=$F24),1,"")</f>
        <v/>
      </c>
      <c r="AI24">
        <f>IF(AND(AI$3&gt;=$E24,AI$3&lt;=$F24),1,"")</f>
        <v/>
      </c>
      <c r="AJ24">
        <f>IF(AND(AJ$3&gt;=$E24,AJ$3&lt;=$F24),1,"")</f>
        <v/>
      </c>
      <c r="AK24">
        <f>IF(AND(AK$3&gt;=$E24,AK$3&lt;=$F24),1,"")</f>
        <v/>
      </c>
      <c r="AL24">
        <f>IF(AND(AL$3&gt;=$E24,AL$3&lt;=$F24),1,"")</f>
        <v/>
      </c>
      <c r="AM24">
        <f>IF(AND(AM$3&gt;=$E24,AM$3&lt;=$F24),1,"")</f>
        <v/>
      </c>
      <c r="AN24">
        <f>IF(AND(AN$3&gt;=$E24,AN$3&lt;=$F24),1,"")</f>
        <v/>
      </c>
      <c r="AO24">
        <f>IF(AND(AO$3&gt;=$E24,AO$3&lt;=$F24),1,"")</f>
        <v/>
      </c>
      <c r="AP24">
        <f>IF(AND(AP$3&gt;=$E24,AP$3&lt;=$F24),1,"")</f>
        <v/>
      </c>
      <c r="AQ24">
        <f>IF(AND(AQ$3&gt;=$E24,AQ$3&lt;=$F24),1,"")</f>
        <v/>
      </c>
      <c r="AR24">
        <f>IF(AND(AR$3&gt;=$E24,AR$3&lt;=$F24),1,"")</f>
        <v/>
      </c>
      <c r="AS24">
        <f>IF(AND(AS$3&gt;=$E24,AS$3&lt;=$F24),1,"")</f>
        <v/>
      </c>
      <c r="AT24">
        <f>IF(AND(AT$3&gt;=$E24,AT$3&lt;=$F24),1,"")</f>
        <v/>
      </c>
      <c r="AU24">
        <f>IF(AND(AU$3&gt;=$E24,AU$3&lt;=$F24),1,"")</f>
        <v/>
      </c>
      <c r="AV24">
        <f>IF(AND(AV$3&gt;=$E24,AV$3&lt;=$F24),1,"")</f>
        <v/>
      </c>
      <c r="AW24">
        <f>IF(AND(AW$3&gt;=$E24,AW$3&lt;=$F24),1,"")</f>
        <v/>
      </c>
      <c r="AX24">
        <f>IF(AND(AX$3&gt;=$E24,AX$3&lt;=$F24),1,"")</f>
        <v/>
      </c>
      <c r="AY24">
        <f>IF(AND(AY$3&gt;=$E24,AY$3&lt;=$F24),1,"")</f>
        <v/>
      </c>
      <c r="AZ24">
        <f>IF(AND(AZ$3&gt;=$E24,AZ$3&lt;=$F24),1,"")</f>
        <v/>
      </c>
      <c r="BA24">
        <f>IF(AND(BA$3&gt;=$E24,BA$3&lt;=$F24),1,"")</f>
        <v/>
      </c>
      <c r="BB24">
        <f>IF(AND(BB$3&gt;=$E24,BB$3&lt;=$F24),1,"")</f>
        <v/>
      </c>
      <c r="BC24">
        <f>IF(AND(BC$3&gt;=$E24,BC$3&lt;=$F24),1,"")</f>
        <v/>
      </c>
      <c r="BD24">
        <f>IF(AND(BD$3&gt;=$E24,BD$3&lt;=$F24),1,"")</f>
        <v/>
      </c>
      <c r="BE24">
        <f>IF(AND(BE$3&gt;=$E24,BE$3&lt;=$F24),1,"")</f>
        <v/>
      </c>
      <c r="BF24">
        <f>IF(AND(BF$3&gt;=$E24,BF$3&lt;=$F24),1,"")</f>
        <v/>
      </c>
      <c r="BG24">
        <f>IF(AND(BG$3&gt;=$E24,BG$3&lt;=$F24),1,"")</f>
        <v/>
      </c>
      <c r="BH24">
        <f>IF(AND(BH$3&gt;=$E24,BH$3&lt;=$F24),1,"")</f>
        <v/>
      </c>
      <c r="BI24">
        <f>IF(AND(BI$3&gt;=$E24,BI$3&lt;=$F24),1,"")</f>
        <v/>
      </c>
      <c r="BJ24">
        <f>IF(AND(BJ$3&gt;=$E24,BJ$3&lt;=$F24),1,"")</f>
        <v/>
      </c>
      <c r="BK24">
        <f>IF(AND(BK$3&gt;=$E24,BK$3&lt;=$F24),1,"")</f>
        <v/>
      </c>
      <c r="BL24">
        <f>IF(AND(BL$3&gt;=$E24,BL$3&lt;=$F24),1,"")</f>
        <v/>
      </c>
      <c r="BM24">
        <f>IF(AND(BM$3&gt;=$E24,BM$3&lt;=$F24),1,"")</f>
        <v/>
      </c>
      <c r="BN24">
        <f>IF(AND(BN$3&gt;=$E24,BN$3&lt;=$F24),1,"")</f>
        <v/>
      </c>
      <c r="BO24">
        <f>IF(AND(BO$3&gt;=$E24,BO$3&lt;=$F24),1,"")</f>
        <v/>
      </c>
      <c r="BP24">
        <f>IF(AND(BP$3&gt;=$E24,BP$3&lt;=$F24),1,"")</f>
        <v/>
      </c>
      <c r="BQ24">
        <f>IF(AND(BQ$3&gt;=$E24,BQ$3&lt;=$F24),1,"")</f>
        <v/>
      </c>
      <c r="BR24">
        <f>IF(AND(BR$3&gt;=$E24,BR$3&lt;=$F24),1,"")</f>
        <v/>
      </c>
    </row>
    <row r="25">
      <c r="A25" t="inlineStr">
        <is>
          <t>RJ-122</t>
        </is>
      </c>
      <c r="B25" t="n">
        <v>34</v>
      </c>
      <c r="C25" t="inlineStr">
        <is>
          <t>CR4</t>
        </is>
      </c>
      <c r="D25">
        <f>IF($A25="","",IFERROR(CHOOSE(MATCH($C25,Settings!$L$4:$L$10,0),OPR_BR1!$B$2,OPR_BR2!$B$2,OPR_CR2!$B$2,OPR_CR3!$B$2,OPR_CR4!$B$2,OPR_RIM!$B$2,OPR_BPR!$B$2),1))</f>
        <v/>
      </c>
      <c r="E25" s="16" t="n">
        <v>46202.29166666666</v>
      </c>
      <c r="F25" s="16" t="n">
        <v>46222.29166666666</v>
      </c>
      <c r="G25" t="inlineStr">
        <is>
          <t>Low</t>
        </is>
      </c>
      <c r="H25">
        <f>IF($A25="","",TEXT($F25,"MMM-YYYY"))</f>
        <v/>
      </c>
      <c r="I25" t="inlineStr">
        <is>
          <t>On Hold</t>
        </is>
      </c>
      <c r="J25" s="17">
        <f>IF($A25="","",$F25+30)</f>
        <v/>
      </c>
      <c r="K25" t="inlineStr">
        <is>
          <t>Alpha Corp</t>
        </is>
      </c>
      <c r="L25">
        <f>IF(AND(L$3&gt;=$E25,L$3&lt;=$F25),1,"")</f>
        <v/>
      </c>
      <c r="M25">
        <f>IF(AND(M$3&gt;=$E25,M$3&lt;=$F25),1,"")</f>
        <v/>
      </c>
      <c r="N25">
        <f>IF(AND(N$3&gt;=$E25,N$3&lt;=$F25),1,"")</f>
        <v/>
      </c>
      <c r="O25">
        <f>IF(AND(O$3&gt;=$E25,O$3&lt;=$F25),1,"")</f>
        <v/>
      </c>
      <c r="P25">
        <f>IF(AND(P$3&gt;=$E25,P$3&lt;=$F25),1,"")</f>
        <v/>
      </c>
      <c r="Q25">
        <f>IF(AND(Q$3&gt;=$E25,Q$3&lt;=$F25),1,"")</f>
        <v/>
      </c>
      <c r="R25">
        <f>IF(AND(R$3&gt;=$E25,R$3&lt;=$F25),1,"")</f>
        <v/>
      </c>
      <c r="S25">
        <f>IF(AND(S$3&gt;=$E25,S$3&lt;=$F25),1,"")</f>
        <v/>
      </c>
      <c r="T25">
        <f>IF(AND(T$3&gt;=$E25,T$3&lt;=$F25),1,"")</f>
        <v/>
      </c>
      <c r="U25">
        <f>IF(AND(U$3&gt;=$E25,U$3&lt;=$F25),1,"")</f>
        <v/>
      </c>
      <c r="V25">
        <f>IF(AND(V$3&gt;=$E25,V$3&lt;=$F25),1,"")</f>
        <v/>
      </c>
      <c r="W25">
        <f>IF(AND(W$3&gt;=$E25,W$3&lt;=$F25),1,"")</f>
        <v/>
      </c>
      <c r="X25">
        <f>IF(AND(X$3&gt;=$E25,X$3&lt;=$F25),1,"")</f>
        <v/>
      </c>
      <c r="Y25">
        <f>IF(AND(Y$3&gt;=$E25,Y$3&lt;=$F25),1,"")</f>
        <v/>
      </c>
      <c r="Z25">
        <f>IF(AND(Z$3&gt;=$E25,Z$3&lt;=$F25),1,"")</f>
        <v/>
      </c>
      <c r="AA25">
        <f>IF(AND(AA$3&gt;=$E25,AA$3&lt;=$F25),1,"")</f>
        <v/>
      </c>
      <c r="AB25">
        <f>IF(AND(AB$3&gt;=$E25,AB$3&lt;=$F25),1,"")</f>
        <v/>
      </c>
      <c r="AC25">
        <f>IF(AND(AC$3&gt;=$E25,AC$3&lt;=$F25),1,"")</f>
        <v/>
      </c>
      <c r="AD25">
        <f>IF(AND(AD$3&gt;=$E25,AD$3&lt;=$F25),1,"")</f>
        <v/>
      </c>
      <c r="AE25">
        <f>IF(AND(AE$3&gt;=$E25,AE$3&lt;=$F25),1,"")</f>
        <v/>
      </c>
      <c r="AF25">
        <f>IF(AND(AF$3&gt;=$E25,AF$3&lt;=$F25),1,"")</f>
        <v/>
      </c>
      <c r="AG25">
        <f>IF(AND(AG$3&gt;=$E25,AG$3&lt;=$F25),1,"")</f>
        <v/>
      </c>
      <c r="AH25">
        <f>IF(AND(AH$3&gt;=$E25,AH$3&lt;=$F25),1,"")</f>
        <v/>
      </c>
      <c r="AI25">
        <f>IF(AND(AI$3&gt;=$E25,AI$3&lt;=$F25),1,"")</f>
        <v/>
      </c>
      <c r="AJ25">
        <f>IF(AND(AJ$3&gt;=$E25,AJ$3&lt;=$F25),1,"")</f>
        <v/>
      </c>
      <c r="AK25">
        <f>IF(AND(AK$3&gt;=$E25,AK$3&lt;=$F25),1,"")</f>
        <v/>
      </c>
      <c r="AL25">
        <f>IF(AND(AL$3&gt;=$E25,AL$3&lt;=$F25),1,"")</f>
        <v/>
      </c>
      <c r="AM25">
        <f>IF(AND(AM$3&gt;=$E25,AM$3&lt;=$F25),1,"")</f>
        <v/>
      </c>
      <c r="AN25">
        <f>IF(AND(AN$3&gt;=$E25,AN$3&lt;=$F25),1,"")</f>
        <v/>
      </c>
      <c r="AO25">
        <f>IF(AND(AO$3&gt;=$E25,AO$3&lt;=$F25),1,"")</f>
        <v/>
      </c>
      <c r="AP25">
        <f>IF(AND(AP$3&gt;=$E25,AP$3&lt;=$F25),1,"")</f>
        <v/>
      </c>
      <c r="AQ25">
        <f>IF(AND(AQ$3&gt;=$E25,AQ$3&lt;=$F25),1,"")</f>
        <v/>
      </c>
      <c r="AR25">
        <f>IF(AND(AR$3&gt;=$E25,AR$3&lt;=$F25),1,"")</f>
        <v/>
      </c>
      <c r="AS25">
        <f>IF(AND(AS$3&gt;=$E25,AS$3&lt;=$F25),1,"")</f>
        <v/>
      </c>
      <c r="AT25">
        <f>IF(AND(AT$3&gt;=$E25,AT$3&lt;=$F25),1,"")</f>
        <v/>
      </c>
      <c r="AU25">
        <f>IF(AND(AU$3&gt;=$E25,AU$3&lt;=$F25),1,"")</f>
        <v/>
      </c>
      <c r="AV25">
        <f>IF(AND(AV$3&gt;=$E25,AV$3&lt;=$F25),1,"")</f>
        <v/>
      </c>
      <c r="AW25">
        <f>IF(AND(AW$3&gt;=$E25,AW$3&lt;=$F25),1,"")</f>
        <v/>
      </c>
      <c r="AX25">
        <f>IF(AND(AX$3&gt;=$E25,AX$3&lt;=$F25),1,"")</f>
        <v/>
      </c>
      <c r="AY25">
        <f>IF(AND(AY$3&gt;=$E25,AY$3&lt;=$F25),1,"")</f>
        <v/>
      </c>
      <c r="AZ25">
        <f>IF(AND(AZ$3&gt;=$E25,AZ$3&lt;=$F25),1,"")</f>
        <v/>
      </c>
      <c r="BA25">
        <f>IF(AND(BA$3&gt;=$E25,BA$3&lt;=$F25),1,"")</f>
        <v/>
      </c>
      <c r="BB25">
        <f>IF(AND(BB$3&gt;=$E25,BB$3&lt;=$F25),1,"")</f>
        <v/>
      </c>
      <c r="BC25">
        <f>IF(AND(BC$3&gt;=$E25,BC$3&lt;=$F25),1,"")</f>
        <v/>
      </c>
      <c r="BD25">
        <f>IF(AND(BD$3&gt;=$E25,BD$3&lt;=$F25),1,"")</f>
        <v/>
      </c>
      <c r="BE25">
        <f>IF(AND(BE$3&gt;=$E25,BE$3&lt;=$F25),1,"")</f>
        <v/>
      </c>
      <c r="BF25">
        <f>IF(AND(BF$3&gt;=$E25,BF$3&lt;=$F25),1,"")</f>
        <v/>
      </c>
      <c r="BG25">
        <f>IF(AND(BG$3&gt;=$E25,BG$3&lt;=$F25),1,"")</f>
        <v/>
      </c>
      <c r="BH25">
        <f>IF(AND(BH$3&gt;=$E25,BH$3&lt;=$F25),1,"")</f>
        <v/>
      </c>
      <c r="BI25">
        <f>IF(AND(BI$3&gt;=$E25,BI$3&lt;=$F25),1,"")</f>
        <v/>
      </c>
      <c r="BJ25">
        <f>IF(AND(BJ$3&gt;=$E25,BJ$3&lt;=$F25),1,"")</f>
        <v/>
      </c>
      <c r="BK25">
        <f>IF(AND(BK$3&gt;=$E25,BK$3&lt;=$F25),1,"")</f>
        <v/>
      </c>
      <c r="BL25">
        <f>IF(AND(BL$3&gt;=$E25,BL$3&lt;=$F25),1,"")</f>
        <v/>
      </c>
      <c r="BM25">
        <f>IF(AND(BM$3&gt;=$E25,BM$3&lt;=$F25),1,"")</f>
        <v/>
      </c>
      <c r="BN25">
        <f>IF(AND(BN$3&gt;=$E25,BN$3&lt;=$F25),1,"")</f>
        <v/>
      </c>
      <c r="BO25">
        <f>IF(AND(BO$3&gt;=$E25,BO$3&lt;=$F25),1,"")</f>
        <v/>
      </c>
      <c r="BP25">
        <f>IF(AND(BP$3&gt;=$E25,BP$3&lt;=$F25),1,"")</f>
        <v/>
      </c>
      <c r="BQ25">
        <f>IF(AND(BQ$3&gt;=$E25,BQ$3&lt;=$F25),1,"")</f>
        <v/>
      </c>
      <c r="BR25">
        <f>IF(AND(BR$3&gt;=$E25,BR$3&lt;=$F25),1,"")</f>
        <v/>
      </c>
    </row>
    <row r="26">
      <c r="A26" t="inlineStr">
        <is>
          <t>RJ-123</t>
        </is>
      </c>
      <c r="B26" t="n">
        <v>42</v>
      </c>
      <c r="C26" t="inlineStr">
        <is>
          <t>BR1</t>
        </is>
      </c>
      <c r="D26">
        <f>IF($A26="","",IFERROR(CHOOSE(MATCH($C26,Settings!$L$4:$L$10,0),OPR_BR1!$B$2,OPR_BR2!$B$2,OPR_CR2!$B$2,OPR_CR3!$B$2,OPR_CR4!$B$2,OPR_RIM!$B$2,OPR_BPR!$B$2),1))</f>
        <v/>
      </c>
      <c r="E26" s="16" t="n">
        <v>46136.29166666666</v>
      </c>
      <c r="F26" s="16" t="n">
        <v>46211.29166666666</v>
      </c>
      <c r="G26" t="inlineStr">
        <is>
          <t>Low</t>
        </is>
      </c>
      <c r="H26">
        <f>IF($A26="","",TEXT($F26,"MMM-YYYY"))</f>
        <v/>
      </c>
      <c r="I26" t="inlineStr">
        <is>
          <t>Cancelled</t>
        </is>
      </c>
      <c r="J26" s="17">
        <f>IF($A26="","",$F26+30)</f>
        <v/>
      </c>
      <c r="K26" t="inlineStr">
        <is>
          <t>Gamma Inc</t>
        </is>
      </c>
      <c r="L26">
        <f>IF(AND(L$3&gt;=$E26,L$3&lt;=$F26),1,"")</f>
        <v/>
      </c>
      <c r="M26">
        <f>IF(AND(M$3&gt;=$E26,M$3&lt;=$F26),1,"")</f>
        <v/>
      </c>
      <c r="N26">
        <f>IF(AND(N$3&gt;=$E26,N$3&lt;=$F26),1,"")</f>
        <v/>
      </c>
      <c r="O26">
        <f>IF(AND(O$3&gt;=$E26,O$3&lt;=$F26),1,"")</f>
        <v/>
      </c>
      <c r="P26">
        <f>IF(AND(P$3&gt;=$E26,P$3&lt;=$F26),1,"")</f>
        <v/>
      </c>
      <c r="Q26">
        <f>IF(AND(Q$3&gt;=$E26,Q$3&lt;=$F26),1,"")</f>
        <v/>
      </c>
      <c r="R26">
        <f>IF(AND(R$3&gt;=$E26,R$3&lt;=$F26),1,"")</f>
        <v/>
      </c>
      <c r="S26">
        <f>IF(AND(S$3&gt;=$E26,S$3&lt;=$F26),1,"")</f>
        <v/>
      </c>
      <c r="T26">
        <f>IF(AND(T$3&gt;=$E26,T$3&lt;=$F26),1,"")</f>
        <v/>
      </c>
      <c r="U26">
        <f>IF(AND(U$3&gt;=$E26,U$3&lt;=$F26),1,"")</f>
        <v/>
      </c>
      <c r="V26">
        <f>IF(AND(V$3&gt;=$E26,V$3&lt;=$F26),1,"")</f>
        <v/>
      </c>
      <c r="W26">
        <f>IF(AND(W$3&gt;=$E26,W$3&lt;=$F26),1,"")</f>
        <v/>
      </c>
      <c r="X26">
        <f>IF(AND(X$3&gt;=$E26,X$3&lt;=$F26),1,"")</f>
        <v/>
      </c>
      <c r="Y26">
        <f>IF(AND(Y$3&gt;=$E26,Y$3&lt;=$F26),1,"")</f>
        <v/>
      </c>
      <c r="Z26">
        <f>IF(AND(Z$3&gt;=$E26,Z$3&lt;=$F26),1,"")</f>
        <v/>
      </c>
      <c r="AA26">
        <f>IF(AND(AA$3&gt;=$E26,AA$3&lt;=$F26),1,"")</f>
        <v/>
      </c>
      <c r="AB26">
        <f>IF(AND(AB$3&gt;=$E26,AB$3&lt;=$F26),1,"")</f>
        <v/>
      </c>
      <c r="AC26">
        <f>IF(AND(AC$3&gt;=$E26,AC$3&lt;=$F26),1,"")</f>
        <v/>
      </c>
      <c r="AD26">
        <f>IF(AND(AD$3&gt;=$E26,AD$3&lt;=$F26),1,"")</f>
        <v/>
      </c>
      <c r="AE26">
        <f>IF(AND(AE$3&gt;=$E26,AE$3&lt;=$F26),1,"")</f>
        <v/>
      </c>
      <c r="AF26">
        <f>IF(AND(AF$3&gt;=$E26,AF$3&lt;=$F26),1,"")</f>
        <v/>
      </c>
      <c r="AG26">
        <f>IF(AND(AG$3&gt;=$E26,AG$3&lt;=$F26),1,"")</f>
        <v/>
      </c>
      <c r="AH26">
        <f>IF(AND(AH$3&gt;=$E26,AH$3&lt;=$F26),1,"")</f>
        <v/>
      </c>
      <c r="AI26">
        <f>IF(AND(AI$3&gt;=$E26,AI$3&lt;=$F26),1,"")</f>
        <v/>
      </c>
      <c r="AJ26">
        <f>IF(AND(AJ$3&gt;=$E26,AJ$3&lt;=$F26),1,"")</f>
        <v/>
      </c>
      <c r="AK26">
        <f>IF(AND(AK$3&gt;=$E26,AK$3&lt;=$F26),1,"")</f>
        <v/>
      </c>
      <c r="AL26">
        <f>IF(AND(AL$3&gt;=$E26,AL$3&lt;=$F26),1,"")</f>
        <v/>
      </c>
      <c r="AM26">
        <f>IF(AND(AM$3&gt;=$E26,AM$3&lt;=$F26),1,"")</f>
        <v/>
      </c>
      <c r="AN26">
        <f>IF(AND(AN$3&gt;=$E26,AN$3&lt;=$F26),1,"")</f>
        <v/>
      </c>
      <c r="AO26">
        <f>IF(AND(AO$3&gt;=$E26,AO$3&lt;=$F26),1,"")</f>
        <v/>
      </c>
      <c r="AP26">
        <f>IF(AND(AP$3&gt;=$E26,AP$3&lt;=$F26),1,"")</f>
        <v/>
      </c>
      <c r="AQ26">
        <f>IF(AND(AQ$3&gt;=$E26,AQ$3&lt;=$F26),1,"")</f>
        <v/>
      </c>
      <c r="AR26">
        <f>IF(AND(AR$3&gt;=$E26,AR$3&lt;=$F26),1,"")</f>
        <v/>
      </c>
      <c r="AS26">
        <f>IF(AND(AS$3&gt;=$E26,AS$3&lt;=$F26),1,"")</f>
        <v/>
      </c>
      <c r="AT26">
        <f>IF(AND(AT$3&gt;=$E26,AT$3&lt;=$F26),1,"")</f>
        <v/>
      </c>
      <c r="AU26">
        <f>IF(AND(AU$3&gt;=$E26,AU$3&lt;=$F26),1,"")</f>
        <v/>
      </c>
      <c r="AV26">
        <f>IF(AND(AV$3&gt;=$E26,AV$3&lt;=$F26),1,"")</f>
        <v/>
      </c>
      <c r="AW26">
        <f>IF(AND(AW$3&gt;=$E26,AW$3&lt;=$F26),1,"")</f>
        <v/>
      </c>
      <c r="AX26">
        <f>IF(AND(AX$3&gt;=$E26,AX$3&lt;=$F26),1,"")</f>
        <v/>
      </c>
      <c r="AY26">
        <f>IF(AND(AY$3&gt;=$E26,AY$3&lt;=$F26),1,"")</f>
        <v/>
      </c>
      <c r="AZ26">
        <f>IF(AND(AZ$3&gt;=$E26,AZ$3&lt;=$F26),1,"")</f>
        <v/>
      </c>
      <c r="BA26">
        <f>IF(AND(BA$3&gt;=$E26,BA$3&lt;=$F26),1,"")</f>
        <v/>
      </c>
      <c r="BB26">
        <f>IF(AND(BB$3&gt;=$E26,BB$3&lt;=$F26),1,"")</f>
        <v/>
      </c>
      <c r="BC26">
        <f>IF(AND(BC$3&gt;=$E26,BC$3&lt;=$F26),1,"")</f>
        <v/>
      </c>
      <c r="BD26">
        <f>IF(AND(BD$3&gt;=$E26,BD$3&lt;=$F26),1,"")</f>
        <v/>
      </c>
      <c r="BE26">
        <f>IF(AND(BE$3&gt;=$E26,BE$3&lt;=$F26),1,"")</f>
        <v/>
      </c>
      <c r="BF26">
        <f>IF(AND(BF$3&gt;=$E26,BF$3&lt;=$F26),1,"")</f>
        <v/>
      </c>
      <c r="BG26">
        <f>IF(AND(BG$3&gt;=$E26,BG$3&lt;=$F26),1,"")</f>
        <v/>
      </c>
      <c r="BH26">
        <f>IF(AND(BH$3&gt;=$E26,BH$3&lt;=$F26),1,"")</f>
        <v/>
      </c>
      <c r="BI26">
        <f>IF(AND(BI$3&gt;=$E26,BI$3&lt;=$F26),1,"")</f>
        <v/>
      </c>
      <c r="BJ26">
        <f>IF(AND(BJ$3&gt;=$E26,BJ$3&lt;=$F26),1,"")</f>
        <v/>
      </c>
      <c r="BK26">
        <f>IF(AND(BK$3&gt;=$E26,BK$3&lt;=$F26),1,"")</f>
        <v/>
      </c>
      <c r="BL26">
        <f>IF(AND(BL$3&gt;=$E26,BL$3&lt;=$F26),1,"")</f>
        <v/>
      </c>
      <c r="BM26">
        <f>IF(AND(BM$3&gt;=$E26,BM$3&lt;=$F26),1,"")</f>
        <v/>
      </c>
      <c r="BN26">
        <f>IF(AND(BN$3&gt;=$E26,BN$3&lt;=$F26),1,"")</f>
        <v/>
      </c>
      <c r="BO26">
        <f>IF(AND(BO$3&gt;=$E26,BO$3&lt;=$F26),1,"")</f>
        <v/>
      </c>
      <c r="BP26">
        <f>IF(AND(BP$3&gt;=$E26,BP$3&lt;=$F26),1,"")</f>
        <v/>
      </c>
      <c r="BQ26">
        <f>IF(AND(BQ$3&gt;=$E26,BQ$3&lt;=$F26),1,"")</f>
        <v/>
      </c>
      <c r="BR26">
        <f>IF(AND(BR$3&gt;=$E26,BR$3&lt;=$F26),1,"")</f>
        <v/>
      </c>
    </row>
    <row r="27">
      <c r="A27" t="inlineStr">
        <is>
          <t>RJ-124</t>
        </is>
      </c>
      <c r="B27" t="n">
        <v>20</v>
      </c>
      <c r="C27" t="inlineStr">
        <is>
          <t>RIM</t>
        </is>
      </c>
      <c r="D27">
        <f>IF($A27="","",IFERROR(CHOOSE(MATCH($C27,Settings!$L$4:$L$10,0),OPR_BR1!$B$2,OPR_BR2!$B$2,OPR_CR2!$B$2,OPR_CR3!$B$2,OPR_CR4!$B$2,OPR_RIM!$B$2,OPR_BPR!$B$2),1))</f>
        <v/>
      </c>
      <c r="E27" s="16" t="n">
        <v>46167.29166666666</v>
      </c>
      <c r="F27" s="16" t="n">
        <v>46206.29166666666</v>
      </c>
      <c r="G27" t="inlineStr">
        <is>
          <t>Low</t>
        </is>
      </c>
      <c r="H27">
        <f>IF($A27="","",TEXT($F27,"MMM-YYYY"))</f>
        <v/>
      </c>
      <c r="I27" t="inlineStr">
        <is>
          <t>On Hold</t>
        </is>
      </c>
      <c r="J27" s="17">
        <f>IF($A27="","",$F27+30)</f>
        <v/>
      </c>
      <c r="K27" t="inlineStr">
        <is>
          <t>Alpha Corp</t>
        </is>
      </c>
      <c r="L27">
        <f>IF(AND(L$3&gt;=$E27,L$3&lt;=$F27),1,"")</f>
        <v/>
      </c>
      <c r="M27">
        <f>IF(AND(M$3&gt;=$E27,M$3&lt;=$F27),1,"")</f>
        <v/>
      </c>
      <c r="N27">
        <f>IF(AND(N$3&gt;=$E27,N$3&lt;=$F27),1,"")</f>
        <v/>
      </c>
      <c r="O27">
        <f>IF(AND(O$3&gt;=$E27,O$3&lt;=$F27),1,"")</f>
        <v/>
      </c>
      <c r="P27">
        <f>IF(AND(P$3&gt;=$E27,P$3&lt;=$F27),1,"")</f>
        <v/>
      </c>
      <c r="Q27">
        <f>IF(AND(Q$3&gt;=$E27,Q$3&lt;=$F27),1,"")</f>
        <v/>
      </c>
      <c r="R27">
        <f>IF(AND(R$3&gt;=$E27,R$3&lt;=$F27),1,"")</f>
        <v/>
      </c>
      <c r="S27">
        <f>IF(AND(S$3&gt;=$E27,S$3&lt;=$F27),1,"")</f>
        <v/>
      </c>
      <c r="T27">
        <f>IF(AND(T$3&gt;=$E27,T$3&lt;=$F27),1,"")</f>
        <v/>
      </c>
      <c r="U27">
        <f>IF(AND(U$3&gt;=$E27,U$3&lt;=$F27),1,"")</f>
        <v/>
      </c>
      <c r="V27">
        <f>IF(AND(V$3&gt;=$E27,V$3&lt;=$F27),1,"")</f>
        <v/>
      </c>
      <c r="W27">
        <f>IF(AND(W$3&gt;=$E27,W$3&lt;=$F27),1,"")</f>
        <v/>
      </c>
      <c r="X27">
        <f>IF(AND(X$3&gt;=$E27,X$3&lt;=$F27),1,"")</f>
        <v/>
      </c>
      <c r="Y27">
        <f>IF(AND(Y$3&gt;=$E27,Y$3&lt;=$F27),1,"")</f>
        <v/>
      </c>
      <c r="Z27">
        <f>IF(AND(Z$3&gt;=$E27,Z$3&lt;=$F27),1,"")</f>
        <v/>
      </c>
      <c r="AA27">
        <f>IF(AND(AA$3&gt;=$E27,AA$3&lt;=$F27),1,"")</f>
        <v/>
      </c>
      <c r="AB27">
        <f>IF(AND(AB$3&gt;=$E27,AB$3&lt;=$F27),1,"")</f>
        <v/>
      </c>
      <c r="AC27">
        <f>IF(AND(AC$3&gt;=$E27,AC$3&lt;=$F27),1,"")</f>
        <v/>
      </c>
      <c r="AD27">
        <f>IF(AND(AD$3&gt;=$E27,AD$3&lt;=$F27),1,"")</f>
        <v/>
      </c>
      <c r="AE27">
        <f>IF(AND(AE$3&gt;=$E27,AE$3&lt;=$F27),1,"")</f>
        <v/>
      </c>
      <c r="AF27">
        <f>IF(AND(AF$3&gt;=$E27,AF$3&lt;=$F27),1,"")</f>
        <v/>
      </c>
      <c r="AG27">
        <f>IF(AND(AG$3&gt;=$E27,AG$3&lt;=$F27),1,"")</f>
        <v/>
      </c>
      <c r="AH27">
        <f>IF(AND(AH$3&gt;=$E27,AH$3&lt;=$F27),1,"")</f>
        <v/>
      </c>
      <c r="AI27">
        <f>IF(AND(AI$3&gt;=$E27,AI$3&lt;=$F27),1,"")</f>
        <v/>
      </c>
      <c r="AJ27">
        <f>IF(AND(AJ$3&gt;=$E27,AJ$3&lt;=$F27),1,"")</f>
        <v/>
      </c>
      <c r="AK27">
        <f>IF(AND(AK$3&gt;=$E27,AK$3&lt;=$F27),1,"")</f>
        <v/>
      </c>
      <c r="AL27">
        <f>IF(AND(AL$3&gt;=$E27,AL$3&lt;=$F27),1,"")</f>
        <v/>
      </c>
      <c r="AM27">
        <f>IF(AND(AM$3&gt;=$E27,AM$3&lt;=$F27),1,"")</f>
        <v/>
      </c>
      <c r="AN27">
        <f>IF(AND(AN$3&gt;=$E27,AN$3&lt;=$F27),1,"")</f>
        <v/>
      </c>
      <c r="AO27">
        <f>IF(AND(AO$3&gt;=$E27,AO$3&lt;=$F27),1,"")</f>
        <v/>
      </c>
      <c r="AP27">
        <f>IF(AND(AP$3&gt;=$E27,AP$3&lt;=$F27),1,"")</f>
        <v/>
      </c>
      <c r="AQ27">
        <f>IF(AND(AQ$3&gt;=$E27,AQ$3&lt;=$F27),1,"")</f>
        <v/>
      </c>
      <c r="AR27">
        <f>IF(AND(AR$3&gt;=$E27,AR$3&lt;=$F27),1,"")</f>
        <v/>
      </c>
      <c r="AS27">
        <f>IF(AND(AS$3&gt;=$E27,AS$3&lt;=$F27),1,"")</f>
        <v/>
      </c>
      <c r="AT27">
        <f>IF(AND(AT$3&gt;=$E27,AT$3&lt;=$F27),1,"")</f>
        <v/>
      </c>
      <c r="AU27">
        <f>IF(AND(AU$3&gt;=$E27,AU$3&lt;=$F27),1,"")</f>
        <v/>
      </c>
      <c r="AV27">
        <f>IF(AND(AV$3&gt;=$E27,AV$3&lt;=$F27),1,"")</f>
        <v/>
      </c>
      <c r="AW27">
        <f>IF(AND(AW$3&gt;=$E27,AW$3&lt;=$F27),1,"")</f>
        <v/>
      </c>
      <c r="AX27">
        <f>IF(AND(AX$3&gt;=$E27,AX$3&lt;=$F27),1,"")</f>
        <v/>
      </c>
      <c r="AY27">
        <f>IF(AND(AY$3&gt;=$E27,AY$3&lt;=$F27),1,"")</f>
        <v/>
      </c>
      <c r="AZ27">
        <f>IF(AND(AZ$3&gt;=$E27,AZ$3&lt;=$F27),1,"")</f>
        <v/>
      </c>
      <c r="BA27">
        <f>IF(AND(BA$3&gt;=$E27,BA$3&lt;=$F27),1,"")</f>
        <v/>
      </c>
      <c r="BB27">
        <f>IF(AND(BB$3&gt;=$E27,BB$3&lt;=$F27),1,"")</f>
        <v/>
      </c>
      <c r="BC27">
        <f>IF(AND(BC$3&gt;=$E27,BC$3&lt;=$F27),1,"")</f>
        <v/>
      </c>
      <c r="BD27">
        <f>IF(AND(BD$3&gt;=$E27,BD$3&lt;=$F27),1,"")</f>
        <v/>
      </c>
      <c r="BE27">
        <f>IF(AND(BE$3&gt;=$E27,BE$3&lt;=$F27),1,"")</f>
        <v/>
      </c>
      <c r="BF27">
        <f>IF(AND(BF$3&gt;=$E27,BF$3&lt;=$F27),1,"")</f>
        <v/>
      </c>
      <c r="BG27">
        <f>IF(AND(BG$3&gt;=$E27,BG$3&lt;=$F27),1,"")</f>
        <v/>
      </c>
      <c r="BH27">
        <f>IF(AND(BH$3&gt;=$E27,BH$3&lt;=$F27),1,"")</f>
        <v/>
      </c>
      <c r="BI27">
        <f>IF(AND(BI$3&gt;=$E27,BI$3&lt;=$F27),1,"")</f>
        <v/>
      </c>
      <c r="BJ27">
        <f>IF(AND(BJ$3&gt;=$E27,BJ$3&lt;=$F27),1,"")</f>
        <v/>
      </c>
      <c r="BK27">
        <f>IF(AND(BK$3&gt;=$E27,BK$3&lt;=$F27),1,"")</f>
        <v/>
      </c>
      <c r="BL27">
        <f>IF(AND(BL$3&gt;=$E27,BL$3&lt;=$F27),1,"")</f>
        <v/>
      </c>
      <c r="BM27">
        <f>IF(AND(BM$3&gt;=$E27,BM$3&lt;=$F27),1,"")</f>
        <v/>
      </c>
      <c r="BN27">
        <f>IF(AND(BN$3&gt;=$E27,BN$3&lt;=$F27),1,"")</f>
        <v/>
      </c>
      <c r="BO27">
        <f>IF(AND(BO$3&gt;=$E27,BO$3&lt;=$F27),1,"")</f>
        <v/>
      </c>
      <c r="BP27">
        <f>IF(AND(BP$3&gt;=$E27,BP$3&lt;=$F27),1,"")</f>
        <v/>
      </c>
      <c r="BQ27">
        <f>IF(AND(BQ$3&gt;=$E27,BQ$3&lt;=$F27),1,"")</f>
        <v/>
      </c>
      <c r="BR27">
        <f>IF(AND(BR$3&gt;=$E27,BR$3&lt;=$F27),1,"")</f>
        <v/>
      </c>
    </row>
    <row r="28">
      <c r="A28" t="inlineStr">
        <is>
          <t>RJ-125</t>
        </is>
      </c>
      <c r="B28" t="n">
        <v>25</v>
      </c>
      <c r="C28" t="inlineStr">
        <is>
          <t>BPR</t>
        </is>
      </c>
      <c r="D28">
        <f>IF($A28="","",IFERROR(CHOOSE(MATCH($C28,Settings!$L$4:$L$10,0),OPR_BR1!$B$2,OPR_BR2!$B$2,OPR_CR2!$B$2,OPR_CR3!$B$2,OPR_CR4!$B$2,OPR_RIM!$B$2,OPR_BPR!$B$2),1))</f>
        <v/>
      </c>
      <c r="E28" s="16" t="n">
        <v>46204.29166666666</v>
      </c>
      <c r="F28" s="16" t="n">
        <v>46246.29166666666</v>
      </c>
      <c r="G28" t="inlineStr">
        <is>
          <t>High</t>
        </is>
      </c>
      <c r="H28">
        <f>IF($A28="","",TEXT($F28,"MMM-YYYY"))</f>
        <v/>
      </c>
      <c r="I28" t="inlineStr">
        <is>
          <t>Cancelled</t>
        </is>
      </c>
      <c r="J28" s="17">
        <f>IF($A28="","",$F28+30)</f>
        <v/>
      </c>
      <c r="K28" t="inlineStr">
        <is>
          <t>Alpha Corp</t>
        </is>
      </c>
      <c r="L28">
        <f>IF(AND(L$3&gt;=$E28,L$3&lt;=$F28),1,"")</f>
        <v/>
      </c>
      <c r="M28">
        <f>IF(AND(M$3&gt;=$E28,M$3&lt;=$F28),1,"")</f>
        <v/>
      </c>
      <c r="N28">
        <f>IF(AND(N$3&gt;=$E28,N$3&lt;=$F28),1,"")</f>
        <v/>
      </c>
      <c r="O28">
        <f>IF(AND(O$3&gt;=$E28,O$3&lt;=$F28),1,"")</f>
        <v/>
      </c>
      <c r="P28">
        <f>IF(AND(P$3&gt;=$E28,P$3&lt;=$F28),1,"")</f>
        <v/>
      </c>
      <c r="Q28">
        <f>IF(AND(Q$3&gt;=$E28,Q$3&lt;=$F28),1,"")</f>
        <v/>
      </c>
      <c r="R28">
        <f>IF(AND(R$3&gt;=$E28,R$3&lt;=$F28),1,"")</f>
        <v/>
      </c>
      <c r="S28">
        <f>IF(AND(S$3&gt;=$E28,S$3&lt;=$F28),1,"")</f>
        <v/>
      </c>
      <c r="T28">
        <f>IF(AND(T$3&gt;=$E28,T$3&lt;=$F28),1,"")</f>
        <v/>
      </c>
      <c r="U28">
        <f>IF(AND(U$3&gt;=$E28,U$3&lt;=$F28),1,"")</f>
        <v/>
      </c>
      <c r="V28">
        <f>IF(AND(V$3&gt;=$E28,V$3&lt;=$F28),1,"")</f>
        <v/>
      </c>
      <c r="W28">
        <f>IF(AND(W$3&gt;=$E28,W$3&lt;=$F28),1,"")</f>
        <v/>
      </c>
      <c r="X28">
        <f>IF(AND(X$3&gt;=$E28,X$3&lt;=$F28),1,"")</f>
        <v/>
      </c>
      <c r="Y28">
        <f>IF(AND(Y$3&gt;=$E28,Y$3&lt;=$F28),1,"")</f>
        <v/>
      </c>
      <c r="Z28">
        <f>IF(AND(Z$3&gt;=$E28,Z$3&lt;=$F28),1,"")</f>
        <v/>
      </c>
      <c r="AA28">
        <f>IF(AND(AA$3&gt;=$E28,AA$3&lt;=$F28),1,"")</f>
        <v/>
      </c>
      <c r="AB28">
        <f>IF(AND(AB$3&gt;=$E28,AB$3&lt;=$F28),1,"")</f>
        <v/>
      </c>
      <c r="AC28">
        <f>IF(AND(AC$3&gt;=$E28,AC$3&lt;=$F28),1,"")</f>
        <v/>
      </c>
      <c r="AD28">
        <f>IF(AND(AD$3&gt;=$E28,AD$3&lt;=$F28),1,"")</f>
        <v/>
      </c>
      <c r="AE28">
        <f>IF(AND(AE$3&gt;=$E28,AE$3&lt;=$F28),1,"")</f>
        <v/>
      </c>
      <c r="AF28">
        <f>IF(AND(AF$3&gt;=$E28,AF$3&lt;=$F28),1,"")</f>
        <v/>
      </c>
      <c r="AG28">
        <f>IF(AND(AG$3&gt;=$E28,AG$3&lt;=$F28),1,"")</f>
        <v/>
      </c>
      <c r="AH28">
        <f>IF(AND(AH$3&gt;=$E28,AH$3&lt;=$F28),1,"")</f>
        <v/>
      </c>
      <c r="AI28">
        <f>IF(AND(AI$3&gt;=$E28,AI$3&lt;=$F28),1,"")</f>
        <v/>
      </c>
      <c r="AJ28">
        <f>IF(AND(AJ$3&gt;=$E28,AJ$3&lt;=$F28),1,"")</f>
        <v/>
      </c>
      <c r="AK28">
        <f>IF(AND(AK$3&gt;=$E28,AK$3&lt;=$F28),1,"")</f>
        <v/>
      </c>
      <c r="AL28">
        <f>IF(AND(AL$3&gt;=$E28,AL$3&lt;=$F28),1,"")</f>
        <v/>
      </c>
      <c r="AM28">
        <f>IF(AND(AM$3&gt;=$E28,AM$3&lt;=$F28),1,"")</f>
        <v/>
      </c>
      <c r="AN28">
        <f>IF(AND(AN$3&gt;=$E28,AN$3&lt;=$F28),1,"")</f>
        <v/>
      </c>
      <c r="AO28">
        <f>IF(AND(AO$3&gt;=$E28,AO$3&lt;=$F28),1,"")</f>
        <v/>
      </c>
      <c r="AP28">
        <f>IF(AND(AP$3&gt;=$E28,AP$3&lt;=$F28),1,"")</f>
        <v/>
      </c>
      <c r="AQ28">
        <f>IF(AND(AQ$3&gt;=$E28,AQ$3&lt;=$F28),1,"")</f>
        <v/>
      </c>
      <c r="AR28">
        <f>IF(AND(AR$3&gt;=$E28,AR$3&lt;=$F28),1,"")</f>
        <v/>
      </c>
      <c r="AS28">
        <f>IF(AND(AS$3&gt;=$E28,AS$3&lt;=$F28),1,"")</f>
        <v/>
      </c>
      <c r="AT28">
        <f>IF(AND(AT$3&gt;=$E28,AT$3&lt;=$F28),1,"")</f>
        <v/>
      </c>
      <c r="AU28">
        <f>IF(AND(AU$3&gt;=$E28,AU$3&lt;=$F28),1,"")</f>
        <v/>
      </c>
      <c r="AV28">
        <f>IF(AND(AV$3&gt;=$E28,AV$3&lt;=$F28),1,"")</f>
        <v/>
      </c>
      <c r="AW28">
        <f>IF(AND(AW$3&gt;=$E28,AW$3&lt;=$F28),1,"")</f>
        <v/>
      </c>
      <c r="AX28">
        <f>IF(AND(AX$3&gt;=$E28,AX$3&lt;=$F28),1,"")</f>
        <v/>
      </c>
      <c r="AY28">
        <f>IF(AND(AY$3&gt;=$E28,AY$3&lt;=$F28),1,"")</f>
        <v/>
      </c>
      <c r="AZ28">
        <f>IF(AND(AZ$3&gt;=$E28,AZ$3&lt;=$F28),1,"")</f>
        <v/>
      </c>
      <c r="BA28">
        <f>IF(AND(BA$3&gt;=$E28,BA$3&lt;=$F28),1,"")</f>
        <v/>
      </c>
      <c r="BB28">
        <f>IF(AND(BB$3&gt;=$E28,BB$3&lt;=$F28),1,"")</f>
        <v/>
      </c>
      <c r="BC28">
        <f>IF(AND(BC$3&gt;=$E28,BC$3&lt;=$F28),1,"")</f>
        <v/>
      </c>
      <c r="BD28">
        <f>IF(AND(BD$3&gt;=$E28,BD$3&lt;=$F28),1,"")</f>
        <v/>
      </c>
      <c r="BE28">
        <f>IF(AND(BE$3&gt;=$E28,BE$3&lt;=$F28),1,"")</f>
        <v/>
      </c>
      <c r="BF28">
        <f>IF(AND(BF$3&gt;=$E28,BF$3&lt;=$F28),1,"")</f>
        <v/>
      </c>
      <c r="BG28">
        <f>IF(AND(BG$3&gt;=$E28,BG$3&lt;=$F28),1,"")</f>
        <v/>
      </c>
      <c r="BH28">
        <f>IF(AND(BH$3&gt;=$E28,BH$3&lt;=$F28),1,"")</f>
        <v/>
      </c>
      <c r="BI28">
        <f>IF(AND(BI$3&gt;=$E28,BI$3&lt;=$F28),1,"")</f>
        <v/>
      </c>
      <c r="BJ28">
        <f>IF(AND(BJ$3&gt;=$E28,BJ$3&lt;=$F28),1,"")</f>
        <v/>
      </c>
      <c r="BK28">
        <f>IF(AND(BK$3&gt;=$E28,BK$3&lt;=$F28),1,"")</f>
        <v/>
      </c>
      <c r="BL28">
        <f>IF(AND(BL$3&gt;=$E28,BL$3&lt;=$F28),1,"")</f>
        <v/>
      </c>
      <c r="BM28">
        <f>IF(AND(BM$3&gt;=$E28,BM$3&lt;=$F28),1,"")</f>
        <v/>
      </c>
      <c r="BN28">
        <f>IF(AND(BN$3&gt;=$E28,BN$3&lt;=$F28),1,"")</f>
        <v/>
      </c>
      <c r="BO28">
        <f>IF(AND(BO$3&gt;=$E28,BO$3&lt;=$F28),1,"")</f>
        <v/>
      </c>
      <c r="BP28">
        <f>IF(AND(BP$3&gt;=$E28,BP$3&lt;=$F28),1,"")</f>
        <v/>
      </c>
      <c r="BQ28">
        <f>IF(AND(BQ$3&gt;=$E28,BQ$3&lt;=$F28),1,"")</f>
        <v/>
      </c>
      <c r="BR28">
        <f>IF(AND(BR$3&gt;=$E28,BR$3&lt;=$F28),1,"")</f>
        <v/>
      </c>
    </row>
    <row r="29">
      <c r="A29" t="inlineStr">
        <is>
          <t>RJ-126</t>
        </is>
      </c>
      <c r="B29" t="n">
        <v>34</v>
      </c>
      <c r="C29" t="inlineStr">
        <is>
          <t>BPR</t>
        </is>
      </c>
      <c r="D29">
        <f>IF($A29="","",IFERROR(CHOOSE(MATCH($C29,Settings!$L$4:$L$10,0),OPR_BR1!$B$2,OPR_BR2!$B$2,OPR_CR2!$B$2,OPR_CR3!$B$2,OPR_CR4!$B$2,OPR_RIM!$B$2,OPR_BPR!$B$2),1))</f>
        <v/>
      </c>
      <c r="E29" s="16" t="n">
        <v>46211.29166666666</v>
      </c>
      <c r="F29" s="16" t="n">
        <v>46251.29166666666</v>
      </c>
      <c r="G29" t="inlineStr">
        <is>
          <t>Low</t>
        </is>
      </c>
      <c r="H29">
        <f>IF($A29="","",TEXT($F29,"MMM-YYYY"))</f>
        <v/>
      </c>
      <c r="I29" t="inlineStr">
        <is>
          <t>On Hold</t>
        </is>
      </c>
      <c r="J29" s="17">
        <f>IF($A29="","",$F29+30)</f>
        <v/>
      </c>
      <c r="K29" t="inlineStr">
        <is>
          <t>Sigma Mfg</t>
        </is>
      </c>
      <c r="L29">
        <f>IF(AND(L$3&gt;=$E29,L$3&lt;=$F29),1,"")</f>
        <v/>
      </c>
      <c r="M29">
        <f>IF(AND(M$3&gt;=$E29,M$3&lt;=$F29),1,"")</f>
        <v/>
      </c>
      <c r="N29">
        <f>IF(AND(N$3&gt;=$E29,N$3&lt;=$F29),1,"")</f>
        <v/>
      </c>
      <c r="O29">
        <f>IF(AND(O$3&gt;=$E29,O$3&lt;=$F29),1,"")</f>
        <v/>
      </c>
      <c r="P29">
        <f>IF(AND(P$3&gt;=$E29,P$3&lt;=$F29),1,"")</f>
        <v/>
      </c>
      <c r="Q29">
        <f>IF(AND(Q$3&gt;=$E29,Q$3&lt;=$F29),1,"")</f>
        <v/>
      </c>
      <c r="R29">
        <f>IF(AND(R$3&gt;=$E29,R$3&lt;=$F29),1,"")</f>
        <v/>
      </c>
      <c r="S29">
        <f>IF(AND(S$3&gt;=$E29,S$3&lt;=$F29),1,"")</f>
        <v/>
      </c>
      <c r="T29">
        <f>IF(AND(T$3&gt;=$E29,T$3&lt;=$F29),1,"")</f>
        <v/>
      </c>
      <c r="U29">
        <f>IF(AND(U$3&gt;=$E29,U$3&lt;=$F29),1,"")</f>
        <v/>
      </c>
      <c r="V29">
        <f>IF(AND(V$3&gt;=$E29,V$3&lt;=$F29),1,"")</f>
        <v/>
      </c>
      <c r="W29">
        <f>IF(AND(W$3&gt;=$E29,W$3&lt;=$F29),1,"")</f>
        <v/>
      </c>
      <c r="X29">
        <f>IF(AND(X$3&gt;=$E29,X$3&lt;=$F29),1,"")</f>
        <v/>
      </c>
      <c r="Y29">
        <f>IF(AND(Y$3&gt;=$E29,Y$3&lt;=$F29),1,"")</f>
        <v/>
      </c>
      <c r="Z29">
        <f>IF(AND(Z$3&gt;=$E29,Z$3&lt;=$F29),1,"")</f>
        <v/>
      </c>
      <c r="AA29">
        <f>IF(AND(AA$3&gt;=$E29,AA$3&lt;=$F29),1,"")</f>
        <v/>
      </c>
      <c r="AB29">
        <f>IF(AND(AB$3&gt;=$E29,AB$3&lt;=$F29),1,"")</f>
        <v/>
      </c>
      <c r="AC29">
        <f>IF(AND(AC$3&gt;=$E29,AC$3&lt;=$F29),1,"")</f>
        <v/>
      </c>
      <c r="AD29">
        <f>IF(AND(AD$3&gt;=$E29,AD$3&lt;=$F29),1,"")</f>
        <v/>
      </c>
      <c r="AE29">
        <f>IF(AND(AE$3&gt;=$E29,AE$3&lt;=$F29),1,"")</f>
        <v/>
      </c>
      <c r="AF29">
        <f>IF(AND(AF$3&gt;=$E29,AF$3&lt;=$F29),1,"")</f>
        <v/>
      </c>
      <c r="AG29">
        <f>IF(AND(AG$3&gt;=$E29,AG$3&lt;=$F29),1,"")</f>
        <v/>
      </c>
      <c r="AH29">
        <f>IF(AND(AH$3&gt;=$E29,AH$3&lt;=$F29),1,"")</f>
        <v/>
      </c>
      <c r="AI29">
        <f>IF(AND(AI$3&gt;=$E29,AI$3&lt;=$F29),1,"")</f>
        <v/>
      </c>
      <c r="AJ29">
        <f>IF(AND(AJ$3&gt;=$E29,AJ$3&lt;=$F29),1,"")</f>
        <v/>
      </c>
      <c r="AK29">
        <f>IF(AND(AK$3&gt;=$E29,AK$3&lt;=$F29),1,"")</f>
        <v/>
      </c>
      <c r="AL29">
        <f>IF(AND(AL$3&gt;=$E29,AL$3&lt;=$F29),1,"")</f>
        <v/>
      </c>
      <c r="AM29">
        <f>IF(AND(AM$3&gt;=$E29,AM$3&lt;=$F29),1,"")</f>
        <v/>
      </c>
      <c r="AN29">
        <f>IF(AND(AN$3&gt;=$E29,AN$3&lt;=$F29),1,"")</f>
        <v/>
      </c>
      <c r="AO29">
        <f>IF(AND(AO$3&gt;=$E29,AO$3&lt;=$F29),1,"")</f>
        <v/>
      </c>
      <c r="AP29">
        <f>IF(AND(AP$3&gt;=$E29,AP$3&lt;=$F29),1,"")</f>
        <v/>
      </c>
      <c r="AQ29">
        <f>IF(AND(AQ$3&gt;=$E29,AQ$3&lt;=$F29),1,"")</f>
        <v/>
      </c>
      <c r="AR29">
        <f>IF(AND(AR$3&gt;=$E29,AR$3&lt;=$F29),1,"")</f>
        <v/>
      </c>
      <c r="AS29">
        <f>IF(AND(AS$3&gt;=$E29,AS$3&lt;=$F29),1,"")</f>
        <v/>
      </c>
      <c r="AT29">
        <f>IF(AND(AT$3&gt;=$E29,AT$3&lt;=$F29),1,"")</f>
        <v/>
      </c>
      <c r="AU29">
        <f>IF(AND(AU$3&gt;=$E29,AU$3&lt;=$F29),1,"")</f>
        <v/>
      </c>
      <c r="AV29">
        <f>IF(AND(AV$3&gt;=$E29,AV$3&lt;=$F29),1,"")</f>
        <v/>
      </c>
      <c r="AW29">
        <f>IF(AND(AW$3&gt;=$E29,AW$3&lt;=$F29),1,"")</f>
        <v/>
      </c>
      <c r="AX29">
        <f>IF(AND(AX$3&gt;=$E29,AX$3&lt;=$F29),1,"")</f>
        <v/>
      </c>
      <c r="AY29">
        <f>IF(AND(AY$3&gt;=$E29,AY$3&lt;=$F29),1,"")</f>
        <v/>
      </c>
      <c r="AZ29">
        <f>IF(AND(AZ$3&gt;=$E29,AZ$3&lt;=$F29),1,"")</f>
        <v/>
      </c>
      <c r="BA29">
        <f>IF(AND(BA$3&gt;=$E29,BA$3&lt;=$F29),1,"")</f>
        <v/>
      </c>
      <c r="BB29">
        <f>IF(AND(BB$3&gt;=$E29,BB$3&lt;=$F29),1,"")</f>
        <v/>
      </c>
      <c r="BC29">
        <f>IF(AND(BC$3&gt;=$E29,BC$3&lt;=$F29),1,"")</f>
        <v/>
      </c>
      <c r="BD29">
        <f>IF(AND(BD$3&gt;=$E29,BD$3&lt;=$F29),1,"")</f>
        <v/>
      </c>
      <c r="BE29">
        <f>IF(AND(BE$3&gt;=$E29,BE$3&lt;=$F29),1,"")</f>
        <v/>
      </c>
      <c r="BF29">
        <f>IF(AND(BF$3&gt;=$E29,BF$3&lt;=$F29),1,"")</f>
        <v/>
      </c>
      <c r="BG29">
        <f>IF(AND(BG$3&gt;=$E29,BG$3&lt;=$F29),1,"")</f>
        <v/>
      </c>
      <c r="BH29">
        <f>IF(AND(BH$3&gt;=$E29,BH$3&lt;=$F29),1,"")</f>
        <v/>
      </c>
      <c r="BI29">
        <f>IF(AND(BI$3&gt;=$E29,BI$3&lt;=$F29),1,"")</f>
        <v/>
      </c>
      <c r="BJ29">
        <f>IF(AND(BJ$3&gt;=$E29,BJ$3&lt;=$F29),1,"")</f>
        <v/>
      </c>
      <c r="BK29">
        <f>IF(AND(BK$3&gt;=$E29,BK$3&lt;=$F29),1,"")</f>
        <v/>
      </c>
      <c r="BL29">
        <f>IF(AND(BL$3&gt;=$E29,BL$3&lt;=$F29),1,"")</f>
        <v/>
      </c>
      <c r="BM29">
        <f>IF(AND(BM$3&gt;=$E29,BM$3&lt;=$F29),1,"")</f>
        <v/>
      </c>
      <c r="BN29">
        <f>IF(AND(BN$3&gt;=$E29,BN$3&lt;=$F29),1,"")</f>
        <v/>
      </c>
      <c r="BO29">
        <f>IF(AND(BO$3&gt;=$E29,BO$3&lt;=$F29),1,"")</f>
        <v/>
      </c>
      <c r="BP29">
        <f>IF(AND(BP$3&gt;=$E29,BP$3&lt;=$F29),1,"")</f>
        <v/>
      </c>
      <c r="BQ29">
        <f>IF(AND(BQ$3&gt;=$E29,BQ$3&lt;=$F29),1,"")</f>
        <v/>
      </c>
      <c r="BR29">
        <f>IF(AND(BR$3&gt;=$E29,BR$3&lt;=$F29),1,"")</f>
        <v/>
      </c>
    </row>
    <row r="30">
      <c r="A30" t="inlineStr">
        <is>
          <t>RJ-127</t>
        </is>
      </c>
      <c r="B30" t="n">
        <v>57</v>
      </c>
      <c r="C30" t="inlineStr">
        <is>
          <t>CR3</t>
        </is>
      </c>
      <c r="D30">
        <f>IF($A30="","",IFERROR(CHOOSE(MATCH($C30,Settings!$L$4:$L$10,0),OPR_BR1!$B$2,OPR_BR2!$B$2,OPR_CR2!$B$2,OPR_CR3!$B$2,OPR_CR4!$B$2,OPR_RIM!$B$2,OPR_BPR!$B$2),1))</f>
        <v/>
      </c>
      <c r="E30" s="16" t="n">
        <v>46147.29166666666</v>
      </c>
      <c r="F30" s="16" t="n">
        <v>46172.29166666666</v>
      </c>
      <c r="G30" t="inlineStr">
        <is>
          <t>High</t>
        </is>
      </c>
      <c r="H30">
        <f>IF($A30="","",TEXT($F30,"MMM-YYYY"))</f>
        <v/>
      </c>
      <c r="I30" t="inlineStr">
        <is>
          <t>On Hold</t>
        </is>
      </c>
      <c r="J30" s="17">
        <f>IF($A30="","",$F30+30)</f>
        <v/>
      </c>
      <c r="K30" t="inlineStr">
        <is>
          <t>Delta Co</t>
        </is>
      </c>
      <c r="L30">
        <f>IF(AND(L$3&gt;=$E30,L$3&lt;=$F30),1,"")</f>
        <v/>
      </c>
      <c r="M30">
        <f>IF(AND(M$3&gt;=$E30,M$3&lt;=$F30),1,"")</f>
        <v/>
      </c>
      <c r="N30">
        <f>IF(AND(N$3&gt;=$E30,N$3&lt;=$F30),1,"")</f>
        <v/>
      </c>
      <c r="O30">
        <f>IF(AND(O$3&gt;=$E30,O$3&lt;=$F30),1,"")</f>
        <v/>
      </c>
      <c r="P30">
        <f>IF(AND(P$3&gt;=$E30,P$3&lt;=$F30),1,"")</f>
        <v/>
      </c>
      <c r="Q30">
        <f>IF(AND(Q$3&gt;=$E30,Q$3&lt;=$F30),1,"")</f>
        <v/>
      </c>
      <c r="R30">
        <f>IF(AND(R$3&gt;=$E30,R$3&lt;=$F30),1,"")</f>
        <v/>
      </c>
      <c r="S30">
        <f>IF(AND(S$3&gt;=$E30,S$3&lt;=$F30),1,"")</f>
        <v/>
      </c>
      <c r="T30">
        <f>IF(AND(T$3&gt;=$E30,T$3&lt;=$F30),1,"")</f>
        <v/>
      </c>
      <c r="U30">
        <f>IF(AND(U$3&gt;=$E30,U$3&lt;=$F30),1,"")</f>
        <v/>
      </c>
      <c r="V30">
        <f>IF(AND(V$3&gt;=$E30,V$3&lt;=$F30),1,"")</f>
        <v/>
      </c>
      <c r="W30">
        <f>IF(AND(W$3&gt;=$E30,W$3&lt;=$F30),1,"")</f>
        <v/>
      </c>
      <c r="X30">
        <f>IF(AND(X$3&gt;=$E30,X$3&lt;=$F30),1,"")</f>
        <v/>
      </c>
      <c r="Y30">
        <f>IF(AND(Y$3&gt;=$E30,Y$3&lt;=$F30),1,"")</f>
        <v/>
      </c>
      <c r="Z30">
        <f>IF(AND(Z$3&gt;=$E30,Z$3&lt;=$F30),1,"")</f>
        <v/>
      </c>
      <c r="AA30">
        <f>IF(AND(AA$3&gt;=$E30,AA$3&lt;=$F30),1,"")</f>
        <v/>
      </c>
      <c r="AB30">
        <f>IF(AND(AB$3&gt;=$E30,AB$3&lt;=$F30),1,"")</f>
        <v/>
      </c>
      <c r="AC30">
        <f>IF(AND(AC$3&gt;=$E30,AC$3&lt;=$F30),1,"")</f>
        <v/>
      </c>
      <c r="AD30">
        <f>IF(AND(AD$3&gt;=$E30,AD$3&lt;=$F30),1,"")</f>
        <v/>
      </c>
      <c r="AE30">
        <f>IF(AND(AE$3&gt;=$E30,AE$3&lt;=$F30),1,"")</f>
        <v/>
      </c>
      <c r="AF30">
        <f>IF(AND(AF$3&gt;=$E30,AF$3&lt;=$F30),1,"")</f>
        <v/>
      </c>
      <c r="AG30">
        <f>IF(AND(AG$3&gt;=$E30,AG$3&lt;=$F30),1,"")</f>
        <v/>
      </c>
      <c r="AH30">
        <f>IF(AND(AH$3&gt;=$E30,AH$3&lt;=$F30),1,"")</f>
        <v/>
      </c>
      <c r="AI30">
        <f>IF(AND(AI$3&gt;=$E30,AI$3&lt;=$F30),1,"")</f>
        <v/>
      </c>
      <c r="AJ30">
        <f>IF(AND(AJ$3&gt;=$E30,AJ$3&lt;=$F30),1,"")</f>
        <v/>
      </c>
      <c r="AK30">
        <f>IF(AND(AK$3&gt;=$E30,AK$3&lt;=$F30),1,"")</f>
        <v/>
      </c>
      <c r="AL30">
        <f>IF(AND(AL$3&gt;=$E30,AL$3&lt;=$F30),1,"")</f>
        <v/>
      </c>
      <c r="AM30">
        <f>IF(AND(AM$3&gt;=$E30,AM$3&lt;=$F30),1,"")</f>
        <v/>
      </c>
      <c r="AN30">
        <f>IF(AND(AN$3&gt;=$E30,AN$3&lt;=$F30),1,"")</f>
        <v/>
      </c>
      <c r="AO30">
        <f>IF(AND(AO$3&gt;=$E30,AO$3&lt;=$F30),1,"")</f>
        <v/>
      </c>
      <c r="AP30">
        <f>IF(AND(AP$3&gt;=$E30,AP$3&lt;=$F30),1,"")</f>
        <v/>
      </c>
      <c r="AQ30">
        <f>IF(AND(AQ$3&gt;=$E30,AQ$3&lt;=$F30),1,"")</f>
        <v/>
      </c>
      <c r="AR30">
        <f>IF(AND(AR$3&gt;=$E30,AR$3&lt;=$F30),1,"")</f>
        <v/>
      </c>
      <c r="AS30">
        <f>IF(AND(AS$3&gt;=$E30,AS$3&lt;=$F30),1,"")</f>
        <v/>
      </c>
      <c r="AT30">
        <f>IF(AND(AT$3&gt;=$E30,AT$3&lt;=$F30),1,"")</f>
        <v/>
      </c>
      <c r="AU30">
        <f>IF(AND(AU$3&gt;=$E30,AU$3&lt;=$F30),1,"")</f>
        <v/>
      </c>
      <c r="AV30">
        <f>IF(AND(AV$3&gt;=$E30,AV$3&lt;=$F30),1,"")</f>
        <v/>
      </c>
      <c r="AW30">
        <f>IF(AND(AW$3&gt;=$E30,AW$3&lt;=$F30),1,"")</f>
        <v/>
      </c>
      <c r="AX30">
        <f>IF(AND(AX$3&gt;=$E30,AX$3&lt;=$F30),1,"")</f>
        <v/>
      </c>
      <c r="AY30">
        <f>IF(AND(AY$3&gt;=$E30,AY$3&lt;=$F30),1,"")</f>
        <v/>
      </c>
      <c r="AZ30">
        <f>IF(AND(AZ$3&gt;=$E30,AZ$3&lt;=$F30),1,"")</f>
        <v/>
      </c>
      <c r="BA30">
        <f>IF(AND(BA$3&gt;=$E30,BA$3&lt;=$F30),1,"")</f>
        <v/>
      </c>
      <c r="BB30">
        <f>IF(AND(BB$3&gt;=$E30,BB$3&lt;=$F30),1,"")</f>
        <v/>
      </c>
      <c r="BC30">
        <f>IF(AND(BC$3&gt;=$E30,BC$3&lt;=$F30),1,"")</f>
        <v/>
      </c>
      <c r="BD30">
        <f>IF(AND(BD$3&gt;=$E30,BD$3&lt;=$F30),1,"")</f>
        <v/>
      </c>
      <c r="BE30">
        <f>IF(AND(BE$3&gt;=$E30,BE$3&lt;=$F30),1,"")</f>
        <v/>
      </c>
      <c r="BF30">
        <f>IF(AND(BF$3&gt;=$E30,BF$3&lt;=$F30),1,"")</f>
        <v/>
      </c>
      <c r="BG30">
        <f>IF(AND(BG$3&gt;=$E30,BG$3&lt;=$F30),1,"")</f>
        <v/>
      </c>
      <c r="BH30">
        <f>IF(AND(BH$3&gt;=$E30,BH$3&lt;=$F30),1,"")</f>
        <v/>
      </c>
      <c r="BI30">
        <f>IF(AND(BI$3&gt;=$E30,BI$3&lt;=$F30),1,"")</f>
        <v/>
      </c>
      <c r="BJ30">
        <f>IF(AND(BJ$3&gt;=$E30,BJ$3&lt;=$F30),1,"")</f>
        <v/>
      </c>
      <c r="BK30">
        <f>IF(AND(BK$3&gt;=$E30,BK$3&lt;=$F30),1,"")</f>
        <v/>
      </c>
      <c r="BL30">
        <f>IF(AND(BL$3&gt;=$E30,BL$3&lt;=$F30),1,"")</f>
        <v/>
      </c>
      <c r="BM30">
        <f>IF(AND(BM$3&gt;=$E30,BM$3&lt;=$F30),1,"")</f>
        <v/>
      </c>
      <c r="BN30">
        <f>IF(AND(BN$3&gt;=$E30,BN$3&lt;=$F30),1,"")</f>
        <v/>
      </c>
      <c r="BO30">
        <f>IF(AND(BO$3&gt;=$E30,BO$3&lt;=$F30),1,"")</f>
        <v/>
      </c>
      <c r="BP30">
        <f>IF(AND(BP$3&gt;=$E30,BP$3&lt;=$F30),1,"")</f>
        <v/>
      </c>
      <c r="BQ30">
        <f>IF(AND(BQ$3&gt;=$E30,BQ$3&lt;=$F30),1,"")</f>
        <v/>
      </c>
      <c r="BR30">
        <f>IF(AND(BR$3&gt;=$E30,BR$3&lt;=$F30),1,"")</f>
        <v/>
      </c>
    </row>
    <row r="31">
      <c r="A31" t="inlineStr">
        <is>
          <t>RJ-128</t>
        </is>
      </c>
      <c r="B31" t="n">
        <v>30</v>
      </c>
      <c r="C31" t="inlineStr">
        <is>
          <t>CR2</t>
        </is>
      </c>
      <c r="D31">
        <f>IF($A31="","",IFERROR(CHOOSE(MATCH($C31,Settings!$L$4:$L$10,0),OPR_BR1!$B$2,OPR_BR2!$B$2,OPR_CR2!$B$2,OPR_CR3!$B$2,OPR_CR4!$B$2,OPR_RIM!$B$2,OPR_BPR!$B$2),1))</f>
        <v/>
      </c>
      <c r="E31" s="16" t="n">
        <v>46224.29166666666</v>
      </c>
      <c r="F31" s="16" t="n">
        <v>46279.29166666666</v>
      </c>
      <c r="G31" t="inlineStr">
        <is>
          <t>Medium</t>
        </is>
      </c>
      <c r="H31">
        <f>IF($A31="","",TEXT($F31,"MMM-YYYY"))</f>
        <v/>
      </c>
      <c r="I31" t="inlineStr">
        <is>
          <t>Cancelled</t>
        </is>
      </c>
      <c r="J31" s="17">
        <f>IF($A31="","",$F31+30)</f>
        <v/>
      </c>
      <c r="K31" t="inlineStr">
        <is>
          <t>Delta Co</t>
        </is>
      </c>
      <c r="L31">
        <f>IF(AND(L$3&gt;=$E31,L$3&lt;=$F31),1,"")</f>
        <v/>
      </c>
      <c r="M31">
        <f>IF(AND(M$3&gt;=$E31,M$3&lt;=$F31),1,"")</f>
        <v/>
      </c>
      <c r="N31">
        <f>IF(AND(N$3&gt;=$E31,N$3&lt;=$F31),1,"")</f>
        <v/>
      </c>
      <c r="O31">
        <f>IF(AND(O$3&gt;=$E31,O$3&lt;=$F31),1,"")</f>
        <v/>
      </c>
      <c r="P31">
        <f>IF(AND(P$3&gt;=$E31,P$3&lt;=$F31),1,"")</f>
        <v/>
      </c>
      <c r="Q31">
        <f>IF(AND(Q$3&gt;=$E31,Q$3&lt;=$F31),1,"")</f>
        <v/>
      </c>
      <c r="R31">
        <f>IF(AND(R$3&gt;=$E31,R$3&lt;=$F31),1,"")</f>
        <v/>
      </c>
      <c r="S31">
        <f>IF(AND(S$3&gt;=$E31,S$3&lt;=$F31),1,"")</f>
        <v/>
      </c>
      <c r="T31">
        <f>IF(AND(T$3&gt;=$E31,T$3&lt;=$F31),1,"")</f>
        <v/>
      </c>
      <c r="U31">
        <f>IF(AND(U$3&gt;=$E31,U$3&lt;=$F31),1,"")</f>
        <v/>
      </c>
      <c r="V31">
        <f>IF(AND(V$3&gt;=$E31,V$3&lt;=$F31),1,"")</f>
        <v/>
      </c>
      <c r="W31">
        <f>IF(AND(W$3&gt;=$E31,W$3&lt;=$F31),1,"")</f>
        <v/>
      </c>
      <c r="X31">
        <f>IF(AND(X$3&gt;=$E31,X$3&lt;=$F31),1,"")</f>
        <v/>
      </c>
      <c r="Y31">
        <f>IF(AND(Y$3&gt;=$E31,Y$3&lt;=$F31),1,"")</f>
        <v/>
      </c>
      <c r="Z31">
        <f>IF(AND(Z$3&gt;=$E31,Z$3&lt;=$F31),1,"")</f>
        <v/>
      </c>
      <c r="AA31">
        <f>IF(AND(AA$3&gt;=$E31,AA$3&lt;=$F31),1,"")</f>
        <v/>
      </c>
      <c r="AB31">
        <f>IF(AND(AB$3&gt;=$E31,AB$3&lt;=$F31),1,"")</f>
        <v/>
      </c>
      <c r="AC31">
        <f>IF(AND(AC$3&gt;=$E31,AC$3&lt;=$F31),1,"")</f>
        <v/>
      </c>
      <c r="AD31">
        <f>IF(AND(AD$3&gt;=$E31,AD$3&lt;=$F31),1,"")</f>
        <v/>
      </c>
      <c r="AE31">
        <f>IF(AND(AE$3&gt;=$E31,AE$3&lt;=$F31),1,"")</f>
        <v/>
      </c>
      <c r="AF31">
        <f>IF(AND(AF$3&gt;=$E31,AF$3&lt;=$F31),1,"")</f>
        <v/>
      </c>
      <c r="AG31">
        <f>IF(AND(AG$3&gt;=$E31,AG$3&lt;=$F31),1,"")</f>
        <v/>
      </c>
      <c r="AH31">
        <f>IF(AND(AH$3&gt;=$E31,AH$3&lt;=$F31),1,"")</f>
        <v/>
      </c>
      <c r="AI31">
        <f>IF(AND(AI$3&gt;=$E31,AI$3&lt;=$F31),1,"")</f>
        <v/>
      </c>
      <c r="AJ31">
        <f>IF(AND(AJ$3&gt;=$E31,AJ$3&lt;=$F31),1,"")</f>
        <v/>
      </c>
      <c r="AK31">
        <f>IF(AND(AK$3&gt;=$E31,AK$3&lt;=$F31),1,"")</f>
        <v/>
      </c>
      <c r="AL31">
        <f>IF(AND(AL$3&gt;=$E31,AL$3&lt;=$F31),1,"")</f>
        <v/>
      </c>
      <c r="AM31">
        <f>IF(AND(AM$3&gt;=$E31,AM$3&lt;=$F31),1,"")</f>
        <v/>
      </c>
      <c r="AN31">
        <f>IF(AND(AN$3&gt;=$E31,AN$3&lt;=$F31),1,"")</f>
        <v/>
      </c>
      <c r="AO31">
        <f>IF(AND(AO$3&gt;=$E31,AO$3&lt;=$F31),1,"")</f>
        <v/>
      </c>
      <c r="AP31">
        <f>IF(AND(AP$3&gt;=$E31,AP$3&lt;=$F31),1,"")</f>
        <v/>
      </c>
      <c r="AQ31">
        <f>IF(AND(AQ$3&gt;=$E31,AQ$3&lt;=$F31),1,"")</f>
        <v/>
      </c>
      <c r="AR31">
        <f>IF(AND(AR$3&gt;=$E31,AR$3&lt;=$F31),1,"")</f>
        <v/>
      </c>
      <c r="AS31">
        <f>IF(AND(AS$3&gt;=$E31,AS$3&lt;=$F31),1,"")</f>
        <v/>
      </c>
      <c r="AT31">
        <f>IF(AND(AT$3&gt;=$E31,AT$3&lt;=$F31),1,"")</f>
        <v/>
      </c>
      <c r="AU31">
        <f>IF(AND(AU$3&gt;=$E31,AU$3&lt;=$F31),1,"")</f>
        <v/>
      </c>
      <c r="AV31">
        <f>IF(AND(AV$3&gt;=$E31,AV$3&lt;=$F31),1,"")</f>
        <v/>
      </c>
      <c r="AW31">
        <f>IF(AND(AW$3&gt;=$E31,AW$3&lt;=$F31),1,"")</f>
        <v/>
      </c>
      <c r="AX31">
        <f>IF(AND(AX$3&gt;=$E31,AX$3&lt;=$F31),1,"")</f>
        <v/>
      </c>
      <c r="AY31">
        <f>IF(AND(AY$3&gt;=$E31,AY$3&lt;=$F31),1,"")</f>
        <v/>
      </c>
      <c r="AZ31">
        <f>IF(AND(AZ$3&gt;=$E31,AZ$3&lt;=$F31),1,"")</f>
        <v/>
      </c>
      <c r="BA31">
        <f>IF(AND(BA$3&gt;=$E31,BA$3&lt;=$F31),1,"")</f>
        <v/>
      </c>
      <c r="BB31">
        <f>IF(AND(BB$3&gt;=$E31,BB$3&lt;=$F31),1,"")</f>
        <v/>
      </c>
      <c r="BC31">
        <f>IF(AND(BC$3&gt;=$E31,BC$3&lt;=$F31),1,"")</f>
        <v/>
      </c>
      <c r="BD31">
        <f>IF(AND(BD$3&gt;=$E31,BD$3&lt;=$F31),1,"")</f>
        <v/>
      </c>
      <c r="BE31">
        <f>IF(AND(BE$3&gt;=$E31,BE$3&lt;=$F31),1,"")</f>
        <v/>
      </c>
      <c r="BF31">
        <f>IF(AND(BF$3&gt;=$E31,BF$3&lt;=$F31),1,"")</f>
        <v/>
      </c>
      <c r="BG31">
        <f>IF(AND(BG$3&gt;=$E31,BG$3&lt;=$F31),1,"")</f>
        <v/>
      </c>
      <c r="BH31">
        <f>IF(AND(BH$3&gt;=$E31,BH$3&lt;=$F31),1,"")</f>
        <v/>
      </c>
      <c r="BI31">
        <f>IF(AND(BI$3&gt;=$E31,BI$3&lt;=$F31),1,"")</f>
        <v/>
      </c>
      <c r="BJ31">
        <f>IF(AND(BJ$3&gt;=$E31,BJ$3&lt;=$F31),1,"")</f>
        <v/>
      </c>
      <c r="BK31">
        <f>IF(AND(BK$3&gt;=$E31,BK$3&lt;=$F31),1,"")</f>
        <v/>
      </c>
      <c r="BL31">
        <f>IF(AND(BL$3&gt;=$E31,BL$3&lt;=$F31),1,"")</f>
        <v/>
      </c>
      <c r="BM31">
        <f>IF(AND(BM$3&gt;=$E31,BM$3&lt;=$F31),1,"")</f>
        <v/>
      </c>
      <c r="BN31">
        <f>IF(AND(BN$3&gt;=$E31,BN$3&lt;=$F31),1,"")</f>
        <v/>
      </c>
      <c r="BO31">
        <f>IF(AND(BO$3&gt;=$E31,BO$3&lt;=$F31),1,"")</f>
        <v/>
      </c>
      <c r="BP31">
        <f>IF(AND(BP$3&gt;=$E31,BP$3&lt;=$F31),1,"")</f>
        <v/>
      </c>
      <c r="BQ31">
        <f>IF(AND(BQ$3&gt;=$E31,BQ$3&lt;=$F31),1,"")</f>
        <v/>
      </c>
      <c r="BR31">
        <f>IF(AND(BR$3&gt;=$E31,BR$3&lt;=$F31),1,"")</f>
        <v/>
      </c>
    </row>
    <row r="32">
      <c r="A32" t="inlineStr">
        <is>
          <t>RJ-129</t>
        </is>
      </c>
      <c r="B32" t="n">
        <v>15</v>
      </c>
      <c r="C32" t="inlineStr">
        <is>
          <t>BR1</t>
        </is>
      </c>
      <c r="D32">
        <f>IF($A32="","",IFERROR(CHOOSE(MATCH($C32,Settings!$L$4:$L$10,0),OPR_BR1!$B$2,OPR_BR2!$B$2,OPR_CR2!$B$2,OPR_CR3!$B$2,OPR_CR4!$B$2,OPR_RIM!$B$2,OPR_BPR!$B$2),1))</f>
        <v/>
      </c>
      <c r="E32" s="16" t="n">
        <v>46116.29166666666</v>
      </c>
      <c r="F32" s="16" t="n">
        <v>46141.29166666666</v>
      </c>
      <c r="G32" t="inlineStr">
        <is>
          <t>High</t>
        </is>
      </c>
      <c r="H32">
        <f>IF($A32="","",TEXT($F32,"MMM-YYYY"))</f>
        <v/>
      </c>
      <c r="I32" t="inlineStr">
        <is>
          <t>On Hold</t>
        </is>
      </c>
      <c r="J32" s="17">
        <f>IF($A32="","",$F32+30)</f>
        <v/>
      </c>
      <c r="K32" t="inlineStr">
        <is>
          <t>Beta Ltd</t>
        </is>
      </c>
      <c r="L32">
        <f>IF(AND(L$3&gt;=$E32,L$3&lt;=$F32),1,"")</f>
        <v/>
      </c>
      <c r="M32">
        <f>IF(AND(M$3&gt;=$E32,M$3&lt;=$F32),1,"")</f>
        <v/>
      </c>
      <c r="N32">
        <f>IF(AND(N$3&gt;=$E32,N$3&lt;=$F32),1,"")</f>
        <v/>
      </c>
      <c r="O32">
        <f>IF(AND(O$3&gt;=$E32,O$3&lt;=$F32),1,"")</f>
        <v/>
      </c>
      <c r="P32">
        <f>IF(AND(P$3&gt;=$E32,P$3&lt;=$F32),1,"")</f>
        <v/>
      </c>
      <c r="Q32">
        <f>IF(AND(Q$3&gt;=$E32,Q$3&lt;=$F32),1,"")</f>
        <v/>
      </c>
      <c r="R32">
        <f>IF(AND(R$3&gt;=$E32,R$3&lt;=$F32),1,"")</f>
        <v/>
      </c>
      <c r="S32">
        <f>IF(AND(S$3&gt;=$E32,S$3&lt;=$F32),1,"")</f>
        <v/>
      </c>
      <c r="T32">
        <f>IF(AND(T$3&gt;=$E32,T$3&lt;=$F32),1,"")</f>
        <v/>
      </c>
      <c r="U32">
        <f>IF(AND(U$3&gt;=$E32,U$3&lt;=$F32),1,"")</f>
        <v/>
      </c>
      <c r="V32">
        <f>IF(AND(V$3&gt;=$E32,V$3&lt;=$F32),1,"")</f>
        <v/>
      </c>
      <c r="W32">
        <f>IF(AND(W$3&gt;=$E32,W$3&lt;=$F32),1,"")</f>
        <v/>
      </c>
      <c r="X32">
        <f>IF(AND(X$3&gt;=$E32,X$3&lt;=$F32),1,"")</f>
        <v/>
      </c>
      <c r="Y32">
        <f>IF(AND(Y$3&gt;=$E32,Y$3&lt;=$F32),1,"")</f>
        <v/>
      </c>
      <c r="Z32">
        <f>IF(AND(Z$3&gt;=$E32,Z$3&lt;=$F32),1,"")</f>
        <v/>
      </c>
      <c r="AA32">
        <f>IF(AND(AA$3&gt;=$E32,AA$3&lt;=$F32),1,"")</f>
        <v/>
      </c>
      <c r="AB32">
        <f>IF(AND(AB$3&gt;=$E32,AB$3&lt;=$F32),1,"")</f>
        <v/>
      </c>
      <c r="AC32">
        <f>IF(AND(AC$3&gt;=$E32,AC$3&lt;=$F32),1,"")</f>
        <v/>
      </c>
      <c r="AD32">
        <f>IF(AND(AD$3&gt;=$E32,AD$3&lt;=$F32),1,"")</f>
        <v/>
      </c>
      <c r="AE32">
        <f>IF(AND(AE$3&gt;=$E32,AE$3&lt;=$F32),1,"")</f>
        <v/>
      </c>
      <c r="AF32">
        <f>IF(AND(AF$3&gt;=$E32,AF$3&lt;=$F32),1,"")</f>
        <v/>
      </c>
      <c r="AG32">
        <f>IF(AND(AG$3&gt;=$E32,AG$3&lt;=$F32),1,"")</f>
        <v/>
      </c>
      <c r="AH32">
        <f>IF(AND(AH$3&gt;=$E32,AH$3&lt;=$F32),1,"")</f>
        <v/>
      </c>
      <c r="AI32">
        <f>IF(AND(AI$3&gt;=$E32,AI$3&lt;=$F32),1,"")</f>
        <v/>
      </c>
      <c r="AJ32">
        <f>IF(AND(AJ$3&gt;=$E32,AJ$3&lt;=$F32),1,"")</f>
        <v/>
      </c>
      <c r="AK32">
        <f>IF(AND(AK$3&gt;=$E32,AK$3&lt;=$F32),1,"")</f>
        <v/>
      </c>
      <c r="AL32">
        <f>IF(AND(AL$3&gt;=$E32,AL$3&lt;=$F32),1,"")</f>
        <v/>
      </c>
      <c r="AM32">
        <f>IF(AND(AM$3&gt;=$E32,AM$3&lt;=$F32),1,"")</f>
        <v/>
      </c>
      <c r="AN32">
        <f>IF(AND(AN$3&gt;=$E32,AN$3&lt;=$F32),1,"")</f>
        <v/>
      </c>
      <c r="AO32">
        <f>IF(AND(AO$3&gt;=$E32,AO$3&lt;=$F32),1,"")</f>
        <v/>
      </c>
      <c r="AP32">
        <f>IF(AND(AP$3&gt;=$E32,AP$3&lt;=$F32),1,"")</f>
        <v/>
      </c>
      <c r="AQ32">
        <f>IF(AND(AQ$3&gt;=$E32,AQ$3&lt;=$F32),1,"")</f>
        <v/>
      </c>
      <c r="AR32">
        <f>IF(AND(AR$3&gt;=$E32,AR$3&lt;=$F32),1,"")</f>
        <v/>
      </c>
      <c r="AS32">
        <f>IF(AND(AS$3&gt;=$E32,AS$3&lt;=$F32),1,"")</f>
        <v/>
      </c>
      <c r="AT32">
        <f>IF(AND(AT$3&gt;=$E32,AT$3&lt;=$F32),1,"")</f>
        <v/>
      </c>
      <c r="AU32">
        <f>IF(AND(AU$3&gt;=$E32,AU$3&lt;=$F32),1,"")</f>
        <v/>
      </c>
      <c r="AV32">
        <f>IF(AND(AV$3&gt;=$E32,AV$3&lt;=$F32),1,"")</f>
        <v/>
      </c>
      <c r="AW32">
        <f>IF(AND(AW$3&gt;=$E32,AW$3&lt;=$F32),1,"")</f>
        <v/>
      </c>
      <c r="AX32">
        <f>IF(AND(AX$3&gt;=$E32,AX$3&lt;=$F32),1,"")</f>
        <v/>
      </c>
      <c r="AY32">
        <f>IF(AND(AY$3&gt;=$E32,AY$3&lt;=$F32),1,"")</f>
        <v/>
      </c>
      <c r="AZ32">
        <f>IF(AND(AZ$3&gt;=$E32,AZ$3&lt;=$F32),1,"")</f>
        <v/>
      </c>
      <c r="BA32">
        <f>IF(AND(BA$3&gt;=$E32,BA$3&lt;=$F32),1,"")</f>
        <v/>
      </c>
      <c r="BB32">
        <f>IF(AND(BB$3&gt;=$E32,BB$3&lt;=$F32),1,"")</f>
        <v/>
      </c>
      <c r="BC32">
        <f>IF(AND(BC$3&gt;=$E32,BC$3&lt;=$F32),1,"")</f>
        <v/>
      </c>
      <c r="BD32">
        <f>IF(AND(BD$3&gt;=$E32,BD$3&lt;=$F32),1,"")</f>
        <v/>
      </c>
      <c r="BE32">
        <f>IF(AND(BE$3&gt;=$E32,BE$3&lt;=$F32),1,"")</f>
        <v/>
      </c>
      <c r="BF32">
        <f>IF(AND(BF$3&gt;=$E32,BF$3&lt;=$F32),1,"")</f>
        <v/>
      </c>
      <c r="BG32">
        <f>IF(AND(BG$3&gt;=$E32,BG$3&lt;=$F32),1,"")</f>
        <v/>
      </c>
      <c r="BH32">
        <f>IF(AND(BH$3&gt;=$E32,BH$3&lt;=$F32),1,"")</f>
        <v/>
      </c>
      <c r="BI32">
        <f>IF(AND(BI$3&gt;=$E32,BI$3&lt;=$F32),1,"")</f>
        <v/>
      </c>
      <c r="BJ32">
        <f>IF(AND(BJ$3&gt;=$E32,BJ$3&lt;=$F32),1,"")</f>
        <v/>
      </c>
      <c r="BK32">
        <f>IF(AND(BK$3&gt;=$E32,BK$3&lt;=$F32),1,"")</f>
        <v/>
      </c>
      <c r="BL32">
        <f>IF(AND(BL$3&gt;=$E32,BL$3&lt;=$F32),1,"")</f>
        <v/>
      </c>
      <c r="BM32">
        <f>IF(AND(BM$3&gt;=$E32,BM$3&lt;=$F32),1,"")</f>
        <v/>
      </c>
      <c r="BN32">
        <f>IF(AND(BN$3&gt;=$E32,BN$3&lt;=$F32),1,"")</f>
        <v/>
      </c>
      <c r="BO32">
        <f>IF(AND(BO$3&gt;=$E32,BO$3&lt;=$F32),1,"")</f>
        <v/>
      </c>
      <c r="BP32">
        <f>IF(AND(BP$3&gt;=$E32,BP$3&lt;=$F32),1,"")</f>
        <v/>
      </c>
      <c r="BQ32">
        <f>IF(AND(BQ$3&gt;=$E32,BQ$3&lt;=$F32),1,"")</f>
        <v/>
      </c>
      <c r="BR32">
        <f>IF(AND(BR$3&gt;=$E32,BR$3&lt;=$F32),1,"")</f>
        <v/>
      </c>
    </row>
    <row r="33">
      <c r="A33" t="inlineStr">
        <is>
          <t>RJ-130</t>
        </is>
      </c>
      <c r="B33" t="n">
        <v>57</v>
      </c>
      <c r="C33" t="inlineStr">
        <is>
          <t>CR4</t>
        </is>
      </c>
      <c r="D33">
        <f>IF($A33="","",IFERROR(CHOOSE(MATCH($C33,Settings!$L$4:$L$10,0),OPR_BR1!$B$2,OPR_BR2!$B$2,OPR_CR2!$B$2,OPR_CR3!$B$2,OPR_CR4!$B$2,OPR_RIM!$B$2,OPR_BPR!$B$2),1))</f>
        <v/>
      </c>
      <c r="E33" s="16" t="n">
        <v>46208.29166666666</v>
      </c>
      <c r="F33" s="16" t="n">
        <v>46268.29166666666</v>
      </c>
      <c r="G33" t="inlineStr">
        <is>
          <t>Low</t>
        </is>
      </c>
      <c r="H33">
        <f>IF($A33="","",TEXT($F33,"MMM-YYYY"))</f>
        <v/>
      </c>
      <c r="I33" t="inlineStr">
        <is>
          <t>Released</t>
        </is>
      </c>
      <c r="J33" s="17">
        <f>IF($A33="","",$F33+30)</f>
        <v/>
      </c>
      <c r="K33" t="inlineStr">
        <is>
          <t>Gamma Inc</t>
        </is>
      </c>
      <c r="L33">
        <f>IF(AND(L$3&gt;=$E33,L$3&lt;=$F33),1,"")</f>
        <v/>
      </c>
      <c r="M33">
        <f>IF(AND(M$3&gt;=$E33,M$3&lt;=$F33),1,"")</f>
        <v/>
      </c>
      <c r="N33">
        <f>IF(AND(N$3&gt;=$E33,N$3&lt;=$F33),1,"")</f>
        <v/>
      </c>
      <c r="O33">
        <f>IF(AND(O$3&gt;=$E33,O$3&lt;=$F33),1,"")</f>
        <v/>
      </c>
      <c r="P33">
        <f>IF(AND(P$3&gt;=$E33,P$3&lt;=$F33),1,"")</f>
        <v/>
      </c>
      <c r="Q33">
        <f>IF(AND(Q$3&gt;=$E33,Q$3&lt;=$F33),1,"")</f>
        <v/>
      </c>
      <c r="R33">
        <f>IF(AND(R$3&gt;=$E33,R$3&lt;=$F33),1,"")</f>
        <v/>
      </c>
      <c r="S33">
        <f>IF(AND(S$3&gt;=$E33,S$3&lt;=$F33),1,"")</f>
        <v/>
      </c>
      <c r="T33">
        <f>IF(AND(T$3&gt;=$E33,T$3&lt;=$F33),1,"")</f>
        <v/>
      </c>
      <c r="U33">
        <f>IF(AND(U$3&gt;=$E33,U$3&lt;=$F33),1,"")</f>
        <v/>
      </c>
      <c r="V33">
        <f>IF(AND(V$3&gt;=$E33,V$3&lt;=$F33),1,"")</f>
        <v/>
      </c>
      <c r="W33">
        <f>IF(AND(W$3&gt;=$E33,W$3&lt;=$F33),1,"")</f>
        <v/>
      </c>
      <c r="X33">
        <f>IF(AND(X$3&gt;=$E33,X$3&lt;=$F33),1,"")</f>
        <v/>
      </c>
      <c r="Y33">
        <f>IF(AND(Y$3&gt;=$E33,Y$3&lt;=$F33),1,"")</f>
        <v/>
      </c>
      <c r="Z33">
        <f>IF(AND(Z$3&gt;=$E33,Z$3&lt;=$F33),1,"")</f>
        <v/>
      </c>
      <c r="AA33">
        <f>IF(AND(AA$3&gt;=$E33,AA$3&lt;=$F33),1,"")</f>
        <v/>
      </c>
      <c r="AB33">
        <f>IF(AND(AB$3&gt;=$E33,AB$3&lt;=$F33),1,"")</f>
        <v/>
      </c>
      <c r="AC33">
        <f>IF(AND(AC$3&gt;=$E33,AC$3&lt;=$F33),1,"")</f>
        <v/>
      </c>
      <c r="AD33">
        <f>IF(AND(AD$3&gt;=$E33,AD$3&lt;=$F33),1,"")</f>
        <v/>
      </c>
      <c r="AE33">
        <f>IF(AND(AE$3&gt;=$E33,AE$3&lt;=$F33),1,"")</f>
        <v/>
      </c>
      <c r="AF33">
        <f>IF(AND(AF$3&gt;=$E33,AF$3&lt;=$F33),1,"")</f>
        <v/>
      </c>
      <c r="AG33">
        <f>IF(AND(AG$3&gt;=$E33,AG$3&lt;=$F33),1,"")</f>
        <v/>
      </c>
      <c r="AH33">
        <f>IF(AND(AH$3&gt;=$E33,AH$3&lt;=$F33),1,"")</f>
        <v/>
      </c>
      <c r="AI33">
        <f>IF(AND(AI$3&gt;=$E33,AI$3&lt;=$F33),1,"")</f>
        <v/>
      </c>
      <c r="AJ33">
        <f>IF(AND(AJ$3&gt;=$E33,AJ$3&lt;=$F33),1,"")</f>
        <v/>
      </c>
      <c r="AK33">
        <f>IF(AND(AK$3&gt;=$E33,AK$3&lt;=$F33),1,"")</f>
        <v/>
      </c>
      <c r="AL33">
        <f>IF(AND(AL$3&gt;=$E33,AL$3&lt;=$F33),1,"")</f>
        <v/>
      </c>
      <c r="AM33">
        <f>IF(AND(AM$3&gt;=$E33,AM$3&lt;=$F33),1,"")</f>
        <v/>
      </c>
      <c r="AN33">
        <f>IF(AND(AN$3&gt;=$E33,AN$3&lt;=$F33),1,"")</f>
        <v/>
      </c>
      <c r="AO33">
        <f>IF(AND(AO$3&gt;=$E33,AO$3&lt;=$F33),1,"")</f>
        <v/>
      </c>
      <c r="AP33">
        <f>IF(AND(AP$3&gt;=$E33,AP$3&lt;=$F33),1,"")</f>
        <v/>
      </c>
      <c r="AQ33">
        <f>IF(AND(AQ$3&gt;=$E33,AQ$3&lt;=$F33),1,"")</f>
        <v/>
      </c>
      <c r="AR33">
        <f>IF(AND(AR$3&gt;=$E33,AR$3&lt;=$F33),1,"")</f>
        <v/>
      </c>
      <c r="AS33">
        <f>IF(AND(AS$3&gt;=$E33,AS$3&lt;=$F33),1,"")</f>
        <v/>
      </c>
      <c r="AT33">
        <f>IF(AND(AT$3&gt;=$E33,AT$3&lt;=$F33),1,"")</f>
        <v/>
      </c>
      <c r="AU33">
        <f>IF(AND(AU$3&gt;=$E33,AU$3&lt;=$F33),1,"")</f>
        <v/>
      </c>
      <c r="AV33">
        <f>IF(AND(AV$3&gt;=$E33,AV$3&lt;=$F33),1,"")</f>
        <v/>
      </c>
      <c r="AW33">
        <f>IF(AND(AW$3&gt;=$E33,AW$3&lt;=$F33),1,"")</f>
        <v/>
      </c>
      <c r="AX33">
        <f>IF(AND(AX$3&gt;=$E33,AX$3&lt;=$F33),1,"")</f>
        <v/>
      </c>
      <c r="AY33">
        <f>IF(AND(AY$3&gt;=$E33,AY$3&lt;=$F33),1,"")</f>
        <v/>
      </c>
      <c r="AZ33">
        <f>IF(AND(AZ$3&gt;=$E33,AZ$3&lt;=$F33),1,"")</f>
        <v/>
      </c>
      <c r="BA33">
        <f>IF(AND(BA$3&gt;=$E33,BA$3&lt;=$F33),1,"")</f>
        <v/>
      </c>
      <c r="BB33">
        <f>IF(AND(BB$3&gt;=$E33,BB$3&lt;=$F33),1,"")</f>
        <v/>
      </c>
      <c r="BC33">
        <f>IF(AND(BC$3&gt;=$E33,BC$3&lt;=$F33),1,"")</f>
        <v/>
      </c>
      <c r="BD33">
        <f>IF(AND(BD$3&gt;=$E33,BD$3&lt;=$F33),1,"")</f>
        <v/>
      </c>
      <c r="BE33">
        <f>IF(AND(BE$3&gt;=$E33,BE$3&lt;=$F33),1,"")</f>
        <v/>
      </c>
      <c r="BF33">
        <f>IF(AND(BF$3&gt;=$E33,BF$3&lt;=$F33),1,"")</f>
        <v/>
      </c>
      <c r="BG33">
        <f>IF(AND(BG$3&gt;=$E33,BG$3&lt;=$F33),1,"")</f>
        <v/>
      </c>
      <c r="BH33">
        <f>IF(AND(BH$3&gt;=$E33,BH$3&lt;=$F33),1,"")</f>
        <v/>
      </c>
      <c r="BI33">
        <f>IF(AND(BI$3&gt;=$E33,BI$3&lt;=$F33),1,"")</f>
        <v/>
      </c>
      <c r="BJ33">
        <f>IF(AND(BJ$3&gt;=$E33,BJ$3&lt;=$F33),1,"")</f>
        <v/>
      </c>
      <c r="BK33">
        <f>IF(AND(BK$3&gt;=$E33,BK$3&lt;=$F33),1,"")</f>
        <v/>
      </c>
      <c r="BL33">
        <f>IF(AND(BL$3&gt;=$E33,BL$3&lt;=$F33),1,"")</f>
        <v/>
      </c>
      <c r="BM33">
        <f>IF(AND(BM$3&gt;=$E33,BM$3&lt;=$F33),1,"")</f>
        <v/>
      </c>
      <c r="BN33">
        <f>IF(AND(BN$3&gt;=$E33,BN$3&lt;=$F33),1,"")</f>
        <v/>
      </c>
      <c r="BO33">
        <f>IF(AND(BO$3&gt;=$E33,BO$3&lt;=$F33),1,"")</f>
        <v/>
      </c>
      <c r="BP33">
        <f>IF(AND(BP$3&gt;=$E33,BP$3&lt;=$F33),1,"")</f>
        <v/>
      </c>
      <c r="BQ33">
        <f>IF(AND(BQ$3&gt;=$E33,BQ$3&lt;=$F33),1,"")</f>
        <v/>
      </c>
      <c r="BR33">
        <f>IF(AND(BR$3&gt;=$E33,BR$3&lt;=$F33),1,"")</f>
        <v/>
      </c>
    </row>
    <row r="34">
      <c r="A34" t="inlineStr">
        <is>
          <t>RJ-131</t>
        </is>
      </c>
      <c r="B34" t="n">
        <v>9</v>
      </c>
      <c r="C34" t="inlineStr">
        <is>
          <t>BPR</t>
        </is>
      </c>
      <c r="D34">
        <f>IF($A34="","",IFERROR(CHOOSE(MATCH($C34,Settings!$L$4:$L$10,0),OPR_BR1!$B$2,OPR_BR2!$B$2,OPR_CR2!$B$2,OPR_CR3!$B$2,OPR_CR4!$B$2,OPR_RIM!$B$2,OPR_BPR!$B$2),1))</f>
        <v/>
      </c>
      <c r="E34" s="16" t="n">
        <v>46121.29166666666</v>
      </c>
      <c r="F34" s="16" t="n">
        <v>46188.29166666666</v>
      </c>
      <c r="G34" t="inlineStr">
        <is>
          <t>Low</t>
        </is>
      </c>
      <c r="H34">
        <f>IF($A34="","",TEXT($F34,"MMM-YYYY"))</f>
        <v/>
      </c>
      <c r="I34" t="inlineStr">
        <is>
          <t>Cancelled</t>
        </is>
      </c>
      <c r="J34" s="17">
        <f>IF($A34="","",$F34+30)</f>
        <v/>
      </c>
      <c r="K34" t="inlineStr">
        <is>
          <t>Sigma Mfg</t>
        </is>
      </c>
      <c r="L34">
        <f>IF(AND(L$3&gt;=$E34,L$3&lt;=$F34),1,"")</f>
        <v/>
      </c>
      <c r="M34">
        <f>IF(AND(M$3&gt;=$E34,M$3&lt;=$F34),1,"")</f>
        <v/>
      </c>
      <c r="N34">
        <f>IF(AND(N$3&gt;=$E34,N$3&lt;=$F34),1,"")</f>
        <v/>
      </c>
      <c r="O34">
        <f>IF(AND(O$3&gt;=$E34,O$3&lt;=$F34),1,"")</f>
        <v/>
      </c>
      <c r="P34">
        <f>IF(AND(P$3&gt;=$E34,P$3&lt;=$F34),1,"")</f>
        <v/>
      </c>
      <c r="Q34">
        <f>IF(AND(Q$3&gt;=$E34,Q$3&lt;=$F34),1,"")</f>
        <v/>
      </c>
      <c r="R34">
        <f>IF(AND(R$3&gt;=$E34,R$3&lt;=$F34),1,"")</f>
        <v/>
      </c>
      <c r="S34">
        <f>IF(AND(S$3&gt;=$E34,S$3&lt;=$F34),1,"")</f>
        <v/>
      </c>
      <c r="T34">
        <f>IF(AND(T$3&gt;=$E34,T$3&lt;=$F34),1,"")</f>
        <v/>
      </c>
      <c r="U34">
        <f>IF(AND(U$3&gt;=$E34,U$3&lt;=$F34),1,"")</f>
        <v/>
      </c>
      <c r="V34">
        <f>IF(AND(V$3&gt;=$E34,V$3&lt;=$F34),1,"")</f>
        <v/>
      </c>
      <c r="W34">
        <f>IF(AND(W$3&gt;=$E34,W$3&lt;=$F34),1,"")</f>
        <v/>
      </c>
      <c r="X34">
        <f>IF(AND(X$3&gt;=$E34,X$3&lt;=$F34),1,"")</f>
        <v/>
      </c>
      <c r="Y34">
        <f>IF(AND(Y$3&gt;=$E34,Y$3&lt;=$F34),1,"")</f>
        <v/>
      </c>
      <c r="Z34">
        <f>IF(AND(Z$3&gt;=$E34,Z$3&lt;=$F34),1,"")</f>
        <v/>
      </c>
      <c r="AA34">
        <f>IF(AND(AA$3&gt;=$E34,AA$3&lt;=$F34),1,"")</f>
        <v/>
      </c>
      <c r="AB34">
        <f>IF(AND(AB$3&gt;=$E34,AB$3&lt;=$F34),1,"")</f>
        <v/>
      </c>
      <c r="AC34">
        <f>IF(AND(AC$3&gt;=$E34,AC$3&lt;=$F34),1,"")</f>
        <v/>
      </c>
      <c r="AD34">
        <f>IF(AND(AD$3&gt;=$E34,AD$3&lt;=$F34),1,"")</f>
        <v/>
      </c>
      <c r="AE34">
        <f>IF(AND(AE$3&gt;=$E34,AE$3&lt;=$F34),1,"")</f>
        <v/>
      </c>
      <c r="AF34">
        <f>IF(AND(AF$3&gt;=$E34,AF$3&lt;=$F34),1,"")</f>
        <v/>
      </c>
      <c r="AG34">
        <f>IF(AND(AG$3&gt;=$E34,AG$3&lt;=$F34),1,"")</f>
        <v/>
      </c>
      <c r="AH34">
        <f>IF(AND(AH$3&gt;=$E34,AH$3&lt;=$F34),1,"")</f>
        <v/>
      </c>
      <c r="AI34">
        <f>IF(AND(AI$3&gt;=$E34,AI$3&lt;=$F34),1,"")</f>
        <v/>
      </c>
      <c r="AJ34">
        <f>IF(AND(AJ$3&gt;=$E34,AJ$3&lt;=$F34),1,"")</f>
        <v/>
      </c>
      <c r="AK34">
        <f>IF(AND(AK$3&gt;=$E34,AK$3&lt;=$F34),1,"")</f>
        <v/>
      </c>
      <c r="AL34">
        <f>IF(AND(AL$3&gt;=$E34,AL$3&lt;=$F34),1,"")</f>
        <v/>
      </c>
      <c r="AM34">
        <f>IF(AND(AM$3&gt;=$E34,AM$3&lt;=$F34),1,"")</f>
        <v/>
      </c>
      <c r="AN34">
        <f>IF(AND(AN$3&gt;=$E34,AN$3&lt;=$F34),1,"")</f>
        <v/>
      </c>
      <c r="AO34">
        <f>IF(AND(AO$3&gt;=$E34,AO$3&lt;=$F34),1,"")</f>
        <v/>
      </c>
      <c r="AP34">
        <f>IF(AND(AP$3&gt;=$E34,AP$3&lt;=$F34),1,"")</f>
        <v/>
      </c>
      <c r="AQ34">
        <f>IF(AND(AQ$3&gt;=$E34,AQ$3&lt;=$F34),1,"")</f>
        <v/>
      </c>
      <c r="AR34">
        <f>IF(AND(AR$3&gt;=$E34,AR$3&lt;=$F34),1,"")</f>
        <v/>
      </c>
      <c r="AS34">
        <f>IF(AND(AS$3&gt;=$E34,AS$3&lt;=$F34),1,"")</f>
        <v/>
      </c>
      <c r="AT34">
        <f>IF(AND(AT$3&gt;=$E34,AT$3&lt;=$F34),1,"")</f>
        <v/>
      </c>
      <c r="AU34">
        <f>IF(AND(AU$3&gt;=$E34,AU$3&lt;=$F34),1,"")</f>
        <v/>
      </c>
      <c r="AV34">
        <f>IF(AND(AV$3&gt;=$E34,AV$3&lt;=$F34),1,"")</f>
        <v/>
      </c>
      <c r="AW34">
        <f>IF(AND(AW$3&gt;=$E34,AW$3&lt;=$F34),1,"")</f>
        <v/>
      </c>
      <c r="AX34">
        <f>IF(AND(AX$3&gt;=$E34,AX$3&lt;=$F34),1,"")</f>
        <v/>
      </c>
      <c r="AY34">
        <f>IF(AND(AY$3&gt;=$E34,AY$3&lt;=$F34),1,"")</f>
        <v/>
      </c>
      <c r="AZ34">
        <f>IF(AND(AZ$3&gt;=$E34,AZ$3&lt;=$F34),1,"")</f>
        <v/>
      </c>
      <c r="BA34">
        <f>IF(AND(BA$3&gt;=$E34,BA$3&lt;=$F34),1,"")</f>
        <v/>
      </c>
      <c r="BB34">
        <f>IF(AND(BB$3&gt;=$E34,BB$3&lt;=$F34),1,"")</f>
        <v/>
      </c>
      <c r="BC34">
        <f>IF(AND(BC$3&gt;=$E34,BC$3&lt;=$F34),1,"")</f>
        <v/>
      </c>
      <c r="BD34">
        <f>IF(AND(BD$3&gt;=$E34,BD$3&lt;=$F34),1,"")</f>
        <v/>
      </c>
      <c r="BE34">
        <f>IF(AND(BE$3&gt;=$E34,BE$3&lt;=$F34),1,"")</f>
        <v/>
      </c>
      <c r="BF34">
        <f>IF(AND(BF$3&gt;=$E34,BF$3&lt;=$F34),1,"")</f>
        <v/>
      </c>
      <c r="BG34">
        <f>IF(AND(BG$3&gt;=$E34,BG$3&lt;=$F34),1,"")</f>
        <v/>
      </c>
      <c r="BH34">
        <f>IF(AND(BH$3&gt;=$E34,BH$3&lt;=$F34),1,"")</f>
        <v/>
      </c>
      <c r="BI34">
        <f>IF(AND(BI$3&gt;=$E34,BI$3&lt;=$F34),1,"")</f>
        <v/>
      </c>
      <c r="BJ34">
        <f>IF(AND(BJ$3&gt;=$E34,BJ$3&lt;=$F34),1,"")</f>
        <v/>
      </c>
      <c r="BK34">
        <f>IF(AND(BK$3&gt;=$E34,BK$3&lt;=$F34),1,"")</f>
        <v/>
      </c>
      <c r="BL34">
        <f>IF(AND(BL$3&gt;=$E34,BL$3&lt;=$F34),1,"")</f>
        <v/>
      </c>
      <c r="BM34">
        <f>IF(AND(BM$3&gt;=$E34,BM$3&lt;=$F34),1,"")</f>
        <v/>
      </c>
      <c r="BN34">
        <f>IF(AND(BN$3&gt;=$E34,BN$3&lt;=$F34),1,"")</f>
        <v/>
      </c>
      <c r="BO34">
        <f>IF(AND(BO$3&gt;=$E34,BO$3&lt;=$F34),1,"")</f>
        <v/>
      </c>
      <c r="BP34">
        <f>IF(AND(BP$3&gt;=$E34,BP$3&lt;=$F34),1,"")</f>
        <v/>
      </c>
      <c r="BQ34">
        <f>IF(AND(BQ$3&gt;=$E34,BQ$3&lt;=$F34),1,"")</f>
        <v/>
      </c>
      <c r="BR34">
        <f>IF(AND(BR$3&gt;=$E34,BR$3&lt;=$F34),1,"")</f>
        <v/>
      </c>
    </row>
    <row r="35">
      <c r="A35" t="inlineStr">
        <is>
          <t>RJ-132</t>
        </is>
      </c>
      <c r="B35" t="n">
        <v>42</v>
      </c>
      <c r="C35" t="inlineStr">
        <is>
          <t>RIM</t>
        </is>
      </c>
      <c r="D35">
        <f>IF($A35="","",IFERROR(CHOOSE(MATCH($C35,Settings!$L$4:$L$10,0),OPR_BR1!$B$2,OPR_BR2!$B$2,OPR_CR2!$B$2,OPR_CR3!$B$2,OPR_CR4!$B$2,OPR_RIM!$B$2,OPR_BPR!$B$2),1))</f>
        <v/>
      </c>
      <c r="E35" s="16" t="n">
        <v>46177.29166666666</v>
      </c>
      <c r="F35" s="16" t="n">
        <v>46248.29166666666</v>
      </c>
      <c r="G35" t="inlineStr">
        <is>
          <t>High</t>
        </is>
      </c>
      <c r="H35">
        <f>IF($A35="","",TEXT($F35,"MMM-YYYY"))</f>
        <v/>
      </c>
      <c r="I35" t="inlineStr">
        <is>
          <t>Cancelled</t>
        </is>
      </c>
      <c r="J35" s="17">
        <f>IF($A35="","",$F35+30)</f>
        <v/>
      </c>
      <c r="K35" t="inlineStr">
        <is>
          <t>Alpha Corp</t>
        </is>
      </c>
      <c r="L35">
        <f>IF(AND(L$3&gt;=$E35,L$3&lt;=$F35),1,"")</f>
        <v/>
      </c>
      <c r="M35">
        <f>IF(AND(M$3&gt;=$E35,M$3&lt;=$F35),1,"")</f>
        <v/>
      </c>
      <c r="N35">
        <f>IF(AND(N$3&gt;=$E35,N$3&lt;=$F35),1,"")</f>
        <v/>
      </c>
      <c r="O35">
        <f>IF(AND(O$3&gt;=$E35,O$3&lt;=$F35),1,"")</f>
        <v/>
      </c>
      <c r="P35">
        <f>IF(AND(P$3&gt;=$E35,P$3&lt;=$F35),1,"")</f>
        <v/>
      </c>
      <c r="Q35">
        <f>IF(AND(Q$3&gt;=$E35,Q$3&lt;=$F35),1,"")</f>
        <v/>
      </c>
      <c r="R35">
        <f>IF(AND(R$3&gt;=$E35,R$3&lt;=$F35),1,"")</f>
        <v/>
      </c>
      <c r="S35">
        <f>IF(AND(S$3&gt;=$E35,S$3&lt;=$F35),1,"")</f>
        <v/>
      </c>
      <c r="T35">
        <f>IF(AND(T$3&gt;=$E35,T$3&lt;=$F35),1,"")</f>
        <v/>
      </c>
      <c r="U35">
        <f>IF(AND(U$3&gt;=$E35,U$3&lt;=$F35),1,"")</f>
        <v/>
      </c>
      <c r="V35">
        <f>IF(AND(V$3&gt;=$E35,V$3&lt;=$F35),1,"")</f>
        <v/>
      </c>
      <c r="W35">
        <f>IF(AND(W$3&gt;=$E35,W$3&lt;=$F35),1,"")</f>
        <v/>
      </c>
      <c r="X35">
        <f>IF(AND(X$3&gt;=$E35,X$3&lt;=$F35),1,"")</f>
        <v/>
      </c>
      <c r="Y35">
        <f>IF(AND(Y$3&gt;=$E35,Y$3&lt;=$F35),1,"")</f>
        <v/>
      </c>
      <c r="Z35">
        <f>IF(AND(Z$3&gt;=$E35,Z$3&lt;=$F35),1,"")</f>
        <v/>
      </c>
      <c r="AA35">
        <f>IF(AND(AA$3&gt;=$E35,AA$3&lt;=$F35),1,"")</f>
        <v/>
      </c>
      <c r="AB35">
        <f>IF(AND(AB$3&gt;=$E35,AB$3&lt;=$F35),1,"")</f>
        <v/>
      </c>
      <c r="AC35">
        <f>IF(AND(AC$3&gt;=$E35,AC$3&lt;=$F35),1,"")</f>
        <v/>
      </c>
      <c r="AD35">
        <f>IF(AND(AD$3&gt;=$E35,AD$3&lt;=$F35),1,"")</f>
        <v/>
      </c>
      <c r="AE35">
        <f>IF(AND(AE$3&gt;=$E35,AE$3&lt;=$F35),1,"")</f>
        <v/>
      </c>
      <c r="AF35">
        <f>IF(AND(AF$3&gt;=$E35,AF$3&lt;=$F35),1,"")</f>
        <v/>
      </c>
      <c r="AG35">
        <f>IF(AND(AG$3&gt;=$E35,AG$3&lt;=$F35),1,"")</f>
        <v/>
      </c>
      <c r="AH35">
        <f>IF(AND(AH$3&gt;=$E35,AH$3&lt;=$F35),1,"")</f>
        <v/>
      </c>
      <c r="AI35">
        <f>IF(AND(AI$3&gt;=$E35,AI$3&lt;=$F35),1,"")</f>
        <v/>
      </c>
      <c r="AJ35">
        <f>IF(AND(AJ$3&gt;=$E35,AJ$3&lt;=$F35),1,"")</f>
        <v/>
      </c>
      <c r="AK35">
        <f>IF(AND(AK$3&gt;=$E35,AK$3&lt;=$F35),1,"")</f>
        <v/>
      </c>
      <c r="AL35">
        <f>IF(AND(AL$3&gt;=$E35,AL$3&lt;=$F35),1,"")</f>
        <v/>
      </c>
      <c r="AM35">
        <f>IF(AND(AM$3&gt;=$E35,AM$3&lt;=$F35),1,"")</f>
        <v/>
      </c>
      <c r="AN35">
        <f>IF(AND(AN$3&gt;=$E35,AN$3&lt;=$F35),1,"")</f>
        <v/>
      </c>
      <c r="AO35">
        <f>IF(AND(AO$3&gt;=$E35,AO$3&lt;=$F35),1,"")</f>
        <v/>
      </c>
      <c r="AP35">
        <f>IF(AND(AP$3&gt;=$E35,AP$3&lt;=$F35),1,"")</f>
        <v/>
      </c>
      <c r="AQ35">
        <f>IF(AND(AQ$3&gt;=$E35,AQ$3&lt;=$F35),1,"")</f>
        <v/>
      </c>
      <c r="AR35">
        <f>IF(AND(AR$3&gt;=$E35,AR$3&lt;=$F35),1,"")</f>
        <v/>
      </c>
      <c r="AS35">
        <f>IF(AND(AS$3&gt;=$E35,AS$3&lt;=$F35),1,"")</f>
        <v/>
      </c>
      <c r="AT35">
        <f>IF(AND(AT$3&gt;=$E35,AT$3&lt;=$F35),1,"")</f>
        <v/>
      </c>
      <c r="AU35">
        <f>IF(AND(AU$3&gt;=$E35,AU$3&lt;=$F35),1,"")</f>
        <v/>
      </c>
      <c r="AV35">
        <f>IF(AND(AV$3&gt;=$E35,AV$3&lt;=$F35),1,"")</f>
        <v/>
      </c>
      <c r="AW35">
        <f>IF(AND(AW$3&gt;=$E35,AW$3&lt;=$F35),1,"")</f>
        <v/>
      </c>
      <c r="AX35">
        <f>IF(AND(AX$3&gt;=$E35,AX$3&lt;=$F35),1,"")</f>
        <v/>
      </c>
      <c r="AY35">
        <f>IF(AND(AY$3&gt;=$E35,AY$3&lt;=$F35),1,"")</f>
        <v/>
      </c>
      <c r="AZ35">
        <f>IF(AND(AZ$3&gt;=$E35,AZ$3&lt;=$F35),1,"")</f>
        <v/>
      </c>
      <c r="BA35">
        <f>IF(AND(BA$3&gt;=$E35,BA$3&lt;=$F35),1,"")</f>
        <v/>
      </c>
      <c r="BB35">
        <f>IF(AND(BB$3&gt;=$E35,BB$3&lt;=$F35),1,"")</f>
        <v/>
      </c>
      <c r="BC35">
        <f>IF(AND(BC$3&gt;=$E35,BC$3&lt;=$F35),1,"")</f>
        <v/>
      </c>
      <c r="BD35">
        <f>IF(AND(BD$3&gt;=$E35,BD$3&lt;=$F35),1,"")</f>
        <v/>
      </c>
      <c r="BE35">
        <f>IF(AND(BE$3&gt;=$E35,BE$3&lt;=$F35),1,"")</f>
        <v/>
      </c>
      <c r="BF35">
        <f>IF(AND(BF$3&gt;=$E35,BF$3&lt;=$F35),1,"")</f>
        <v/>
      </c>
      <c r="BG35">
        <f>IF(AND(BG$3&gt;=$E35,BG$3&lt;=$F35),1,"")</f>
        <v/>
      </c>
      <c r="BH35">
        <f>IF(AND(BH$3&gt;=$E35,BH$3&lt;=$F35),1,"")</f>
        <v/>
      </c>
      <c r="BI35">
        <f>IF(AND(BI$3&gt;=$E35,BI$3&lt;=$F35),1,"")</f>
        <v/>
      </c>
      <c r="BJ35">
        <f>IF(AND(BJ$3&gt;=$E35,BJ$3&lt;=$F35),1,"")</f>
        <v/>
      </c>
      <c r="BK35">
        <f>IF(AND(BK$3&gt;=$E35,BK$3&lt;=$F35),1,"")</f>
        <v/>
      </c>
      <c r="BL35">
        <f>IF(AND(BL$3&gt;=$E35,BL$3&lt;=$F35),1,"")</f>
        <v/>
      </c>
      <c r="BM35">
        <f>IF(AND(BM$3&gt;=$E35,BM$3&lt;=$F35),1,"")</f>
        <v/>
      </c>
      <c r="BN35">
        <f>IF(AND(BN$3&gt;=$E35,BN$3&lt;=$F35),1,"")</f>
        <v/>
      </c>
      <c r="BO35">
        <f>IF(AND(BO$3&gt;=$E35,BO$3&lt;=$F35),1,"")</f>
        <v/>
      </c>
      <c r="BP35">
        <f>IF(AND(BP$3&gt;=$E35,BP$3&lt;=$F35),1,"")</f>
        <v/>
      </c>
      <c r="BQ35">
        <f>IF(AND(BQ$3&gt;=$E35,BQ$3&lt;=$F35),1,"")</f>
        <v/>
      </c>
      <c r="BR35">
        <f>IF(AND(BR$3&gt;=$E35,BR$3&lt;=$F35),1,"")</f>
        <v/>
      </c>
    </row>
    <row r="36">
      <c r="A36" t="inlineStr">
        <is>
          <t>RJ-133</t>
        </is>
      </c>
      <c r="B36" t="n">
        <v>15</v>
      </c>
      <c r="C36" t="inlineStr">
        <is>
          <t>BR1</t>
        </is>
      </c>
      <c r="D36">
        <f>IF($A36="","",IFERROR(CHOOSE(MATCH($C36,Settings!$L$4:$L$10,0),OPR_BR1!$B$2,OPR_BR2!$B$2,OPR_CR2!$B$2,OPR_CR3!$B$2,OPR_CR4!$B$2,OPR_RIM!$B$2,OPR_BPR!$B$2),1))</f>
        <v/>
      </c>
      <c r="E36" s="16" t="n">
        <v>46217.29166666666</v>
      </c>
      <c r="F36" s="16" t="n">
        <v>46283.29166666666</v>
      </c>
      <c r="G36" t="inlineStr">
        <is>
          <t>Medium</t>
        </is>
      </c>
      <c r="H36">
        <f>IF($A36="","",TEXT($F36,"MMM-YYYY"))</f>
        <v/>
      </c>
      <c r="I36" t="inlineStr">
        <is>
          <t>On Hold</t>
        </is>
      </c>
      <c r="J36" s="17">
        <f>IF($A36="","",$F36+30)</f>
        <v/>
      </c>
      <c r="K36" t="inlineStr">
        <is>
          <t>Alpha Corp</t>
        </is>
      </c>
      <c r="L36">
        <f>IF(AND(L$3&gt;=$E36,L$3&lt;=$F36),1,"")</f>
        <v/>
      </c>
      <c r="M36">
        <f>IF(AND(M$3&gt;=$E36,M$3&lt;=$F36),1,"")</f>
        <v/>
      </c>
      <c r="N36">
        <f>IF(AND(N$3&gt;=$E36,N$3&lt;=$F36),1,"")</f>
        <v/>
      </c>
      <c r="O36">
        <f>IF(AND(O$3&gt;=$E36,O$3&lt;=$F36),1,"")</f>
        <v/>
      </c>
      <c r="P36">
        <f>IF(AND(P$3&gt;=$E36,P$3&lt;=$F36),1,"")</f>
        <v/>
      </c>
      <c r="Q36">
        <f>IF(AND(Q$3&gt;=$E36,Q$3&lt;=$F36),1,"")</f>
        <v/>
      </c>
      <c r="R36">
        <f>IF(AND(R$3&gt;=$E36,R$3&lt;=$F36),1,"")</f>
        <v/>
      </c>
      <c r="S36">
        <f>IF(AND(S$3&gt;=$E36,S$3&lt;=$F36),1,"")</f>
        <v/>
      </c>
      <c r="T36">
        <f>IF(AND(T$3&gt;=$E36,T$3&lt;=$F36),1,"")</f>
        <v/>
      </c>
      <c r="U36">
        <f>IF(AND(U$3&gt;=$E36,U$3&lt;=$F36),1,"")</f>
        <v/>
      </c>
      <c r="V36">
        <f>IF(AND(V$3&gt;=$E36,V$3&lt;=$F36),1,"")</f>
        <v/>
      </c>
      <c r="W36">
        <f>IF(AND(W$3&gt;=$E36,W$3&lt;=$F36),1,"")</f>
        <v/>
      </c>
      <c r="X36">
        <f>IF(AND(X$3&gt;=$E36,X$3&lt;=$F36),1,"")</f>
        <v/>
      </c>
      <c r="Y36">
        <f>IF(AND(Y$3&gt;=$E36,Y$3&lt;=$F36),1,"")</f>
        <v/>
      </c>
      <c r="Z36">
        <f>IF(AND(Z$3&gt;=$E36,Z$3&lt;=$F36),1,"")</f>
        <v/>
      </c>
      <c r="AA36">
        <f>IF(AND(AA$3&gt;=$E36,AA$3&lt;=$F36),1,"")</f>
        <v/>
      </c>
      <c r="AB36">
        <f>IF(AND(AB$3&gt;=$E36,AB$3&lt;=$F36),1,"")</f>
        <v/>
      </c>
      <c r="AC36">
        <f>IF(AND(AC$3&gt;=$E36,AC$3&lt;=$F36),1,"")</f>
        <v/>
      </c>
      <c r="AD36">
        <f>IF(AND(AD$3&gt;=$E36,AD$3&lt;=$F36),1,"")</f>
        <v/>
      </c>
      <c r="AE36">
        <f>IF(AND(AE$3&gt;=$E36,AE$3&lt;=$F36),1,"")</f>
        <v/>
      </c>
      <c r="AF36">
        <f>IF(AND(AF$3&gt;=$E36,AF$3&lt;=$F36),1,"")</f>
        <v/>
      </c>
      <c r="AG36">
        <f>IF(AND(AG$3&gt;=$E36,AG$3&lt;=$F36),1,"")</f>
        <v/>
      </c>
      <c r="AH36">
        <f>IF(AND(AH$3&gt;=$E36,AH$3&lt;=$F36),1,"")</f>
        <v/>
      </c>
      <c r="AI36">
        <f>IF(AND(AI$3&gt;=$E36,AI$3&lt;=$F36),1,"")</f>
        <v/>
      </c>
      <c r="AJ36">
        <f>IF(AND(AJ$3&gt;=$E36,AJ$3&lt;=$F36),1,"")</f>
        <v/>
      </c>
      <c r="AK36">
        <f>IF(AND(AK$3&gt;=$E36,AK$3&lt;=$F36),1,"")</f>
        <v/>
      </c>
      <c r="AL36">
        <f>IF(AND(AL$3&gt;=$E36,AL$3&lt;=$F36),1,"")</f>
        <v/>
      </c>
      <c r="AM36">
        <f>IF(AND(AM$3&gt;=$E36,AM$3&lt;=$F36),1,"")</f>
        <v/>
      </c>
      <c r="AN36">
        <f>IF(AND(AN$3&gt;=$E36,AN$3&lt;=$F36),1,"")</f>
        <v/>
      </c>
      <c r="AO36">
        <f>IF(AND(AO$3&gt;=$E36,AO$3&lt;=$F36),1,"")</f>
        <v/>
      </c>
      <c r="AP36">
        <f>IF(AND(AP$3&gt;=$E36,AP$3&lt;=$F36),1,"")</f>
        <v/>
      </c>
      <c r="AQ36">
        <f>IF(AND(AQ$3&gt;=$E36,AQ$3&lt;=$F36),1,"")</f>
        <v/>
      </c>
      <c r="AR36">
        <f>IF(AND(AR$3&gt;=$E36,AR$3&lt;=$F36),1,"")</f>
        <v/>
      </c>
      <c r="AS36">
        <f>IF(AND(AS$3&gt;=$E36,AS$3&lt;=$F36),1,"")</f>
        <v/>
      </c>
      <c r="AT36">
        <f>IF(AND(AT$3&gt;=$E36,AT$3&lt;=$F36),1,"")</f>
        <v/>
      </c>
      <c r="AU36">
        <f>IF(AND(AU$3&gt;=$E36,AU$3&lt;=$F36),1,"")</f>
        <v/>
      </c>
      <c r="AV36">
        <f>IF(AND(AV$3&gt;=$E36,AV$3&lt;=$F36),1,"")</f>
        <v/>
      </c>
      <c r="AW36">
        <f>IF(AND(AW$3&gt;=$E36,AW$3&lt;=$F36),1,"")</f>
        <v/>
      </c>
      <c r="AX36">
        <f>IF(AND(AX$3&gt;=$E36,AX$3&lt;=$F36),1,"")</f>
        <v/>
      </c>
      <c r="AY36">
        <f>IF(AND(AY$3&gt;=$E36,AY$3&lt;=$F36),1,"")</f>
        <v/>
      </c>
      <c r="AZ36">
        <f>IF(AND(AZ$3&gt;=$E36,AZ$3&lt;=$F36),1,"")</f>
        <v/>
      </c>
      <c r="BA36">
        <f>IF(AND(BA$3&gt;=$E36,BA$3&lt;=$F36),1,"")</f>
        <v/>
      </c>
      <c r="BB36">
        <f>IF(AND(BB$3&gt;=$E36,BB$3&lt;=$F36),1,"")</f>
        <v/>
      </c>
      <c r="BC36">
        <f>IF(AND(BC$3&gt;=$E36,BC$3&lt;=$F36),1,"")</f>
        <v/>
      </c>
      <c r="BD36">
        <f>IF(AND(BD$3&gt;=$E36,BD$3&lt;=$F36),1,"")</f>
        <v/>
      </c>
      <c r="BE36">
        <f>IF(AND(BE$3&gt;=$E36,BE$3&lt;=$F36),1,"")</f>
        <v/>
      </c>
      <c r="BF36">
        <f>IF(AND(BF$3&gt;=$E36,BF$3&lt;=$F36),1,"")</f>
        <v/>
      </c>
      <c r="BG36">
        <f>IF(AND(BG$3&gt;=$E36,BG$3&lt;=$F36),1,"")</f>
        <v/>
      </c>
      <c r="BH36">
        <f>IF(AND(BH$3&gt;=$E36,BH$3&lt;=$F36),1,"")</f>
        <v/>
      </c>
      <c r="BI36">
        <f>IF(AND(BI$3&gt;=$E36,BI$3&lt;=$F36),1,"")</f>
        <v/>
      </c>
      <c r="BJ36">
        <f>IF(AND(BJ$3&gt;=$E36,BJ$3&lt;=$F36),1,"")</f>
        <v/>
      </c>
      <c r="BK36">
        <f>IF(AND(BK$3&gt;=$E36,BK$3&lt;=$F36),1,"")</f>
        <v/>
      </c>
      <c r="BL36">
        <f>IF(AND(BL$3&gt;=$E36,BL$3&lt;=$F36),1,"")</f>
        <v/>
      </c>
      <c r="BM36">
        <f>IF(AND(BM$3&gt;=$E36,BM$3&lt;=$F36),1,"")</f>
        <v/>
      </c>
      <c r="BN36">
        <f>IF(AND(BN$3&gt;=$E36,BN$3&lt;=$F36),1,"")</f>
        <v/>
      </c>
      <c r="BO36">
        <f>IF(AND(BO$3&gt;=$E36,BO$3&lt;=$F36),1,"")</f>
        <v/>
      </c>
      <c r="BP36">
        <f>IF(AND(BP$3&gt;=$E36,BP$3&lt;=$F36),1,"")</f>
        <v/>
      </c>
      <c r="BQ36">
        <f>IF(AND(BQ$3&gt;=$E36,BQ$3&lt;=$F36),1,"")</f>
        <v/>
      </c>
      <c r="BR36">
        <f>IF(AND(BR$3&gt;=$E36,BR$3&lt;=$F36),1,"")</f>
        <v/>
      </c>
    </row>
    <row r="37">
      <c r="A37" t="inlineStr">
        <is>
          <t>RJ-134</t>
        </is>
      </c>
      <c r="B37" t="n">
        <v>42</v>
      </c>
      <c r="C37" t="inlineStr">
        <is>
          <t>BPR</t>
        </is>
      </c>
      <c r="D37">
        <f>IF($A37="","",IFERROR(CHOOSE(MATCH($C37,Settings!$L$4:$L$10,0),OPR_BR1!$B$2,OPR_BR2!$B$2,OPR_CR2!$B$2,OPR_CR3!$B$2,OPR_CR4!$B$2,OPR_RIM!$B$2,OPR_BPR!$B$2),1))</f>
        <v/>
      </c>
      <c r="E37" s="16" t="n">
        <v>46132.29166666666</v>
      </c>
      <c r="F37" s="16" t="n">
        <v>46163.29166666666</v>
      </c>
      <c r="G37" t="inlineStr">
        <is>
          <t>Low</t>
        </is>
      </c>
      <c r="H37">
        <f>IF($A37="","",TEXT($F37,"MMM-YYYY"))</f>
        <v/>
      </c>
      <c r="I37" t="inlineStr">
        <is>
          <t>Released</t>
        </is>
      </c>
      <c r="J37" s="17">
        <f>IF($A37="","",$F37+30)</f>
        <v/>
      </c>
      <c r="K37" t="inlineStr">
        <is>
          <t>Gamma Inc</t>
        </is>
      </c>
      <c r="L37">
        <f>IF(AND(L$3&gt;=$E37,L$3&lt;=$F37),1,"")</f>
        <v/>
      </c>
      <c r="M37">
        <f>IF(AND(M$3&gt;=$E37,M$3&lt;=$F37),1,"")</f>
        <v/>
      </c>
      <c r="N37">
        <f>IF(AND(N$3&gt;=$E37,N$3&lt;=$F37),1,"")</f>
        <v/>
      </c>
      <c r="O37">
        <f>IF(AND(O$3&gt;=$E37,O$3&lt;=$F37),1,"")</f>
        <v/>
      </c>
      <c r="P37">
        <f>IF(AND(P$3&gt;=$E37,P$3&lt;=$F37),1,"")</f>
        <v/>
      </c>
      <c r="Q37">
        <f>IF(AND(Q$3&gt;=$E37,Q$3&lt;=$F37),1,"")</f>
        <v/>
      </c>
      <c r="R37">
        <f>IF(AND(R$3&gt;=$E37,R$3&lt;=$F37),1,"")</f>
        <v/>
      </c>
      <c r="S37">
        <f>IF(AND(S$3&gt;=$E37,S$3&lt;=$F37),1,"")</f>
        <v/>
      </c>
      <c r="T37">
        <f>IF(AND(T$3&gt;=$E37,T$3&lt;=$F37),1,"")</f>
        <v/>
      </c>
      <c r="U37">
        <f>IF(AND(U$3&gt;=$E37,U$3&lt;=$F37),1,"")</f>
        <v/>
      </c>
      <c r="V37">
        <f>IF(AND(V$3&gt;=$E37,V$3&lt;=$F37),1,"")</f>
        <v/>
      </c>
      <c r="W37">
        <f>IF(AND(W$3&gt;=$E37,W$3&lt;=$F37),1,"")</f>
        <v/>
      </c>
      <c r="X37">
        <f>IF(AND(X$3&gt;=$E37,X$3&lt;=$F37),1,"")</f>
        <v/>
      </c>
      <c r="Y37">
        <f>IF(AND(Y$3&gt;=$E37,Y$3&lt;=$F37),1,"")</f>
        <v/>
      </c>
      <c r="Z37">
        <f>IF(AND(Z$3&gt;=$E37,Z$3&lt;=$F37),1,"")</f>
        <v/>
      </c>
      <c r="AA37">
        <f>IF(AND(AA$3&gt;=$E37,AA$3&lt;=$F37),1,"")</f>
        <v/>
      </c>
      <c r="AB37">
        <f>IF(AND(AB$3&gt;=$E37,AB$3&lt;=$F37),1,"")</f>
        <v/>
      </c>
      <c r="AC37">
        <f>IF(AND(AC$3&gt;=$E37,AC$3&lt;=$F37),1,"")</f>
        <v/>
      </c>
      <c r="AD37">
        <f>IF(AND(AD$3&gt;=$E37,AD$3&lt;=$F37),1,"")</f>
        <v/>
      </c>
      <c r="AE37">
        <f>IF(AND(AE$3&gt;=$E37,AE$3&lt;=$F37),1,"")</f>
        <v/>
      </c>
      <c r="AF37">
        <f>IF(AND(AF$3&gt;=$E37,AF$3&lt;=$F37),1,"")</f>
        <v/>
      </c>
      <c r="AG37">
        <f>IF(AND(AG$3&gt;=$E37,AG$3&lt;=$F37),1,"")</f>
        <v/>
      </c>
      <c r="AH37">
        <f>IF(AND(AH$3&gt;=$E37,AH$3&lt;=$F37),1,"")</f>
        <v/>
      </c>
      <c r="AI37">
        <f>IF(AND(AI$3&gt;=$E37,AI$3&lt;=$F37),1,"")</f>
        <v/>
      </c>
      <c r="AJ37">
        <f>IF(AND(AJ$3&gt;=$E37,AJ$3&lt;=$F37),1,"")</f>
        <v/>
      </c>
      <c r="AK37">
        <f>IF(AND(AK$3&gt;=$E37,AK$3&lt;=$F37),1,"")</f>
        <v/>
      </c>
      <c r="AL37">
        <f>IF(AND(AL$3&gt;=$E37,AL$3&lt;=$F37),1,"")</f>
        <v/>
      </c>
      <c r="AM37">
        <f>IF(AND(AM$3&gt;=$E37,AM$3&lt;=$F37),1,"")</f>
        <v/>
      </c>
      <c r="AN37">
        <f>IF(AND(AN$3&gt;=$E37,AN$3&lt;=$F37),1,"")</f>
        <v/>
      </c>
      <c r="AO37">
        <f>IF(AND(AO$3&gt;=$E37,AO$3&lt;=$F37),1,"")</f>
        <v/>
      </c>
      <c r="AP37">
        <f>IF(AND(AP$3&gt;=$E37,AP$3&lt;=$F37),1,"")</f>
        <v/>
      </c>
      <c r="AQ37">
        <f>IF(AND(AQ$3&gt;=$E37,AQ$3&lt;=$F37),1,"")</f>
        <v/>
      </c>
      <c r="AR37">
        <f>IF(AND(AR$3&gt;=$E37,AR$3&lt;=$F37),1,"")</f>
        <v/>
      </c>
      <c r="AS37">
        <f>IF(AND(AS$3&gt;=$E37,AS$3&lt;=$F37),1,"")</f>
        <v/>
      </c>
      <c r="AT37">
        <f>IF(AND(AT$3&gt;=$E37,AT$3&lt;=$F37),1,"")</f>
        <v/>
      </c>
      <c r="AU37">
        <f>IF(AND(AU$3&gt;=$E37,AU$3&lt;=$F37),1,"")</f>
        <v/>
      </c>
      <c r="AV37">
        <f>IF(AND(AV$3&gt;=$E37,AV$3&lt;=$F37),1,"")</f>
        <v/>
      </c>
      <c r="AW37">
        <f>IF(AND(AW$3&gt;=$E37,AW$3&lt;=$F37),1,"")</f>
        <v/>
      </c>
      <c r="AX37">
        <f>IF(AND(AX$3&gt;=$E37,AX$3&lt;=$F37),1,"")</f>
        <v/>
      </c>
      <c r="AY37">
        <f>IF(AND(AY$3&gt;=$E37,AY$3&lt;=$F37),1,"")</f>
        <v/>
      </c>
      <c r="AZ37">
        <f>IF(AND(AZ$3&gt;=$E37,AZ$3&lt;=$F37),1,"")</f>
        <v/>
      </c>
      <c r="BA37">
        <f>IF(AND(BA$3&gt;=$E37,BA$3&lt;=$F37),1,"")</f>
        <v/>
      </c>
      <c r="BB37">
        <f>IF(AND(BB$3&gt;=$E37,BB$3&lt;=$F37),1,"")</f>
        <v/>
      </c>
      <c r="BC37">
        <f>IF(AND(BC$3&gt;=$E37,BC$3&lt;=$F37),1,"")</f>
        <v/>
      </c>
      <c r="BD37">
        <f>IF(AND(BD$3&gt;=$E37,BD$3&lt;=$F37),1,"")</f>
        <v/>
      </c>
      <c r="BE37">
        <f>IF(AND(BE$3&gt;=$E37,BE$3&lt;=$F37),1,"")</f>
        <v/>
      </c>
      <c r="BF37">
        <f>IF(AND(BF$3&gt;=$E37,BF$3&lt;=$F37),1,"")</f>
        <v/>
      </c>
      <c r="BG37">
        <f>IF(AND(BG$3&gt;=$E37,BG$3&lt;=$F37),1,"")</f>
        <v/>
      </c>
      <c r="BH37">
        <f>IF(AND(BH$3&gt;=$E37,BH$3&lt;=$F37),1,"")</f>
        <v/>
      </c>
      <c r="BI37">
        <f>IF(AND(BI$3&gt;=$E37,BI$3&lt;=$F37),1,"")</f>
        <v/>
      </c>
      <c r="BJ37">
        <f>IF(AND(BJ$3&gt;=$E37,BJ$3&lt;=$F37),1,"")</f>
        <v/>
      </c>
      <c r="BK37">
        <f>IF(AND(BK$3&gt;=$E37,BK$3&lt;=$F37),1,"")</f>
        <v/>
      </c>
      <c r="BL37">
        <f>IF(AND(BL$3&gt;=$E37,BL$3&lt;=$F37),1,"")</f>
        <v/>
      </c>
      <c r="BM37">
        <f>IF(AND(BM$3&gt;=$E37,BM$3&lt;=$F37),1,"")</f>
        <v/>
      </c>
      <c r="BN37">
        <f>IF(AND(BN$3&gt;=$E37,BN$3&lt;=$F37),1,"")</f>
        <v/>
      </c>
      <c r="BO37">
        <f>IF(AND(BO$3&gt;=$E37,BO$3&lt;=$F37),1,"")</f>
        <v/>
      </c>
      <c r="BP37">
        <f>IF(AND(BP$3&gt;=$E37,BP$3&lt;=$F37),1,"")</f>
        <v/>
      </c>
      <c r="BQ37">
        <f>IF(AND(BQ$3&gt;=$E37,BQ$3&lt;=$F37),1,"")</f>
        <v/>
      </c>
      <c r="BR37">
        <f>IF(AND(BR$3&gt;=$E37,BR$3&lt;=$F37),1,"")</f>
        <v/>
      </c>
    </row>
    <row r="38">
      <c r="A38" t="inlineStr">
        <is>
          <t>RJ-135</t>
        </is>
      </c>
      <c r="B38" t="n">
        <v>63</v>
      </c>
      <c r="C38" t="inlineStr">
        <is>
          <t>CR4</t>
        </is>
      </c>
      <c r="D38">
        <f>IF($A38="","",IFERROR(CHOOSE(MATCH($C38,Settings!$L$4:$L$10,0),OPR_BR1!$B$2,OPR_BR2!$B$2,OPR_CR2!$B$2,OPR_CR3!$B$2,OPR_CR4!$B$2,OPR_RIM!$B$2,OPR_BPR!$B$2),1))</f>
        <v/>
      </c>
      <c r="E38" s="16" t="n">
        <v>46182.29166666666</v>
      </c>
      <c r="F38" s="16" t="n">
        <v>46262.29166666666</v>
      </c>
      <c r="G38" t="inlineStr">
        <is>
          <t>Low</t>
        </is>
      </c>
      <c r="H38">
        <f>IF($A38="","",TEXT($F38,"MMM-YYYY"))</f>
        <v/>
      </c>
      <c r="I38" t="inlineStr">
        <is>
          <t>Cancelled</t>
        </is>
      </c>
      <c r="J38" s="17">
        <f>IF($A38="","",$F38+30)</f>
        <v/>
      </c>
      <c r="K38" t="inlineStr">
        <is>
          <t>Gamma Inc</t>
        </is>
      </c>
      <c r="L38">
        <f>IF(AND(L$3&gt;=$E38,L$3&lt;=$F38),1,"")</f>
        <v/>
      </c>
      <c r="M38">
        <f>IF(AND(M$3&gt;=$E38,M$3&lt;=$F38),1,"")</f>
        <v/>
      </c>
      <c r="N38">
        <f>IF(AND(N$3&gt;=$E38,N$3&lt;=$F38),1,"")</f>
        <v/>
      </c>
      <c r="O38">
        <f>IF(AND(O$3&gt;=$E38,O$3&lt;=$F38),1,"")</f>
        <v/>
      </c>
      <c r="P38">
        <f>IF(AND(P$3&gt;=$E38,P$3&lt;=$F38),1,"")</f>
        <v/>
      </c>
      <c r="Q38">
        <f>IF(AND(Q$3&gt;=$E38,Q$3&lt;=$F38),1,"")</f>
        <v/>
      </c>
      <c r="R38">
        <f>IF(AND(R$3&gt;=$E38,R$3&lt;=$F38),1,"")</f>
        <v/>
      </c>
      <c r="S38">
        <f>IF(AND(S$3&gt;=$E38,S$3&lt;=$F38),1,"")</f>
        <v/>
      </c>
      <c r="T38">
        <f>IF(AND(T$3&gt;=$E38,T$3&lt;=$F38),1,"")</f>
        <v/>
      </c>
      <c r="U38">
        <f>IF(AND(U$3&gt;=$E38,U$3&lt;=$F38),1,"")</f>
        <v/>
      </c>
      <c r="V38">
        <f>IF(AND(V$3&gt;=$E38,V$3&lt;=$F38),1,"")</f>
        <v/>
      </c>
      <c r="W38">
        <f>IF(AND(W$3&gt;=$E38,W$3&lt;=$F38),1,"")</f>
        <v/>
      </c>
      <c r="X38">
        <f>IF(AND(X$3&gt;=$E38,X$3&lt;=$F38),1,"")</f>
        <v/>
      </c>
      <c r="Y38">
        <f>IF(AND(Y$3&gt;=$E38,Y$3&lt;=$F38),1,"")</f>
        <v/>
      </c>
      <c r="Z38">
        <f>IF(AND(Z$3&gt;=$E38,Z$3&lt;=$F38),1,"")</f>
        <v/>
      </c>
      <c r="AA38">
        <f>IF(AND(AA$3&gt;=$E38,AA$3&lt;=$F38),1,"")</f>
        <v/>
      </c>
      <c r="AB38">
        <f>IF(AND(AB$3&gt;=$E38,AB$3&lt;=$F38),1,"")</f>
        <v/>
      </c>
      <c r="AC38">
        <f>IF(AND(AC$3&gt;=$E38,AC$3&lt;=$F38),1,"")</f>
        <v/>
      </c>
      <c r="AD38">
        <f>IF(AND(AD$3&gt;=$E38,AD$3&lt;=$F38),1,"")</f>
        <v/>
      </c>
      <c r="AE38">
        <f>IF(AND(AE$3&gt;=$E38,AE$3&lt;=$F38),1,"")</f>
        <v/>
      </c>
      <c r="AF38">
        <f>IF(AND(AF$3&gt;=$E38,AF$3&lt;=$F38),1,"")</f>
        <v/>
      </c>
      <c r="AG38">
        <f>IF(AND(AG$3&gt;=$E38,AG$3&lt;=$F38),1,"")</f>
        <v/>
      </c>
      <c r="AH38">
        <f>IF(AND(AH$3&gt;=$E38,AH$3&lt;=$F38),1,"")</f>
        <v/>
      </c>
      <c r="AI38">
        <f>IF(AND(AI$3&gt;=$E38,AI$3&lt;=$F38),1,"")</f>
        <v/>
      </c>
      <c r="AJ38">
        <f>IF(AND(AJ$3&gt;=$E38,AJ$3&lt;=$F38),1,"")</f>
        <v/>
      </c>
      <c r="AK38">
        <f>IF(AND(AK$3&gt;=$E38,AK$3&lt;=$F38),1,"")</f>
        <v/>
      </c>
      <c r="AL38">
        <f>IF(AND(AL$3&gt;=$E38,AL$3&lt;=$F38),1,"")</f>
        <v/>
      </c>
      <c r="AM38">
        <f>IF(AND(AM$3&gt;=$E38,AM$3&lt;=$F38),1,"")</f>
        <v/>
      </c>
      <c r="AN38">
        <f>IF(AND(AN$3&gt;=$E38,AN$3&lt;=$F38),1,"")</f>
        <v/>
      </c>
      <c r="AO38">
        <f>IF(AND(AO$3&gt;=$E38,AO$3&lt;=$F38),1,"")</f>
        <v/>
      </c>
      <c r="AP38">
        <f>IF(AND(AP$3&gt;=$E38,AP$3&lt;=$F38),1,"")</f>
        <v/>
      </c>
      <c r="AQ38">
        <f>IF(AND(AQ$3&gt;=$E38,AQ$3&lt;=$F38),1,"")</f>
        <v/>
      </c>
      <c r="AR38">
        <f>IF(AND(AR$3&gt;=$E38,AR$3&lt;=$F38),1,"")</f>
        <v/>
      </c>
      <c r="AS38">
        <f>IF(AND(AS$3&gt;=$E38,AS$3&lt;=$F38),1,"")</f>
        <v/>
      </c>
      <c r="AT38">
        <f>IF(AND(AT$3&gt;=$E38,AT$3&lt;=$F38),1,"")</f>
        <v/>
      </c>
      <c r="AU38">
        <f>IF(AND(AU$3&gt;=$E38,AU$3&lt;=$F38),1,"")</f>
        <v/>
      </c>
      <c r="AV38">
        <f>IF(AND(AV$3&gt;=$E38,AV$3&lt;=$F38),1,"")</f>
        <v/>
      </c>
      <c r="AW38">
        <f>IF(AND(AW$3&gt;=$E38,AW$3&lt;=$F38),1,"")</f>
        <v/>
      </c>
      <c r="AX38">
        <f>IF(AND(AX$3&gt;=$E38,AX$3&lt;=$F38),1,"")</f>
        <v/>
      </c>
      <c r="AY38">
        <f>IF(AND(AY$3&gt;=$E38,AY$3&lt;=$F38),1,"")</f>
        <v/>
      </c>
      <c r="AZ38">
        <f>IF(AND(AZ$3&gt;=$E38,AZ$3&lt;=$F38),1,"")</f>
        <v/>
      </c>
      <c r="BA38">
        <f>IF(AND(BA$3&gt;=$E38,BA$3&lt;=$F38),1,"")</f>
        <v/>
      </c>
      <c r="BB38">
        <f>IF(AND(BB$3&gt;=$E38,BB$3&lt;=$F38),1,"")</f>
        <v/>
      </c>
      <c r="BC38">
        <f>IF(AND(BC$3&gt;=$E38,BC$3&lt;=$F38),1,"")</f>
        <v/>
      </c>
      <c r="BD38">
        <f>IF(AND(BD$3&gt;=$E38,BD$3&lt;=$F38),1,"")</f>
        <v/>
      </c>
      <c r="BE38">
        <f>IF(AND(BE$3&gt;=$E38,BE$3&lt;=$F38),1,"")</f>
        <v/>
      </c>
      <c r="BF38">
        <f>IF(AND(BF$3&gt;=$E38,BF$3&lt;=$F38),1,"")</f>
        <v/>
      </c>
      <c r="BG38">
        <f>IF(AND(BG$3&gt;=$E38,BG$3&lt;=$F38),1,"")</f>
        <v/>
      </c>
      <c r="BH38">
        <f>IF(AND(BH$3&gt;=$E38,BH$3&lt;=$F38),1,"")</f>
        <v/>
      </c>
      <c r="BI38">
        <f>IF(AND(BI$3&gt;=$E38,BI$3&lt;=$F38),1,"")</f>
        <v/>
      </c>
      <c r="BJ38">
        <f>IF(AND(BJ$3&gt;=$E38,BJ$3&lt;=$F38),1,"")</f>
        <v/>
      </c>
      <c r="BK38">
        <f>IF(AND(BK$3&gt;=$E38,BK$3&lt;=$F38),1,"")</f>
        <v/>
      </c>
      <c r="BL38">
        <f>IF(AND(BL$3&gt;=$E38,BL$3&lt;=$F38),1,"")</f>
        <v/>
      </c>
      <c r="BM38">
        <f>IF(AND(BM$3&gt;=$E38,BM$3&lt;=$F38),1,"")</f>
        <v/>
      </c>
      <c r="BN38">
        <f>IF(AND(BN$3&gt;=$E38,BN$3&lt;=$F38),1,"")</f>
        <v/>
      </c>
      <c r="BO38">
        <f>IF(AND(BO$3&gt;=$E38,BO$3&lt;=$F38),1,"")</f>
        <v/>
      </c>
      <c r="BP38">
        <f>IF(AND(BP$3&gt;=$E38,BP$3&lt;=$F38),1,"")</f>
        <v/>
      </c>
      <c r="BQ38">
        <f>IF(AND(BQ$3&gt;=$E38,BQ$3&lt;=$F38),1,"")</f>
        <v/>
      </c>
      <c r="BR38">
        <f>IF(AND(BR$3&gt;=$E38,BR$3&lt;=$F38),1,"")</f>
        <v/>
      </c>
    </row>
    <row r="39">
      <c r="A39" t="inlineStr">
        <is>
          <t>RJ-136</t>
        </is>
      </c>
      <c r="B39" t="n">
        <v>50</v>
      </c>
      <c r="C39" t="inlineStr">
        <is>
          <t>CR4</t>
        </is>
      </c>
      <c r="D39">
        <f>IF($A39="","",IFERROR(CHOOSE(MATCH($C39,Settings!$L$4:$L$10,0),OPR_BR1!$B$2,OPR_BR2!$B$2,OPR_CR2!$B$2,OPR_CR3!$B$2,OPR_CR4!$B$2,OPR_RIM!$B$2,OPR_BPR!$B$2),1))</f>
        <v/>
      </c>
      <c r="E39" s="16" t="n">
        <v>46201.29166666666</v>
      </c>
      <c r="F39" s="16" t="n">
        <v>46223.29166666666</v>
      </c>
      <c r="G39" t="inlineStr">
        <is>
          <t>Low</t>
        </is>
      </c>
      <c r="H39">
        <f>IF($A39="","",TEXT($F39,"MMM-YYYY"))</f>
        <v/>
      </c>
      <c r="I39" t="inlineStr">
        <is>
          <t>On Hold</t>
        </is>
      </c>
      <c r="J39" s="17">
        <f>IF($A39="","",$F39+30)</f>
        <v/>
      </c>
      <c r="K39" t="inlineStr">
        <is>
          <t>Sigma Mfg</t>
        </is>
      </c>
      <c r="L39">
        <f>IF(AND(L$3&gt;=$E39,L$3&lt;=$F39),1,"")</f>
        <v/>
      </c>
      <c r="M39">
        <f>IF(AND(M$3&gt;=$E39,M$3&lt;=$F39),1,"")</f>
        <v/>
      </c>
      <c r="N39">
        <f>IF(AND(N$3&gt;=$E39,N$3&lt;=$F39),1,"")</f>
        <v/>
      </c>
      <c r="O39">
        <f>IF(AND(O$3&gt;=$E39,O$3&lt;=$F39),1,"")</f>
        <v/>
      </c>
      <c r="P39">
        <f>IF(AND(P$3&gt;=$E39,P$3&lt;=$F39),1,"")</f>
        <v/>
      </c>
      <c r="Q39">
        <f>IF(AND(Q$3&gt;=$E39,Q$3&lt;=$F39),1,"")</f>
        <v/>
      </c>
      <c r="R39">
        <f>IF(AND(R$3&gt;=$E39,R$3&lt;=$F39),1,"")</f>
        <v/>
      </c>
      <c r="S39">
        <f>IF(AND(S$3&gt;=$E39,S$3&lt;=$F39),1,"")</f>
        <v/>
      </c>
      <c r="T39">
        <f>IF(AND(T$3&gt;=$E39,T$3&lt;=$F39),1,"")</f>
        <v/>
      </c>
      <c r="U39">
        <f>IF(AND(U$3&gt;=$E39,U$3&lt;=$F39),1,"")</f>
        <v/>
      </c>
      <c r="V39">
        <f>IF(AND(V$3&gt;=$E39,V$3&lt;=$F39),1,"")</f>
        <v/>
      </c>
      <c r="W39">
        <f>IF(AND(W$3&gt;=$E39,W$3&lt;=$F39),1,"")</f>
        <v/>
      </c>
      <c r="X39">
        <f>IF(AND(X$3&gt;=$E39,X$3&lt;=$F39),1,"")</f>
        <v/>
      </c>
      <c r="Y39">
        <f>IF(AND(Y$3&gt;=$E39,Y$3&lt;=$F39),1,"")</f>
        <v/>
      </c>
      <c r="Z39">
        <f>IF(AND(Z$3&gt;=$E39,Z$3&lt;=$F39),1,"")</f>
        <v/>
      </c>
      <c r="AA39">
        <f>IF(AND(AA$3&gt;=$E39,AA$3&lt;=$F39),1,"")</f>
        <v/>
      </c>
      <c r="AB39">
        <f>IF(AND(AB$3&gt;=$E39,AB$3&lt;=$F39),1,"")</f>
        <v/>
      </c>
      <c r="AC39">
        <f>IF(AND(AC$3&gt;=$E39,AC$3&lt;=$F39),1,"")</f>
        <v/>
      </c>
      <c r="AD39">
        <f>IF(AND(AD$3&gt;=$E39,AD$3&lt;=$F39),1,"")</f>
        <v/>
      </c>
      <c r="AE39">
        <f>IF(AND(AE$3&gt;=$E39,AE$3&lt;=$F39),1,"")</f>
        <v/>
      </c>
      <c r="AF39">
        <f>IF(AND(AF$3&gt;=$E39,AF$3&lt;=$F39),1,"")</f>
        <v/>
      </c>
      <c r="AG39">
        <f>IF(AND(AG$3&gt;=$E39,AG$3&lt;=$F39),1,"")</f>
        <v/>
      </c>
      <c r="AH39">
        <f>IF(AND(AH$3&gt;=$E39,AH$3&lt;=$F39),1,"")</f>
        <v/>
      </c>
      <c r="AI39">
        <f>IF(AND(AI$3&gt;=$E39,AI$3&lt;=$F39),1,"")</f>
        <v/>
      </c>
      <c r="AJ39">
        <f>IF(AND(AJ$3&gt;=$E39,AJ$3&lt;=$F39),1,"")</f>
        <v/>
      </c>
      <c r="AK39">
        <f>IF(AND(AK$3&gt;=$E39,AK$3&lt;=$F39),1,"")</f>
        <v/>
      </c>
      <c r="AL39">
        <f>IF(AND(AL$3&gt;=$E39,AL$3&lt;=$F39),1,"")</f>
        <v/>
      </c>
      <c r="AM39">
        <f>IF(AND(AM$3&gt;=$E39,AM$3&lt;=$F39),1,"")</f>
        <v/>
      </c>
      <c r="AN39">
        <f>IF(AND(AN$3&gt;=$E39,AN$3&lt;=$F39),1,"")</f>
        <v/>
      </c>
      <c r="AO39">
        <f>IF(AND(AO$3&gt;=$E39,AO$3&lt;=$F39),1,"")</f>
        <v/>
      </c>
      <c r="AP39">
        <f>IF(AND(AP$3&gt;=$E39,AP$3&lt;=$F39),1,"")</f>
        <v/>
      </c>
      <c r="AQ39">
        <f>IF(AND(AQ$3&gt;=$E39,AQ$3&lt;=$F39),1,"")</f>
        <v/>
      </c>
      <c r="AR39">
        <f>IF(AND(AR$3&gt;=$E39,AR$3&lt;=$F39),1,"")</f>
        <v/>
      </c>
      <c r="AS39">
        <f>IF(AND(AS$3&gt;=$E39,AS$3&lt;=$F39),1,"")</f>
        <v/>
      </c>
      <c r="AT39">
        <f>IF(AND(AT$3&gt;=$E39,AT$3&lt;=$F39),1,"")</f>
        <v/>
      </c>
      <c r="AU39">
        <f>IF(AND(AU$3&gt;=$E39,AU$3&lt;=$F39),1,"")</f>
        <v/>
      </c>
      <c r="AV39">
        <f>IF(AND(AV$3&gt;=$E39,AV$3&lt;=$F39),1,"")</f>
        <v/>
      </c>
      <c r="AW39">
        <f>IF(AND(AW$3&gt;=$E39,AW$3&lt;=$F39),1,"")</f>
        <v/>
      </c>
      <c r="AX39">
        <f>IF(AND(AX$3&gt;=$E39,AX$3&lt;=$F39),1,"")</f>
        <v/>
      </c>
      <c r="AY39">
        <f>IF(AND(AY$3&gt;=$E39,AY$3&lt;=$F39),1,"")</f>
        <v/>
      </c>
      <c r="AZ39">
        <f>IF(AND(AZ$3&gt;=$E39,AZ$3&lt;=$F39),1,"")</f>
        <v/>
      </c>
      <c r="BA39">
        <f>IF(AND(BA$3&gt;=$E39,BA$3&lt;=$F39),1,"")</f>
        <v/>
      </c>
      <c r="BB39">
        <f>IF(AND(BB$3&gt;=$E39,BB$3&lt;=$F39),1,"")</f>
        <v/>
      </c>
      <c r="BC39">
        <f>IF(AND(BC$3&gt;=$E39,BC$3&lt;=$F39),1,"")</f>
        <v/>
      </c>
      <c r="BD39">
        <f>IF(AND(BD$3&gt;=$E39,BD$3&lt;=$F39),1,"")</f>
        <v/>
      </c>
      <c r="BE39">
        <f>IF(AND(BE$3&gt;=$E39,BE$3&lt;=$F39),1,"")</f>
        <v/>
      </c>
      <c r="BF39">
        <f>IF(AND(BF$3&gt;=$E39,BF$3&lt;=$F39),1,"")</f>
        <v/>
      </c>
      <c r="BG39">
        <f>IF(AND(BG$3&gt;=$E39,BG$3&lt;=$F39),1,"")</f>
        <v/>
      </c>
      <c r="BH39">
        <f>IF(AND(BH$3&gt;=$E39,BH$3&lt;=$F39),1,"")</f>
        <v/>
      </c>
      <c r="BI39">
        <f>IF(AND(BI$3&gt;=$E39,BI$3&lt;=$F39),1,"")</f>
        <v/>
      </c>
      <c r="BJ39">
        <f>IF(AND(BJ$3&gt;=$E39,BJ$3&lt;=$F39),1,"")</f>
        <v/>
      </c>
      <c r="BK39">
        <f>IF(AND(BK$3&gt;=$E39,BK$3&lt;=$F39),1,"")</f>
        <v/>
      </c>
      <c r="BL39">
        <f>IF(AND(BL$3&gt;=$E39,BL$3&lt;=$F39),1,"")</f>
        <v/>
      </c>
      <c r="BM39">
        <f>IF(AND(BM$3&gt;=$E39,BM$3&lt;=$F39),1,"")</f>
        <v/>
      </c>
      <c r="BN39">
        <f>IF(AND(BN$3&gt;=$E39,BN$3&lt;=$F39),1,"")</f>
        <v/>
      </c>
      <c r="BO39">
        <f>IF(AND(BO$3&gt;=$E39,BO$3&lt;=$F39),1,"")</f>
        <v/>
      </c>
      <c r="BP39">
        <f>IF(AND(BP$3&gt;=$E39,BP$3&lt;=$F39),1,"")</f>
        <v/>
      </c>
      <c r="BQ39">
        <f>IF(AND(BQ$3&gt;=$E39,BQ$3&lt;=$F39),1,"")</f>
        <v/>
      </c>
      <c r="BR39">
        <f>IF(AND(BR$3&gt;=$E39,BR$3&lt;=$F39),1,"")</f>
        <v/>
      </c>
    </row>
    <row r="40">
      <c r="A40" t="inlineStr">
        <is>
          <t>RJ-137</t>
        </is>
      </c>
      <c r="B40" t="n">
        <v>30</v>
      </c>
      <c r="C40" t="inlineStr">
        <is>
          <t>CR3</t>
        </is>
      </c>
      <c r="D40">
        <f>IF($A40="","",IFERROR(CHOOSE(MATCH($C40,Settings!$L$4:$L$10,0),OPR_BR1!$B$2,OPR_BR2!$B$2,OPR_CR2!$B$2,OPR_CR3!$B$2,OPR_CR4!$B$2,OPR_RIM!$B$2,OPR_BPR!$B$2),1))</f>
        <v/>
      </c>
      <c r="E40" s="16" t="n">
        <v>46128.29166666666</v>
      </c>
      <c r="F40" s="16" t="n">
        <v>46208.29166666666</v>
      </c>
      <c r="G40" t="inlineStr">
        <is>
          <t>Low</t>
        </is>
      </c>
      <c r="H40">
        <f>IF($A40="","",TEXT($F40,"MMM-YYYY"))</f>
        <v/>
      </c>
      <c r="I40" t="inlineStr">
        <is>
          <t>Released</t>
        </is>
      </c>
      <c r="J40" s="17">
        <f>IF($A40="","",$F40+30)</f>
        <v/>
      </c>
      <c r="K40" t="inlineStr">
        <is>
          <t>Gamma Inc</t>
        </is>
      </c>
      <c r="L40">
        <f>IF(AND(L$3&gt;=$E40,L$3&lt;=$F40),1,"")</f>
        <v/>
      </c>
      <c r="M40">
        <f>IF(AND(M$3&gt;=$E40,M$3&lt;=$F40),1,"")</f>
        <v/>
      </c>
      <c r="N40">
        <f>IF(AND(N$3&gt;=$E40,N$3&lt;=$F40),1,"")</f>
        <v/>
      </c>
      <c r="O40">
        <f>IF(AND(O$3&gt;=$E40,O$3&lt;=$F40),1,"")</f>
        <v/>
      </c>
      <c r="P40">
        <f>IF(AND(P$3&gt;=$E40,P$3&lt;=$F40),1,"")</f>
        <v/>
      </c>
      <c r="Q40">
        <f>IF(AND(Q$3&gt;=$E40,Q$3&lt;=$F40),1,"")</f>
        <v/>
      </c>
      <c r="R40">
        <f>IF(AND(R$3&gt;=$E40,R$3&lt;=$F40),1,"")</f>
        <v/>
      </c>
      <c r="S40">
        <f>IF(AND(S$3&gt;=$E40,S$3&lt;=$F40),1,"")</f>
        <v/>
      </c>
      <c r="T40">
        <f>IF(AND(T$3&gt;=$E40,T$3&lt;=$F40),1,"")</f>
        <v/>
      </c>
      <c r="U40">
        <f>IF(AND(U$3&gt;=$E40,U$3&lt;=$F40),1,"")</f>
        <v/>
      </c>
      <c r="V40">
        <f>IF(AND(V$3&gt;=$E40,V$3&lt;=$F40),1,"")</f>
        <v/>
      </c>
      <c r="W40">
        <f>IF(AND(W$3&gt;=$E40,W$3&lt;=$F40),1,"")</f>
        <v/>
      </c>
      <c r="X40">
        <f>IF(AND(X$3&gt;=$E40,X$3&lt;=$F40),1,"")</f>
        <v/>
      </c>
      <c r="Y40">
        <f>IF(AND(Y$3&gt;=$E40,Y$3&lt;=$F40),1,"")</f>
        <v/>
      </c>
      <c r="Z40">
        <f>IF(AND(Z$3&gt;=$E40,Z$3&lt;=$F40),1,"")</f>
        <v/>
      </c>
      <c r="AA40">
        <f>IF(AND(AA$3&gt;=$E40,AA$3&lt;=$F40),1,"")</f>
        <v/>
      </c>
      <c r="AB40">
        <f>IF(AND(AB$3&gt;=$E40,AB$3&lt;=$F40),1,"")</f>
        <v/>
      </c>
      <c r="AC40">
        <f>IF(AND(AC$3&gt;=$E40,AC$3&lt;=$F40),1,"")</f>
        <v/>
      </c>
      <c r="AD40">
        <f>IF(AND(AD$3&gt;=$E40,AD$3&lt;=$F40),1,"")</f>
        <v/>
      </c>
      <c r="AE40">
        <f>IF(AND(AE$3&gt;=$E40,AE$3&lt;=$F40),1,"")</f>
        <v/>
      </c>
      <c r="AF40">
        <f>IF(AND(AF$3&gt;=$E40,AF$3&lt;=$F40),1,"")</f>
        <v/>
      </c>
      <c r="AG40">
        <f>IF(AND(AG$3&gt;=$E40,AG$3&lt;=$F40),1,"")</f>
        <v/>
      </c>
      <c r="AH40">
        <f>IF(AND(AH$3&gt;=$E40,AH$3&lt;=$F40),1,"")</f>
        <v/>
      </c>
      <c r="AI40">
        <f>IF(AND(AI$3&gt;=$E40,AI$3&lt;=$F40),1,"")</f>
        <v/>
      </c>
      <c r="AJ40">
        <f>IF(AND(AJ$3&gt;=$E40,AJ$3&lt;=$F40),1,"")</f>
        <v/>
      </c>
      <c r="AK40">
        <f>IF(AND(AK$3&gt;=$E40,AK$3&lt;=$F40),1,"")</f>
        <v/>
      </c>
      <c r="AL40">
        <f>IF(AND(AL$3&gt;=$E40,AL$3&lt;=$F40),1,"")</f>
        <v/>
      </c>
      <c r="AM40">
        <f>IF(AND(AM$3&gt;=$E40,AM$3&lt;=$F40),1,"")</f>
        <v/>
      </c>
      <c r="AN40">
        <f>IF(AND(AN$3&gt;=$E40,AN$3&lt;=$F40),1,"")</f>
        <v/>
      </c>
      <c r="AO40">
        <f>IF(AND(AO$3&gt;=$E40,AO$3&lt;=$F40),1,"")</f>
        <v/>
      </c>
      <c r="AP40">
        <f>IF(AND(AP$3&gt;=$E40,AP$3&lt;=$F40),1,"")</f>
        <v/>
      </c>
      <c r="AQ40">
        <f>IF(AND(AQ$3&gt;=$E40,AQ$3&lt;=$F40),1,"")</f>
        <v/>
      </c>
      <c r="AR40">
        <f>IF(AND(AR$3&gt;=$E40,AR$3&lt;=$F40),1,"")</f>
        <v/>
      </c>
      <c r="AS40">
        <f>IF(AND(AS$3&gt;=$E40,AS$3&lt;=$F40),1,"")</f>
        <v/>
      </c>
      <c r="AT40">
        <f>IF(AND(AT$3&gt;=$E40,AT$3&lt;=$F40),1,"")</f>
        <v/>
      </c>
      <c r="AU40">
        <f>IF(AND(AU$3&gt;=$E40,AU$3&lt;=$F40),1,"")</f>
        <v/>
      </c>
      <c r="AV40">
        <f>IF(AND(AV$3&gt;=$E40,AV$3&lt;=$F40),1,"")</f>
        <v/>
      </c>
      <c r="AW40">
        <f>IF(AND(AW$3&gt;=$E40,AW$3&lt;=$F40),1,"")</f>
        <v/>
      </c>
      <c r="AX40">
        <f>IF(AND(AX$3&gt;=$E40,AX$3&lt;=$F40),1,"")</f>
        <v/>
      </c>
      <c r="AY40">
        <f>IF(AND(AY$3&gt;=$E40,AY$3&lt;=$F40),1,"")</f>
        <v/>
      </c>
      <c r="AZ40">
        <f>IF(AND(AZ$3&gt;=$E40,AZ$3&lt;=$F40),1,"")</f>
        <v/>
      </c>
      <c r="BA40">
        <f>IF(AND(BA$3&gt;=$E40,BA$3&lt;=$F40),1,"")</f>
        <v/>
      </c>
      <c r="BB40">
        <f>IF(AND(BB$3&gt;=$E40,BB$3&lt;=$F40),1,"")</f>
        <v/>
      </c>
      <c r="BC40">
        <f>IF(AND(BC$3&gt;=$E40,BC$3&lt;=$F40),1,"")</f>
        <v/>
      </c>
      <c r="BD40">
        <f>IF(AND(BD$3&gt;=$E40,BD$3&lt;=$F40),1,"")</f>
        <v/>
      </c>
      <c r="BE40">
        <f>IF(AND(BE$3&gt;=$E40,BE$3&lt;=$F40),1,"")</f>
        <v/>
      </c>
      <c r="BF40">
        <f>IF(AND(BF$3&gt;=$E40,BF$3&lt;=$F40),1,"")</f>
        <v/>
      </c>
      <c r="BG40">
        <f>IF(AND(BG$3&gt;=$E40,BG$3&lt;=$F40),1,"")</f>
        <v/>
      </c>
      <c r="BH40">
        <f>IF(AND(BH$3&gt;=$E40,BH$3&lt;=$F40),1,"")</f>
        <v/>
      </c>
      <c r="BI40">
        <f>IF(AND(BI$3&gt;=$E40,BI$3&lt;=$F40),1,"")</f>
        <v/>
      </c>
      <c r="BJ40">
        <f>IF(AND(BJ$3&gt;=$E40,BJ$3&lt;=$F40),1,"")</f>
        <v/>
      </c>
      <c r="BK40">
        <f>IF(AND(BK$3&gt;=$E40,BK$3&lt;=$F40),1,"")</f>
        <v/>
      </c>
      <c r="BL40">
        <f>IF(AND(BL$3&gt;=$E40,BL$3&lt;=$F40),1,"")</f>
        <v/>
      </c>
      <c r="BM40">
        <f>IF(AND(BM$3&gt;=$E40,BM$3&lt;=$F40),1,"")</f>
        <v/>
      </c>
      <c r="BN40">
        <f>IF(AND(BN$3&gt;=$E40,BN$3&lt;=$F40),1,"")</f>
        <v/>
      </c>
      <c r="BO40">
        <f>IF(AND(BO$3&gt;=$E40,BO$3&lt;=$F40),1,"")</f>
        <v/>
      </c>
      <c r="BP40">
        <f>IF(AND(BP$3&gt;=$E40,BP$3&lt;=$F40),1,"")</f>
        <v/>
      </c>
      <c r="BQ40">
        <f>IF(AND(BQ$3&gt;=$E40,BQ$3&lt;=$F40),1,"")</f>
        <v/>
      </c>
      <c r="BR40">
        <f>IF(AND(BR$3&gt;=$E40,BR$3&lt;=$F40),1,"")</f>
        <v/>
      </c>
    </row>
    <row r="41">
      <c r="A41" t="inlineStr">
        <is>
          <t>RJ-138</t>
        </is>
      </c>
      <c r="B41" t="n">
        <v>46</v>
      </c>
      <c r="C41" t="inlineStr">
        <is>
          <t>BR1</t>
        </is>
      </c>
      <c r="D41">
        <f>IF($A41="","",IFERROR(CHOOSE(MATCH($C41,Settings!$L$4:$L$10,0),OPR_BR1!$B$2,OPR_BR2!$B$2,OPR_CR2!$B$2,OPR_CR3!$B$2,OPR_CR4!$B$2,OPR_RIM!$B$2,OPR_BPR!$B$2),1))</f>
        <v/>
      </c>
      <c r="E41" s="16" t="n">
        <v>46194.29166666666</v>
      </c>
      <c r="F41" s="16" t="n">
        <v>46246.29166666666</v>
      </c>
      <c r="G41" t="inlineStr">
        <is>
          <t>Low</t>
        </is>
      </c>
      <c r="H41">
        <f>IF($A41="","",TEXT($F41,"MMM-YYYY"))</f>
        <v/>
      </c>
      <c r="I41" t="inlineStr">
        <is>
          <t>Cancelled</t>
        </is>
      </c>
      <c r="J41" s="17">
        <f>IF($A41="","",$F41+30)</f>
        <v/>
      </c>
      <c r="K41" t="inlineStr">
        <is>
          <t>Alpha Corp</t>
        </is>
      </c>
      <c r="L41">
        <f>IF(AND(L$3&gt;=$E41,L$3&lt;=$F41),1,"")</f>
        <v/>
      </c>
      <c r="M41">
        <f>IF(AND(M$3&gt;=$E41,M$3&lt;=$F41),1,"")</f>
        <v/>
      </c>
      <c r="N41">
        <f>IF(AND(N$3&gt;=$E41,N$3&lt;=$F41),1,"")</f>
        <v/>
      </c>
      <c r="O41">
        <f>IF(AND(O$3&gt;=$E41,O$3&lt;=$F41),1,"")</f>
        <v/>
      </c>
      <c r="P41">
        <f>IF(AND(P$3&gt;=$E41,P$3&lt;=$F41),1,"")</f>
        <v/>
      </c>
      <c r="Q41">
        <f>IF(AND(Q$3&gt;=$E41,Q$3&lt;=$F41),1,"")</f>
        <v/>
      </c>
      <c r="R41">
        <f>IF(AND(R$3&gt;=$E41,R$3&lt;=$F41),1,"")</f>
        <v/>
      </c>
      <c r="S41">
        <f>IF(AND(S$3&gt;=$E41,S$3&lt;=$F41),1,"")</f>
        <v/>
      </c>
      <c r="T41">
        <f>IF(AND(T$3&gt;=$E41,T$3&lt;=$F41),1,"")</f>
        <v/>
      </c>
      <c r="U41">
        <f>IF(AND(U$3&gt;=$E41,U$3&lt;=$F41),1,"")</f>
        <v/>
      </c>
      <c r="V41">
        <f>IF(AND(V$3&gt;=$E41,V$3&lt;=$F41),1,"")</f>
        <v/>
      </c>
      <c r="W41">
        <f>IF(AND(W$3&gt;=$E41,W$3&lt;=$F41),1,"")</f>
        <v/>
      </c>
      <c r="X41">
        <f>IF(AND(X$3&gt;=$E41,X$3&lt;=$F41),1,"")</f>
        <v/>
      </c>
      <c r="Y41">
        <f>IF(AND(Y$3&gt;=$E41,Y$3&lt;=$F41),1,"")</f>
        <v/>
      </c>
      <c r="Z41">
        <f>IF(AND(Z$3&gt;=$E41,Z$3&lt;=$F41),1,"")</f>
        <v/>
      </c>
      <c r="AA41">
        <f>IF(AND(AA$3&gt;=$E41,AA$3&lt;=$F41),1,"")</f>
        <v/>
      </c>
      <c r="AB41">
        <f>IF(AND(AB$3&gt;=$E41,AB$3&lt;=$F41),1,"")</f>
        <v/>
      </c>
      <c r="AC41">
        <f>IF(AND(AC$3&gt;=$E41,AC$3&lt;=$F41),1,"")</f>
        <v/>
      </c>
      <c r="AD41">
        <f>IF(AND(AD$3&gt;=$E41,AD$3&lt;=$F41),1,"")</f>
        <v/>
      </c>
      <c r="AE41">
        <f>IF(AND(AE$3&gt;=$E41,AE$3&lt;=$F41),1,"")</f>
        <v/>
      </c>
      <c r="AF41">
        <f>IF(AND(AF$3&gt;=$E41,AF$3&lt;=$F41),1,"")</f>
        <v/>
      </c>
      <c r="AG41">
        <f>IF(AND(AG$3&gt;=$E41,AG$3&lt;=$F41),1,"")</f>
        <v/>
      </c>
      <c r="AH41">
        <f>IF(AND(AH$3&gt;=$E41,AH$3&lt;=$F41),1,"")</f>
        <v/>
      </c>
      <c r="AI41">
        <f>IF(AND(AI$3&gt;=$E41,AI$3&lt;=$F41),1,"")</f>
        <v/>
      </c>
      <c r="AJ41">
        <f>IF(AND(AJ$3&gt;=$E41,AJ$3&lt;=$F41),1,"")</f>
        <v/>
      </c>
      <c r="AK41">
        <f>IF(AND(AK$3&gt;=$E41,AK$3&lt;=$F41),1,"")</f>
        <v/>
      </c>
      <c r="AL41">
        <f>IF(AND(AL$3&gt;=$E41,AL$3&lt;=$F41),1,"")</f>
        <v/>
      </c>
      <c r="AM41">
        <f>IF(AND(AM$3&gt;=$E41,AM$3&lt;=$F41),1,"")</f>
        <v/>
      </c>
      <c r="AN41">
        <f>IF(AND(AN$3&gt;=$E41,AN$3&lt;=$F41),1,"")</f>
        <v/>
      </c>
      <c r="AO41">
        <f>IF(AND(AO$3&gt;=$E41,AO$3&lt;=$F41),1,"")</f>
        <v/>
      </c>
      <c r="AP41">
        <f>IF(AND(AP$3&gt;=$E41,AP$3&lt;=$F41),1,"")</f>
        <v/>
      </c>
      <c r="AQ41">
        <f>IF(AND(AQ$3&gt;=$E41,AQ$3&lt;=$F41),1,"")</f>
        <v/>
      </c>
      <c r="AR41">
        <f>IF(AND(AR$3&gt;=$E41,AR$3&lt;=$F41),1,"")</f>
        <v/>
      </c>
      <c r="AS41">
        <f>IF(AND(AS$3&gt;=$E41,AS$3&lt;=$F41),1,"")</f>
        <v/>
      </c>
      <c r="AT41">
        <f>IF(AND(AT$3&gt;=$E41,AT$3&lt;=$F41),1,"")</f>
        <v/>
      </c>
      <c r="AU41">
        <f>IF(AND(AU$3&gt;=$E41,AU$3&lt;=$F41),1,"")</f>
        <v/>
      </c>
      <c r="AV41">
        <f>IF(AND(AV$3&gt;=$E41,AV$3&lt;=$F41),1,"")</f>
        <v/>
      </c>
      <c r="AW41">
        <f>IF(AND(AW$3&gt;=$E41,AW$3&lt;=$F41),1,"")</f>
        <v/>
      </c>
      <c r="AX41">
        <f>IF(AND(AX$3&gt;=$E41,AX$3&lt;=$F41),1,"")</f>
        <v/>
      </c>
      <c r="AY41">
        <f>IF(AND(AY$3&gt;=$E41,AY$3&lt;=$F41),1,"")</f>
        <v/>
      </c>
      <c r="AZ41">
        <f>IF(AND(AZ$3&gt;=$E41,AZ$3&lt;=$F41),1,"")</f>
        <v/>
      </c>
      <c r="BA41">
        <f>IF(AND(BA$3&gt;=$E41,BA$3&lt;=$F41),1,"")</f>
        <v/>
      </c>
      <c r="BB41">
        <f>IF(AND(BB$3&gt;=$E41,BB$3&lt;=$F41),1,"")</f>
        <v/>
      </c>
      <c r="BC41">
        <f>IF(AND(BC$3&gt;=$E41,BC$3&lt;=$F41),1,"")</f>
        <v/>
      </c>
      <c r="BD41">
        <f>IF(AND(BD$3&gt;=$E41,BD$3&lt;=$F41),1,"")</f>
        <v/>
      </c>
      <c r="BE41">
        <f>IF(AND(BE$3&gt;=$E41,BE$3&lt;=$F41),1,"")</f>
        <v/>
      </c>
      <c r="BF41">
        <f>IF(AND(BF$3&gt;=$E41,BF$3&lt;=$F41),1,"")</f>
        <v/>
      </c>
      <c r="BG41">
        <f>IF(AND(BG$3&gt;=$E41,BG$3&lt;=$F41),1,"")</f>
        <v/>
      </c>
      <c r="BH41">
        <f>IF(AND(BH$3&gt;=$E41,BH$3&lt;=$F41),1,"")</f>
        <v/>
      </c>
      <c r="BI41">
        <f>IF(AND(BI$3&gt;=$E41,BI$3&lt;=$F41),1,"")</f>
        <v/>
      </c>
      <c r="BJ41">
        <f>IF(AND(BJ$3&gt;=$E41,BJ$3&lt;=$F41),1,"")</f>
        <v/>
      </c>
      <c r="BK41">
        <f>IF(AND(BK$3&gt;=$E41,BK$3&lt;=$F41),1,"")</f>
        <v/>
      </c>
      <c r="BL41">
        <f>IF(AND(BL$3&gt;=$E41,BL$3&lt;=$F41),1,"")</f>
        <v/>
      </c>
      <c r="BM41">
        <f>IF(AND(BM$3&gt;=$E41,BM$3&lt;=$F41),1,"")</f>
        <v/>
      </c>
      <c r="BN41">
        <f>IF(AND(BN$3&gt;=$E41,BN$3&lt;=$F41),1,"")</f>
        <v/>
      </c>
      <c r="BO41">
        <f>IF(AND(BO$3&gt;=$E41,BO$3&lt;=$F41),1,"")</f>
        <v/>
      </c>
      <c r="BP41">
        <f>IF(AND(BP$3&gt;=$E41,BP$3&lt;=$F41),1,"")</f>
        <v/>
      </c>
      <c r="BQ41">
        <f>IF(AND(BQ$3&gt;=$E41,BQ$3&lt;=$F41),1,"")</f>
        <v/>
      </c>
      <c r="BR41">
        <f>IF(AND(BR$3&gt;=$E41,BR$3&lt;=$F41),1,"")</f>
        <v/>
      </c>
    </row>
    <row r="42">
      <c r="A42" t="inlineStr">
        <is>
          <t>RJ-139</t>
        </is>
      </c>
      <c r="B42" t="n">
        <v>15</v>
      </c>
      <c r="C42" t="inlineStr">
        <is>
          <t>BR2</t>
        </is>
      </c>
      <c r="D42">
        <f>IF($A42="","",IFERROR(CHOOSE(MATCH($C42,Settings!$L$4:$L$10,0),OPR_BR1!$B$2,OPR_BR2!$B$2,OPR_CR2!$B$2,OPR_CR3!$B$2,OPR_CR4!$B$2,OPR_RIM!$B$2,OPR_BPR!$B$2),1))</f>
        <v/>
      </c>
      <c r="E42" s="16" t="n">
        <v>46174.29166666666</v>
      </c>
      <c r="F42" s="16" t="n">
        <v>46245.29166666666</v>
      </c>
      <c r="G42" t="inlineStr">
        <is>
          <t>High</t>
        </is>
      </c>
      <c r="H42">
        <f>IF($A42="","",TEXT($F42,"MMM-YYYY"))</f>
        <v/>
      </c>
      <c r="I42" t="inlineStr">
        <is>
          <t>Cancelled</t>
        </is>
      </c>
      <c r="J42" s="17">
        <f>IF($A42="","",$F42+30)</f>
        <v/>
      </c>
      <c r="K42" t="inlineStr">
        <is>
          <t>Alpha Corp</t>
        </is>
      </c>
      <c r="L42">
        <f>IF(AND(L$3&gt;=$E42,L$3&lt;=$F42),1,"")</f>
        <v/>
      </c>
      <c r="M42">
        <f>IF(AND(M$3&gt;=$E42,M$3&lt;=$F42),1,"")</f>
        <v/>
      </c>
      <c r="N42">
        <f>IF(AND(N$3&gt;=$E42,N$3&lt;=$F42),1,"")</f>
        <v/>
      </c>
      <c r="O42">
        <f>IF(AND(O$3&gt;=$E42,O$3&lt;=$F42),1,"")</f>
        <v/>
      </c>
      <c r="P42">
        <f>IF(AND(P$3&gt;=$E42,P$3&lt;=$F42),1,"")</f>
        <v/>
      </c>
      <c r="Q42">
        <f>IF(AND(Q$3&gt;=$E42,Q$3&lt;=$F42),1,"")</f>
        <v/>
      </c>
      <c r="R42">
        <f>IF(AND(R$3&gt;=$E42,R$3&lt;=$F42),1,"")</f>
        <v/>
      </c>
      <c r="S42">
        <f>IF(AND(S$3&gt;=$E42,S$3&lt;=$F42),1,"")</f>
        <v/>
      </c>
      <c r="T42">
        <f>IF(AND(T$3&gt;=$E42,T$3&lt;=$F42),1,"")</f>
        <v/>
      </c>
      <c r="U42">
        <f>IF(AND(U$3&gt;=$E42,U$3&lt;=$F42),1,"")</f>
        <v/>
      </c>
      <c r="V42">
        <f>IF(AND(V$3&gt;=$E42,V$3&lt;=$F42),1,"")</f>
        <v/>
      </c>
      <c r="W42">
        <f>IF(AND(W$3&gt;=$E42,W$3&lt;=$F42),1,"")</f>
        <v/>
      </c>
      <c r="X42">
        <f>IF(AND(X$3&gt;=$E42,X$3&lt;=$F42),1,"")</f>
        <v/>
      </c>
      <c r="Y42">
        <f>IF(AND(Y$3&gt;=$E42,Y$3&lt;=$F42),1,"")</f>
        <v/>
      </c>
      <c r="Z42">
        <f>IF(AND(Z$3&gt;=$E42,Z$3&lt;=$F42),1,"")</f>
        <v/>
      </c>
      <c r="AA42">
        <f>IF(AND(AA$3&gt;=$E42,AA$3&lt;=$F42),1,"")</f>
        <v/>
      </c>
      <c r="AB42">
        <f>IF(AND(AB$3&gt;=$E42,AB$3&lt;=$F42),1,"")</f>
        <v/>
      </c>
      <c r="AC42">
        <f>IF(AND(AC$3&gt;=$E42,AC$3&lt;=$F42),1,"")</f>
        <v/>
      </c>
      <c r="AD42">
        <f>IF(AND(AD$3&gt;=$E42,AD$3&lt;=$F42),1,"")</f>
        <v/>
      </c>
      <c r="AE42">
        <f>IF(AND(AE$3&gt;=$E42,AE$3&lt;=$F42),1,"")</f>
        <v/>
      </c>
      <c r="AF42">
        <f>IF(AND(AF$3&gt;=$E42,AF$3&lt;=$F42),1,"")</f>
        <v/>
      </c>
      <c r="AG42">
        <f>IF(AND(AG$3&gt;=$E42,AG$3&lt;=$F42),1,"")</f>
        <v/>
      </c>
      <c r="AH42">
        <f>IF(AND(AH$3&gt;=$E42,AH$3&lt;=$F42),1,"")</f>
        <v/>
      </c>
      <c r="AI42">
        <f>IF(AND(AI$3&gt;=$E42,AI$3&lt;=$F42),1,"")</f>
        <v/>
      </c>
      <c r="AJ42">
        <f>IF(AND(AJ$3&gt;=$E42,AJ$3&lt;=$F42),1,"")</f>
        <v/>
      </c>
      <c r="AK42">
        <f>IF(AND(AK$3&gt;=$E42,AK$3&lt;=$F42),1,"")</f>
        <v/>
      </c>
      <c r="AL42">
        <f>IF(AND(AL$3&gt;=$E42,AL$3&lt;=$F42),1,"")</f>
        <v/>
      </c>
      <c r="AM42">
        <f>IF(AND(AM$3&gt;=$E42,AM$3&lt;=$F42),1,"")</f>
        <v/>
      </c>
      <c r="AN42">
        <f>IF(AND(AN$3&gt;=$E42,AN$3&lt;=$F42),1,"")</f>
        <v/>
      </c>
      <c r="AO42">
        <f>IF(AND(AO$3&gt;=$E42,AO$3&lt;=$F42),1,"")</f>
        <v/>
      </c>
      <c r="AP42">
        <f>IF(AND(AP$3&gt;=$E42,AP$3&lt;=$F42),1,"")</f>
        <v/>
      </c>
      <c r="AQ42">
        <f>IF(AND(AQ$3&gt;=$E42,AQ$3&lt;=$F42),1,"")</f>
        <v/>
      </c>
      <c r="AR42">
        <f>IF(AND(AR$3&gt;=$E42,AR$3&lt;=$F42),1,"")</f>
        <v/>
      </c>
      <c r="AS42">
        <f>IF(AND(AS$3&gt;=$E42,AS$3&lt;=$F42),1,"")</f>
        <v/>
      </c>
      <c r="AT42">
        <f>IF(AND(AT$3&gt;=$E42,AT$3&lt;=$F42),1,"")</f>
        <v/>
      </c>
      <c r="AU42">
        <f>IF(AND(AU$3&gt;=$E42,AU$3&lt;=$F42),1,"")</f>
        <v/>
      </c>
      <c r="AV42">
        <f>IF(AND(AV$3&gt;=$E42,AV$3&lt;=$F42),1,"")</f>
        <v/>
      </c>
      <c r="AW42">
        <f>IF(AND(AW$3&gt;=$E42,AW$3&lt;=$F42),1,"")</f>
        <v/>
      </c>
      <c r="AX42">
        <f>IF(AND(AX$3&gt;=$E42,AX$3&lt;=$F42),1,"")</f>
        <v/>
      </c>
      <c r="AY42">
        <f>IF(AND(AY$3&gt;=$E42,AY$3&lt;=$F42),1,"")</f>
        <v/>
      </c>
      <c r="AZ42">
        <f>IF(AND(AZ$3&gt;=$E42,AZ$3&lt;=$F42),1,"")</f>
        <v/>
      </c>
      <c r="BA42">
        <f>IF(AND(BA$3&gt;=$E42,BA$3&lt;=$F42),1,"")</f>
        <v/>
      </c>
      <c r="BB42">
        <f>IF(AND(BB$3&gt;=$E42,BB$3&lt;=$F42),1,"")</f>
        <v/>
      </c>
      <c r="BC42">
        <f>IF(AND(BC$3&gt;=$E42,BC$3&lt;=$F42),1,"")</f>
        <v/>
      </c>
      <c r="BD42">
        <f>IF(AND(BD$3&gt;=$E42,BD$3&lt;=$F42),1,"")</f>
        <v/>
      </c>
      <c r="BE42">
        <f>IF(AND(BE$3&gt;=$E42,BE$3&lt;=$F42),1,"")</f>
        <v/>
      </c>
      <c r="BF42">
        <f>IF(AND(BF$3&gt;=$E42,BF$3&lt;=$F42),1,"")</f>
        <v/>
      </c>
      <c r="BG42">
        <f>IF(AND(BG$3&gt;=$E42,BG$3&lt;=$F42),1,"")</f>
        <v/>
      </c>
      <c r="BH42">
        <f>IF(AND(BH$3&gt;=$E42,BH$3&lt;=$F42),1,"")</f>
        <v/>
      </c>
      <c r="BI42">
        <f>IF(AND(BI$3&gt;=$E42,BI$3&lt;=$F42),1,"")</f>
        <v/>
      </c>
      <c r="BJ42">
        <f>IF(AND(BJ$3&gt;=$E42,BJ$3&lt;=$F42),1,"")</f>
        <v/>
      </c>
      <c r="BK42">
        <f>IF(AND(BK$3&gt;=$E42,BK$3&lt;=$F42),1,"")</f>
        <v/>
      </c>
      <c r="BL42">
        <f>IF(AND(BL$3&gt;=$E42,BL$3&lt;=$F42),1,"")</f>
        <v/>
      </c>
      <c r="BM42">
        <f>IF(AND(BM$3&gt;=$E42,BM$3&lt;=$F42),1,"")</f>
        <v/>
      </c>
      <c r="BN42">
        <f>IF(AND(BN$3&gt;=$E42,BN$3&lt;=$F42),1,"")</f>
        <v/>
      </c>
      <c r="BO42">
        <f>IF(AND(BO$3&gt;=$E42,BO$3&lt;=$F42),1,"")</f>
        <v/>
      </c>
      <c r="BP42">
        <f>IF(AND(BP$3&gt;=$E42,BP$3&lt;=$F42),1,"")</f>
        <v/>
      </c>
      <c r="BQ42">
        <f>IF(AND(BQ$3&gt;=$E42,BQ$3&lt;=$F42),1,"")</f>
        <v/>
      </c>
      <c r="BR42">
        <f>IF(AND(BR$3&gt;=$E42,BR$3&lt;=$F42),1,"")</f>
        <v/>
      </c>
    </row>
    <row r="43">
      <c r="A43" t="inlineStr">
        <is>
          <t>RJ-140</t>
        </is>
      </c>
      <c r="B43" t="n">
        <v>25</v>
      </c>
      <c r="C43" t="inlineStr">
        <is>
          <t>BR1</t>
        </is>
      </c>
      <c r="D43">
        <f>IF($A43="","",IFERROR(CHOOSE(MATCH($C43,Settings!$L$4:$L$10,0),OPR_BR1!$B$2,OPR_BR2!$B$2,OPR_CR2!$B$2,OPR_CR3!$B$2,OPR_CR4!$B$2,OPR_RIM!$B$2,OPR_BPR!$B$2),1))</f>
        <v/>
      </c>
      <c r="E43" s="16" t="n">
        <v>46121.29166666666</v>
      </c>
      <c r="F43" s="16" t="n">
        <v>46205.29166666666</v>
      </c>
      <c r="G43" t="inlineStr">
        <is>
          <t>High</t>
        </is>
      </c>
      <c r="H43">
        <f>IF($A43="","",TEXT($F43,"MMM-YYYY"))</f>
        <v/>
      </c>
      <c r="I43" t="inlineStr">
        <is>
          <t>Cancelled</t>
        </is>
      </c>
      <c r="J43" s="17">
        <f>IF($A43="","",$F43+30)</f>
        <v/>
      </c>
      <c r="K43" t="inlineStr">
        <is>
          <t>Delta Co</t>
        </is>
      </c>
      <c r="L43">
        <f>IF(AND(L$3&gt;=$E43,L$3&lt;=$F43),1,"")</f>
        <v/>
      </c>
      <c r="M43">
        <f>IF(AND(M$3&gt;=$E43,M$3&lt;=$F43),1,"")</f>
        <v/>
      </c>
      <c r="N43">
        <f>IF(AND(N$3&gt;=$E43,N$3&lt;=$F43),1,"")</f>
        <v/>
      </c>
      <c r="O43">
        <f>IF(AND(O$3&gt;=$E43,O$3&lt;=$F43),1,"")</f>
        <v/>
      </c>
      <c r="P43">
        <f>IF(AND(P$3&gt;=$E43,P$3&lt;=$F43),1,"")</f>
        <v/>
      </c>
      <c r="Q43">
        <f>IF(AND(Q$3&gt;=$E43,Q$3&lt;=$F43),1,"")</f>
        <v/>
      </c>
      <c r="R43">
        <f>IF(AND(R$3&gt;=$E43,R$3&lt;=$F43),1,"")</f>
        <v/>
      </c>
      <c r="S43">
        <f>IF(AND(S$3&gt;=$E43,S$3&lt;=$F43),1,"")</f>
        <v/>
      </c>
      <c r="T43">
        <f>IF(AND(T$3&gt;=$E43,T$3&lt;=$F43),1,"")</f>
        <v/>
      </c>
      <c r="U43">
        <f>IF(AND(U$3&gt;=$E43,U$3&lt;=$F43),1,"")</f>
        <v/>
      </c>
      <c r="V43">
        <f>IF(AND(V$3&gt;=$E43,V$3&lt;=$F43),1,"")</f>
        <v/>
      </c>
      <c r="W43">
        <f>IF(AND(W$3&gt;=$E43,W$3&lt;=$F43),1,"")</f>
        <v/>
      </c>
      <c r="X43">
        <f>IF(AND(X$3&gt;=$E43,X$3&lt;=$F43),1,"")</f>
        <v/>
      </c>
      <c r="Y43">
        <f>IF(AND(Y$3&gt;=$E43,Y$3&lt;=$F43),1,"")</f>
        <v/>
      </c>
      <c r="Z43">
        <f>IF(AND(Z$3&gt;=$E43,Z$3&lt;=$F43),1,"")</f>
        <v/>
      </c>
      <c r="AA43">
        <f>IF(AND(AA$3&gt;=$E43,AA$3&lt;=$F43),1,"")</f>
        <v/>
      </c>
      <c r="AB43">
        <f>IF(AND(AB$3&gt;=$E43,AB$3&lt;=$F43),1,"")</f>
        <v/>
      </c>
      <c r="AC43">
        <f>IF(AND(AC$3&gt;=$E43,AC$3&lt;=$F43),1,"")</f>
        <v/>
      </c>
      <c r="AD43">
        <f>IF(AND(AD$3&gt;=$E43,AD$3&lt;=$F43),1,"")</f>
        <v/>
      </c>
      <c r="AE43">
        <f>IF(AND(AE$3&gt;=$E43,AE$3&lt;=$F43),1,"")</f>
        <v/>
      </c>
      <c r="AF43">
        <f>IF(AND(AF$3&gt;=$E43,AF$3&lt;=$F43),1,"")</f>
        <v/>
      </c>
      <c r="AG43">
        <f>IF(AND(AG$3&gt;=$E43,AG$3&lt;=$F43),1,"")</f>
        <v/>
      </c>
      <c r="AH43">
        <f>IF(AND(AH$3&gt;=$E43,AH$3&lt;=$F43),1,"")</f>
        <v/>
      </c>
      <c r="AI43">
        <f>IF(AND(AI$3&gt;=$E43,AI$3&lt;=$F43),1,"")</f>
        <v/>
      </c>
      <c r="AJ43">
        <f>IF(AND(AJ$3&gt;=$E43,AJ$3&lt;=$F43),1,"")</f>
        <v/>
      </c>
      <c r="AK43">
        <f>IF(AND(AK$3&gt;=$E43,AK$3&lt;=$F43),1,"")</f>
        <v/>
      </c>
      <c r="AL43">
        <f>IF(AND(AL$3&gt;=$E43,AL$3&lt;=$F43),1,"")</f>
        <v/>
      </c>
      <c r="AM43">
        <f>IF(AND(AM$3&gt;=$E43,AM$3&lt;=$F43),1,"")</f>
        <v/>
      </c>
      <c r="AN43">
        <f>IF(AND(AN$3&gt;=$E43,AN$3&lt;=$F43),1,"")</f>
        <v/>
      </c>
      <c r="AO43">
        <f>IF(AND(AO$3&gt;=$E43,AO$3&lt;=$F43),1,"")</f>
        <v/>
      </c>
      <c r="AP43">
        <f>IF(AND(AP$3&gt;=$E43,AP$3&lt;=$F43),1,"")</f>
        <v/>
      </c>
      <c r="AQ43">
        <f>IF(AND(AQ$3&gt;=$E43,AQ$3&lt;=$F43),1,"")</f>
        <v/>
      </c>
      <c r="AR43">
        <f>IF(AND(AR$3&gt;=$E43,AR$3&lt;=$F43),1,"")</f>
        <v/>
      </c>
      <c r="AS43">
        <f>IF(AND(AS$3&gt;=$E43,AS$3&lt;=$F43),1,"")</f>
        <v/>
      </c>
      <c r="AT43">
        <f>IF(AND(AT$3&gt;=$E43,AT$3&lt;=$F43),1,"")</f>
        <v/>
      </c>
      <c r="AU43">
        <f>IF(AND(AU$3&gt;=$E43,AU$3&lt;=$F43),1,"")</f>
        <v/>
      </c>
      <c r="AV43">
        <f>IF(AND(AV$3&gt;=$E43,AV$3&lt;=$F43),1,"")</f>
        <v/>
      </c>
      <c r="AW43">
        <f>IF(AND(AW$3&gt;=$E43,AW$3&lt;=$F43),1,"")</f>
        <v/>
      </c>
      <c r="AX43">
        <f>IF(AND(AX$3&gt;=$E43,AX$3&lt;=$F43),1,"")</f>
        <v/>
      </c>
      <c r="AY43">
        <f>IF(AND(AY$3&gt;=$E43,AY$3&lt;=$F43),1,"")</f>
        <v/>
      </c>
      <c r="AZ43">
        <f>IF(AND(AZ$3&gt;=$E43,AZ$3&lt;=$F43),1,"")</f>
        <v/>
      </c>
      <c r="BA43">
        <f>IF(AND(BA$3&gt;=$E43,BA$3&lt;=$F43),1,"")</f>
        <v/>
      </c>
      <c r="BB43">
        <f>IF(AND(BB$3&gt;=$E43,BB$3&lt;=$F43),1,"")</f>
        <v/>
      </c>
      <c r="BC43">
        <f>IF(AND(BC$3&gt;=$E43,BC$3&lt;=$F43),1,"")</f>
        <v/>
      </c>
      <c r="BD43">
        <f>IF(AND(BD$3&gt;=$E43,BD$3&lt;=$F43),1,"")</f>
        <v/>
      </c>
      <c r="BE43">
        <f>IF(AND(BE$3&gt;=$E43,BE$3&lt;=$F43),1,"")</f>
        <v/>
      </c>
      <c r="BF43">
        <f>IF(AND(BF$3&gt;=$E43,BF$3&lt;=$F43),1,"")</f>
        <v/>
      </c>
      <c r="BG43">
        <f>IF(AND(BG$3&gt;=$E43,BG$3&lt;=$F43),1,"")</f>
        <v/>
      </c>
      <c r="BH43">
        <f>IF(AND(BH$3&gt;=$E43,BH$3&lt;=$F43),1,"")</f>
        <v/>
      </c>
      <c r="BI43">
        <f>IF(AND(BI$3&gt;=$E43,BI$3&lt;=$F43),1,"")</f>
        <v/>
      </c>
      <c r="BJ43">
        <f>IF(AND(BJ$3&gt;=$E43,BJ$3&lt;=$F43),1,"")</f>
        <v/>
      </c>
      <c r="BK43">
        <f>IF(AND(BK$3&gt;=$E43,BK$3&lt;=$F43),1,"")</f>
        <v/>
      </c>
      <c r="BL43">
        <f>IF(AND(BL$3&gt;=$E43,BL$3&lt;=$F43),1,"")</f>
        <v/>
      </c>
      <c r="BM43">
        <f>IF(AND(BM$3&gt;=$E43,BM$3&lt;=$F43),1,"")</f>
        <v/>
      </c>
      <c r="BN43">
        <f>IF(AND(BN$3&gt;=$E43,BN$3&lt;=$F43),1,"")</f>
        <v/>
      </c>
      <c r="BO43">
        <f>IF(AND(BO$3&gt;=$E43,BO$3&lt;=$F43),1,"")</f>
        <v/>
      </c>
      <c r="BP43">
        <f>IF(AND(BP$3&gt;=$E43,BP$3&lt;=$F43),1,"")</f>
        <v/>
      </c>
      <c r="BQ43">
        <f>IF(AND(BQ$3&gt;=$E43,BQ$3&lt;=$F43),1,"")</f>
        <v/>
      </c>
      <c r="BR43">
        <f>IF(AND(BR$3&gt;=$E43,BR$3&lt;=$F43),1,"")</f>
        <v/>
      </c>
    </row>
    <row r="44">
      <c r="A44" t="inlineStr">
        <is>
          <t>RJ-141</t>
        </is>
      </c>
      <c r="B44" t="n">
        <v>17</v>
      </c>
      <c r="C44" t="inlineStr">
        <is>
          <t>BPR</t>
        </is>
      </c>
      <c r="D44">
        <f>IF($A44="","",IFERROR(CHOOSE(MATCH($C44,Settings!$L$4:$L$10,0),OPR_BR1!$B$2,OPR_BR2!$B$2,OPR_CR2!$B$2,OPR_CR3!$B$2,OPR_CR4!$B$2,OPR_RIM!$B$2,OPR_BPR!$B$2),1))</f>
        <v/>
      </c>
      <c r="E44" s="16" t="n">
        <v>46155.29166666666</v>
      </c>
      <c r="F44" s="16" t="n">
        <v>46222.29166666666</v>
      </c>
      <c r="G44" t="inlineStr">
        <is>
          <t>Medium</t>
        </is>
      </c>
      <c r="H44">
        <f>IF($A44="","",TEXT($F44,"MMM-YYYY"))</f>
        <v/>
      </c>
      <c r="I44" t="inlineStr">
        <is>
          <t>On Hold</t>
        </is>
      </c>
      <c r="J44" s="17">
        <f>IF($A44="","",$F44+30)</f>
        <v/>
      </c>
      <c r="K44" t="inlineStr">
        <is>
          <t>Alpha Corp</t>
        </is>
      </c>
      <c r="L44">
        <f>IF(AND(L$3&gt;=$E44,L$3&lt;=$F44),1,"")</f>
        <v/>
      </c>
      <c r="M44">
        <f>IF(AND(M$3&gt;=$E44,M$3&lt;=$F44),1,"")</f>
        <v/>
      </c>
      <c r="N44">
        <f>IF(AND(N$3&gt;=$E44,N$3&lt;=$F44),1,"")</f>
        <v/>
      </c>
      <c r="O44">
        <f>IF(AND(O$3&gt;=$E44,O$3&lt;=$F44),1,"")</f>
        <v/>
      </c>
      <c r="P44">
        <f>IF(AND(P$3&gt;=$E44,P$3&lt;=$F44),1,"")</f>
        <v/>
      </c>
      <c r="Q44">
        <f>IF(AND(Q$3&gt;=$E44,Q$3&lt;=$F44),1,"")</f>
        <v/>
      </c>
      <c r="R44">
        <f>IF(AND(R$3&gt;=$E44,R$3&lt;=$F44),1,"")</f>
        <v/>
      </c>
      <c r="S44">
        <f>IF(AND(S$3&gt;=$E44,S$3&lt;=$F44),1,"")</f>
        <v/>
      </c>
      <c r="T44">
        <f>IF(AND(T$3&gt;=$E44,T$3&lt;=$F44),1,"")</f>
        <v/>
      </c>
      <c r="U44">
        <f>IF(AND(U$3&gt;=$E44,U$3&lt;=$F44),1,"")</f>
        <v/>
      </c>
      <c r="V44">
        <f>IF(AND(V$3&gt;=$E44,V$3&lt;=$F44),1,"")</f>
        <v/>
      </c>
      <c r="W44">
        <f>IF(AND(W$3&gt;=$E44,W$3&lt;=$F44),1,"")</f>
        <v/>
      </c>
      <c r="X44">
        <f>IF(AND(X$3&gt;=$E44,X$3&lt;=$F44),1,"")</f>
        <v/>
      </c>
      <c r="Y44">
        <f>IF(AND(Y$3&gt;=$E44,Y$3&lt;=$F44),1,"")</f>
        <v/>
      </c>
      <c r="Z44">
        <f>IF(AND(Z$3&gt;=$E44,Z$3&lt;=$F44),1,"")</f>
        <v/>
      </c>
      <c r="AA44">
        <f>IF(AND(AA$3&gt;=$E44,AA$3&lt;=$F44),1,"")</f>
        <v/>
      </c>
      <c r="AB44">
        <f>IF(AND(AB$3&gt;=$E44,AB$3&lt;=$F44),1,"")</f>
        <v/>
      </c>
      <c r="AC44">
        <f>IF(AND(AC$3&gt;=$E44,AC$3&lt;=$F44),1,"")</f>
        <v/>
      </c>
      <c r="AD44">
        <f>IF(AND(AD$3&gt;=$E44,AD$3&lt;=$F44),1,"")</f>
        <v/>
      </c>
      <c r="AE44">
        <f>IF(AND(AE$3&gt;=$E44,AE$3&lt;=$F44),1,"")</f>
        <v/>
      </c>
      <c r="AF44">
        <f>IF(AND(AF$3&gt;=$E44,AF$3&lt;=$F44),1,"")</f>
        <v/>
      </c>
      <c r="AG44">
        <f>IF(AND(AG$3&gt;=$E44,AG$3&lt;=$F44),1,"")</f>
        <v/>
      </c>
      <c r="AH44">
        <f>IF(AND(AH$3&gt;=$E44,AH$3&lt;=$F44),1,"")</f>
        <v/>
      </c>
      <c r="AI44">
        <f>IF(AND(AI$3&gt;=$E44,AI$3&lt;=$F44),1,"")</f>
        <v/>
      </c>
      <c r="AJ44">
        <f>IF(AND(AJ$3&gt;=$E44,AJ$3&lt;=$F44),1,"")</f>
        <v/>
      </c>
      <c r="AK44">
        <f>IF(AND(AK$3&gt;=$E44,AK$3&lt;=$F44),1,"")</f>
        <v/>
      </c>
      <c r="AL44">
        <f>IF(AND(AL$3&gt;=$E44,AL$3&lt;=$F44),1,"")</f>
        <v/>
      </c>
      <c r="AM44">
        <f>IF(AND(AM$3&gt;=$E44,AM$3&lt;=$F44),1,"")</f>
        <v/>
      </c>
      <c r="AN44">
        <f>IF(AND(AN$3&gt;=$E44,AN$3&lt;=$F44),1,"")</f>
        <v/>
      </c>
      <c r="AO44">
        <f>IF(AND(AO$3&gt;=$E44,AO$3&lt;=$F44),1,"")</f>
        <v/>
      </c>
      <c r="AP44">
        <f>IF(AND(AP$3&gt;=$E44,AP$3&lt;=$F44),1,"")</f>
        <v/>
      </c>
      <c r="AQ44">
        <f>IF(AND(AQ$3&gt;=$E44,AQ$3&lt;=$F44),1,"")</f>
        <v/>
      </c>
      <c r="AR44">
        <f>IF(AND(AR$3&gt;=$E44,AR$3&lt;=$F44),1,"")</f>
        <v/>
      </c>
      <c r="AS44">
        <f>IF(AND(AS$3&gt;=$E44,AS$3&lt;=$F44),1,"")</f>
        <v/>
      </c>
      <c r="AT44">
        <f>IF(AND(AT$3&gt;=$E44,AT$3&lt;=$F44),1,"")</f>
        <v/>
      </c>
      <c r="AU44">
        <f>IF(AND(AU$3&gt;=$E44,AU$3&lt;=$F44),1,"")</f>
        <v/>
      </c>
      <c r="AV44">
        <f>IF(AND(AV$3&gt;=$E44,AV$3&lt;=$F44),1,"")</f>
        <v/>
      </c>
      <c r="AW44">
        <f>IF(AND(AW$3&gt;=$E44,AW$3&lt;=$F44),1,"")</f>
        <v/>
      </c>
      <c r="AX44">
        <f>IF(AND(AX$3&gt;=$E44,AX$3&lt;=$F44),1,"")</f>
        <v/>
      </c>
      <c r="AY44">
        <f>IF(AND(AY$3&gt;=$E44,AY$3&lt;=$F44),1,"")</f>
        <v/>
      </c>
      <c r="AZ44">
        <f>IF(AND(AZ$3&gt;=$E44,AZ$3&lt;=$F44),1,"")</f>
        <v/>
      </c>
      <c r="BA44">
        <f>IF(AND(BA$3&gt;=$E44,BA$3&lt;=$F44),1,"")</f>
        <v/>
      </c>
      <c r="BB44">
        <f>IF(AND(BB$3&gt;=$E44,BB$3&lt;=$F44),1,"")</f>
        <v/>
      </c>
      <c r="BC44">
        <f>IF(AND(BC$3&gt;=$E44,BC$3&lt;=$F44),1,"")</f>
        <v/>
      </c>
      <c r="BD44">
        <f>IF(AND(BD$3&gt;=$E44,BD$3&lt;=$F44),1,"")</f>
        <v/>
      </c>
      <c r="BE44">
        <f>IF(AND(BE$3&gt;=$E44,BE$3&lt;=$F44),1,"")</f>
        <v/>
      </c>
      <c r="BF44">
        <f>IF(AND(BF$3&gt;=$E44,BF$3&lt;=$F44),1,"")</f>
        <v/>
      </c>
      <c r="BG44">
        <f>IF(AND(BG$3&gt;=$E44,BG$3&lt;=$F44),1,"")</f>
        <v/>
      </c>
      <c r="BH44">
        <f>IF(AND(BH$3&gt;=$E44,BH$3&lt;=$F44),1,"")</f>
        <v/>
      </c>
      <c r="BI44">
        <f>IF(AND(BI$3&gt;=$E44,BI$3&lt;=$F44),1,"")</f>
        <v/>
      </c>
      <c r="BJ44">
        <f>IF(AND(BJ$3&gt;=$E44,BJ$3&lt;=$F44),1,"")</f>
        <v/>
      </c>
      <c r="BK44">
        <f>IF(AND(BK$3&gt;=$E44,BK$3&lt;=$F44),1,"")</f>
        <v/>
      </c>
      <c r="BL44">
        <f>IF(AND(BL$3&gt;=$E44,BL$3&lt;=$F44),1,"")</f>
        <v/>
      </c>
      <c r="BM44">
        <f>IF(AND(BM$3&gt;=$E44,BM$3&lt;=$F44),1,"")</f>
        <v/>
      </c>
      <c r="BN44">
        <f>IF(AND(BN$3&gt;=$E44,BN$3&lt;=$F44),1,"")</f>
        <v/>
      </c>
      <c r="BO44">
        <f>IF(AND(BO$3&gt;=$E44,BO$3&lt;=$F44),1,"")</f>
        <v/>
      </c>
      <c r="BP44">
        <f>IF(AND(BP$3&gt;=$E44,BP$3&lt;=$F44),1,"")</f>
        <v/>
      </c>
      <c r="BQ44">
        <f>IF(AND(BQ$3&gt;=$E44,BQ$3&lt;=$F44),1,"")</f>
        <v/>
      </c>
      <c r="BR44">
        <f>IF(AND(BR$3&gt;=$E44,BR$3&lt;=$F44),1,"")</f>
        <v/>
      </c>
    </row>
    <row r="45">
      <c r="A45" t="inlineStr">
        <is>
          <t>RJ-142</t>
        </is>
      </c>
      <c r="B45" t="n">
        <v>54</v>
      </c>
      <c r="C45" t="inlineStr">
        <is>
          <t>BR1</t>
        </is>
      </c>
      <c r="D45">
        <f>IF($A45="","",IFERROR(CHOOSE(MATCH($C45,Settings!$L$4:$L$10,0),OPR_BR1!$B$2,OPR_BR2!$B$2,OPR_CR2!$B$2,OPR_CR3!$B$2,OPR_CR4!$B$2,OPR_RIM!$B$2,OPR_BPR!$B$2),1))</f>
        <v/>
      </c>
      <c r="E45" s="16" t="n">
        <v>46185.29166666666</v>
      </c>
      <c r="F45" s="16" t="n">
        <v>46273.29166666666</v>
      </c>
      <c r="G45" t="inlineStr">
        <is>
          <t>High</t>
        </is>
      </c>
      <c r="H45">
        <f>IF($A45="","",TEXT($F45,"MMM-YYYY"))</f>
        <v/>
      </c>
      <c r="I45" t="inlineStr">
        <is>
          <t>Released</t>
        </is>
      </c>
      <c r="J45" s="17">
        <f>IF($A45="","",$F45+30)</f>
        <v/>
      </c>
      <c r="K45" t="inlineStr">
        <is>
          <t>Alpha Corp</t>
        </is>
      </c>
      <c r="L45">
        <f>IF(AND(L$3&gt;=$E45,L$3&lt;=$F45),1,"")</f>
        <v/>
      </c>
      <c r="M45">
        <f>IF(AND(M$3&gt;=$E45,M$3&lt;=$F45),1,"")</f>
        <v/>
      </c>
      <c r="N45">
        <f>IF(AND(N$3&gt;=$E45,N$3&lt;=$F45),1,"")</f>
        <v/>
      </c>
      <c r="O45">
        <f>IF(AND(O$3&gt;=$E45,O$3&lt;=$F45),1,"")</f>
        <v/>
      </c>
      <c r="P45">
        <f>IF(AND(P$3&gt;=$E45,P$3&lt;=$F45),1,"")</f>
        <v/>
      </c>
      <c r="Q45">
        <f>IF(AND(Q$3&gt;=$E45,Q$3&lt;=$F45),1,"")</f>
        <v/>
      </c>
      <c r="R45">
        <f>IF(AND(R$3&gt;=$E45,R$3&lt;=$F45),1,"")</f>
        <v/>
      </c>
      <c r="S45">
        <f>IF(AND(S$3&gt;=$E45,S$3&lt;=$F45),1,"")</f>
        <v/>
      </c>
      <c r="T45">
        <f>IF(AND(T$3&gt;=$E45,T$3&lt;=$F45),1,"")</f>
        <v/>
      </c>
      <c r="U45">
        <f>IF(AND(U$3&gt;=$E45,U$3&lt;=$F45),1,"")</f>
        <v/>
      </c>
      <c r="V45">
        <f>IF(AND(V$3&gt;=$E45,V$3&lt;=$F45),1,"")</f>
        <v/>
      </c>
      <c r="W45">
        <f>IF(AND(W$3&gt;=$E45,W$3&lt;=$F45),1,"")</f>
        <v/>
      </c>
      <c r="X45">
        <f>IF(AND(X$3&gt;=$E45,X$3&lt;=$F45),1,"")</f>
        <v/>
      </c>
      <c r="Y45">
        <f>IF(AND(Y$3&gt;=$E45,Y$3&lt;=$F45),1,"")</f>
        <v/>
      </c>
      <c r="Z45">
        <f>IF(AND(Z$3&gt;=$E45,Z$3&lt;=$F45),1,"")</f>
        <v/>
      </c>
      <c r="AA45">
        <f>IF(AND(AA$3&gt;=$E45,AA$3&lt;=$F45),1,"")</f>
        <v/>
      </c>
      <c r="AB45">
        <f>IF(AND(AB$3&gt;=$E45,AB$3&lt;=$F45),1,"")</f>
        <v/>
      </c>
      <c r="AC45">
        <f>IF(AND(AC$3&gt;=$E45,AC$3&lt;=$F45),1,"")</f>
        <v/>
      </c>
      <c r="AD45">
        <f>IF(AND(AD$3&gt;=$E45,AD$3&lt;=$F45),1,"")</f>
        <v/>
      </c>
      <c r="AE45">
        <f>IF(AND(AE$3&gt;=$E45,AE$3&lt;=$F45),1,"")</f>
        <v/>
      </c>
      <c r="AF45">
        <f>IF(AND(AF$3&gt;=$E45,AF$3&lt;=$F45),1,"")</f>
        <v/>
      </c>
      <c r="AG45">
        <f>IF(AND(AG$3&gt;=$E45,AG$3&lt;=$F45),1,"")</f>
        <v/>
      </c>
      <c r="AH45">
        <f>IF(AND(AH$3&gt;=$E45,AH$3&lt;=$F45),1,"")</f>
        <v/>
      </c>
      <c r="AI45">
        <f>IF(AND(AI$3&gt;=$E45,AI$3&lt;=$F45),1,"")</f>
        <v/>
      </c>
      <c r="AJ45">
        <f>IF(AND(AJ$3&gt;=$E45,AJ$3&lt;=$F45),1,"")</f>
        <v/>
      </c>
      <c r="AK45">
        <f>IF(AND(AK$3&gt;=$E45,AK$3&lt;=$F45),1,"")</f>
        <v/>
      </c>
      <c r="AL45">
        <f>IF(AND(AL$3&gt;=$E45,AL$3&lt;=$F45),1,"")</f>
        <v/>
      </c>
      <c r="AM45">
        <f>IF(AND(AM$3&gt;=$E45,AM$3&lt;=$F45),1,"")</f>
        <v/>
      </c>
      <c r="AN45">
        <f>IF(AND(AN$3&gt;=$E45,AN$3&lt;=$F45),1,"")</f>
        <v/>
      </c>
      <c r="AO45">
        <f>IF(AND(AO$3&gt;=$E45,AO$3&lt;=$F45),1,"")</f>
        <v/>
      </c>
      <c r="AP45">
        <f>IF(AND(AP$3&gt;=$E45,AP$3&lt;=$F45),1,"")</f>
        <v/>
      </c>
      <c r="AQ45">
        <f>IF(AND(AQ$3&gt;=$E45,AQ$3&lt;=$F45),1,"")</f>
        <v/>
      </c>
      <c r="AR45">
        <f>IF(AND(AR$3&gt;=$E45,AR$3&lt;=$F45),1,"")</f>
        <v/>
      </c>
      <c r="AS45">
        <f>IF(AND(AS$3&gt;=$E45,AS$3&lt;=$F45),1,"")</f>
        <v/>
      </c>
      <c r="AT45">
        <f>IF(AND(AT$3&gt;=$E45,AT$3&lt;=$F45),1,"")</f>
        <v/>
      </c>
      <c r="AU45">
        <f>IF(AND(AU$3&gt;=$E45,AU$3&lt;=$F45),1,"")</f>
        <v/>
      </c>
      <c r="AV45">
        <f>IF(AND(AV$3&gt;=$E45,AV$3&lt;=$F45),1,"")</f>
        <v/>
      </c>
      <c r="AW45">
        <f>IF(AND(AW$3&gt;=$E45,AW$3&lt;=$F45),1,"")</f>
        <v/>
      </c>
      <c r="AX45">
        <f>IF(AND(AX$3&gt;=$E45,AX$3&lt;=$F45),1,"")</f>
        <v/>
      </c>
      <c r="AY45">
        <f>IF(AND(AY$3&gt;=$E45,AY$3&lt;=$F45),1,"")</f>
        <v/>
      </c>
      <c r="AZ45">
        <f>IF(AND(AZ$3&gt;=$E45,AZ$3&lt;=$F45),1,"")</f>
        <v/>
      </c>
      <c r="BA45">
        <f>IF(AND(BA$3&gt;=$E45,BA$3&lt;=$F45),1,"")</f>
        <v/>
      </c>
      <c r="BB45">
        <f>IF(AND(BB$3&gt;=$E45,BB$3&lt;=$F45),1,"")</f>
        <v/>
      </c>
      <c r="BC45">
        <f>IF(AND(BC$3&gt;=$E45,BC$3&lt;=$F45),1,"")</f>
        <v/>
      </c>
      <c r="BD45">
        <f>IF(AND(BD$3&gt;=$E45,BD$3&lt;=$F45),1,"")</f>
        <v/>
      </c>
      <c r="BE45">
        <f>IF(AND(BE$3&gt;=$E45,BE$3&lt;=$F45),1,"")</f>
        <v/>
      </c>
      <c r="BF45">
        <f>IF(AND(BF$3&gt;=$E45,BF$3&lt;=$F45),1,"")</f>
        <v/>
      </c>
      <c r="BG45">
        <f>IF(AND(BG$3&gt;=$E45,BG$3&lt;=$F45),1,"")</f>
        <v/>
      </c>
      <c r="BH45">
        <f>IF(AND(BH$3&gt;=$E45,BH$3&lt;=$F45),1,"")</f>
        <v/>
      </c>
      <c r="BI45">
        <f>IF(AND(BI$3&gt;=$E45,BI$3&lt;=$F45),1,"")</f>
        <v/>
      </c>
      <c r="BJ45">
        <f>IF(AND(BJ$3&gt;=$E45,BJ$3&lt;=$F45),1,"")</f>
        <v/>
      </c>
      <c r="BK45">
        <f>IF(AND(BK$3&gt;=$E45,BK$3&lt;=$F45),1,"")</f>
        <v/>
      </c>
      <c r="BL45">
        <f>IF(AND(BL$3&gt;=$E45,BL$3&lt;=$F45),1,"")</f>
        <v/>
      </c>
      <c r="BM45">
        <f>IF(AND(BM$3&gt;=$E45,BM$3&lt;=$F45),1,"")</f>
        <v/>
      </c>
      <c r="BN45">
        <f>IF(AND(BN$3&gt;=$E45,BN$3&lt;=$F45),1,"")</f>
        <v/>
      </c>
      <c r="BO45">
        <f>IF(AND(BO$3&gt;=$E45,BO$3&lt;=$F45),1,"")</f>
        <v/>
      </c>
      <c r="BP45">
        <f>IF(AND(BP$3&gt;=$E45,BP$3&lt;=$F45),1,"")</f>
        <v/>
      </c>
      <c r="BQ45">
        <f>IF(AND(BQ$3&gt;=$E45,BQ$3&lt;=$F45),1,"")</f>
        <v/>
      </c>
      <c r="BR45">
        <f>IF(AND(BR$3&gt;=$E45,BR$3&lt;=$F45),1,"")</f>
        <v/>
      </c>
    </row>
    <row r="46">
      <c r="A46" t="inlineStr">
        <is>
          <t>RJ-143</t>
        </is>
      </c>
      <c r="B46" t="n">
        <v>46</v>
      </c>
      <c r="C46" t="inlineStr">
        <is>
          <t>BR1</t>
        </is>
      </c>
      <c r="D46">
        <f>IF($A46="","",IFERROR(CHOOSE(MATCH($C46,Settings!$L$4:$L$10,0),OPR_BR1!$B$2,OPR_BR2!$B$2,OPR_CR2!$B$2,OPR_CR3!$B$2,OPR_CR4!$B$2,OPR_RIM!$B$2,OPR_BPR!$B$2),1))</f>
        <v/>
      </c>
      <c r="E46" s="16" t="n">
        <v>46140.29166666666</v>
      </c>
      <c r="F46" s="16" t="n">
        <v>46204.29166666666</v>
      </c>
      <c r="G46" t="inlineStr">
        <is>
          <t>Medium</t>
        </is>
      </c>
      <c r="H46">
        <f>IF($A46="","",TEXT($F46,"MMM-YYYY"))</f>
        <v/>
      </c>
      <c r="I46" t="inlineStr">
        <is>
          <t>On Hold</t>
        </is>
      </c>
      <c r="J46" s="17">
        <f>IF($A46="","",$F46+30)</f>
        <v/>
      </c>
      <c r="K46" t="inlineStr">
        <is>
          <t>Gamma Inc</t>
        </is>
      </c>
      <c r="L46">
        <f>IF(AND(L$3&gt;=$E46,L$3&lt;=$F46),1,"")</f>
        <v/>
      </c>
      <c r="M46">
        <f>IF(AND(M$3&gt;=$E46,M$3&lt;=$F46),1,"")</f>
        <v/>
      </c>
      <c r="N46">
        <f>IF(AND(N$3&gt;=$E46,N$3&lt;=$F46),1,"")</f>
        <v/>
      </c>
      <c r="O46">
        <f>IF(AND(O$3&gt;=$E46,O$3&lt;=$F46),1,"")</f>
        <v/>
      </c>
      <c r="P46">
        <f>IF(AND(P$3&gt;=$E46,P$3&lt;=$F46),1,"")</f>
        <v/>
      </c>
      <c r="Q46">
        <f>IF(AND(Q$3&gt;=$E46,Q$3&lt;=$F46),1,"")</f>
        <v/>
      </c>
      <c r="R46">
        <f>IF(AND(R$3&gt;=$E46,R$3&lt;=$F46),1,"")</f>
        <v/>
      </c>
      <c r="S46">
        <f>IF(AND(S$3&gt;=$E46,S$3&lt;=$F46),1,"")</f>
        <v/>
      </c>
      <c r="T46">
        <f>IF(AND(T$3&gt;=$E46,T$3&lt;=$F46),1,"")</f>
        <v/>
      </c>
      <c r="U46">
        <f>IF(AND(U$3&gt;=$E46,U$3&lt;=$F46),1,"")</f>
        <v/>
      </c>
      <c r="V46">
        <f>IF(AND(V$3&gt;=$E46,V$3&lt;=$F46),1,"")</f>
        <v/>
      </c>
      <c r="W46">
        <f>IF(AND(W$3&gt;=$E46,W$3&lt;=$F46),1,"")</f>
        <v/>
      </c>
      <c r="X46">
        <f>IF(AND(X$3&gt;=$E46,X$3&lt;=$F46),1,"")</f>
        <v/>
      </c>
      <c r="Y46">
        <f>IF(AND(Y$3&gt;=$E46,Y$3&lt;=$F46),1,"")</f>
        <v/>
      </c>
      <c r="Z46">
        <f>IF(AND(Z$3&gt;=$E46,Z$3&lt;=$F46),1,"")</f>
        <v/>
      </c>
      <c r="AA46">
        <f>IF(AND(AA$3&gt;=$E46,AA$3&lt;=$F46),1,"")</f>
        <v/>
      </c>
      <c r="AB46">
        <f>IF(AND(AB$3&gt;=$E46,AB$3&lt;=$F46),1,"")</f>
        <v/>
      </c>
      <c r="AC46">
        <f>IF(AND(AC$3&gt;=$E46,AC$3&lt;=$F46),1,"")</f>
        <v/>
      </c>
      <c r="AD46">
        <f>IF(AND(AD$3&gt;=$E46,AD$3&lt;=$F46),1,"")</f>
        <v/>
      </c>
      <c r="AE46">
        <f>IF(AND(AE$3&gt;=$E46,AE$3&lt;=$F46),1,"")</f>
        <v/>
      </c>
      <c r="AF46">
        <f>IF(AND(AF$3&gt;=$E46,AF$3&lt;=$F46),1,"")</f>
        <v/>
      </c>
      <c r="AG46">
        <f>IF(AND(AG$3&gt;=$E46,AG$3&lt;=$F46),1,"")</f>
        <v/>
      </c>
      <c r="AH46">
        <f>IF(AND(AH$3&gt;=$E46,AH$3&lt;=$F46),1,"")</f>
        <v/>
      </c>
      <c r="AI46">
        <f>IF(AND(AI$3&gt;=$E46,AI$3&lt;=$F46),1,"")</f>
        <v/>
      </c>
      <c r="AJ46">
        <f>IF(AND(AJ$3&gt;=$E46,AJ$3&lt;=$F46),1,"")</f>
        <v/>
      </c>
      <c r="AK46">
        <f>IF(AND(AK$3&gt;=$E46,AK$3&lt;=$F46),1,"")</f>
        <v/>
      </c>
      <c r="AL46">
        <f>IF(AND(AL$3&gt;=$E46,AL$3&lt;=$F46),1,"")</f>
        <v/>
      </c>
      <c r="AM46">
        <f>IF(AND(AM$3&gt;=$E46,AM$3&lt;=$F46),1,"")</f>
        <v/>
      </c>
      <c r="AN46">
        <f>IF(AND(AN$3&gt;=$E46,AN$3&lt;=$F46),1,"")</f>
        <v/>
      </c>
      <c r="AO46">
        <f>IF(AND(AO$3&gt;=$E46,AO$3&lt;=$F46),1,"")</f>
        <v/>
      </c>
      <c r="AP46">
        <f>IF(AND(AP$3&gt;=$E46,AP$3&lt;=$F46),1,"")</f>
        <v/>
      </c>
      <c r="AQ46">
        <f>IF(AND(AQ$3&gt;=$E46,AQ$3&lt;=$F46),1,"")</f>
        <v/>
      </c>
      <c r="AR46">
        <f>IF(AND(AR$3&gt;=$E46,AR$3&lt;=$F46),1,"")</f>
        <v/>
      </c>
      <c r="AS46">
        <f>IF(AND(AS$3&gt;=$E46,AS$3&lt;=$F46),1,"")</f>
        <v/>
      </c>
      <c r="AT46">
        <f>IF(AND(AT$3&gt;=$E46,AT$3&lt;=$F46),1,"")</f>
        <v/>
      </c>
      <c r="AU46">
        <f>IF(AND(AU$3&gt;=$E46,AU$3&lt;=$F46),1,"")</f>
        <v/>
      </c>
      <c r="AV46">
        <f>IF(AND(AV$3&gt;=$E46,AV$3&lt;=$F46),1,"")</f>
        <v/>
      </c>
      <c r="AW46">
        <f>IF(AND(AW$3&gt;=$E46,AW$3&lt;=$F46),1,"")</f>
        <v/>
      </c>
      <c r="AX46">
        <f>IF(AND(AX$3&gt;=$E46,AX$3&lt;=$F46),1,"")</f>
        <v/>
      </c>
      <c r="AY46">
        <f>IF(AND(AY$3&gt;=$E46,AY$3&lt;=$F46),1,"")</f>
        <v/>
      </c>
      <c r="AZ46">
        <f>IF(AND(AZ$3&gt;=$E46,AZ$3&lt;=$F46),1,"")</f>
        <v/>
      </c>
      <c r="BA46">
        <f>IF(AND(BA$3&gt;=$E46,BA$3&lt;=$F46),1,"")</f>
        <v/>
      </c>
      <c r="BB46">
        <f>IF(AND(BB$3&gt;=$E46,BB$3&lt;=$F46),1,"")</f>
        <v/>
      </c>
      <c r="BC46">
        <f>IF(AND(BC$3&gt;=$E46,BC$3&lt;=$F46),1,"")</f>
        <v/>
      </c>
      <c r="BD46">
        <f>IF(AND(BD$3&gt;=$E46,BD$3&lt;=$F46),1,"")</f>
        <v/>
      </c>
      <c r="BE46">
        <f>IF(AND(BE$3&gt;=$E46,BE$3&lt;=$F46),1,"")</f>
        <v/>
      </c>
      <c r="BF46">
        <f>IF(AND(BF$3&gt;=$E46,BF$3&lt;=$F46),1,"")</f>
        <v/>
      </c>
      <c r="BG46">
        <f>IF(AND(BG$3&gt;=$E46,BG$3&lt;=$F46),1,"")</f>
        <v/>
      </c>
      <c r="BH46">
        <f>IF(AND(BH$3&gt;=$E46,BH$3&lt;=$F46),1,"")</f>
        <v/>
      </c>
      <c r="BI46">
        <f>IF(AND(BI$3&gt;=$E46,BI$3&lt;=$F46),1,"")</f>
        <v/>
      </c>
      <c r="BJ46">
        <f>IF(AND(BJ$3&gt;=$E46,BJ$3&lt;=$F46),1,"")</f>
        <v/>
      </c>
      <c r="BK46">
        <f>IF(AND(BK$3&gt;=$E46,BK$3&lt;=$F46),1,"")</f>
        <v/>
      </c>
      <c r="BL46">
        <f>IF(AND(BL$3&gt;=$E46,BL$3&lt;=$F46),1,"")</f>
        <v/>
      </c>
      <c r="BM46">
        <f>IF(AND(BM$3&gt;=$E46,BM$3&lt;=$F46),1,"")</f>
        <v/>
      </c>
      <c r="BN46">
        <f>IF(AND(BN$3&gt;=$E46,BN$3&lt;=$F46),1,"")</f>
        <v/>
      </c>
      <c r="BO46">
        <f>IF(AND(BO$3&gt;=$E46,BO$3&lt;=$F46),1,"")</f>
        <v/>
      </c>
      <c r="BP46">
        <f>IF(AND(BP$3&gt;=$E46,BP$3&lt;=$F46),1,"")</f>
        <v/>
      </c>
      <c r="BQ46">
        <f>IF(AND(BQ$3&gt;=$E46,BQ$3&lt;=$F46),1,"")</f>
        <v/>
      </c>
      <c r="BR46">
        <f>IF(AND(BR$3&gt;=$E46,BR$3&lt;=$F46),1,"")</f>
        <v/>
      </c>
    </row>
    <row r="47">
      <c r="A47" t="inlineStr">
        <is>
          <t>RJ-144</t>
        </is>
      </c>
      <c r="B47" t="n">
        <v>54</v>
      </c>
      <c r="C47" t="inlineStr">
        <is>
          <t>BR1</t>
        </is>
      </c>
      <c r="D47">
        <f>IF($A47="","",IFERROR(CHOOSE(MATCH($C47,Settings!$L$4:$L$10,0),OPR_BR1!$B$2,OPR_BR2!$B$2,OPR_CR2!$B$2,OPR_CR3!$B$2,OPR_CR4!$B$2,OPR_RIM!$B$2,OPR_BPR!$B$2),1))</f>
        <v/>
      </c>
      <c r="E47" s="16" t="n">
        <v>46174.29166666666</v>
      </c>
      <c r="F47" s="16" t="n">
        <v>46232.29166666666</v>
      </c>
      <c r="G47" t="inlineStr">
        <is>
          <t>High</t>
        </is>
      </c>
      <c r="H47">
        <f>IF($A47="","",TEXT($F47,"MMM-YYYY"))</f>
        <v/>
      </c>
      <c r="I47" t="inlineStr">
        <is>
          <t>Released</t>
        </is>
      </c>
      <c r="J47" s="17">
        <f>IF($A47="","",$F47+30)</f>
        <v/>
      </c>
      <c r="K47" t="inlineStr">
        <is>
          <t>Gamma Inc</t>
        </is>
      </c>
      <c r="L47">
        <f>IF(AND(L$3&gt;=$E47,L$3&lt;=$F47),1,"")</f>
        <v/>
      </c>
      <c r="M47">
        <f>IF(AND(M$3&gt;=$E47,M$3&lt;=$F47),1,"")</f>
        <v/>
      </c>
      <c r="N47">
        <f>IF(AND(N$3&gt;=$E47,N$3&lt;=$F47),1,"")</f>
        <v/>
      </c>
      <c r="O47">
        <f>IF(AND(O$3&gt;=$E47,O$3&lt;=$F47),1,"")</f>
        <v/>
      </c>
      <c r="P47">
        <f>IF(AND(P$3&gt;=$E47,P$3&lt;=$F47),1,"")</f>
        <v/>
      </c>
      <c r="Q47">
        <f>IF(AND(Q$3&gt;=$E47,Q$3&lt;=$F47),1,"")</f>
        <v/>
      </c>
      <c r="R47">
        <f>IF(AND(R$3&gt;=$E47,R$3&lt;=$F47),1,"")</f>
        <v/>
      </c>
      <c r="S47">
        <f>IF(AND(S$3&gt;=$E47,S$3&lt;=$F47),1,"")</f>
        <v/>
      </c>
      <c r="T47">
        <f>IF(AND(T$3&gt;=$E47,T$3&lt;=$F47),1,"")</f>
        <v/>
      </c>
      <c r="U47">
        <f>IF(AND(U$3&gt;=$E47,U$3&lt;=$F47),1,"")</f>
        <v/>
      </c>
      <c r="V47">
        <f>IF(AND(V$3&gt;=$E47,V$3&lt;=$F47),1,"")</f>
        <v/>
      </c>
      <c r="W47">
        <f>IF(AND(W$3&gt;=$E47,W$3&lt;=$F47),1,"")</f>
        <v/>
      </c>
      <c r="X47">
        <f>IF(AND(X$3&gt;=$E47,X$3&lt;=$F47),1,"")</f>
        <v/>
      </c>
      <c r="Y47">
        <f>IF(AND(Y$3&gt;=$E47,Y$3&lt;=$F47),1,"")</f>
        <v/>
      </c>
      <c r="Z47">
        <f>IF(AND(Z$3&gt;=$E47,Z$3&lt;=$F47),1,"")</f>
        <v/>
      </c>
      <c r="AA47">
        <f>IF(AND(AA$3&gt;=$E47,AA$3&lt;=$F47),1,"")</f>
        <v/>
      </c>
      <c r="AB47">
        <f>IF(AND(AB$3&gt;=$E47,AB$3&lt;=$F47),1,"")</f>
        <v/>
      </c>
      <c r="AC47">
        <f>IF(AND(AC$3&gt;=$E47,AC$3&lt;=$F47),1,"")</f>
        <v/>
      </c>
      <c r="AD47">
        <f>IF(AND(AD$3&gt;=$E47,AD$3&lt;=$F47),1,"")</f>
        <v/>
      </c>
      <c r="AE47">
        <f>IF(AND(AE$3&gt;=$E47,AE$3&lt;=$F47),1,"")</f>
        <v/>
      </c>
      <c r="AF47">
        <f>IF(AND(AF$3&gt;=$E47,AF$3&lt;=$F47),1,"")</f>
        <v/>
      </c>
      <c r="AG47">
        <f>IF(AND(AG$3&gt;=$E47,AG$3&lt;=$F47),1,"")</f>
        <v/>
      </c>
      <c r="AH47">
        <f>IF(AND(AH$3&gt;=$E47,AH$3&lt;=$F47),1,"")</f>
        <v/>
      </c>
      <c r="AI47">
        <f>IF(AND(AI$3&gt;=$E47,AI$3&lt;=$F47),1,"")</f>
        <v/>
      </c>
      <c r="AJ47">
        <f>IF(AND(AJ$3&gt;=$E47,AJ$3&lt;=$F47),1,"")</f>
        <v/>
      </c>
      <c r="AK47">
        <f>IF(AND(AK$3&gt;=$E47,AK$3&lt;=$F47),1,"")</f>
        <v/>
      </c>
      <c r="AL47">
        <f>IF(AND(AL$3&gt;=$E47,AL$3&lt;=$F47),1,"")</f>
        <v/>
      </c>
      <c r="AM47">
        <f>IF(AND(AM$3&gt;=$E47,AM$3&lt;=$F47),1,"")</f>
        <v/>
      </c>
      <c r="AN47">
        <f>IF(AND(AN$3&gt;=$E47,AN$3&lt;=$F47),1,"")</f>
        <v/>
      </c>
      <c r="AO47">
        <f>IF(AND(AO$3&gt;=$E47,AO$3&lt;=$F47),1,"")</f>
        <v/>
      </c>
      <c r="AP47">
        <f>IF(AND(AP$3&gt;=$E47,AP$3&lt;=$F47),1,"")</f>
        <v/>
      </c>
      <c r="AQ47">
        <f>IF(AND(AQ$3&gt;=$E47,AQ$3&lt;=$F47),1,"")</f>
        <v/>
      </c>
      <c r="AR47">
        <f>IF(AND(AR$3&gt;=$E47,AR$3&lt;=$F47),1,"")</f>
        <v/>
      </c>
      <c r="AS47">
        <f>IF(AND(AS$3&gt;=$E47,AS$3&lt;=$F47),1,"")</f>
        <v/>
      </c>
      <c r="AT47">
        <f>IF(AND(AT$3&gt;=$E47,AT$3&lt;=$F47),1,"")</f>
        <v/>
      </c>
      <c r="AU47">
        <f>IF(AND(AU$3&gt;=$E47,AU$3&lt;=$F47),1,"")</f>
        <v/>
      </c>
      <c r="AV47">
        <f>IF(AND(AV$3&gt;=$E47,AV$3&lt;=$F47),1,"")</f>
        <v/>
      </c>
      <c r="AW47">
        <f>IF(AND(AW$3&gt;=$E47,AW$3&lt;=$F47),1,"")</f>
        <v/>
      </c>
      <c r="AX47">
        <f>IF(AND(AX$3&gt;=$E47,AX$3&lt;=$F47),1,"")</f>
        <v/>
      </c>
      <c r="AY47">
        <f>IF(AND(AY$3&gt;=$E47,AY$3&lt;=$F47),1,"")</f>
        <v/>
      </c>
      <c r="AZ47">
        <f>IF(AND(AZ$3&gt;=$E47,AZ$3&lt;=$F47),1,"")</f>
        <v/>
      </c>
      <c r="BA47">
        <f>IF(AND(BA$3&gt;=$E47,BA$3&lt;=$F47),1,"")</f>
        <v/>
      </c>
      <c r="BB47">
        <f>IF(AND(BB$3&gt;=$E47,BB$3&lt;=$F47),1,"")</f>
        <v/>
      </c>
      <c r="BC47">
        <f>IF(AND(BC$3&gt;=$E47,BC$3&lt;=$F47),1,"")</f>
        <v/>
      </c>
      <c r="BD47">
        <f>IF(AND(BD$3&gt;=$E47,BD$3&lt;=$F47),1,"")</f>
        <v/>
      </c>
      <c r="BE47">
        <f>IF(AND(BE$3&gt;=$E47,BE$3&lt;=$F47),1,"")</f>
        <v/>
      </c>
      <c r="BF47">
        <f>IF(AND(BF$3&gt;=$E47,BF$3&lt;=$F47),1,"")</f>
        <v/>
      </c>
      <c r="BG47">
        <f>IF(AND(BG$3&gt;=$E47,BG$3&lt;=$F47),1,"")</f>
        <v/>
      </c>
      <c r="BH47">
        <f>IF(AND(BH$3&gt;=$E47,BH$3&lt;=$F47),1,"")</f>
        <v/>
      </c>
      <c r="BI47">
        <f>IF(AND(BI$3&gt;=$E47,BI$3&lt;=$F47),1,"")</f>
        <v/>
      </c>
      <c r="BJ47">
        <f>IF(AND(BJ$3&gt;=$E47,BJ$3&lt;=$F47),1,"")</f>
        <v/>
      </c>
      <c r="BK47">
        <f>IF(AND(BK$3&gt;=$E47,BK$3&lt;=$F47),1,"")</f>
        <v/>
      </c>
      <c r="BL47">
        <f>IF(AND(BL$3&gt;=$E47,BL$3&lt;=$F47),1,"")</f>
        <v/>
      </c>
      <c r="BM47">
        <f>IF(AND(BM$3&gt;=$E47,BM$3&lt;=$F47),1,"")</f>
        <v/>
      </c>
      <c r="BN47">
        <f>IF(AND(BN$3&gt;=$E47,BN$3&lt;=$F47),1,"")</f>
        <v/>
      </c>
      <c r="BO47">
        <f>IF(AND(BO$3&gt;=$E47,BO$3&lt;=$F47),1,"")</f>
        <v/>
      </c>
      <c r="BP47">
        <f>IF(AND(BP$3&gt;=$E47,BP$3&lt;=$F47),1,"")</f>
        <v/>
      </c>
      <c r="BQ47">
        <f>IF(AND(BQ$3&gt;=$E47,BQ$3&lt;=$F47),1,"")</f>
        <v/>
      </c>
      <c r="BR47">
        <f>IF(AND(BR$3&gt;=$E47,BR$3&lt;=$F47),1,"")</f>
        <v/>
      </c>
    </row>
    <row r="48">
      <c r="A48" t="inlineStr">
        <is>
          <t>RJ-145</t>
        </is>
      </c>
      <c r="B48" t="n">
        <v>34</v>
      </c>
      <c r="C48" t="inlineStr">
        <is>
          <t>BR1</t>
        </is>
      </c>
      <c r="D48">
        <f>IF($A48="","",IFERROR(CHOOSE(MATCH($C48,Settings!$L$4:$L$10,0),OPR_BR1!$B$2,OPR_BR2!$B$2,OPR_CR2!$B$2,OPR_CR3!$B$2,OPR_CR4!$B$2,OPR_RIM!$B$2,OPR_BPR!$B$2),1))</f>
        <v/>
      </c>
      <c r="E48" s="16" t="n">
        <v>46188.29166666666</v>
      </c>
      <c r="F48" s="16" t="n">
        <v>46269.29166666666</v>
      </c>
      <c r="G48" t="inlineStr">
        <is>
          <t>High</t>
        </is>
      </c>
      <c r="H48">
        <f>IF($A48="","",TEXT($F48,"MMM-YYYY"))</f>
        <v/>
      </c>
      <c r="I48" t="inlineStr">
        <is>
          <t>On Hold</t>
        </is>
      </c>
      <c r="J48" s="17">
        <f>IF($A48="","",$F48+30)</f>
        <v/>
      </c>
      <c r="K48" t="inlineStr">
        <is>
          <t>Delta Co</t>
        </is>
      </c>
      <c r="L48">
        <f>IF(AND(L$3&gt;=$E48,L$3&lt;=$F48),1,"")</f>
        <v/>
      </c>
      <c r="M48">
        <f>IF(AND(M$3&gt;=$E48,M$3&lt;=$F48),1,"")</f>
        <v/>
      </c>
      <c r="N48">
        <f>IF(AND(N$3&gt;=$E48,N$3&lt;=$F48),1,"")</f>
        <v/>
      </c>
      <c r="O48">
        <f>IF(AND(O$3&gt;=$E48,O$3&lt;=$F48),1,"")</f>
        <v/>
      </c>
      <c r="P48">
        <f>IF(AND(P$3&gt;=$E48,P$3&lt;=$F48),1,"")</f>
        <v/>
      </c>
      <c r="Q48">
        <f>IF(AND(Q$3&gt;=$E48,Q$3&lt;=$F48),1,"")</f>
        <v/>
      </c>
      <c r="R48">
        <f>IF(AND(R$3&gt;=$E48,R$3&lt;=$F48),1,"")</f>
        <v/>
      </c>
      <c r="S48">
        <f>IF(AND(S$3&gt;=$E48,S$3&lt;=$F48),1,"")</f>
        <v/>
      </c>
      <c r="T48">
        <f>IF(AND(T$3&gt;=$E48,T$3&lt;=$F48),1,"")</f>
        <v/>
      </c>
      <c r="U48">
        <f>IF(AND(U$3&gt;=$E48,U$3&lt;=$F48),1,"")</f>
        <v/>
      </c>
      <c r="V48">
        <f>IF(AND(V$3&gt;=$E48,V$3&lt;=$F48),1,"")</f>
        <v/>
      </c>
      <c r="W48">
        <f>IF(AND(W$3&gt;=$E48,W$3&lt;=$F48),1,"")</f>
        <v/>
      </c>
      <c r="X48">
        <f>IF(AND(X$3&gt;=$E48,X$3&lt;=$F48),1,"")</f>
        <v/>
      </c>
      <c r="Y48">
        <f>IF(AND(Y$3&gt;=$E48,Y$3&lt;=$F48),1,"")</f>
        <v/>
      </c>
      <c r="Z48">
        <f>IF(AND(Z$3&gt;=$E48,Z$3&lt;=$F48),1,"")</f>
        <v/>
      </c>
      <c r="AA48">
        <f>IF(AND(AA$3&gt;=$E48,AA$3&lt;=$F48),1,"")</f>
        <v/>
      </c>
      <c r="AB48">
        <f>IF(AND(AB$3&gt;=$E48,AB$3&lt;=$F48),1,"")</f>
        <v/>
      </c>
      <c r="AC48">
        <f>IF(AND(AC$3&gt;=$E48,AC$3&lt;=$F48),1,"")</f>
        <v/>
      </c>
      <c r="AD48">
        <f>IF(AND(AD$3&gt;=$E48,AD$3&lt;=$F48),1,"")</f>
        <v/>
      </c>
      <c r="AE48">
        <f>IF(AND(AE$3&gt;=$E48,AE$3&lt;=$F48),1,"")</f>
        <v/>
      </c>
      <c r="AF48">
        <f>IF(AND(AF$3&gt;=$E48,AF$3&lt;=$F48),1,"")</f>
        <v/>
      </c>
      <c r="AG48">
        <f>IF(AND(AG$3&gt;=$E48,AG$3&lt;=$F48),1,"")</f>
        <v/>
      </c>
      <c r="AH48">
        <f>IF(AND(AH$3&gt;=$E48,AH$3&lt;=$F48),1,"")</f>
        <v/>
      </c>
      <c r="AI48">
        <f>IF(AND(AI$3&gt;=$E48,AI$3&lt;=$F48),1,"")</f>
        <v/>
      </c>
      <c r="AJ48">
        <f>IF(AND(AJ$3&gt;=$E48,AJ$3&lt;=$F48),1,"")</f>
        <v/>
      </c>
      <c r="AK48">
        <f>IF(AND(AK$3&gt;=$E48,AK$3&lt;=$F48),1,"")</f>
        <v/>
      </c>
      <c r="AL48">
        <f>IF(AND(AL$3&gt;=$E48,AL$3&lt;=$F48),1,"")</f>
        <v/>
      </c>
      <c r="AM48">
        <f>IF(AND(AM$3&gt;=$E48,AM$3&lt;=$F48),1,"")</f>
        <v/>
      </c>
      <c r="AN48">
        <f>IF(AND(AN$3&gt;=$E48,AN$3&lt;=$F48),1,"")</f>
        <v/>
      </c>
      <c r="AO48">
        <f>IF(AND(AO$3&gt;=$E48,AO$3&lt;=$F48),1,"")</f>
        <v/>
      </c>
      <c r="AP48">
        <f>IF(AND(AP$3&gt;=$E48,AP$3&lt;=$F48),1,"")</f>
        <v/>
      </c>
      <c r="AQ48">
        <f>IF(AND(AQ$3&gt;=$E48,AQ$3&lt;=$F48),1,"")</f>
        <v/>
      </c>
      <c r="AR48">
        <f>IF(AND(AR$3&gt;=$E48,AR$3&lt;=$F48),1,"")</f>
        <v/>
      </c>
      <c r="AS48">
        <f>IF(AND(AS$3&gt;=$E48,AS$3&lt;=$F48),1,"")</f>
        <v/>
      </c>
      <c r="AT48">
        <f>IF(AND(AT$3&gt;=$E48,AT$3&lt;=$F48),1,"")</f>
        <v/>
      </c>
      <c r="AU48">
        <f>IF(AND(AU$3&gt;=$E48,AU$3&lt;=$F48),1,"")</f>
        <v/>
      </c>
      <c r="AV48">
        <f>IF(AND(AV$3&gt;=$E48,AV$3&lt;=$F48),1,"")</f>
        <v/>
      </c>
      <c r="AW48">
        <f>IF(AND(AW$3&gt;=$E48,AW$3&lt;=$F48),1,"")</f>
        <v/>
      </c>
      <c r="AX48">
        <f>IF(AND(AX$3&gt;=$E48,AX$3&lt;=$F48),1,"")</f>
        <v/>
      </c>
      <c r="AY48">
        <f>IF(AND(AY$3&gt;=$E48,AY$3&lt;=$F48),1,"")</f>
        <v/>
      </c>
      <c r="AZ48">
        <f>IF(AND(AZ$3&gt;=$E48,AZ$3&lt;=$F48),1,"")</f>
        <v/>
      </c>
      <c r="BA48">
        <f>IF(AND(BA$3&gt;=$E48,BA$3&lt;=$F48),1,"")</f>
        <v/>
      </c>
      <c r="BB48">
        <f>IF(AND(BB$3&gt;=$E48,BB$3&lt;=$F48),1,"")</f>
        <v/>
      </c>
      <c r="BC48">
        <f>IF(AND(BC$3&gt;=$E48,BC$3&lt;=$F48),1,"")</f>
        <v/>
      </c>
      <c r="BD48">
        <f>IF(AND(BD$3&gt;=$E48,BD$3&lt;=$F48),1,"")</f>
        <v/>
      </c>
      <c r="BE48">
        <f>IF(AND(BE$3&gt;=$E48,BE$3&lt;=$F48),1,"")</f>
        <v/>
      </c>
      <c r="BF48">
        <f>IF(AND(BF$3&gt;=$E48,BF$3&lt;=$F48),1,"")</f>
        <v/>
      </c>
      <c r="BG48">
        <f>IF(AND(BG$3&gt;=$E48,BG$3&lt;=$F48),1,"")</f>
        <v/>
      </c>
      <c r="BH48">
        <f>IF(AND(BH$3&gt;=$E48,BH$3&lt;=$F48),1,"")</f>
        <v/>
      </c>
      <c r="BI48">
        <f>IF(AND(BI$3&gt;=$E48,BI$3&lt;=$F48),1,"")</f>
        <v/>
      </c>
      <c r="BJ48">
        <f>IF(AND(BJ$3&gt;=$E48,BJ$3&lt;=$F48),1,"")</f>
        <v/>
      </c>
      <c r="BK48">
        <f>IF(AND(BK$3&gt;=$E48,BK$3&lt;=$F48),1,"")</f>
        <v/>
      </c>
      <c r="BL48">
        <f>IF(AND(BL$3&gt;=$E48,BL$3&lt;=$F48),1,"")</f>
        <v/>
      </c>
      <c r="BM48">
        <f>IF(AND(BM$3&gt;=$E48,BM$3&lt;=$F48),1,"")</f>
        <v/>
      </c>
      <c r="BN48">
        <f>IF(AND(BN$3&gt;=$E48,BN$3&lt;=$F48),1,"")</f>
        <v/>
      </c>
      <c r="BO48">
        <f>IF(AND(BO$3&gt;=$E48,BO$3&lt;=$F48),1,"")</f>
        <v/>
      </c>
      <c r="BP48">
        <f>IF(AND(BP$3&gt;=$E48,BP$3&lt;=$F48),1,"")</f>
        <v/>
      </c>
      <c r="BQ48">
        <f>IF(AND(BQ$3&gt;=$E48,BQ$3&lt;=$F48),1,"")</f>
        <v/>
      </c>
      <c r="BR48">
        <f>IF(AND(BR$3&gt;=$E48,BR$3&lt;=$F48),1,"")</f>
        <v/>
      </c>
    </row>
    <row r="49">
      <c r="A49" t="inlineStr">
        <is>
          <t>RJ-146</t>
        </is>
      </c>
      <c r="B49" t="n">
        <v>54</v>
      </c>
      <c r="C49" t="inlineStr">
        <is>
          <t>CR2</t>
        </is>
      </c>
      <c r="D49">
        <f>IF($A49="","",IFERROR(CHOOSE(MATCH($C49,Settings!$L$4:$L$10,0),OPR_BR1!$B$2,OPR_BR2!$B$2,OPR_CR2!$B$2,OPR_CR3!$B$2,OPR_CR4!$B$2,OPR_RIM!$B$2,OPR_BPR!$B$2),1))</f>
        <v/>
      </c>
      <c r="E49" s="16" t="n">
        <v>46185.29166666666</v>
      </c>
      <c r="F49" s="16" t="n">
        <v>46240.29166666666</v>
      </c>
      <c r="G49" t="inlineStr">
        <is>
          <t>Low</t>
        </is>
      </c>
      <c r="H49">
        <f>IF($A49="","",TEXT($F49,"MMM-YYYY"))</f>
        <v/>
      </c>
      <c r="I49" t="inlineStr">
        <is>
          <t>Released</t>
        </is>
      </c>
      <c r="J49" s="17">
        <f>IF($A49="","",$F49+30)</f>
        <v/>
      </c>
      <c r="K49" t="inlineStr">
        <is>
          <t>Alpha Corp</t>
        </is>
      </c>
      <c r="L49">
        <f>IF(AND(L$3&gt;=$E49,L$3&lt;=$F49),1,"")</f>
        <v/>
      </c>
      <c r="M49">
        <f>IF(AND(M$3&gt;=$E49,M$3&lt;=$F49),1,"")</f>
        <v/>
      </c>
      <c r="N49">
        <f>IF(AND(N$3&gt;=$E49,N$3&lt;=$F49),1,"")</f>
        <v/>
      </c>
      <c r="O49">
        <f>IF(AND(O$3&gt;=$E49,O$3&lt;=$F49),1,"")</f>
        <v/>
      </c>
      <c r="P49">
        <f>IF(AND(P$3&gt;=$E49,P$3&lt;=$F49),1,"")</f>
        <v/>
      </c>
      <c r="Q49">
        <f>IF(AND(Q$3&gt;=$E49,Q$3&lt;=$F49),1,"")</f>
        <v/>
      </c>
      <c r="R49">
        <f>IF(AND(R$3&gt;=$E49,R$3&lt;=$F49),1,"")</f>
        <v/>
      </c>
      <c r="S49">
        <f>IF(AND(S$3&gt;=$E49,S$3&lt;=$F49),1,"")</f>
        <v/>
      </c>
      <c r="T49">
        <f>IF(AND(T$3&gt;=$E49,T$3&lt;=$F49),1,"")</f>
        <v/>
      </c>
      <c r="U49">
        <f>IF(AND(U$3&gt;=$E49,U$3&lt;=$F49),1,"")</f>
        <v/>
      </c>
      <c r="V49">
        <f>IF(AND(V$3&gt;=$E49,V$3&lt;=$F49),1,"")</f>
        <v/>
      </c>
      <c r="W49">
        <f>IF(AND(W$3&gt;=$E49,W$3&lt;=$F49),1,"")</f>
        <v/>
      </c>
      <c r="X49">
        <f>IF(AND(X$3&gt;=$E49,X$3&lt;=$F49),1,"")</f>
        <v/>
      </c>
      <c r="Y49">
        <f>IF(AND(Y$3&gt;=$E49,Y$3&lt;=$F49),1,"")</f>
        <v/>
      </c>
      <c r="Z49">
        <f>IF(AND(Z$3&gt;=$E49,Z$3&lt;=$F49),1,"")</f>
        <v/>
      </c>
      <c r="AA49">
        <f>IF(AND(AA$3&gt;=$E49,AA$3&lt;=$F49),1,"")</f>
        <v/>
      </c>
      <c r="AB49">
        <f>IF(AND(AB$3&gt;=$E49,AB$3&lt;=$F49),1,"")</f>
        <v/>
      </c>
      <c r="AC49">
        <f>IF(AND(AC$3&gt;=$E49,AC$3&lt;=$F49),1,"")</f>
        <v/>
      </c>
      <c r="AD49">
        <f>IF(AND(AD$3&gt;=$E49,AD$3&lt;=$F49),1,"")</f>
        <v/>
      </c>
      <c r="AE49">
        <f>IF(AND(AE$3&gt;=$E49,AE$3&lt;=$F49),1,"")</f>
        <v/>
      </c>
      <c r="AF49">
        <f>IF(AND(AF$3&gt;=$E49,AF$3&lt;=$F49),1,"")</f>
        <v/>
      </c>
      <c r="AG49">
        <f>IF(AND(AG$3&gt;=$E49,AG$3&lt;=$F49),1,"")</f>
        <v/>
      </c>
      <c r="AH49">
        <f>IF(AND(AH$3&gt;=$E49,AH$3&lt;=$F49),1,"")</f>
        <v/>
      </c>
      <c r="AI49">
        <f>IF(AND(AI$3&gt;=$E49,AI$3&lt;=$F49),1,"")</f>
        <v/>
      </c>
      <c r="AJ49">
        <f>IF(AND(AJ$3&gt;=$E49,AJ$3&lt;=$F49),1,"")</f>
        <v/>
      </c>
      <c r="AK49">
        <f>IF(AND(AK$3&gt;=$E49,AK$3&lt;=$F49),1,"")</f>
        <v/>
      </c>
      <c r="AL49">
        <f>IF(AND(AL$3&gt;=$E49,AL$3&lt;=$F49),1,"")</f>
        <v/>
      </c>
      <c r="AM49">
        <f>IF(AND(AM$3&gt;=$E49,AM$3&lt;=$F49),1,"")</f>
        <v/>
      </c>
      <c r="AN49">
        <f>IF(AND(AN$3&gt;=$E49,AN$3&lt;=$F49),1,"")</f>
        <v/>
      </c>
      <c r="AO49">
        <f>IF(AND(AO$3&gt;=$E49,AO$3&lt;=$F49),1,"")</f>
        <v/>
      </c>
      <c r="AP49">
        <f>IF(AND(AP$3&gt;=$E49,AP$3&lt;=$F49),1,"")</f>
        <v/>
      </c>
      <c r="AQ49">
        <f>IF(AND(AQ$3&gt;=$E49,AQ$3&lt;=$F49),1,"")</f>
        <v/>
      </c>
      <c r="AR49">
        <f>IF(AND(AR$3&gt;=$E49,AR$3&lt;=$F49),1,"")</f>
        <v/>
      </c>
      <c r="AS49">
        <f>IF(AND(AS$3&gt;=$E49,AS$3&lt;=$F49),1,"")</f>
        <v/>
      </c>
      <c r="AT49">
        <f>IF(AND(AT$3&gt;=$E49,AT$3&lt;=$F49),1,"")</f>
        <v/>
      </c>
      <c r="AU49">
        <f>IF(AND(AU$3&gt;=$E49,AU$3&lt;=$F49),1,"")</f>
        <v/>
      </c>
      <c r="AV49">
        <f>IF(AND(AV$3&gt;=$E49,AV$3&lt;=$F49),1,"")</f>
        <v/>
      </c>
      <c r="AW49">
        <f>IF(AND(AW$3&gt;=$E49,AW$3&lt;=$F49),1,"")</f>
        <v/>
      </c>
      <c r="AX49">
        <f>IF(AND(AX$3&gt;=$E49,AX$3&lt;=$F49),1,"")</f>
        <v/>
      </c>
      <c r="AY49">
        <f>IF(AND(AY$3&gt;=$E49,AY$3&lt;=$F49),1,"")</f>
        <v/>
      </c>
      <c r="AZ49">
        <f>IF(AND(AZ$3&gt;=$E49,AZ$3&lt;=$F49),1,"")</f>
        <v/>
      </c>
      <c r="BA49">
        <f>IF(AND(BA$3&gt;=$E49,BA$3&lt;=$F49),1,"")</f>
        <v/>
      </c>
      <c r="BB49">
        <f>IF(AND(BB$3&gt;=$E49,BB$3&lt;=$F49),1,"")</f>
        <v/>
      </c>
      <c r="BC49">
        <f>IF(AND(BC$3&gt;=$E49,BC$3&lt;=$F49),1,"")</f>
        <v/>
      </c>
      <c r="BD49">
        <f>IF(AND(BD$3&gt;=$E49,BD$3&lt;=$F49),1,"")</f>
        <v/>
      </c>
      <c r="BE49">
        <f>IF(AND(BE$3&gt;=$E49,BE$3&lt;=$F49),1,"")</f>
        <v/>
      </c>
      <c r="BF49">
        <f>IF(AND(BF$3&gt;=$E49,BF$3&lt;=$F49),1,"")</f>
        <v/>
      </c>
      <c r="BG49">
        <f>IF(AND(BG$3&gt;=$E49,BG$3&lt;=$F49),1,"")</f>
        <v/>
      </c>
      <c r="BH49">
        <f>IF(AND(BH$3&gt;=$E49,BH$3&lt;=$F49),1,"")</f>
        <v/>
      </c>
      <c r="BI49">
        <f>IF(AND(BI$3&gt;=$E49,BI$3&lt;=$F49),1,"")</f>
        <v/>
      </c>
      <c r="BJ49">
        <f>IF(AND(BJ$3&gt;=$E49,BJ$3&lt;=$F49),1,"")</f>
        <v/>
      </c>
      <c r="BK49">
        <f>IF(AND(BK$3&gt;=$E49,BK$3&lt;=$F49),1,"")</f>
        <v/>
      </c>
      <c r="BL49">
        <f>IF(AND(BL$3&gt;=$E49,BL$3&lt;=$F49),1,"")</f>
        <v/>
      </c>
      <c r="BM49">
        <f>IF(AND(BM$3&gt;=$E49,BM$3&lt;=$F49),1,"")</f>
        <v/>
      </c>
      <c r="BN49">
        <f>IF(AND(BN$3&gt;=$E49,BN$3&lt;=$F49),1,"")</f>
        <v/>
      </c>
      <c r="BO49">
        <f>IF(AND(BO$3&gt;=$E49,BO$3&lt;=$F49),1,"")</f>
        <v/>
      </c>
      <c r="BP49">
        <f>IF(AND(BP$3&gt;=$E49,BP$3&lt;=$F49),1,"")</f>
        <v/>
      </c>
      <c r="BQ49">
        <f>IF(AND(BQ$3&gt;=$E49,BQ$3&lt;=$F49),1,"")</f>
        <v/>
      </c>
      <c r="BR49">
        <f>IF(AND(BR$3&gt;=$E49,BR$3&lt;=$F49),1,"")</f>
        <v/>
      </c>
    </row>
    <row r="50">
      <c r="A50" t="inlineStr">
        <is>
          <t>RJ-147</t>
        </is>
      </c>
      <c r="B50" t="n">
        <v>50</v>
      </c>
      <c r="C50" t="inlineStr">
        <is>
          <t>CR3</t>
        </is>
      </c>
      <c r="D50">
        <f>IF($A50="","",IFERROR(CHOOSE(MATCH($C50,Settings!$L$4:$L$10,0),OPR_BR1!$B$2,OPR_BR2!$B$2,OPR_CR2!$B$2,OPR_CR3!$B$2,OPR_CR4!$B$2,OPR_RIM!$B$2,OPR_BPR!$B$2),1))</f>
        <v/>
      </c>
      <c r="E50" s="16" t="n">
        <v>46146.29166666666</v>
      </c>
      <c r="F50" s="16" t="n">
        <v>46221.29166666666</v>
      </c>
      <c r="G50" t="inlineStr">
        <is>
          <t>Medium</t>
        </is>
      </c>
      <c r="H50">
        <f>IF($A50="","",TEXT($F50,"MMM-YYYY"))</f>
        <v/>
      </c>
      <c r="I50" t="inlineStr">
        <is>
          <t>On Hold</t>
        </is>
      </c>
      <c r="J50" s="17">
        <f>IF($A50="","",$F50+30)</f>
        <v/>
      </c>
      <c r="K50" t="inlineStr">
        <is>
          <t>Sigma Mfg</t>
        </is>
      </c>
      <c r="L50">
        <f>IF(AND(L$3&gt;=$E50,L$3&lt;=$F50),1,"")</f>
        <v/>
      </c>
      <c r="M50">
        <f>IF(AND(M$3&gt;=$E50,M$3&lt;=$F50),1,"")</f>
        <v/>
      </c>
      <c r="N50">
        <f>IF(AND(N$3&gt;=$E50,N$3&lt;=$F50),1,"")</f>
        <v/>
      </c>
      <c r="O50">
        <f>IF(AND(O$3&gt;=$E50,O$3&lt;=$F50),1,"")</f>
        <v/>
      </c>
      <c r="P50">
        <f>IF(AND(P$3&gt;=$E50,P$3&lt;=$F50),1,"")</f>
        <v/>
      </c>
      <c r="Q50">
        <f>IF(AND(Q$3&gt;=$E50,Q$3&lt;=$F50),1,"")</f>
        <v/>
      </c>
      <c r="R50">
        <f>IF(AND(R$3&gt;=$E50,R$3&lt;=$F50),1,"")</f>
        <v/>
      </c>
      <c r="S50">
        <f>IF(AND(S$3&gt;=$E50,S$3&lt;=$F50),1,"")</f>
        <v/>
      </c>
      <c r="T50">
        <f>IF(AND(T$3&gt;=$E50,T$3&lt;=$F50),1,"")</f>
        <v/>
      </c>
      <c r="U50">
        <f>IF(AND(U$3&gt;=$E50,U$3&lt;=$F50),1,"")</f>
        <v/>
      </c>
      <c r="V50">
        <f>IF(AND(V$3&gt;=$E50,V$3&lt;=$F50),1,"")</f>
        <v/>
      </c>
      <c r="W50">
        <f>IF(AND(W$3&gt;=$E50,W$3&lt;=$F50),1,"")</f>
        <v/>
      </c>
      <c r="X50">
        <f>IF(AND(X$3&gt;=$E50,X$3&lt;=$F50),1,"")</f>
        <v/>
      </c>
      <c r="Y50">
        <f>IF(AND(Y$3&gt;=$E50,Y$3&lt;=$F50),1,"")</f>
        <v/>
      </c>
      <c r="Z50">
        <f>IF(AND(Z$3&gt;=$E50,Z$3&lt;=$F50),1,"")</f>
        <v/>
      </c>
      <c r="AA50">
        <f>IF(AND(AA$3&gt;=$E50,AA$3&lt;=$F50),1,"")</f>
        <v/>
      </c>
      <c r="AB50">
        <f>IF(AND(AB$3&gt;=$E50,AB$3&lt;=$F50),1,"")</f>
        <v/>
      </c>
      <c r="AC50">
        <f>IF(AND(AC$3&gt;=$E50,AC$3&lt;=$F50),1,"")</f>
        <v/>
      </c>
      <c r="AD50">
        <f>IF(AND(AD$3&gt;=$E50,AD$3&lt;=$F50),1,"")</f>
        <v/>
      </c>
      <c r="AE50">
        <f>IF(AND(AE$3&gt;=$E50,AE$3&lt;=$F50),1,"")</f>
        <v/>
      </c>
      <c r="AF50">
        <f>IF(AND(AF$3&gt;=$E50,AF$3&lt;=$F50),1,"")</f>
        <v/>
      </c>
      <c r="AG50">
        <f>IF(AND(AG$3&gt;=$E50,AG$3&lt;=$F50),1,"")</f>
        <v/>
      </c>
      <c r="AH50">
        <f>IF(AND(AH$3&gt;=$E50,AH$3&lt;=$F50),1,"")</f>
        <v/>
      </c>
      <c r="AI50">
        <f>IF(AND(AI$3&gt;=$E50,AI$3&lt;=$F50),1,"")</f>
        <v/>
      </c>
      <c r="AJ50">
        <f>IF(AND(AJ$3&gt;=$E50,AJ$3&lt;=$F50),1,"")</f>
        <v/>
      </c>
      <c r="AK50">
        <f>IF(AND(AK$3&gt;=$E50,AK$3&lt;=$F50),1,"")</f>
        <v/>
      </c>
      <c r="AL50">
        <f>IF(AND(AL$3&gt;=$E50,AL$3&lt;=$F50),1,"")</f>
        <v/>
      </c>
      <c r="AM50">
        <f>IF(AND(AM$3&gt;=$E50,AM$3&lt;=$F50),1,"")</f>
        <v/>
      </c>
      <c r="AN50">
        <f>IF(AND(AN$3&gt;=$E50,AN$3&lt;=$F50),1,"")</f>
        <v/>
      </c>
      <c r="AO50">
        <f>IF(AND(AO$3&gt;=$E50,AO$3&lt;=$F50),1,"")</f>
        <v/>
      </c>
      <c r="AP50">
        <f>IF(AND(AP$3&gt;=$E50,AP$3&lt;=$F50),1,"")</f>
        <v/>
      </c>
      <c r="AQ50">
        <f>IF(AND(AQ$3&gt;=$E50,AQ$3&lt;=$F50),1,"")</f>
        <v/>
      </c>
      <c r="AR50">
        <f>IF(AND(AR$3&gt;=$E50,AR$3&lt;=$F50),1,"")</f>
        <v/>
      </c>
      <c r="AS50">
        <f>IF(AND(AS$3&gt;=$E50,AS$3&lt;=$F50),1,"")</f>
        <v/>
      </c>
      <c r="AT50">
        <f>IF(AND(AT$3&gt;=$E50,AT$3&lt;=$F50),1,"")</f>
        <v/>
      </c>
      <c r="AU50">
        <f>IF(AND(AU$3&gt;=$E50,AU$3&lt;=$F50),1,"")</f>
        <v/>
      </c>
      <c r="AV50">
        <f>IF(AND(AV$3&gt;=$E50,AV$3&lt;=$F50),1,"")</f>
        <v/>
      </c>
      <c r="AW50">
        <f>IF(AND(AW$3&gt;=$E50,AW$3&lt;=$F50),1,"")</f>
        <v/>
      </c>
      <c r="AX50">
        <f>IF(AND(AX$3&gt;=$E50,AX$3&lt;=$F50),1,"")</f>
        <v/>
      </c>
      <c r="AY50">
        <f>IF(AND(AY$3&gt;=$E50,AY$3&lt;=$F50),1,"")</f>
        <v/>
      </c>
      <c r="AZ50">
        <f>IF(AND(AZ$3&gt;=$E50,AZ$3&lt;=$F50),1,"")</f>
        <v/>
      </c>
      <c r="BA50">
        <f>IF(AND(BA$3&gt;=$E50,BA$3&lt;=$F50),1,"")</f>
        <v/>
      </c>
      <c r="BB50">
        <f>IF(AND(BB$3&gt;=$E50,BB$3&lt;=$F50),1,"")</f>
        <v/>
      </c>
      <c r="BC50">
        <f>IF(AND(BC$3&gt;=$E50,BC$3&lt;=$F50),1,"")</f>
        <v/>
      </c>
      <c r="BD50">
        <f>IF(AND(BD$3&gt;=$E50,BD$3&lt;=$F50),1,"")</f>
        <v/>
      </c>
      <c r="BE50">
        <f>IF(AND(BE$3&gt;=$E50,BE$3&lt;=$F50),1,"")</f>
        <v/>
      </c>
      <c r="BF50">
        <f>IF(AND(BF$3&gt;=$E50,BF$3&lt;=$F50),1,"")</f>
        <v/>
      </c>
      <c r="BG50">
        <f>IF(AND(BG$3&gt;=$E50,BG$3&lt;=$F50),1,"")</f>
        <v/>
      </c>
      <c r="BH50">
        <f>IF(AND(BH$3&gt;=$E50,BH$3&lt;=$F50),1,"")</f>
        <v/>
      </c>
      <c r="BI50">
        <f>IF(AND(BI$3&gt;=$E50,BI$3&lt;=$F50),1,"")</f>
        <v/>
      </c>
      <c r="BJ50">
        <f>IF(AND(BJ$3&gt;=$E50,BJ$3&lt;=$F50),1,"")</f>
        <v/>
      </c>
      <c r="BK50">
        <f>IF(AND(BK$3&gt;=$E50,BK$3&lt;=$F50),1,"")</f>
        <v/>
      </c>
      <c r="BL50">
        <f>IF(AND(BL$3&gt;=$E50,BL$3&lt;=$F50),1,"")</f>
        <v/>
      </c>
      <c r="BM50">
        <f>IF(AND(BM$3&gt;=$E50,BM$3&lt;=$F50),1,"")</f>
        <v/>
      </c>
      <c r="BN50">
        <f>IF(AND(BN$3&gt;=$E50,BN$3&lt;=$F50),1,"")</f>
        <v/>
      </c>
      <c r="BO50">
        <f>IF(AND(BO$3&gt;=$E50,BO$3&lt;=$F50),1,"")</f>
        <v/>
      </c>
      <c r="BP50">
        <f>IF(AND(BP$3&gt;=$E50,BP$3&lt;=$F50),1,"")</f>
        <v/>
      </c>
      <c r="BQ50">
        <f>IF(AND(BQ$3&gt;=$E50,BQ$3&lt;=$F50),1,"")</f>
        <v/>
      </c>
      <c r="BR50">
        <f>IF(AND(BR$3&gt;=$E50,BR$3&lt;=$F50),1,"")</f>
        <v/>
      </c>
    </row>
    <row r="51">
      <c r="A51" t="inlineStr">
        <is>
          <t>RJ-148</t>
        </is>
      </c>
      <c r="B51" t="n">
        <v>15</v>
      </c>
      <c r="C51" t="inlineStr">
        <is>
          <t>RIM</t>
        </is>
      </c>
      <c r="D51">
        <f>IF($A51="","",IFERROR(CHOOSE(MATCH($C51,Settings!$L$4:$L$10,0),OPR_BR1!$B$2,OPR_BR2!$B$2,OPR_CR2!$B$2,OPR_CR3!$B$2,OPR_CR4!$B$2,OPR_RIM!$B$2,OPR_BPR!$B$2),1))</f>
        <v/>
      </c>
      <c r="E51" s="16" t="n">
        <v>46205.29166666666</v>
      </c>
      <c r="F51" s="16" t="n">
        <v>46231.29166666666</v>
      </c>
      <c r="G51" t="inlineStr">
        <is>
          <t>Medium</t>
        </is>
      </c>
      <c r="H51">
        <f>IF($A51="","",TEXT($F51,"MMM-YYYY"))</f>
        <v/>
      </c>
      <c r="I51" t="inlineStr">
        <is>
          <t>Released</t>
        </is>
      </c>
      <c r="J51" s="17">
        <f>IF($A51="","",$F51+30)</f>
        <v/>
      </c>
      <c r="K51" t="inlineStr">
        <is>
          <t>Alpha Corp</t>
        </is>
      </c>
      <c r="L51">
        <f>IF(AND(L$3&gt;=$E51,L$3&lt;=$F51),1,"")</f>
        <v/>
      </c>
      <c r="M51">
        <f>IF(AND(M$3&gt;=$E51,M$3&lt;=$F51),1,"")</f>
        <v/>
      </c>
      <c r="N51">
        <f>IF(AND(N$3&gt;=$E51,N$3&lt;=$F51),1,"")</f>
        <v/>
      </c>
      <c r="O51">
        <f>IF(AND(O$3&gt;=$E51,O$3&lt;=$F51),1,"")</f>
        <v/>
      </c>
      <c r="P51">
        <f>IF(AND(P$3&gt;=$E51,P$3&lt;=$F51),1,"")</f>
        <v/>
      </c>
      <c r="Q51">
        <f>IF(AND(Q$3&gt;=$E51,Q$3&lt;=$F51),1,"")</f>
        <v/>
      </c>
      <c r="R51">
        <f>IF(AND(R$3&gt;=$E51,R$3&lt;=$F51),1,"")</f>
        <v/>
      </c>
      <c r="S51">
        <f>IF(AND(S$3&gt;=$E51,S$3&lt;=$F51),1,"")</f>
        <v/>
      </c>
      <c r="T51">
        <f>IF(AND(T$3&gt;=$E51,T$3&lt;=$F51),1,"")</f>
        <v/>
      </c>
      <c r="U51">
        <f>IF(AND(U$3&gt;=$E51,U$3&lt;=$F51),1,"")</f>
        <v/>
      </c>
      <c r="V51">
        <f>IF(AND(V$3&gt;=$E51,V$3&lt;=$F51),1,"")</f>
        <v/>
      </c>
      <c r="W51">
        <f>IF(AND(W$3&gt;=$E51,W$3&lt;=$F51),1,"")</f>
        <v/>
      </c>
      <c r="X51">
        <f>IF(AND(X$3&gt;=$E51,X$3&lt;=$F51),1,"")</f>
        <v/>
      </c>
      <c r="Y51">
        <f>IF(AND(Y$3&gt;=$E51,Y$3&lt;=$F51),1,"")</f>
        <v/>
      </c>
      <c r="Z51">
        <f>IF(AND(Z$3&gt;=$E51,Z$3&lt;=$F51),1,"")</f>
        <v/>
      </c>
      <c r="AA51">
        <f>IF(AND(AA$3&gt;=$E51,AA$3&lt;=$F51),1,"")</f>
        <v/>
      </c>
      <c r="AB51">
        <f>IF(AND(AB$3&gt;=$E51,AB$3&lt;=$F51),1,"")</f>
        <v/>
      </c>
      <c r="AC51">
        <f>IF(AND(AC$3&gt;=$E51,AC$3&lt;=$F51),1,"")</f>
        <v/>
      </c>
      <c r="AD51">
        <f>IF(AND(AD$3&gt;=$E51,AD$3&lt;=$F51),1,"")</f>
        <v/>
      </c>
      <c r="AE51">
        <f>IF(AND(AE$3&gt;=$E51,AE$3&lt;=$F51),1,"")</f>
        <v/>
      </c>
      <c r="AF51">
        <f>IF(AND(AF$3&gt;=$E51,AF$3&lt;=$F51),1,"")</f>
        <v/>
      </c>
      <c r="AG51">
        <f>IF(AND(AG$3&gt;=$E51,AG$3&lt;=$F51),1,"")</f>
        <v/>
      </c>
      <c r="AH51">
        <f>IF(AND(AH$3&gt;=$E51,AH$3&lt;=$F51),1,"")</f>
        <v/>
      </c>
      <c r="AI51">
        <f>IF(AND(AI$3&gt;=$E51,AI$3&lt;=$F51),1,"")</f>
        <v/>
      </c>
      <c r="AJ51">
        <f>IF(AND(AJ$3&gt;=$E51,AJ$3&lt;=$F51),1,"")</f>
        <v/>
      </c>
      <c r="AK51">
        <f>IF(AND(AK$3&gt;=$E51,AK$3&lt;=$F51),1,"")</f>
        <v/>
      </c>
      <c r="AL51">
        <f>IF(AND(AL$3&gt;=$E51,AL$3&lt;=$F51),1,"")</f>
        <v/>
      </c>
      <c r="AM51">
        <f>IF(AND(AM$3&gt;=$E51,AM$3&lt;=$F51),1,"")</f>
        <v/>
      </c>
      <c r="AN51">
        <f>IF(AND(AN$3&gt;=$E51,AN$3&lt;=$F51),1,"")</f>
        <v/>
      </c>
      <c r="AO51">
        <f>IF(AND(AO$3&gt;=$E51,AO$3&lt;=$F51),1,"")</f>
        <v/>
      </c>
      <c r="AP51">
        <f>IF(AND(AP$3&gt;=$E51,AP$3&lt;=$F51),1,"")</f>
        <v/>
      </c>
      <c r="AQ51">
        <f>IF(AND(AQ$3&gt;=$E51,AQ$3&lt;=$F51),1,"")</f>
        <v/>
      </c>
      <c r="AR51">
        <f>IF(AND(AR$3&gt;=$E51,AR$3&lt;=$F51),1,"")</f>
        <v/>
      </c>
      <c r="AS51">
        <f>IF(AND(AS$3&gt;=$E51,AS$3&lt;=$F51),1,"")</f>
        <v/>
      </c>
      <c r="AT51">
        <f>IF(AND(AT$3&gt;=$E51,AT$3&lt;=$F51),1,"")</f>
        <v/>
      </c>
      <c r="AU51">
        <f>IF(AND(AU$3&gt;=$E51,AU$3&lt;=$F51),1,"")</f>
        <v/>
      </c>
      <c r="AV51">
        <f>IF(AND(AV$3&gt;=$E51,AV$3&lt;=$F51),1,"")</f>
        <v/>
      </c>
      <c r="AW51">
        <f>IF(AND(AW$3&gt;=$E51,AW$3&lt;=$F51),1,"")</f>
        <v/>
      </c>
      <c r="AX51">
        <f>IF(AND(AX$3&gt;=$E51,AX$3&lt;=$F51),1,"")</f>
        <v/>
      </c>
      <c r="AY51">
        <f>IF(AND(AY$3&gt;=$E51,AY$3&lt;=$F51),1,"")</f>
        <v/>
      </c>
      <c r="AZ51">
        <f>IF(AND(AZ$3&gt;=$E51,AZ$3&lt;=$F51),1,"")</f>
        <v/>
      </c>
      <c r="BA51">
        <f>IF(AND(BA$3&gt;=$E51,BA$3&lt;=$F51),1,"")</f>
        <v/>
      </c>
      <c r="BB51">
        <f>IF(AND(BB$3&gt;=$E51,BB$3&lt;=$F51),1,"")</f>
        <v/>
      </c>
      <c r="BC51">
        <f>IF(AND(BC$3&gt;=$E51,BC$3&lt;=$F51),1,"")</f>
        <v/>
      </c>
      <c r="BD51">
        <f>IF(AND(BD$3&gt;=$E51,BD$3&lt;=$F51),1,"")</f>
        <v/>
      </c>
      <c r="BE51">
        <f>IF(AND(BE$3&gt;=$E51,BE$3&lt;=$F51),1,"")</f>
        <v/>
      </c>
      <c r="BF51">
        <f>IF(AND(BF$3&gt;=$E51,BF$3&lt;=$F51),1,"")</f>
        <v/>
      </c>
      <c r="BG51">
        <f>IF(AND(BG$3&gt;=$E51,BG$3&lt;=$F51),1,"")</f>
        <v/>
      </c>
      <c r="BH51">
        <f>IF(AND(BH$3&gt;=$E51,BH$3&lt;=$F51),1,"")</f>
        <v/>
      </c>
      <c r="BI51">
        <f>IF(AND(BI$3&gt;=$E51,BI$3&lt;=$F51),1,"")</f>
        <v/>
      </c>
      <c r="BJ51">
        <f>IF(AND(BJ$3&gt;=$E51,BJ$3&lt;=$F51),1,"")</f>
        <v/>
      </c>
      <c r="BK51">
        <f>IF(AND(BK$3&gt;=$E51,BK$3&lt;=$F51),1,"")</f>
        <v/>
      </c>
      <c r="BL51">
        <f>IF(AND(BL$3&gt;=$E51,BL$3&lt;=$F51),1,"")</f>
        <v/>
      </c>
      <c r="BM51">
        <f>IF(AND(BM$3&gt;=$E51,BM$3&lt;=$F51),1,"")</f>
        <v/>
      </c>
      <c r="BN51">
        <f>IF(AND(BN$3&gt;=$E51,BN$3&lt;=$F51),1,"")</f>
        <v/>
      </c>
      <c r="BO51">
        <f>IF(AND(BO$3&gt;=$E51,BO$3&lt;=$F51),1,"")</f>
        <v/>
      </c>
      <c r="BP51">
        <f>IF(AND(BP$3&gt;=$E51,BP$3&lt;=$F51),1,"")</f>
        <v/>
      </c>
      <c r="BQ51">
        <f>IF(AND(BQ$3&gt;=$E51,BQ$3&lt;=$F51),1,"")</f>
        <v/>
      </c>
      <c r="BR51">
        <f>IF(AND(BR$3&gt;=$E51,BR$3&lt;=$F51),1,"")</f>
        <v/>
      </c>
    </row>
    <row r="52">
      <c r="A52" t="inlineStr">
        <is>
          <t>RJ-149</t>
        </is>
      </c>
      <c r="B52" t="n">
        <v>17</v>
      </c>
      <c r="C52" t="inlineStr">
        <is>
          <t>CR2</t>
        </is>
      </c>
      <c r="D52">
        <f>IF($A52="","",IFERROR(CHOOSE(MATCH($C52,Settings!$L$4:$L$10,0),OPR_BR1!$B$2,OPR_BR2!$B$2,OPR_CR2!$B$2,OPR_CR3!$B$2,OPR_CR4!$B$2,OPR_RIM!$B$2,OPR_BPR!$B$2),1))</f>
        <v/>
      </c>
      <c r="E52" s="16" t="n">
        <v>46179.29166666666</v>
      </c>
      <c r="F52" s="16" t="n">
        <v>46264.29166666666</v>
      </c>
      <c r="G52" t="inlineStr">
        <is>
          <t>High</t>
        </is>
      </c>
      <c r="H52">
        <f>IF($A52="","",TEXT($F52,"MMM-YYYY"))</f>
        <v/>
      </c>
      <c r="I52" t="inlineStr">
        <is>
          <t>On Hold</t>
        </is>
      </c>
      <c r="J52" s="17">
        <f>IF($A52="","",$F52+30)</f>
        <v/>
      </c>
      <c r="K52" t="inlineStr">
        <is>
          <t>Delta Co</t>
        </is>
      </c>
      <c r="L52">
        <f>IF(AND(L$3&gt;=$E52,L$3&lt;=$F52),1,"")</f>
        <v/>
      </c>
      <c r="M52">
        <f>IF(AND(M$3&gt;=$E52,M$3&lt;=$F52),1,"")</f>
        <v/>
      </c>
      <c r="N52">
        <f>IF(AND(N$3&gt;=$E52,N$3&lt;=$F52),1,"")</f>
        <v/>
      </c>
      <c r="O52">
        <f>IF(AND(O$3&gt;=$E52,O$3&lt;=$F52),1,"")</f>
        <v/>
      </c>
      <c r="P52">
        <f>IF(AND(P$3&gt;=$E52,P$3&lt;=$F52),1,"")</f>
        <v/>
      </c>
      <c r="Q52">
        <f>IF(AND(Q$3&gt;=$E52,Q$3&lt;=$F52),1,"")</f>
        <v/>
      </c>
      <c r="R52">
        <f>IF(AND(R$3&gt;=$E52,R$3&lt;=$F52),1,"")</f>
        <v/>
      </c>
      <c r="S52">
        <f>IF(AND(S$3&gt;=$E52,S$3&lt;=$F52),1,"")</f>
        <v/>
      </c>
      <c r="T52">
        <f>IF(AND(T$3&gt;=$E52,T$3&lt;=$F52),1,"")</f>
        <v/>
      </c>
      <c r="U52">
        <f>IF(AND(U$3&gt;=$E52,U$3&lt;=$F52),1,"")</f>
        <v/>
      </c>
      <c r="V52">
        <f>IF(AND(V$3&gt;=$E52,V$3&lt;=$F52),1,"")</f>
        <v/>
      </c>
      <c r="W52">
        <f>IF(AND(W$3&gt;=$E52,W$3&lt;=$F52),1,"")</f>
        <v/>
      </c>
      <c r="X52">
        <f>IF(AND(X$3&gt;=$E52,X$3&lt;=$F52),1,"")</f>
        <v/>
      </c>
      <c r="Y52">
        <f>IF(AND(Y$3&gt;=$E52,Y$3&lt;=$F52),1,"")</f>
        <v/>
      </c>
      <c r="Z52">
        <f>IF(AND(Z$3&gt;=$E52,Z$3&lt;=$F52),1,"")</f>
        <v/>
      </c>
      <c r="AA52">
        <f>IF(AND(AA$3&gt;=$E52,AA$3&lt;=$F52),1,"")</f>
        <v/>
      </c>
      <c r="AB52">
        <f>IF(AND(AB$3&gt;=$E52,AB$3&lt;=$F52),1,"")</f>
        <v/>
      </c>
      <c r="AC52">
        <f>IF(AND(AC$3&gt;=$E52,AC$3&lt;=$F52),1,"")</f>
        <v/>
      </c>
      <c r="AD52">
        <f>IF(AND(AD$3&gt;=$E52,AD$3&lt;=$F52),1,"")</f>
        <v/>
      </c>
      <c r="AE52">
        <f>IF(AND(AE$3&gt;=$E52,AE$3&lt;=$F52),1,"")</f>
        <v/>
      </c>
      <c r="AF52">
        <f>IF(AND(AF$3&gt;=$E52,AF$3&lt;=$F52),1,"")</f>
        <v/>
      </c>
      <c r="AG52">
        <f>IF(AND(AG$3&gt;=$E52,AG$3&lt;=$F52),1,"")</f>
        <v/>
      </c>
      <c r="AH52">
        <f>IF(AND(AH$3&gt;=$E52,AH$3&lt;=$F52),1,"")</f>
        <v/>
      </c>
      <c r="AI52">
        <f>IF(AND(AI$3&gt;=$E52,AI$3&lt;=$F52),1,"")</f>
        <v/>
      </c>
      <c r="AJ52">
        <f>IF(AND(AJ$3&gt;=$E52,AJ$3&lt;=$F52),1,"")</f>
        <v/>
      </c>
      <c r="AK52">
        <f>IF(AND(AK$3&gt;=$E52,AK$3&lt;=$F52),1,"")</f>
        <v/>
      </c>
      <c r="AL52">
        <f>IF(AND(AL$3&gt;=$E52,AL$3&lt;=$F52),1,"")</f>
        <v/>
      </c>
      <c r="AM52">
        <f>IF(AND(AM$3&gt;=$E52,AM$3&lt;=$F52),1,"")</f>
        <v/>
      </c>
      <c r="AN52">
        <f>IF(AND(AN$3&gt;=$E52,AN$3&lt;=$F52),1,"")</f>
        <v/>
      </c>
      <c r="AO52">
        <f>IF(AND(AO$3&gt;=$E52,AO$3&lt;=$F52),1,"")</f>
        <v/>
      </c>
      <c r="AP52">
        <f>IF(AND(AP$3&gt;=$E52,AP$3&lt;=$F52),1,"")</f>
        <v/>
      </c>
      <c r="AQ52">
        <f>IF(AND(AQ$3&gt;=$E52,AQ$3&lt;=$F52),1,"")</f>
        <v/>
      </c>
      <c r="AR52">
        <f>IF(AND(AR$3&gt;=$E52,AR$3&lt;=$F52),1,"")</f>
        <v/>
      </c>
      <c r="AS52">
        <f>IF(AND(AS$3&gt;=$E52,AS$3&lt;=$F52),1,"")</f>
        <v/>
      </c>
      <c r="AT52">
        <f>IF(AND(AT$3&gt;=$E52,AT$3&lt;=$F52),1,"")</f>
        <v/>
      </c>
      <c r="AU52">
        <f>IF(AND(AU$3&gt;=$E52,AU$3&lt;=$F52),1,"")</f>
        <v/>
      </c>
      <c r="AV52">
        <f>IF(AND(AV$3&gt;=$E52,AV$3&lt;=$F52),1,"")</f>
        <v/>
      </c>
      <c r="AW52">
        <f>IF(AND(AW$3&gt;=$E52,AW$3&lt;=$F52),1,"")</f>
        <v/>
      </c>
      <c r="AX52">
        <f>IF(AND(AX$3&gt;=$E52,AX$3&lt;=$F52),1,"")</f>
        <v/>
      </c>
      <c r="AY52">
        <f>IF(AND(AY$3&gt;=$E52,AY$3&lt;=$F52),1,"")</f>
        <v/>
      </c>
      <c r="AZ52">
        <f>IF(AND(AZ$3&gt;=$E52,AZ$3&lt;=$F52),1,"")</f>
        <v/>
      </c>
      <c r="BA52">
        <f>IF(AND(BA$3&gt;=$E52,BA$3&lt;=$F52),1,"")</f>
        <v/>
      </c>
      <c r="BB52">
        <f>IF(AND(BB$3&gt;=$E52,BB$3&lt;=$F52),1,"")</f>
        <v/>
      </c>
      <c r="BC52">
        <f>IF(AND(BC$3&gt;=$E52,BC$3&lt;=$F52),1,"")</f>
        <v/>
      </c>
      <c r="BD52">
        <f>IF(AND(BD$3&gt;=$E52,BD$3&lt;=$F52),1,"")</f>
        <v/>
      </c>
      <c r="BE52">
        <f>IF(AND(BE$3&gt;=$E52,BE$3&lt;=$F52),1,"")</f>
        <v/>
      </c>
      <c r="BF52">
        <f>IF(AND(BF$3&gt;=$E52,BF$3&lt;=$F52),1,"")</f>
        <v/>
      </c>
      <c r="BG52">
        <f>IF(AND(BG$3&gt;=$E52,BG$3&lt;=$F52),1,"")</f>
        <v/>
      </c>
      <c r="BH52">
        <f>IF(AND(BH$3&gt;=$E52,BH$3&lt;=$F52),1,"")</f>
        <v/>
      </c>
      <c r="BI52">
        <f>IF(AND(BI$3&gt;=$E52,BI$3&lt;=$F52),1,"")</f>
        <v/>
      </c>
      <c r="BJ52">
        <f>IF(AND(BJ$3&gt;=$E52,BJ$3&lt;=$F52),1,"")</f>
        <v/>
      </c>
      <c r="BK52">
        <f>IF(AND(BK$3&gt;=$E52,BK$3&lt;=$F52),1,"")</f>
        <v/>
      </c>
      <c r="BL52">
        <f>IF(AND(BL$3&gt;=$E52,BL$3&lt;=$F52),1,"")</f>
        <v/>
      </c>
      <c r="BM52">
        <f>IF(AND(BM$3&gt;=$E52,BM$3&lt;=$F52),1,"")</f>
        <v/>
      </c>
      <c r="BN52">
        <f>IF(AND(BN$3&gt;=$E52,BN$3&lt;=$F52),1,"")</f>
        <v/>
      </c>
      <c r="BO52">
        <f>IF(AND(BO$3&gt;=$E52,BO$3&lt;=$F52),1,"")</f>
        <v/>
      </c>
      <c r="BP52">
        <f>IF(AND(BP$3&gt;=$E52,BP$3&lt;=$F52),1,"")</f>
        <v/>
      </c>
      <c r="BQ52">
        <f>IF(AND(BQ$3&gt;=$E52,BQ$3&lt;=$F52),1,"")</f>
        <v/>
      </c>
      <c r="BR52">
        <f>IF(AND(BR$3&gt;=$E52,BR$3&lt;=$F52),1,"")</f>
        <v/>
      </c>
    </row>
    <row r="53">
      <c r="A53" t="inlineStr">
        <is>
          <t>RJ-150</t>
        </is>
      </c>
      <c r="B53" t="n">
        <v>17</v>
      </c>
      <c r="C53" t="inlineStr">
        <is>
          <t>RIM</t>
        </is>
      </c>
      <c r="D53">
        <f>IF($A53="","",IFERROR(CHOOSE(MATCH($C53,Settings!$L$4:$L$10,0),OPR_BR1!$B$2,OPR_BR2!$B$2,OPR_CR2!$B$2,OPR_CR3!$B$2,OPR_CR4!$B$2,OPR_RIM!$B$2,OPR_BPR!$B$2),1))</f>
        <v/>
      </c>
      <c r="E53" s="16" t="n">
        <v>46219.29166666666</v>
      </c>
      <c r="F53" s="16" t="n">
        <v>46244.29166666666</v>
      </c>
      <c r="G53" t="inlineStr">
        <is>
          <t>Medium</t>
        </is>
      </c>
      <c r="H53">
        <f>IF($A53="","",TEXT($F53,"MMM-YYYY"))</f>
        <v/>
      </c>
      <c r="I53" t="inlineStr">
        <is>
          <t>Released</t>
        </is>
      </c>
      <c r="J53" s="17">
        <f>IF($A53="","",$F53+30)</f>
        <v/>
      </c>
      <c r="K53" t="inlineStr">
        <is>
          <t>Gamma Inc</t>
        </is>
      </c>
      <c r="L53">
        <f>IF(AND(L$3&gt;=$E53,L$3&lt;=$F53),1,"")</f>
        <v/>
      </c>
      <c r="M53">
        <f>IF(AND(M$3&gt;=$E53,M$3&lt;=$F53),1,"")</f>
        <v/>
      </c>
      <c r="N53">
        <f>IF(AND(N$3&gt;=$E53,N$3&lt;=$F53),1,"")</f>
        <v/>
      </c>
      <c r="O53">
        <f>IF(AND(O$3&gt;=$E53,O$3&lt;=$F53),1,"")</f>
        <v/>
      </c>
      <c r="P53">
        <f>IF(AND(P$3&gt;=$E53,P$3&lt;=$F53),1,"")</f>
        <v/>
      </c>
      <c r="Q53">
        <f>IF(AND(Q$3&gt;=$E53,Q$3&lt;=$F53),1,"")</f>
        <v/>
      </c>
      <c r="R53">
        <f>IF(AND(R$3&gt;=$E53,R$3&lt;=$F53),1,"")</f>
        <v/>
      </c>
      <c r="S53">
        <f>IF(AND(S$3&gt;=$E53,S$3&lt;=$F53),1,"")</f>
        <v/>
      </c>
      <c r="T53">
        <f>IF(AND(T$3&gt;=$E53,T$3&lt;=$F53),1,"")</f>
        <v/>
      </c>
      <c r="U53">
        <f>IF(AND(U$3&gt;=$E53,U$3&lt;=$F53),1,"")</f>
        <v/>
      </c>
      <c r="V53">
        <f>IF(AND(V$3&gt;=$E53,V$3&lt;=$F53),1,"")</f>
        <v/>
      </c>
      <c r="W53">
        <f>IF(AND(W$3&gt;=$E53,W$3&lt;=$F53),1,"")</f>
        <v/>
      </c>
      <c r="X53">
        <f>IF(AND(X$3&gt;=$E53,X$3&lt;=$F53),1,"")</f>
        <v/>
      </c>
      <c r="Y53">
        <f>IF(AND(Y$3&gt;=$E53,Y$3&lt;=$F53),1,"")</f>
        <v/>
      </c>
      <c r="Z53">
        <f>IF(AND(Z$3&gt;=$E53,Z$3&lt;=$F53),1,"")</f>
        <v/>
      </c>
      <c r="AA53">
        <f>IF(AND(AA$3&gt;=$E53,AA$3&lt;=$F53),1,"")</f>
        <v/>
      </c>
      <c r="AB53">
        <f>IF(AND(AB$3&gt;=$E53,AB$3&lt;=$F53),1,"")</f>
        <v/>
      </c>
      <c r="AC53">
        <f>IF(AND(AC$3&gt;=$E53,AC$3&lt;=$F53),1,"")</f>
        <v/>
      </c>
      <c r="AD53">
        <f>IF(AND(AD$3&gt;=$E53,AD$3&lt;=$F53),1,"")</f>
        <v/>
      </c>
      <c r="AE53">
        <f>IF(AND(AE$3&gt;=$E53,AE$3&lt;=$F53),1,"")</f>
        <v/>
      </c>
      <c r="AF53">
        <f>IF(AND(AF$3&gt;=$E53,AF$3&lt;=$F53),1,"")</f>
        <v/>
      </c>
      <c r="AG53">
        <f>IF(AND(AG$3&gt;=$E53,AG$3&lt;=$F53),1,"")</f>
        <v/>
      </c>
      <c r="AH53">
        <f>IF(AND(AH$3&gt;=$E53,AH$3&lt;=$F53),1,"")</f>
        <v/>
      </c>
      <c r="AI53">
        <f>IF(AND(AI$3&gt;=$E53,AI$3&lt;=$F53),1,"")</f>
        <v/>
      </c>
      <c r="AJ53">
        <f>IF(AND(AJ$3&gt;=$E53,AJ$3&lt;=$F53),1,"")</f>
        <v/>
      </c>
      <c r="AK53">
        <f>IF(AND(AK$3&gt;=$E53,AK$3&lt;=$F53),1,"")</f>
        <v/>
      </c>
      <c r="AL53">
        <f>IF(AND(AL$3&gt;=$E53,AL$3&lt;=$F53),1,"")</f>
        <v/>
      </c>
      <c r="AM53">
        <f>IF(AND(AM$3&gt;=$E53,AM$3&lt;=$F53),1,"")</f>
        <v/>
      </c>
      <c r="AN53">
        <f>IF(AND(AN$3&gt;=$E53,AN$3&lt;=$F53),1,"")</f>
        <v/>
      </c>
      <c r="AO53">
        <f>IF(AND(AO$3&gt;=$E53,AO$3&lt;=$F53),1,"")</f>
        <v/>
      </c>
      <c r="AP53">
        <f>IF(AND(AP$3&gt;=$E53,AP$3&lt;=$F53),1,"")</f>
        <v/>
      </c>
      <c r="AQ53">
        <f>IF(AND(AQ$3&gt;=$E53,AQ$3&lt;=$F53),1,"")</f>
        <v/>
      </c>
      <c r="AR53">
        <f>IF(AND(AR$3&gt;=$E53,AR$3&lt;=$F53),1,"")</f>
        <v/>
      </c>
      <c r="AS53">
        <f>IF(AND(AS$3&gt;=$E53,AS$3&lt;=$F53),1,"")</f>
        <v/>
      </c>
      <c r="AT53">
        <f>IF(AND(AT$3&gt;=$E53,AT$3&lt;=$F53),1,"")</f>
        <v/>
      </c>
      <c r="AU53">
        <f>IF(AND(AU$3&gt;=$E53,AU$3&lt;=$F53),1,"")</f>
        <v/>
      </c>
      <c r="AV53">
        <f>IF(AND(AV$3&gt;=$E53,AV$3&lt;=$F53),1,"")</f>
        <v/>
      </c>
      <c r="AW53">
        <f>IF(AND(AW$3&gt;=$E53,AW$3&lt;=$F53),1,"")</f>
        <v/>
      </c>
      <c r="AX53">
        <f>IF(AND(AX$3&gt;=$E53,AX$3&lt;=$F53),1,"")</f>
        <v/>
      </c>
      <c r="AY53">
        <f>IF(AND(AY$3&gt;=$E53,AY$3&lt;=$F53),1,"")</f>
        <v/>
      </c>
      <c r="AZ53">
        <f>IF(AND(AZ$3&gt;=$E53,AZ$3&lt;=$F53),1,"")</f>
        <v/>
      </c>
      <c r="BA53">
        <f>IF(AND(BA$3&gt;=$E53,BA$3&lt;=$F53),1,"")</f>
        <v/>
      </c>
      <c r="BB53">
        <f>IF(AND(BB$3&gt;=$E53,BB$3&lt;=$F53),1,"")</f>
        <v/>
      </c>
      <c r="BC53">
        <f>IF(AND(BC$3&gt;=$E53,BC$3&lt;=$F53),1,"")</f>
        <v/>
      </c>
      <c r="BD53">
        <f>IF(AND(BD$3&gt;=$E53,BD$3&lt;=$F53),1,"")</f>
        <v/>
      </c>
      <c r="BE53">
        <f>IF(AND(BE$3&gt;=$E53,BE$3&lt;=$F53),1,"")</f>
        <v/>
      </c>
      <c r="BF53">
        <f>IF(AND(BF$3&gt;=$E53,BF$3&lt;=$F53),1,"")</f>
        <v/>
      </c>
      <c r="BG53">
        <f>IF(AND(BG$3&gt;=$E53,BG$3&lt;=$F53),1,"")</f>
        <v/>
      </c>
      <c r="BH53">
        <f>IF(AND(BH$3&gt;=$E53,BH$3&lt;=$F53),1,"")</f>
        <v/>
      </c>
      <c r="BI53">
        <f>IF(AND(BI$3&gt;=$E53,BI$3&lt;=$F53),1,"")</f>
        <v/>
      </c>
      <c r="BJ53">
        <f>IF(AND(BJ$3&gt;=$E53,BJ$3&lt;=$F53),1,"")</f>
        <v/>
      </c>
      <c r="BK53">
        <f>IF(AND(BK$3&gt;=$E53,BK$3&lt;=$F53),1,"")</f>
        <v/>
      </c>
      <c r="BL53">
        <f>IF(AND(BL$3&gt;=$E53,BL$3&lt;=$F53),1,"")</f>
        <v/>
      </c>
      <c r="BM53">
        <f>IF(AND(BM$3&gt;=$E53,BM$3&lt;=$F53),1,"")</f>
        <v/>
      </c>
      <c r="BN53">
        <f>IF(AND(BN$3&gt;=$E53,BN$3&lt;=$F53),1,"")</f>
        <v/>
      </c>
      <c r="BO53">
        <f>IF(AND(BO$3&gt;=$E53,BO$3&lt;=$F53),1,"")</f>
        <v/>
      </c>
      <c r="BP53">
        <f>IF(AND(BP$3&gt;=$E53,BP$3&lt;=$F53),1,"")</f>
        <v/>
      </c>
      <c r="BQ53">
        <f>IF(AND(BQ$3&gt;=$E53,BQ$3&lt;=$F53),1,"")</f>
        <v/>
      </c>
      <c r="BR53">
        <f>IF(AND(BR$3&gt;=$E53,BR$3&lt;=$F53),1,"")</f>
        <v/>
      </c>
    </row>
  </sheetData>
  <mergeCells count="1">
    <mergeCell ref="A1:K1"/>
  </mergeCells>
  <conditionalFormatting sqref="G4:G153">
    <cfRule type="expression" priority="1" dxfId="0">
      <formula>$G4="High"</formula>
    </cfRule>
    <cfRule type="expression" priority="2" dxfId="1">
      <formula>$G4="Medium"</formula>
    </cfRule>
    <cfRule type="expression" priority="3" dxfId="2">
      <formula>$G4="Low"</formula>
    </cfRule>
  </conditionalFormatting>
  <conditionalFormatting sqref="I4:I153">
    <cfRule type="containsText" priority="4" operator="containsText" dxfId="3" text="Released">
      <formula>NOT(ISERROR(SEARCH("Released",I4)))</formula>
    </cfRule>
    <cfRule type="containsText" priority="5" operator="containsText" dxfId="4" text="On Hold">
      <formula>NOT(ISERROR(SEARCH("On Hold",I4)))</formula>
    </cfRule>
    <cfRule type="containsText" priority="6" operator="containsText" dxfId="5" text="Cancelled">
      <formula>NOT(ISERROR(SEARCH("Cancelled",I4)))</formula>
    </cfRule>
  </conditionalFormatting>
  <conditionalFormatting sqref="J4:J153">
    <cfRule type="expression" priority="7" dxfId="5">
      <formula>AND(ISNUMBER($J4),$J4&lt;TODAY())</formula>
    </cfRule>
  </conditionalFormatting>
  <conditionalFormatting sqref="L4:BR153">
    <cfRule type="expression" priority="8" dxfId="6">
      <formula>$L4=1</formula>
    </cfRule>
  </conditionalFormatting>
  <dataValidations count="4">
    <dataValidation sqref="C4:C1000" showDropDown="0" showInputMessage="0" showErrorMessage="0" allowBlank="0" type="list">
      <formula1>"BR1,BR2,CR2,CR3,CR4,RIM,BPR"</formula1>
    </dataValidation>
    <dataValidation sqref="B4:B1000" showDropDown="0" showInputMessage="0" showErrorMessage="0" allowBlank="0" type="list">
      <formula1>"9,15,17,20,25,28,30,34,42,46,50,54,57,63,70"</formula1>
    </dataValidation>
    <dataValidation sqref="G4:G1000" showDropDown="0" showInputMessage="0" showErrorMessage="0" allowBlank="0" type="list">
      <formula1>"High,Medium,Low"</formula1>
    </dataValidation>
    <dataValidation sqref="I4:I1000" showDropDown="0" showInputMessage="0" showErrorMessage="0" allowBlank="0" type="list">
      <formula1>"Released,On Hold,Cancelled"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OPR_BR1</t>
        </is>
      </c>
    </row>
    <row r="2">
      <c r="A2" t="inlineStr">
        <is>
          <t>Part No</t>
        </is>
      </c>
      <c r="B2" t="n">
        <v>1</v>
      </c>
    </row>
    <row r="3">
      <c r="A3" s="14" t="inlineStr">
        <is>
          <t>Size</t>
        </is>
      </c>
      <c r="B3" s="14" t="inlineStr">
        <is>
          <t>CNC</t>
        </is>
      </c>
      <c r="C3" s="14" t="inlineStr">
        <is>
          <t>SPM</t>
        </is>
      </c>
      <c r="D3" s="14" t="inlineStr">
        <is>
          <t>CARVING</t>
        </is>
      </c>
      <c r="E3" s="14" t="inlineStr">
        <is>
          <t>EDM</t>
        </is>
      </c>
      <c r="F3" s="14" t="inlineStr">
        <is>
          <t>ENG</t>
        </is>
      </c>
      <c r="G3" s="14" t="inlineStr">
        <is>
          <t>VENT</t>
        </is>
      </c>
      <c r="H3" s="14" t="inlineStr">
        <is>
          <t>FID</t>
        </is>
      </c>
      <c r="I3" s="14" t="inlineStr">
        <is>
          <t>QC</t>
        </is>
      </c>
      <c r="J3" s="14" t="inlineStr">
        <is>
          <t>Min ID</t>
        </is>
      </c>
      <c r="K3" s="14" t="inlineStr">
        <is>
          <t>Max OD</t>
        </is>
      </c>
    </row>
    <row r="4">
      <c r="A4" t="n">
        <v>9</v>
      </c>
      <c r="B4" t="n">
        <v>8</v>
      </c>
      <c r="C4" t="n">
        <v>6</v>
      </c>
      <c r="D4" t="n">
        <v>12</v>
      </c>
      <c r="E4" t="n">
        <v>5</v>
      </c>
      <c r="F4" t="n">
        <v>2</v>
      </c>
      <c r="G4" t="n">
        <v>2</v>
      </c>
      <c r="H4" t="n">
        <v>8</v>
      </c>
      <c r="I4" t="n">
        <v>4</v>
      </c>
      <c r="J4" t="n">
        <v>100</v>
      </c>
      <c r="K4" t="n">
        <v>600</v>
      </c>
    </row>
    <row r="5">
      <c r="A5" t="n">
        <v>15</v>
      </c>
      <c r="B5" t="n">
        <v>6</v>
      </c>
      <c r="C5" t="n">
        <v>8</v>
      </c>
      <c r="D5" t="n">
        <v>3</v>
      </c>
      <c r="E5" t="n">
        <v>16</v>
      </c>
      <c r="F5" t="n">
        <v>6</v>
      </c>
      <c r="G5" t="n">
        <v>6</v>
      </c>
      <c r="H5" t="n">
        <v>12</v>
      </c>
      <c r="I5" t="n">
        <v>5</v>
      </c>
      <c r="J5" t="n">
        <v>300</v>
      </c>
      <c r="K5" t="n">
        <v>800</v>
      </c>
    </row>
    <row r="6">
      <c r="A6" t="n">
        <v>17</v>
      </c>
      <c r="B6" t="n">
        <v>9</v>
      </c>
      <c r="C6" t="n">
        <v>16</v>
      </c>
      <c r="D6" t="n">
        <v>3</v>
      </c>
      <c r="E6" t="n">
        <v>8</v>
      </c>
      <c r="F6" t="n">
        <v>8</v>
      </c>
      <c r="G6" t="n">
        <v>6</v>
      </c>
      <c r="H6" t="n">
        <v>7</v>
      </c>
      <c r="I6" t="n">
        <v>5</v>
      </c>
      <c r="J6" t="n">
        <v>500</v>
      </c>
      <c r="K6" t="n">
        <v>1000</v>
      </c>
    </row>
    <row r="7">
      <c r="A7" t="n">
        <v>20</v>
      </c>
      <c r="B7" t="n">
        <v>10</v>
      </c>
      <c r="C7" t="n">
        <v>7</v>
      </c>
      <c r="D7" t="n">
        <v>7</v>
      </c>
      <c r="E7" t="n">
        <v>21</v>
      </c>
      <c r="F7" t="n">
        <v>8</v>
      </c>
      <c r="G7" t="n">
        <v>12</v>
      </c>
      <c r="H7" t="n">
        <v>21</v>
      </c>
      <c r="I7" t="n">
        <v>4</v>
      </c>
      <c r="J7" t="n">
        <v>700</v>
      </c>
      <c r="K7" t="n">
        <v>1200</v>
      </c>
    </row>
    <row r="8">
      <c r="A8" t="n">
        <v>25</v>
      </c>
      <c r="B8" t="n">
        <v>9</v>
      </c>
      <c r="C8" t="n">
        <v>13</v>
      </c>
      <c r="D8" t="n">
        <v>6</v>
      </c>
      <c r="E8" t="n">
        <v>15</v>
      </c>
      <c r="F8" t="n">
        <v>16</v>
      </c>
      <c r="G8" t="n">
        <v>14</v>
      </c>
      <c r="H8" t="n">
        <v>22</v>
      </c>
      <c r="I8" t="n">
        <v>7</v>
      </c>
      <c r="J8" t="n">
        <v>900</v>
      </c>
      <c r="K8" t="n">
        <v>1400</v>
      </c>
    </row>
    <row r="9">
      <c r="A9" t="n">
        <v>28</v>
      </c>
      <c r="B9" t="n">
        <v>6</v>
      </c>
      <c r="C9" t="n">
        <v>24</v>
      </c>
      <c r="D9" t="n">
        <v>5</v>
      </c>
      <c r="E9" t="n">
        <v>21</v>
      </c>
      <c r="F9" t="n">
        <v>14</v>
      </c>
      <c r="G9" t="n">
        <v>12</v>
      </c>
      <c r="H9" t="n">
        <v>24</v>
      </c>
      <c r="I9" t="n">
        <v>7</v>
      </c>
      <c r="J9" t="n">
        <v>1100</v>
      </c>
      <c r="K9" t="n">
        <v>1600</v>
      </c>
    </row>
    <row r="10">
      <c r="A10" t="n">
        <v>30</v>
      </c>
      <c r="B10" t="n">
        <v>8</v>
      </c>
      <c r="C10" t="n">
        <v>25</v>
      </c>
      <c r="D10" t="n">
        <v>4</v>
      </c>
      <c r="E10" t="n">
        <v>22</v>
      </c>
      <c r="F10" t="n">
        <v>7</v>
      </c>
      <c r="G10" t="n">
        <v>9</v>
      </c>
      <c r="H10" t="n">
        <v>14</v>
      </c>
      <c r="I10" t="n">
        <v>7</v>
      </c>
      <c r="J10" t="n">
        <v>1300</v>
      </c>
      <c r="K10" t="n">
        <v>1800</v>
      </c>
    </row>
    <row r="11">
      <c r="A11" t="n">
        <v>34</v>
      </c>
      <c r="B11" t="n">
        <v>11</v>
      </c>
      <c r="C11" t="n">
        <v>11</v>
      </c>
      <c r="D11" t="n">
        <v>4</v>
      </c>
      <c r="E11" t="n">
        <v>14</v>
      </c>
      <c r="F11" t="n">
        <v>15</v>
      </c>
      <c r="G11" t="n">
        <v>15</v>
      </c>
      <c r="H11" t="n">
        <v>13</v>
      </c>
      <c r="I11" t="n">
        <v>7</v>
      </c>
      <c r="J11" t="n">
        <v>1500</v>
      </c>
      <c r="K11" t="n">
        <v>2000</v>
      </c>
    </row>
    <row r="12">
      <c r="A12" t="n">
        <v>42</v>
      </c>
      <c r="B12" t="n">
        <v>13</v>
      </c>
      <c r="C12" t="n">
        <v>23</v>
      </c>
      <c r="D12" t="n">
        <v>14</v>
      </c>
      <c r="E12" t="n">
        <v>19</v>
      </c>
      <c r="F12" t="n">
        <v>15</v>
      </c>
      <c r="G12" t="n">
        <v>14</v>
      </c>
      <c r="H12" t="n">
        <v>29</v>
      </c>
      <c r="I12" t="n">
        <v>5</v>
      </c>
      <c r="J12" t="n">
        <v>1700</v>
      </c>
      <c r="K12" t="n">
        <v>2200</v>
      </c>
    </row>
    <row r="13">
      <c r="A13" t="n">
        <v>46</v>
      </c>
      <c r="B13" t="n">
        <v>23</v>
      </c>
      <c r="C13" t="n">
        <v>28</v>
      </c>
      <c r="D13" t="n">
        <v>18</v>
      </c>
      <c r="E13" t="n">
        <v>25</v>
      </c>
      <c r="F13" t="n">
        <v>19</v>
      </c>
      <c r="G13" t="n">
        <v>15</v>
      </c>
      <c r="H13" t="n">
        <v>33</v>
      </c>
      <c r="I13" t="n">
        <v>11</v>
      </c>
      <c r="J13" t="n">
        <v>1900</v>
      </c>
      <c r="K13" t="n">
        <v>2400</v>
      </c>
    </row>
    <row r="14">
      <c r="A14" t="n">
        <v>50</v>
      </c>
      <c r="B14" t="n">
        <v>16</v>
      </c>
      <c r="C14" t="n">
        <v>27</v>
      </c>
      <c r="D14" t="n">
        <v>13</v>
      </c>
      <c r="E14" t="n">
        <v>37</v>
      </c>
      <c r="F14" t="n">
        <v>24</v>
      </c>
      <c r="G14" t="n">
        <v>21</v>
      </c>
      <c r="H14" t="n">
        <v>29</v>
      </c>
      <c r="I14" t="n">
        <v>13</v>
      </c>
      <c r="J14" t="n">
        <v>2100</v>
      </c>
      <c r="K14" t="n">
        <v>2600</v>
      </c>
    </row>
    <row r="15">
      <c r="A15" t="n">
        <v>54</v>
      </c>
      <c r="B15" t="n">
        <v>12</v>
      </c>
      <c r="C15" t="n">
        <v>37</v>
      </c>
      <c r="D15" t="n">
        <v>5</v>
      </c>
      <c r="E15" t="n">
        <v>30</v>
      </c>
      <c r="F15" t="n">
        <v>18</v>
      </c>
      <c r="G15" t="n">
        <v>24</v>
      </c>
      <c r="H15" t="n">
        <v>28</v>
      </c>
      <c r="I15" t="n">
        <v>6</v>
      </c>
      <c r="J15" t="n">
        <v>2300</v>
      </c>
      <c r="K15" t="n">
        <v>2800</v>
      </c>
    </row>
    <row r="16">
      <c r="A16" t="n">
        <v>57</v>
      </c>
      <c r="B16" t="n">
        <v>13</v>
      </c>
      <c r="C16" t="n">
        <v>28</v>
      </c>
      <c r="D16" t="n">
        <v>13</v>
      </c>
      <c r="E16" t="n">
        <v>34</v>
      </c>
      <c r="F16" t="n">
        <v>26</v>
      </c>
      <c r="G16" t="n">
        <v>21</v>
      </c>
      <c r="H16" t="n">
        <v>20</v>
      </c>
      <c r="I16" t="n">
        <v>14</v>
      </c>
      <c r="J16" t="n">
        <v>2500</v>
      </c>
      <c r="K16" t="n">
        <v>3000</v>
      </c>
    </row>
    <row r="17">
      <c r="A17" t="n">
        <v>63</v>
      </c>
      <c r="B17" t="n">
        <v>14</v>
      </c>
      <c r="C17" t="n">
        <v>42</v>
      </c>
      <c r="D17" t="n">
        <v>10</v>
      </c>
      <c r="E17" t="n">
        <v>23</v>
      </c>
      <c r="F17" t="n">
        <v>14</v>
      </c>
      <c r="G17" t="n">
        <v>24</v>
      </c>
      <c r="H17" t="n">
        <v>36</v>
      </c>
      <c r="I17" t="n">
        <v>10</v>
      </c>
      <c r="J17" t="n">
        <v>2700</v>
      </c>
      <c r="K17" t="n">
        <v>3200</v>
      </c>
    </row>
    <row r="18">
      <c r="A18" t="n">
        <v>70</v>
      </c>
      <c r="B18" t="n">
        <v>22</v>
      </c>
      <c r="C18" t="n">
        <v>45</v>
      </c>
      <c r="D18" t="n">
        <v>7</v>
      </c>
      <c r="E18" t="n">
        <v>35</v>
      </c>
      <c r="F18" t="n">
        <v>30</v>
      </c>
      <c r="G18" t="n">
        <v>19</v>
      </c>
      <c r="H18" t="n">
        <v>42</v>
      </c>
      <c r="I18" t="n">
        <v>14</v>
      </c>
      <c r="J18" t="n">
        <v>2900</v>
      </c>
      <c r="K18" t="n">
        <v>3400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OPR_BR2</t>
        </is>
      </c>
    </row>
    <row r="2">
      <c r="A2" t="inlineStr">
        <is>
          <t>Part No</t>
        </is>
      </c>
      <c r="B2" t="n">
        <v>2</v>
      </c>
    </row>
    <row r="3">
      <c r="A3" s="14" t="inlineStr">
        <is>
          <t>Size</t>
        </is>
      </c>
      <c r="B3" s="14" t="inlineStr">
        <is>
          <t>CNC</t>
        </is>
      </c>
      <c r="C3" s="14" t="inlineStr">
        <is>
          <t>SPM</t>
        </is>
      </c>
      <c r="D3" s="14" t="inlineStr">
        <is>
          <t>CARVING</t>
        </is>
      </c>
      <c r="E3" s="14" t="inlineStr">
        <is>
          <t>EDM</t>
        </is>
      </c>
      <c r="F3" s="14" t="inlineStr">
        <is>
          <t>ENG</t>
        </is>
      </c>
      <c r="G3" s="14" t="inlineStr">
        <is>
          <t>VENT</t>
        </is>
      </c>
      <c r="H3" s="14" t="inlineStr">
        <is>
          <t>FID</t>
        </is>
      </c>
      <c r="I3" s="14" t="inlineStr">
        <is>
          <t>QC</t>
        </is>
      </c>
      <c r="J3" s="14" t="inlineStr">
        <is>
          <t>Min ID</t>
        </is>
      </c>
      <c r="K3" s="14" t="inlineStr">
        <is>
          <t>Max OD</t>
        </is>
      </c>
    </row>
    <row r="4">
      <c r="A4" t="n">
        <v>9</v>
      </c>
      <c r="B4" t="n">
        <v>2</v>
      </c>
      <c r="C4" t="n">
        <v>14</v>
      </c>
      <c r="D4" t="n">
        <v>2</v>
      </c>
      <c r="E4" t="n">
        <v>14</v>
      </c>
      <c r="F4" t="n">
        <v>9</v>
      </c>
      <c r="G4" t="n">
        <v>6</v>
      </c>
      <c r="H4" t="n">
        <v>13</v>
      </c>
      <c r="I4" t="n">
        <v>3</v>
      </c>
      <c r="J4" t="n">
        <v>100</v>
      </c>
      <c r="K4" t="n">
        <v>600</v>
      </c>
    </row>
    <row r="5">
      <c r="A5" t="n">
        <v>15</v>
      </c>
      <c r="B5" t="n">
        <v>5</v>
      </c>
      <c r="C5" t="n">
        <v>16</v>
      </c>
      <c r="D5" t="n">
        <v>3</v>
      </c>
      <c r="E5" t="n">
        <v>13</v>
      </c>
      <c r="F5" t="n">
        <v>11</v>
      </c>
      <c r="G5" t="n">
        <v>7</v>
      </c>
      <c r="H5" t="n">
        <v>9</v>
      </c>
      <c r="I5" t="n">
        <v>2</v>
      </c>
      <c r="J5" t="n">
        <v>300</v>
      </c>
      <c r="K5" t="n">
        <v>800</v>
      </c>
    </row>
    <row r="6">
      <c r="A6" t="n">
        <v>17</v>
      </c>
      <c r="B6" t="n">
        <v>4</v>
      </c>
      <c r="C6" t="n">
        <v>19</v>
      </c>
      <c r="D6" t="n">
        <v>5</v>
      </c>
      <c r="E6" t="n">
        <v>8</v>
      </c>
      <c r="F6" t="n">
        <v>7</v>
      </c>
      <c r="G6" t="n">
        <v>10</v>
      </c>
      <c r="H6" t="n">
        <v>15</v>
      </c>
      <c r="I6" t="n">
        <v>3</v>
      </c>
      <c r="J6" t="n">
        <v>500</v>
      </c>
      <c r="K6" t="n">
        <v>1000</v>
      </c>
    </row>
    <row r="7">
      <c r="A7" t="n">
        <v>20</v>
      </c>
      <c r="B7" t="n">
        <v>12</v>
      </c>
      <c r="C7" t="n">
        <v>15</v>
      </c>
      <c r="D7" t="n">
        <v>7</v>
      </c>
      <c r="E7" t="n">
        <v>16</v>
      </c>
      <c r="F7" t="n">
        <v>11</v>
      </c>
      <c r="G7" t="n">
        <v>8</v>
      </c>
      <c r="H7" t="n">
        <v>17</v>
      </c>
      <c r="I7" t="n">
        <v>3</v>
      </c>
      <c r="J7" t="n">
        <v>700</v>
      </c>
      <c r="K7" t="n">
        <v>1200</v>
      </c>
    </row>
    <row r="8">
      <c r="A8" t="n">
        <v>25</v>
      </c>
      <c r="B8" t="n">
        <v>10</v>
      </c>
      <c r="C8" t="n">
        <v>19</v>
      </c>
      <c r="D8" t="n">
        <v>11</v>
      </c>
      <c r="E8" t="n">
        <v>20</v>
      </c>
      <c r="F8" t="n">
        <v>11</v>
      </c>
      <c r="G8" t="n">
        <v>11</v>
      </c>
      <c r="H8" t="n">
        <v>22</v>
      </c>
      <c r="I8" t="n">
        <v>6</v>
      </c>
      <c r="J8" t="n">
        <v>900</v>
      </c>
      <c r="K8" t="n">
        <v>1400</v>
      </c>
    </row>
    <row r="9">
      <c r="A9" t="n">
        <v>28</v>
      </c>
      <c r="B9" t="n">
        <v>17</v>
      </c>
      <c r="C9" t="n">
        <v>21</v>
      </c>
      <c r="D9" t="n">
        <v>14</v>
      </c>
      <c r="E9" t="n">
        <v>19</v>
      </c>
      <c r="F9" t="n">
        <v>15</v>
      </c>
      <c r="G9" t="n">
        <v>12</v>
      </c>
      <c r="H9" t="n">
        <v>14</v>
      </c>
      <c r="I9" t="n">
        <v>5</v>
      </c>
      <c r="J9" t="n">
        <v>1100</v>
      </c>
      <c r="K9" t="n">
        <v>1600</v>
      </c>
    </row>
    <row r="10">
      <c r="A10" t="n">
        <v>30</v>
      </c>
      <c r="B10" t="n">
        <v>10</v>
      </c>
      <c r="C10" t="n">
        <v>21</v>
      </c>
      <c r="D10" t="n">
        <v>3</v>
      </c>
      <c r="E10" t="n">
        <v>19</v>
      </c>
      <c r="F10" t="n">
        <v>14</v>
      </c>
      <c r="G10" t="n">
        <v>12</v>
      </c>
      <c r="H10" t="n">
        <v>23</v>
      </c>
      <c r="I10" t="n">
        <v>8</v>
      </c>
      <c r="J10" t="n">
        <v>1300</v>
      </c>
      <c r="K10" t="n">
        <v>1800</v>
      </c>
    </row>
    <row r="11">
      <c r="A11" t="n">
        <v>34</v>
      </c>
      <c r="B11" t="n">
        <v>18</v>
      </c>
      <c r="C11" t="n">
        <v>29</v>
      </c>
      <c r="D11" t="n">
        <v>14</v>
      </c>
      <c r="E11" t="n">
        <v>17</v>
      </c>
      <c r="F11" t="n">
        <v>7</v>
      </c>
      <c r="G11" t="n">
        <v>12</v>
      </c>
      <c r="H11" t="n">
        <v>15</v>
      </c>
      <c r="I11" t="n">
        <v>4</v>
      </c>
      <c r="J11" t="n">
        <v>1500</v>
      </c>
      <c r="K11" t="n">
        <v>2000</v>
      </c>
    </row>
    <row r="12">
      <c r="A12" t="n">
        <v>42</v>
      </c>
      <c r="B12" t="n">
        <v>11</v>
      </c>
      <c r="C12" t="n">
        <v>16</v>
      </c>
      <c r="D12" t="n">
        <v>6</v>
      </c>
      <c r="E12" t="n">
        <v>34</v>
      </c>
      <c r="F12" t="n">
        <v>16</v>
      </c>
      <c r="G12" t="n">
        <v>15</v>
      </c>
      <c r="H12" t="n">
        <v>34</v>
      </c>
      <c r="I12" t="n">
        <v>7</v>
      </c>
      <c r="J12" t="n">
        <v>1700</v>
      </c>
      <c r="K12" t="n">
        <v>2200</v>
      </c>
    </row>
    <row r="13">
      <c r="A13" t="n">
        <v>46</v>
      </c>
      <c r="B13" t="n">
        <v>13</v>
      </c>
      <c r="C13" t="n">
        <v>24</v>
      </c>
      <c r="D13" t="n">
        <v>14</v>
      </c>
      <c r="E13" t="n">
        <v>18</v>
      </c>
      <c r="F13" t="n">
        <v>17</v>
      </c>
      <c r="G13" t="n">
        <v>20</v>
      </c>
      <c r="H13" t="n">
        <v>21</v>
      </c>
      <c r="I13" t="n">
        <v>8</v>
      </c>
      <c r="J13" t="n">
        <v>1900</v>
      </c>
      <c r="K13" t="n">
        <v>2400</v>
      </c>
    </row>
    <row r="14">
      <c r="A14" t="n">
        <v>50</v>
      </c>
      <c r="B14" t="n">
        <v>16</v>
      </c>
      <c r="C14" t="n">
        <v>37</v>
      </c>
      <c r="D14" t="n">
        <v>16</v>
      </c>
      <c r="E14" t="n">
        <v>21</v>
      </c>
      <c r="F14" t="n">
        <v>21</v>
      </c>
      <c r="G14" t="n">
        <v>12</v>
      </c>
      <c r="H14" t="n">
        <v>19</v>
      </c>
      <c r="I14" t="n">
        <v>10</v>
      </c>
      <c r="J14" t="n">
        <v>2100</v>
      </c>
      <c r="K14" t="n">
        <v>2600</v>
      </c>
    </row>
    <row r="15">
      <c r="A15" t="n">
        <v>54</v>
      </c>
      <c r="B15" t="n">
        <v>16</v>
      </c>
      <c r="C15" t="n">
        <v>19</v>
      </c>
      <c r="D15" t="n">
        <v>13</v>
      </c>
      <c r="E15" t="n">
        <v>27</v>
      </c>
      <c r="F15" t="n">
        <v>24</v>
      </c>
      <c r="G15" t="n">
        <v>19</v>
      </c>
      <c r="H15" t="n">
        <v>26</v>
      </c>
      <c r="I15" t="n">
        <v>9</v>
      </c>
      <c r="J15" t="n">
        <v>2300</v>
      </c>
      <c r="K15" t="n">
        <v>2800</v>
      </c>
    </row>
    <row r="16">
      <c r="A16" t="n">
        <v>57</v>
      </c>
      <c r="B16" t="n">
        <v>24</v>
      </c>
      <c r="C16" t="n">
        <v>30</v>
      </c>
      <c r="D16" t="n">
        <v>14</v>
      </c>
      <c r="E16" t="n">
        <v>18</v>
      </c>
      <c r="F16" t="n">
        <v>21</v>
      </c>
      <c r="G16" t="n">
        <v>28</v>
      </c>
      <c r="H16" t="n">
        <v>25</v>
      </c>
      <c r="I16" t="n">
        <v>8</v>
      </c>
      <c r="J16" t="n">
        <v>2500</v>
      </c>
      <c r="K16" t="n">
        <v>3000</v>
      </c>
    </row>
    <row r="17">
      <c r="A17" t="n">
        <v>63</v>
      </c>
      <c r="B17" t="n">
        <v>15</v>
      </c>
      <c r="C17" t="n">
        <v>31</v>
      </c>
      <c r="D17" t="n">
        <v>8</v>
      </c>
      <c r="E17" t="n">
        <v>40</v>
      </c>
      <c r="F17" t="n">
        <v>15</v>
      </c>
      <c r="G17" t="n">
        <v>17</v>
      </c>
      <c r="H17" t="n">
        <v>29</v>
      </c>
      <c r="I17" t="n">
        <v>7</v>
      </c>
      <c r="J17" t="n">
        <v>2700</v>
      </c>
      <c r="K17" t="n">
        <v>3200</v>
      </c>
    </row>
    <row r="18">
      <c r="A18" t="n">
        <v>70</v>
      </c>
      <c r="B18" t="n">
        <v>21</v>
      </c>
      <c r="C18" t="n">
        <v>38</v>
      </c>
      <c r="D18" t="n">
        <v>14</v>
      </c>
      <c r="E18" t="n">
        <v>35</v>
      </c>
      <c r="F18" t="n">
        <v>29</v>
      </c>
      <c r="G18" t="n">
        <v>29</v>
      </c>
      <c r="H18" t="n">
        <v>46</v>
      </c>
      <c r="I18" t="n">
        <v>14</v>
      </c>
      <c r="J18" t="n">
        <v>2900</v>
      </c>
      <c r="K18" t="n">
        <v>3400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OPR_CR2</t>
        </is>
      </c>
    </row>
    <row r="2">
      <c r="A2" t="inlineStr">
        <is>
          <t>Part No</t>
        </is>
      </c>
      <c r="B2" t="n">
        <v>2</v>
      </c>
    </row>
    <row r="3">
      <c r="A3" s="14" t="inlineStr">
        <is>
          <t>Size</t>
        </is>
      </c>
      <c r="B3" s="14" t="inlineStr">
        <is>
          <t>CNC</t>
        </is>
      </c>
      <c r="C3" s="14" t="inlineStr">
        <is>
          <t>SPM</t>
        </is>
      </c>
      <c r="D3" s="14" t="inlineStr">
        <is>
          <t>CARVING</t>
        </is>
      </c>
      <c r="E3" s="14" t="inlineStr">
        <is>
          <t>EDM</t>
        </is>
      </c>
      <c r="F3" s="14" t="inlineStr">
        <is>
          <t>ENG</t>
        </is>
      </c>
      <c r="G3" s="14" t="inlineStr">
        <is>
          <t>VENT</t>
        </is>
      </c>
      <c r="H3" s="14" t="inlineStr">
        <is>
          <t>FID</t>
        </is>
      </c>
      <c r="I3" s="14" t="inlineStr">
        <is>
          <t>QC</t>
        </is>
      </c>
      <c r="J3" s="14" t="inlineStr">
        <is>
          <t>Min ID</t>
        </is>
      </c>
      <c r="K3" s="14" t="inlineStr">
        <is>
          <t>Max OD</t>
        </is>
      </c>
    </row>
    <row r="4">
      <c r="A4" t="n">
        <v>9</v>
      </c>
      <c r="B4" t="n">
        <v>3</v>
      </c>
      <c r="C4" t="n">
        <v>6</v>
      </c>
      <c r="D4" t="n">
        <v>11</v>
      </c>
      <c r="E4" t="n">
        <v>9</v>
      </c>
      <c r="F4" t="n">
        <v>6</v>
      </c>
      <c r="G4" t="n">
        <v>5</v>
      </c>
      <c r="H4" t="n">
        <v>7</v>
      </c>
      <c r="I4" t="n">
        <v>4</v>
      </c>
      <c r="J4" t="n">
        <v>100</v>
      </c>
      <c r="K4" t="n">
        <v>600</v>
      </c>
    </row>
    <row r="5">
      <c r="A5" t="n">
        <v>15</v>
      </c>
      <c r="B5" t="n">
        <v>8</v>
      </c>
      <c r="C5" t="n">
        <v>9</v>
      </c>
      <c r="D5" t="n">
        <v>6</v>
      </c>
      <c r="E5" t="n">
        <v>18</v>
      </c>
      <c r="F5" t="n">
        <v>5</v>
      </c>
      <c r="G5" t="n">
        <v>6</v>
      </c>
      <c r="H5" t="n">
        <v>10</v>
      </c>
      <c r="I5" t="n">
        <v>6</v>
      </c>
      <c r="J5" t="n">
        <v>300</v>
      </c>
      <c r="K5" t="n">
        <v>800</v>
      </c>
    </row>
    <row r="6">
      <c r="A6" t="n">
        <v>17</v>
      </c>
      <c r="B6" t="n">
        <v>11</v>
      </c>
      <c r="C6" t="n">
        <v>15</v>
      </c>
      <c r="D6" t="n">
        <v>3</v>
      </c>
      <c r="E6" t="n">
        <v>15</v>
      </c>
      <c r="F6" t="n">
        <v>9</v>
      </c>
      <c r="G6" t="n">
        <v>8</v>
      </c>
      <c r="H6" t="n">
        <v>7</v>
      </c>
      <c r="I6" t="n">
        <v>4</v>
      </c>
      <c r="J6" t="n">
        <v>500</v>
      </c>
      <c r="K6" t="n">
        <v>1000</v>
      </c>
    </row>
    <row r="7">
      <c r="A7" t="n">
        <v>20</v>
      </c>
      <c r="B7" t="n">
        <v>8</v>
      </c>
      <c r="C7" t="n">
        <v>15</v>
      </c>
      <c r="D7" t="n">
        <v>4</v>
      </c>
      <c r="E7" t="n">
        <v>9</v>
      </c>
      <c r="F7" t="n">
        <v>11</v>
      </c>
      <c r="G7" t="n">
        <v>5</v>
      </c>
      <c r="H7" t="n">
        <v>13</v>
      </c>
      <c r="I7" t="n">
        <v>4</v>
      </c>
      <c r="J7" t="n">
        <v>700</v>
      </c>
      <c r="K7" t="n">
        <v>1200</v>
      </c>
    </row>
    <row r="8">
      <c r="A8" t="n">
        <v>25</v>
      </c>
      <c r="B8" t="n">
        <v>12</v>
      </c>
      <c r="C8" t="n">
        <v>11</v>
      </c>
      <c r="D8" t="n">
        <v>10</v>
      </c>
      <c r="E8" t="n">
        <v>8</v>
      </c>
      <c r="F8" t="n">
        <v>13</v>
      </c>
      <c r="G8" t="n">
        <v>15</v>
      </c>
      <c r="H8" t="n">
        <v>17</v>
      </c>
      <c r="I8" t="n">
        <v>8</v>
      </c>
      <c r="J8" t="n">
        <v>900</v>
      </c>
      <c r="K8" t="n">
        <v>1400</v>
      </c>
    </row>
    <row r="9">
      <c r="A9" t="n">
        <v>28</v>
      </c>
      <c r="B9" t="n">
        <v>10</v>
      </c>
      <c r="C9" t="n">
        <v>17</v>
      </c>
      <c r="D9" t="n">
        <v>8</v>
      </c>
      <c r="E9" t="n">
        <v>9</v>
      </c>
      <c r="F9" t="n">
        <v>17</v>
      </c>
      <c r="G9" t="n">
        <v>13</v>
      </c>
      <c r="H9" t="n">
        <v>15</v>
      </c>
      <c r="I9" t="n">
        <v>5</v>
      </c>
      <c r="J9" t="n">
        <v>1100</v>
      </c>
      <c r="K9" t="n">
        <v>1600</v>
      </c>
    </row>
    <row r="10">
      <c r="A10" t="n">
        <v>30</v>
      </c>
      <c r="B10" t="n">
        <v>7</v>
      </c>
      <c r="C10" t="n">
        <v>21</v>
      </c>
      <c r="D10" t="n">
        <v>6</v>
      </c>
      <c r="E10" t="n">
        <v>19</v>
      </c>
      <c r="F10" t="n">
        <v>16</v>
      </c>
      <c r="G10" t="n">
        <v>14</v>
      </c>
      <c r="H10" t="n">
        <v>27</v>
      </c>
      <c r="I10" t="n">
        <v>8</v>
      </c>
      <c r="J10" t="n">
        <v>1300</v>
      </c>
      <c r="K10" t="n">
        <v>1800</v>
      </c>
    </row>
    <row r="11">
      <c r="A11" t="n">
        <v>34</v>
      </c>
      <c r="B11" t="n">
        <v>12</v>
      </c>
      <c r="C11" t="n">
        <v>20</v>
      </c>
      <c r="D11" t="n">
        <v>6</v>
      </c>
      <c r="E11" t="n">
        <v>21</v>
      </c>
      <c r="F11" t="n">
        <v>12</v>
      </c>
      <c r="G11" t="n">
        <v>14</v>
      </c>
      <c r="H11" t="n">
        <v>22</v>
      </c>
      <c r="I11" t="n">
        <v>8</v>
      </c>
      <c r="J11" t="n">
        <v>1500</v>
      </c>
      <c r="K11" t="n">
        <v>2000</v>
      </c>
    </row>
    <row r="12">
      <c r="A12" t="n">
        <v>42</v>
      </c>
      <c r="B12" t="n">
        <v>17</v>
      </c>
      <c r="C12" t="n">
        <v>33</v>
      </c>
      <c r="D12" t="n">
        <v>8</v>
      </c>
      <c r="E12" t="n">
        <v>30</v>
      </c>
      <c r="F12" t="n">
        <v>11</v>
      </c>
      <c r="G12" t="n">
        <v>20</v>
      </c>
      <c r="H12" t="n">
        <v>34</v>
      </c>
      <c r="I12" t="n">
        <v>10</v>
      </c>
      <c r="J12" t="n">
        <v>1700</v>
      </c>
      <c r="K12" t="n">
        <v>2200</v>
      </c>
    </row>
    <row r="13">
      <c r="A13" t="n">
        <v>46</v>
      </c>
      <c r="B13" t="n">
        <v>13</v>
      </c>
      <c r="C13" t="n">
        <v>22</v>
      </c>
      <c r="D13" t="n">
        <v>9</v>
      </c>
      <c r="E13" t="n">
        <v>16</v>
      </c>
      <c r="F13" t="n">
        <v>14</v>
      </c>
      <c r="G13" t="n">
        <v>20</v>
      </c>
      <c r="H13" t="n">
        <v>28</v>
      </c>
      <c r="I13" t="n">
        <v>5</v>
      </c>
      <c r="J13" t="n">
        <v>1900</v>
      </c>
      <c r="K13" t="n">
        <v>2400</v>
      </c>
    </row>
    <row r="14">
      <c r="A14" t="n">
        <v>50</v>
      </c>
      <c r="B14" t="n">
        <v>23</v>
      </c>
      <c r="C14" t="n">
        <v>33</v>
      </c>
      <c r="D14" t="n">
        <v>8</v>
      </c>
      <c r="E14" t="n">
        <v>20</v>
      </c>
      <c r="F14" t="n">
        <v>14</v>
      </c>
      <c r="G14" t="n">
        <v>20</v>
      </c>
      <c r="H14" t="n">
        <v>29</v>
      </c>
      <c r="I14" t="n">
        <v>11</v>
      </c>
      <c r="J14" t="n">
        <v>2100</v>
      </c>
      <c r="K14" t="n">
        <v>2600</v>
      </c>
    </row>
    <row r="15">
      <c r="A15" t="n">
        <v>54</v>
      </c>
      <c r="B15" t="n">
        <v>16</v>
      </c>
      <c r="C15" t="n">
        <v>40</v>
      </c>
      <c r="D15" t="n">
        <v>6</v>
      </c>
      <c r="E15" t="n">
        <v>24</v>
      </c>
      <c r="F15" t="n">
        <v>19</v>
      </c>
      <c r="G15" t="n">
        <v>21</v>
      </c>
      <c r="H15" t="n">
        <v>24</v>
      </c>
      <c r="I15" t="n">
        <v>13</v>
      </c>
      <c r="J15" t="n">
        <v>2300</v>
      </c>
      <c r="K15" t="n">
        <v>2800</v>
      </c>
    </row>
    <row r="16">
      <c r="A16" t="n">
        <v>57</v>
      </c>
      <c r="B16" t="n">
        <v>19</v>
      </c>
      <c r="C16" t="n">
        <v>18</v>
      </c>
      <c r="D16" t="n">
        <v>12</v>
      </c>
      <c r="E16" t="n">
        <v>26</v>
      </c>
      <c r="F16" t="n">
        <v>20</v>
      </c>
      <c r="G16" t="n">
        <v>23</v>
      </c>
      <c r="H16" t="n">
        <v>26</v>
      </c>
      <c r="I16" t="n">
        <v>7</v>
      </c>
      <c r="J16" t="n">
        <v>2500</v>
      </c>
      <c r="K16" t="n">
        <v>3000</v>
      </c>
    </row>
    <row r="17">
      <c r="A17" t="n">
        <v>63</v>
      </c>
      <c r="B17" t="n">
        <v>31</v>
      </c>
      <c r="C17" t="n">
        <v>25</v>
      </c>
      <c r="D17" t="n">
        <v>11</v>
      </c>
      <c r="E17" t="n">
        <v>24</v>
      </c>
      <c r="F17" t="n">
        <v>23</v>
      </c>
      <c r="G17" t="n">
        <v>24</v>
      </c>
      <c r="H17" t="n">
        <v>38</v>
      </c>
      <c r="I17" t="n">
        <v>12</v>
      </c>
      <c r="J17" t="n">
        <v>2700</v>
      </c>
      <c r="K17" t="n">
        <v>3200</v>
      </c>
    </row>
    <row r="18">
      <c r="A18" t="n">
        <v>70</v>
      </c>
      <c r="B18" t="n">
        <v>30</v>
      </c>
      <c r="C18" t="n">
        <v>33</v>
      </c>
      <c r="D18" t="n">
        <v>15</v>
      </c>
      <c r="E18" t="n">
        <v>25</v>
      </c>
      <c r="F18" t="n">
        <v>31</v>
      </c>
      <c r="G18" t="n">
        <v>17</v>
      </c>
      <c r="H18" t="n">
        <v>42</v>
      </c>
      <c r="I18" t="n">
        <v>17</v>
      </c>
      <c r="J18" t="n">
        <v>2900</v>
      </c>
      <c r="K18" t="n">
        <v>3400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OPR_CR3</t>
        </is>
      </c>
    </row>
    <row r="2">
      <c r="A2" t="inlineStr">
        <is>
          <t>Part No</t>
        </is>
      </c>
      <c r="B2" t="n">
        <v>3</v>
      </c>
    </row>
    <row r="3">
      <c r="A3" s="14" t="inlineStr">
        <is>
          <t>Size</t>
        </is>
      </c>
      <c r="B3" s="14" t="inlineStr">
        <is>
          <t>CNC</t>
        </is>
      </c>
      <c r="C3" s="14" t="inlineStr">
        <is>
          <t>SPM</t>
        </is>
      </c>
      <c r="D3" s="14" t="inlineStr">
        <is>
          <t>CARVING</t>
        </is>
      </c>
      <c r="E3" s="14" t="inlineStr">
        <is>
          <t>EDM</t>
        </is>
      </c>
      <c r="F3" s="14" t="inlineStr">
        <is>
          <t>ENG</t>
        </is>
      </c>
      <c r="G3" s="14" t="inlineStr">
        <is>
          <t>VENT</t>
        </is>
      </c>
      <c r="H3" s="14" t="inlineStr">
        <is>
          <t>FID</t>
        </is>
      </c>
      <c r="I3" s="14" t="inlineStr">
        <is>
          <t>QC</t>
        </is>
      </c>
      <c r="J3" s="14" t="inlineStr">
        <is>
          <t>Min ID</t>
        </is>
      </c>
      <c r="K3" s="14" t="inlineStr">
        <is>
          <t>Max OD</t>
        </is>
      </c>
    </row>
    <row r="4">
      <c r="A4" t="n">
        <v>9</v>
      </c>
      <c r="B4" t="n">
        <v>5</v>
      </c>
      <c r="C4" t="n">
        <v>5</v>
      </c>
      <c r="D4" t="n">
        <v>7</v>
      </c>
      <c r="E4" t="n">
        <v>10</v>
      </c>
      <c r="F4" t="n">
        <v>9</v>
      </c>
      <c r="G4" t="n">
        <v>9</v>
      </c>
      <c r="H4" t="n">
        <v>6</v>
      </c>
      <c r="I4" t="n">
        <v>4</v>
      </c>
      <c r="J4" t="n">
        <v>100</v>
      </c>
      <c r="K4" t="n">
        <v>600</v>
      </c>
    </row>
    <row r="5">
      <c r="A5" t="n">
        <v>15</v>
      </c>
      <c r="B5" t="n">
        <v>4</v>
      </c>
      <c r="C5" t="n">
        <v>6</v>
      </c>
      <c r="D5" t="n">
        <v>11</v>
      </c>
      <c r="E5" t="n">
        <v>12</v>
      </c>
      <c r="F5" t="n">
        <v>10</v>
      </c>
      <c r="G5" t="n">
        <v>6</v>
      </c>
      <c r="H5" t="n">
        <v>15</v>
      </c>
      <c r="I5" t="n">
        <v>5</v>
      </c>
      <c r="J5" t="n">
        <v>300</v>
      </c>
      <c r="K5" t="n">
        <v>800</v>
      </c>
    </row>
    <row r="6">
      <c r="A6" t="n">
        <v>17</v>
      </c>
      <c r="B6" t="n">
        <v>7</v>
      </c>
      <c r="C6" t="n">
        <v>18</v>
      </c>
      <c r="D6" t="n">
        <v>6</v>
      </c>
      <c r="E6" t="n">
        <v>7</v>
      </c>
      <c r="F6" t="n">
        <v>8</v>
      </c>
      <c r="G6" t="n">
        <v>7</v>
      </c>
      <c r="H6" t="n">
        <v>19</v>
      </c>
      <c r="I6" t="n">
        <v>6</v>
      </c>
      <c r="J6" t="n">
        <v>500</v>
      </c>
      <c r="K6" t="n">
        <v>1000</v>
      </c>
    </row>
    <row r="7">
      <c r="A7" t="n">
        <v>20</v>
      </c>
      <c r="B7" t="n">
        <v>7</v>
      </c>
      <c r="C7" t="n">
        <v>18</v>
      </c>
      <c r="D7" t="n">
        <v>2</v>
      </c>
      <c r="E7" t="n">
        <v>17</v>
      </c>
      <c r="F7" t="n">
        <v>11</v>
      </c>
      <c r="G7" t="n">
        <v>10</v>
      </c>
      <c r="H7" t="n">
        <v>18</v>
      </c>
      <c r="I7" t="n">
        <v>6</v>
      </c>
      <c r="J7" t="n">
        <v>700</v>
      </c>
      <c r="K7" t="n">
        <v>1200</v>
      </c>
    </row>
    <row r="8">
      <c r="A8" t="n">
        <v>25</v>
      </c>
      <c r="B8" t="n">
        <v>15</v>
      </c>
      <c r="C8" t="n">
        <v>18</v>
      </c>
      <c r="D8" t="n">
        <v>12</v>
      </c>
      <c r="E8" t="n">
        <v>14</v>
      </c>
      <c r="F8" t="n">
        <v>12</v>
      </c>
      <c r="G8" t="n">
        <v>13</v>
      </c>
      <c r="H8" t="n">
        <v>23</v>
      </c>
      <c r="I8" t="n">
        <v>7</v>
      </c>
      <c r="J8" t="n">
        <v>900</v>
      </c>
      <c r="K8" t="n">
        <v>1400</v>
      </c>
    </row>
    <row r="9">
      <c r="A9" t="n">
        <v>28</v>
      </c>
      <c r="B9" t="n">
        <v>11</v>
      </c>
      <c r="C9" t="n">
        <v>21</v>
      </c>
      <c r="D9" t="n">
        <v>11</v>
      </c>
      <c r="E9" t="n">
        <v>16</v>
      </c>
      <c r="F9" t="n">
        <v>6</v>
      </c>
      <c r="G9" t="n">
        <v>6</v>
      </c>
      <c r="H9" t="n">
        <v>25</v>
      </c>
      <c r="I9" t="n">
        <v>6</v>
      </c>
      <c r="J9" t="n">
        <v>1100</v>
      </c>
      <c r="K9" t="n">
        <v>1600</v>
      </c>
    </row>
    <row r="10">
      <c r="A10" t="n">
        <v>30</v>
      </c>
      <c r="B10" t="n">
        <v>9</v>
      </c>
      <c r="C10" t="n">
        <v>18</v>
      </c>
      <c r="D10" t="n">
        <v>4</v>
      </c>
      <c r="E10" t="n">
        <v>20</v>
      </c>
      <c r="F10" t="n">
        <v>7</v>
      </c>
      <c r="G10" t="n">
        <v>14</v>
      </c>
      <c r="H10" t="n">
        <v>16</v>
      </c>
      <c r="I10" t="n">
        <v>9</v>
      </c>
      <c r="J10" t="n">
        <v>1300</v>
      </c>
      <c r="K10" t="n">
        <v>1800</v>
      </c>
    </row>
    <row r="11">
      <c r="A11" t="n">
        <v>34</v>
      </c>
      <c r="B11" t="n">
        <v>11</v>
      </c>
      <c r="C11" t="n">
        <v>24</v>
      </c>
      <c r="D11" t="n">
        <v>9</v>
      </c>
      <c r="E11" t="n">
        <v>19</v>
      </c>
      <c r="F11" t="n">
        <v>14</v>
      </c>
      <c r="G11" t="n">
        <v>11</v>
      </c>
      <c r="H11" t="n">
        <v>12</v>
      </c>
      <c r="I11" t="n">
        <v>6</v>
      </c>
      <c r="J11" t="n">
        <v>1500</v>
      </c>
      <c r="K11" t="n">
        <v>2000</v>
      </c>
    </row>
    <row r="12">
      <c r="A12" t="n">
        <v>42</v>
      </c>
      <c r="B12" t="n">
        <v>18</v>
      </c>
      <c r="C12" t="n">
        <v>17</v>
      </c>
      <c r="D12" t="n">
        <v>7</v>
      </c>
      <c r="E12" t="n">
        <v>26</v>
      </c>
      <c r="F12" t="n">
        <v>11</v>
      </c>
      <c r="G12" t="n">
        <v>16</v>
      </c>
      <c r="H12" t="n">
        <v>32</v>
      </c>
      <c r="I12" t="n">
        <v>9</v>
      </c>
      <c r="J12" t="n">
        <v>1700</v>
      </c>
      <c r="K12" t="n">
        <v>2200</v>
      </c>
    </row>
    <row r="13">
      <c r="A13" t="n">
        <v>46</v>
      </c>
      <c r="B13" t="n">
        <v>16</v>
      </c>
      <c r="C13" t="n">
        <v>26</v>
      </c>
      <c r="D13" t="n">
        <v>13</v>
      </c>
      <c r="E13" t="n">
        <v>22</v>
      </c>
      <c r="F13" t="n">
        <v>24</v>
      </c>
      <c r="G13" t="n">
        <v>12</v>
      </c>
      <c r="H13" t="n">
        <v>33</v>
      </c>
      <c r="I13" t="n">
        <v>9</v>
      </c>
      <c r="J13" t="n">
        <v>1900</v>
      </c>
      <c r="K13" t="n">
        <v>2400</v>
      </c>
    </row>
    <row r="14">
      <c r="A14" t="n">
        <v>50</v>
      </c>
      <c r="B14" t="n">
        <v>12</v>
      </c>
      <c r="C14" t="n">
        <v>20</v>
      </c>
      <c r="D14" t="n">
        <v>8</v>
      </c>
      <c r="E14" t="n">
        <v>28</v>
      </c>
      <c r="F14" t="n">
        <v>12</v>
      </c>
      <c r="G14" t="n">
        <v>20</v>
      </c>
      <c r="H14" t="n">
        <v>28</v>
      </c>
      <c r="I14" t="n">
        <v>8</v>
      </c>
      <c r="J14" t="n">
        <v>2100</v>
      </c>
      <c r="K14" t="n">
        <v>2600</v>
      </c>
    </row>
    <row r="15">
      <c r="A15" t="n">
        <v>54</v>
      </c>
      <c r="B15" t="n">
        <v>17</v>
      </c>
      <c r="C15" t="n">
        <v>37</v>
      </c>
      <c r="D15" t="n">
        <v>15</v>
      </c>
      <c r="E15" t="n">
        <v>18</v>
      </c>
      <c r="F15" t="n">
        <v>20</v>
      </c>
      <c r="G15" t="n">
        <v>22</v>
      </c>
      <c r="H15" t="n">
        <v>25</v>
      </c>
      <c r="I15" t="n">
        <v>6</v>
      </c>
      <c r="J15" t="n">
        <v>2300</v>
      </c>
      <c r="K15" t="n">
        <v>2800</v>
      </c>
    </row>
    <row r="16">
      <c r="A16" t="n">
        <v>57</v>
      </c>
      <c r="B16" t="n">
        <v>19</v>
      </c>
      <c r="C16" t="n">
        <v>32</v>
      </c>
      <c r="D16" t="n">
        <v>15</v>
      </c>
      <c r="E16" t="n">
        <v>42</v>
      </c>
      <c r="F16" t="n">
        <v>19</v>
      </c>
      <c r="G16" t="n">
        <v>17</v>
      </c>
      <c r="H16" t="n">
        <v>34</v>
      </c>
      <c r="I16" t="n">
        <v>11</v>
      </c>
      <c r="J16" t="n">
        <v>2500</v>
      </c>
      <c r="K16" t="n">
        <v>3000</v>
      </c>
    </row>
    <row r="17">
      <c r="A17" t="n">
        <v>63</v>
      </c>
      <c r="B17" t="n">
        <v>18</v>
      </c>
      <c r="C17" t="n">
        <v>24</v>
      </c>
      <c r="D17" t="n">
        <v>11</v>
      </c>
      <c r="E17" t="n">
        <v>22</v>
      </c>
      <c r="F17" t="n">
        <v>16</v>
      </c>
      <c r="G17" t="n">
        <v>13</v>
      </c>
      <c r="H17" t="n">
        <v>36</v>
      </c>
      <c r="I17" t="n">
        <v>12</v>
      </c>
      <c r="J17" t="n">
        <v>2700</v>
      </c>
      <c r="K17" t="n">
        <v>3200</v>
      </c>
    </row>
    <row r="18">
      <c r="A18" t="n">
        <v>70</v>
      </c>
      <c r="B18" t="n">
        <v>25</v>
      </c>
      <c r="C18" t="n">
        <v>26</v>
      </c>
      <c r="D18" t="n">
        <v>17</v>
      </c>
      <c r="E18" t="n">
        <v>22</v>
      </c>
      <c r="F18" t="n">
        <v>28</v>
      </c>
      <c r="G18" t="n">
        <v>19</v>
      </c>
      <c r="H18" t="n">
        <v>23</v>
      </c>
      <c r="I18" t="n">
        <v>14</v>
      </c>
      <c r="J18" t="n">
        <v>2900</v>
      </c>
      <c r="K18" t="n">
        <v>3400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OPR_CR4</t>
        </is>
      </c>
    </row>
    <row r="2">
      <c r="A2" t="inlineStr">
        <is>
          <t>Part No</t>
        </is>
      </c>
      <c r="B2" t="n">
        <v>4</v>
      </c>
    </row>
    <row r="3">
      <c r="A3" s="14" t="inlineStr">
        <is>
          <t>Size</t>
        </is>
      </c>
      <c r="B3" s="14" t="inlineStr">
        <is>
          <t>CNC</t>
        </is>
      </c>
      <c r="C3" s="14" t="inlineStr">
        <is>
          <t>SPM</t>
        </is>
      </c>
      <c r="D3" s="14" t="inlineStr">
        <is>
          <t>CARVING</t>
        </is>
      </c>
      <c r="E3" s="14" t="inlineStr">
        <is>
          <t>EDM</t>
        </is>
      </c>
      <c r="F3" s="14" t="inlineStr">
        <is>
          <t>ENG</t>
        </is>
      </c>
      <c r="G3" s="14" t="inlineStr">
        <is>
          <t>VENT</t>
        </is>
      </c>
      <c r="H3" s="14" t="inlineStr">
        <is>
          <t>FID</t>
        </is>
      </c>
      <c r="I3" s="14" t="inlineStr">
        <is>
          <t>QC</t>
        </is>
      </c>
      <c r="J3" s="14" t="inlineStr">
        <is>
          <t>Min ID</t>
        </is>
      </c>
      <c r="K3" s="14" t="inlineStr">
        <is>
          <t>Max OD</t>
        </is>
      </c>
    </row>
    <row r="4">
      <c r="A4" t="n">
        <v>9</v>
      </c>
      <c r="B4" t="n">
        <v>5</v>
      </c>
      <c r="C4" t="n">
        <v>13</v>
      </c>
      <c r="D4" t="n">
        <v>5</v>
      </c>
      <c r="E4" t="n">
        <v>9</v>
      </c>
      <c r="F4" t="n">
        <v>2</v>
      </c>
      <c r="G4" t="n">
        <v>7</v>
      </c>
      <c r="H4" t="n">
        <v>13</v>
      </c>
      <c r="I4" t="n">
        <v>3</v>
      </c>
      <c r="J4" t="n">
        <v>100</v>
      </c>
      <c r="K4" t="n">
        <v>600</v>
      </c>
    </row>
    <row r="5">
      <c r="A5" t="n">
        <v>15</v>
      </c>
      <c r="B5" t="n">
        <v>12</v>
      </c>
      <c r="C5" t="n">
        <v>7</v>
      </c>
      <c r="D5" t="n">
        <v>5</v>
      </c>
      <c r="E5" t="n">
        <v>5</v>
      </c>
      <c r="F5" t="n">
        <v>11</v>
      </c>
      <c r="G5" t="n">
        <v>12</v>
      </c>
      <c r="H5" t="n">
        <v>13</v>
      </c>
      <c r="I5" t="n">
        <v>3</v>
      </c>
      <c r="J5" t="n">
        <v>300</v>
      </c>
      <c r="K5" t="n">
        <v>800</v>
      </c>
    </row>
    <row r="6">
      <c r="A6" t="n">
        <v>17</v>
      </c>
      <c r="B6" t="n">
        <v>4</v>
      </c>
      <c r="C6" t="n">
        <v>19</v>
      </c>
      <c r="D6" t="n">
        <v>2</v>
      </c>
      <c r="E6" t="n">
        <v>17</v>
      </c>
      <c r="F6" t="n">
        <v>5</v>
      </c>
      <c r="G6" t="n">
        <v>11</v>
      </c>
      <c r="H6" t="n">
        <v>6</v>
      </c>
      <c r="I6" t="n">
        <v>4</v>
      </c>
      <c r="J6" t="n">
        <v>500</v>
      </c>
      <c r="K6" t="n">
        <v>1000</v>
      </c>
    </row>
    <row r="7">
      <c r="A7" t="n">
        <v>20</v>
      </c>
      <c r="B7" t="n">
        <v>12</v>
      </c>
      <c r="C7" t="n">
        <v>19</v>
      </c>
      <c r="D7" t="n">
        <v>14</v>
      </c>
      <c r="E7" t="n">
        <v>8</v>
      </c>
      <c r="F7" t="n">
        <v>8</v>
      </c>
      <c r="G7" t="n">
        <v>13</v>
      </c>
      <c r="H7" t="n">
        <v>16</v>
      </c>
      <c r="I7" t="n">
        <v>3</v>
      </c>
      <c r="J7" t="n">
        <v>700</v>
      </c>
      <c r="K7" t="n">
        <v>1200</v>
      </c>
    </row>
    <row r="8">
      <c r="A8" t="n">
        <v>25</v>
      </c>
      <c r="B8" t="n">
        <v>7</v>
      </c>
      <c r="C8" t="n">
        <v>17</v>
      </c>
      <c r="D8" t="n">
        <v>5</v>
      </c>
      <c r="E8" t="n">
        <v>13</v>
      </c>
      <c r="F8" t="n">
        <v>11</v>
      </c>
      <c r="G8" t="n">
        <v>13</v>
      </c>
      <c r="H8" t="n">
        <v>18</v>
      </c>
      <c r="I8" t="n">
        <v>7</v>
      </c>
      <c r="J8" t="n">
        <v>900</v>
      </c>
      <c r="K8" t="n">
        <v>1400</v>
      </c>
    </row>
    <row r="9">
      <c r="A9" t="n">
        <v>28</v>
      </c>
      <c r="B9" t="n">
        <v>11</v>
      </c>
      <c r="C9" t="n">
        <v>11</v>
      </c>
      <c r="D9" t="n">
        <v>7</v>
      </c>
      <c r="E9" t="n">
        <v>11</v>
      </c>
      <c r="F9" t="n">
        <v>16</v>
      </c>
      <c r="G9" t="n">
        <v>12</v>
      </c>
      <c r="H9" t="n">
        <v>22</v>
      </c>
      <c r="I9" t="n">
        <v>6</v>
      </c>
      <c r="J9" t="n">
        <v>1100</v>
      </c>
      <c r="K9" t="n">
        <v>1600</v>
      </c>
    </row>
    <row r="10">
      <c r="A10" t="n">
        <v>30</v>
      </c>
      <c r="B10" t="n">
        <v>18</v>
      </c>
      <c r="C10" t="n">
        <v>14</v>
      </c>
      <c r="D10" t="n">
        <v>7</v>
      </c>
      <c r="E10" t="n">
        <v>13</v>
      </c>
      <c r="F10" t="n">
        <v>17</v>
      </c>
      <c r="G10" t="n">
        <v>11</v>
      </c>
      <c r="H10" t="n">
        <v>24</v>
      </c>
      <c r="I10" t="n">
        <v>9</v>
      </c>
      <c r="J10" t="n">
        <v>1300</v>
      </c>
      <c r="K10" t="n">
        <v>1800</v>
      </c>
    </row>
    <row r="11">
      <c r="A11" t="n">
        <v>34</v>
      </c>
      <c r="B11" t="n">
        <v>13</v>
      </c>
      <c r="C11" t="n">
        <v>13</v>
      </c>
      <c r="D11" t="n">
        <v>7</v>
      </c>
      <c r="E11" t="n">
        <v>18</v>
      </c>
      <c r="F11" t="n">
        <v>14</v>
      </c>
      <c r="G11" t="n">
        <v>12</v>
      </c>
      <c r="H11" t="n">
        <v>28</v>
      </c>
      <c r="I11" t="n">
        <v>6</v>
      </c>
      <c r="J11" t="n">
        <v>1500</v>
      </c>
      <c r="K11" t="n">
        <v>2000</v>
      </c>
    </row>
    <row r="12">
      <c r="A12" t="n">
        <v>42</v>
      </c>
      <c r="B12" t="n">
        <v>22</v>
      </c>
      <c r="C12" t="n">
        <v>14</v>
      </c>
      <c r="D12" t="n">
        <v>8</v>
      </c>
      <c r="E12" t="n">
        <v>20</v>
      </c>
      <c r="F12" t="n">
        <v>17</v>
      </c>
      <c r="G12" t="n">
        <v>10</v>
      </c>
      <c r="H12" t="n">
        <v>27</v>
      </c>
      <c r="I12" t="n">
        <v>9</v>
      </c>
      <c r="J12" t="n">
        <v>1700</v>
      </c>
      <c r="K12" t="n">
        <v>2200</v>
      </c>
    </row>
    <row r="13">
      <c r="A13" t="n">
        <v>46</v>
      </c>
      <c r="B13" t="n">
        <v>11</v>
      </c>
      <c r="C13" t="n">
        <v>30</v>
      </c>
      <c r="D13" t="n">
        <v>9</v>
      </c>
      <c r="E13" t="n">
        <v>32</v>
      </c>
      <c r="F13" t="n">
        <v>15</v>
      </c>
      <c r="G13" t="n">
        <v>17</v>
      </c>
      <c r="H13" t="n">
        <v>18</v>
      </c>
      <c r="I13" t="n">
        <v>5</v>
      </c>
      <c r="J13" t="n">
        <v>1900</v>
      </c>
      <c r="K13" t="n">
        <v>2400</v>
      </c>
    </row>
    <row r="14">
      <c r="A14" t="n">
        <v>50</v>
      </c>
      <c r="B14" t="n">
        <v>17</v>
      </c>
      <c r="C14" t="n">
        <v>19</v>
      </c>
      <c r="D14" t="n">
        <v>9</v>
      </c>
      <c r="E14" t="n">
        <v>32</v>
      </c>
      <c r="F14" t="n">
        <v>22</v>
      </c>
      <c r="G14" t="n">
        <v>14</v>
      </c>
      <c r="H14" t="n">
        <v>20</v>
      </c>
      <c r="I14" t="n">
        <v>8</v>
      </c>
      <c r="J14" t="n">
        <v>2100</v>
      </c>
      <c r="K14" t="n">
        <v>2600</v>
      </c>
    </row>
    <row r="15">
      <c r="A15" t="n">
        <v>54</v>
      </c>
      <c r="B15" t="n">
        <v>18</v>
      </c>
      <c r="C15" t="n">
        <v>35</v>
      </c>
      <c r="D15" t="n">
        <v>13</v>
      </c>
      <c r="E15" t="n">
        <v>23</v>
      </c>
      <c r="F15" t="n">
        <v>22</v>
      </c>
      <c r="G15" t="n">
        <v>20</v>
      </c>
      <c r="H15" t="n">
        <v>31</v>
      </c>
      <c r="I15" t="n">
        <v>13</v>
      </c>
      <c r="J15" t="n">
        <v>2300</v>
      </c>
      <c r="K15" t="n">
        <v>2800</v>
      </c>
    </row>
    <row r="16">
      <c r="A16" t="n">
        <v>57</v>
      </c>
      <c r="B16" t="n">
        <v>21</v>
      </c>
      <c r="C16" t="n">
        <v>38</v>
      </c>
      <c r="D16" t="n">
        <v>17</v>
      </c>
      <c r="E16" t="n">
        <v>43</v>
      </c>
      <c r="F16" t="n">
        <v>26</v>
      </c>
      <c r="G16" t="n">
        <v>25</v>
      </c>
      <c r="H16" t="n">
        <v>33</v>
      </c>
      <c r="I16" t="n">
        <v>7</v>
      </c>
      <c r="J16" t="n">
        <v>2500</v>
      </c>
      <c r="K16" t="n">
        <v>3000</v>
      </c>
    </row>
    <row r="17">
      <c r="A17" t="n">
        <v>63</v>
      </c>
      <c r="B17" t="n">
        <v>21</v>
      </c>
      <c r="C17" t="n">
        <v>23</v>
      </c>
      <c r="D17" t="n">
        <v>12</v>
      </c>
      <c r="E17" t="n">
        <v>37</v>
      </c>
      <c r="F17" t="n">
        <v>16</v>
      </c>
      <c r="G17" t="n">
        <v>28</v>
      </c>
      <c r="H17" t="n">
        <v>29</v>
      </c>
      <c r="I17" t="n">
        <v>11</v>
      </c>
      <c r="J17" t="n">
        <v>2700</v>
      </c>
      <c r="K17" t="n">
        <v>3200</v>
      </c>
    </row>
    <row r="18">
      <c r="A18" t="n">
        <v>70</v>
      </c>
      <c r="B18" t="n">
        <v>34</v>
      </c>
      <c r="C18" t="n">
        <v>46</v>
      </c>
      <c r="D18" t="n">
        <v>13</v>
      </c>
      <c r="E18" t="n">
        <v>41</v>
      </c>
      <c r="F18" t="n">
        <v>29</v>
      </c>
      <c r="G18" t="n">
        <v>17</v>
      </c>
      <c r="H18" t="n">
        <v>49</v>
      </c>
      <c r="I18" t="n">
        <v>17</v>
      </c>
      <c r="J18" t="n">
        <v>2900</v>
      </c>
      <c r="K18" t="n">
        <v>3400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OPR_RIM</t>
        </is>
      </c>
    </row>
    <row r="2">
      <c r="A2" t="inlineStr">
        <is>
          <t>Part No</t>
        </is>
      </c>
      <c r="B2" t="n">
        <v>1</v>
      </c>
    </row>
    <row r="3">
      <c r="A3" s="14" t="inlineStr">
        <is>
          <t>Size</t>
        </is>
      </c>
      <c r="B3" s="14" t="inlineStr">
        <is>
          <t>CNC</t>
        </is>
      </c>
      <c r="C3" s="14" t="inlineStr">
        <is>
          <t>SPM</t>
        </is>
      </c>
      <c r="D3" s="14" t="inlineStr">
        <is>
          <t>CARVING</t>
        </is>
      </c>
      <c r="E3" s="14" t="inlineStr">
        <is>
          <t>EDM</t>
        </is>
      </c>
      <c r="F3" s="14" t="inlineStr">
        <is>
          <t>ENG</t>
        </is>
      </c>
      <c r="G3" s="14" t="inlineStr">
        <is>
          <t>VENT</t>
        </is>
      </c>
      <c r="H3" s="14" t="inlineStr">
        <is>
          <t>FID</t>
        </is>
      </c>
      <c r="I3" s="14" t="inlineStr">
        <is>
          <t>QC</t>
        </is>
      </c>
      <c r="J3" s="14" t="inlineStr">
        <is>
          <t>Min ID</t>
        </is>
      </c>
      <c r="K3" s="14" t="inlineStr">
        <is>
          <t>Max OD</t>
        </is>
      </c>
    </row>
    <row r="4">
      <c r="A4" t="n">
        <v>9</v>
      </c>
      <c r="B4" t="n">
        <v>2</v>
      </c>
      <c r="C4" t="n">
        <v>7</v>
      </c>
      <c r="D4" t="n">
        <v>7</v>
      </c>
      <c r="E4" t="n">
        <v>10</v>
      </c>
      <c r="F4" t="n">
        <v>9</v>
      </c>
      <c r="G4" t="n">
        <v>9</v>
      </c>
      <c r="H4" t="n">
        <v>8</v>
      </c>
      <c r="I4" t="n">
        <v>4</v>
      </c>
      <c r="J4" t="n">
        <v>100</v>
      </c>
      <c r="K4" t="n">
        <v>600</v>
      </c>
    </row>
    <row r="5">
      <c r="A5" t="n">
        <v>15</v>
      </c>
      <c r="B5" t="n">
        <v>12</v>
      </c>
      <c r="C5" t="n">
        <v>7</v>
      </c>
      <c r="D5" t="n">
        <v>9</v>
      </c>
      <c r="E5" t="n">
        <v>9</v>
      </c>
      <c r="F5" t="n">
        <v>10</v>
      </c>
      <c r="G5" t="n">
        <v>12</v>
      </c>
      <c r="H5" t="n">
        <v>13</v>
      </c>
      <c r="I5" t="n">
        <v>4</v>
      </c>
      <c r="J5" t="n">
        <v>300</v>
      </c>
      <c r="K5" t="n">
        <v>800</v>
      </c>
    </row>
    <row r="6">
      <c r="A6" t="n">
        <v>17</v>
      </c>
      <c r="B6" t="n">
        <v>8</v>
      </c>
      <c r="C6" t="n">
        <v>18</v>
      </c>
      <c r="D6" t="n">
        <v>5</v>
      </c>
      <c r="E6" t="n">
        <v>6</v>
      </c>
      <c r="F6" t="n">
        <v>10</v>
      </c>
      <c r="G6" t="n">
        <v>5</v>
      </c>
      <c r="H6" t="n">
        <v>16</v>
      </c>
      <c r="I6" t="n">
        <v>2</v>
      </c>
      <c r="J6" t="n">
        <v>500</v>
      </c>
      <c r="K6" t="n">
        <v>1000</v>
      </c>
    </row>
    <row r="7">
      <c r="A7" t="n">
        <v>20</v>
      </c>
      <c r="B7" t="n">
        <v>8</v>
      </c>
      <c r="C7" t="n">
        <v>12</v>
      </c>
      <c r="D7" t="n">
        <v>12</v>
      </c>
      <c r="E7" t="n">
        <v>13</v>
      </c>
      <c r="F7" t="n">
        <v>14</v>
      </c>
      <c r="G7" t="n">
        <v>13</v>
      </c>
      <c r="H7" t="n">
        <v>17</v>
      </c>
      <c r="I7" t="n">
        <v>5</v>
      </c>
      <c r="J7" t="n">
        <v>700</v>
      </c>
      <c r="K7" t="n">
        <v>1200</v>
      </c>
    </row>
    <row r="8">
      <c r="A8" t="n">
        <v>25</v>
      </c>
      <c r="B8" t="n">
        <v>14</v>
      </c>
      <c r="C8" t="n">
        <v>21</v>
      </c>
      <c r="D8" t="n">
        <v>8</v>
      </c>
      <c r="E8" t="n">
        <v>21</v>
      </c>
      <c r="F8" t="n">
        <v>11</v>
      </c>
      <c r="G8" t="n">
        <v>13</v>
      </c>
      <c r="H8" t="n">
        <v>24</v>
      </c>
      <c r="I8" t="n">
        <v>5</v>
      </c>
      <c r="J8" t="n">
        <v>900</v>
      </c>
      <c r="K8" t="n">
        <v>1400</v>
      </c>
    </row>
    <row r="9">
      <c r="A9" t="n">
        <v>28</v>
      </c>
      <c r="B9" t="n">
        <v>10</v>
      </c>
      <c r="C9" t="n">
        <v>12</v>
      </c>
      <c r="D9" t="n">
        <v>13</v>
      </c>
      <c r="E9" t="n">
        <v>22</v>
      </c>
      <c r="F9" t="n">
        <v>15</v>
      </c>
      <c r="G9" t="n">
        <v>17</v>
      </c>
      <c r="H9" t="n">
        <v>21</v>
      </c>
      <c r="I9" t="n">
        <v>3</v>
      </c>
      <c r="J9" t="n">
        <v>1100</v>
      </c>
      <c r="K9" t="n">
        <v>1600</v>
      </c>
    </row>
    <row r="10">
      <c r="A10" t="n">
        <v>30</v>
      </c>
      <c r="B10" t="n">
        <v>16</v>
      </c>
      <c r="C10" t="n">
        <v>23</v>
      </c>
      <c r="D10" t="n">
        <v>15</v>
      </c>
      <c r="E10" t="n">
        <v>24</v>
      </c>
      <c r="F10" t="n">
        <v>8</v>
      </c>
      <c r="G10" t="n">
        <v>14</v>
      </c>
      <c r="H10" t="n">
        <v>24</v>
      </c>
      <c r="I10" t="n">
        <v>8</v>
      </c>
      <c r="J10" t="n">
        <v>1300</v>
      </c>
      <c r="K10" t="n">
        <v>1800</v>
      </c>
    </row>
    <row r="11">
      <c r="A11" t="n">
        <v>34</v>
      </c>
      <c r="B11" t="n">
        <v>18</v>
      </c>
      <c r="C11" t="n">
        <v>13</v>
      </c>
      <c r="D11" t="n">
        <v>7</v>
      </c>
      <c r="E11" t="n">
        <v>22</v>
      </c>
      <c r="F11" t="n">
        <v>17</v>
      </c>
      <c r="G11" t="n">
        <v>19</v>
      </c>
      <c r="H11" t="n">
        <v>22</v>
      </c>
      <c r="I11" t="n">
        <v>4</v>
      </c>
      <c r="J11" t="n">
        <v>1500</v>
      </c>
      <c r="K11" t="n">
        <v>2000</v>
      </c>
    </row>
    <row r="12">
      <c r="A12" t="n">
        <v>42</v>
      </c>
      <c r="B12" t="n">
        <v>17</v>
      </c>
      <c r="C12" t="n">
        <v>29</v>
      </c>
      <c r="D12" t="n">
        <v>14</v>
      </c>
      <c r="E12" t="n">
        <v>24</v>
      </c>
      <c r="F12" t="n">
        <v>22</v>
      </c>
      <c r="G12" t="n">
        <v>9</v>
      </c>
      <c r="H12" t="n">
        <v>19</v>
      </c>
      <c r="I12" t="n">
        <v>11</v>
      </c>
      <c r="J12" t="n">
        <v>1700</v>
      </c>
      <c r="K12" t="n">
        <v>2200</v>
      </c>
    </row>
    <row r="13">
      <c r="A13" t="n">
        <v>46</v>
      </c>
      <c r="B13" t="n">
        <v>22</v>
      </c>
      <c r="C13" t="n">
        <v>25</v>
      </c>
      <c r="D13" t="n">
        <v>17</v>
      </c>
      <c r="E13" t="n">
        <v>21</v>
      </c>
      <c r="F13" t="n">
        <v>10</v>
      </c>
      <c r="G13" t="n">
        <v>12</v>
      </c>
      <c r="H13" t="n">
        <v>30</v>
      </c>
      <c r="I13" t="n">
        <v>8</v>
      </c>
      <c r="J13" t="n">
        <v>1900</v>
      </c>
      <c r="K13" t="n">
        <v>2400</v>
      </c>
    </row>
    <row r="14">
      <c r="A14" t="n">
        <v>50</v>
      </c>
      <c r="B14" t="n">
        <v>22</v>
      </c>
      <c r="C14" t="n">
        <v>25</v>
      </c>
      <c r="D14" t="n">
        <v>9</v>
      </c>
      <c r="E14" t="n">
        <v>24</v>
      </c>
      <c r="F14" t="n">
        <v>21</v>
      </c>
      <c r="G14" t="n">
        <v>18</v>
      </c>
      <c r="H14" t="n">
        <v>20</v>
      </c>
      <c r="I14" t="n">
        <v>6</v>
      </c>
      <c r="J14" t="n">
        <v>2100</v>
      </c>
      <c r="K14" t="n">
        <v>2600</v>
      </c>
    </row>
    <row r="15">
      <c r="A15" t="n">
        <v>54</v>
      </c>
      <c r="B15" t="n">
        <v>18</v>
      </c>
      <c r="C15" t="n">
        <v>36</v>
      </c>
      <c r="D15" t="n">
        <v>14</v>
      </c>
      <c r="E15" t="n">
        <v>33</v>
      </c>
      <c r="F15" t="n">
        <v>12</v>
      </c>
      <c r="G15" t="n">
        <v>16</v>
      </c>
      <c r="H15" t="n">
        <v>36</v>
      </c>
      <c r="I15" t="n">
        <v>10</v>
      </c>
      <c r="J15" t="n">
        <v>2300</v>
      </c>
      <c r="K15" t="n">
        <v>2800</v>
      </c>
    </row>
    <row r="16">
      <c r="A16" t="n">
        <v>57</v>
      </c>
      <c r="B16" t="n">
        <v>20</v>
      </c>
      <c r="C16" t="n">
        <v>29</v>
      </c>
      <c r="D16" t="n">
        <v>17</v>
      </c>
      <c r="E16" t="n">
        <v>39</v>
      </c>
      <c r="F16" t="n">
        <v>24</v>
      </c>
      <c r="G16" t="n">
        <v>20</v>
      </c>
      <c r="H16" t="n">
        <v>22</v>
      </c>
      <c r="I16" t="n">
        <v>10</v>
      </c>
      <c r="J16" t="n">
        <v>2500</v>
      </c>
      <c r="K16" t="n">
        <v>3000</v>
      </c>
    </row>
    <row r="17">
      <c r="A17" t="n">
        <v>63</v>
      </c>
      <c r="B17" t="n">
        <v>25</v>
      </c>
      <c r="C17" t="n">
        <v>20</v>
      </c>
      <c r="D17" t="n">
        <v>11</v>
      </c>
      <c r="E17" t="n">
        <v>31</v>
      </c>
      <c r="F17" t="n">
        <v>25</v>
      </c>
      <c r="G17" t="n">
        <v>16</v>
      </c>
      <c r="H17" t="n">
        <v>22</v>
      </c>
      <c r="I17" t="n">
        <v>11</v>
      </c>
      <c r="J17" t="n">
        <v>2700</v>
      </c>
      <c r="K17" t="n">
        <v>3200</v>
      </c>
    </row>
    <row r="18">
      <c r="A18" t="n">
        <v>70</v>
      </c>
      <c r="B18" t="n">
        <v>31</v>
      </c>
      <c r="C18" t="n">
        <v>43</v>
      </c>
      <c r="D18" t="n">
        <v>12</v>
      </c>
      <c r="E18" t="n">
        <v>23</v>
      </c>
      <c r="F18" t="n">
        <v>22</v>
      </c>
      <c r="G18" t="n">
        <v>17</v>
      </c>
      <c r="H18" t="n">
        <v>22</v>
      </c>
      <c r="I18" t="n">
        <v>17</v>
      </c>
      <c r="J18" t="n">
        <v>2900</v>
      </c>
      <c r="K18" t="n">
        <v>3400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OPR_BPR</t>
        </is>
      </c>
    </row>
    <row r="2">
      <c r="A2" t="inlineStr">
        <is>
          <t>Part No</t>
        </is>
      </c>
      <c r="B2" t="n">
        <v>2</v>
      </c>
    </row>
    <row r="3">
      <c r="A3" s="14" t="inlineStr">
        <is>
          <t>Size</t>
        </is>
      </c>
      <c r="B3" s="14" t="inlineStr">
        <is>
          <t>CNC</t>
        </is>
      </c>
      <c r="C3" s="14" t="inlineStr">
        <is>
          <t>SPM</t>
        </is>
      </c>
      <c r="D3" s="14" t="inlineStr">
        <is>
          <t>CARVING</t>
        </is>
      </c>
      <c r="E3" s="14" t="inlineStr">
        <is>
          <t>EDM</t>
        </is>
      </c>
      <c r="F3" s="14" t="inlineStr">
        <is>
          <t>ENG</t>
        </is>
      </c>
      <c r="G3" s="14" t="inlineStr">
        <is>
          <t>VENT</t>
        </is>
      </c>
      <c r="H3" s="14" t="inlineStr">
        <is>
          <t>FID</t>
        </is>
      </c>
      <c r="I3" s="14" t="inlineStr">
        <is>
          <t>QC</t>
        </is>
      </c>
      <c r="J3" s="14" t="inlineStr">
        <is>
          <t>Min ID</t>
        </is>
      </c>
      <c r="K3" s="14" t="inlineStr">
        <is>
          <t>Max OD</t>
        </is>
      </c>
    </row>
    <row r="4">
      <c r="A4" t="n">
        <v>9</v>
      </c>
      <c r="B4" t="n">
        <v>5</v>
      </c>
      <c r="C4" t="n">
        <v>13</v>
      </c>
      <c r="D4" t="n">
        <v>9</v>
      </c>
      <c r="E4" t="n">
        <v>9</v>
      </c>
      <c r="F4" t="n">
        <v>4</v>
      </c>
      <c r="G4" t="n">
        <v>6</v>
      </c>
      <c r="H4" t="n">
        <v>8</v>
      </c>
      <c r="I4" t="n">
        <v>2</v>
      </c>
      <c r="J4" t="n">
        <v>100</v>
      </c>
      <c r="K4" t="n">
        <v>600</v>
      </c>
    </row>
    <row r="5">
      <c r="A5" t="n">
        <v>15</v>
      </c>
      <c r="B5" t="n">
        <v>6</v>
      </c>
      <c r="C5" t="n">
        <v>12</v>
      </c>
      <c r="D5" t="n">
        <v>8</v>
      </c>
      <c r="E5" t="n">
        <v>12</v>
      </c>
      <c r="F5" t="n">
        <v>12</v>
      </c>
      <c r="G5" t="n">
        <v>10</v>
      </c>
      <c r="H5" t="n">
        <v>12</v>
      </c>
      <c r="I5" t="n">
        <v>6</v>
      </c>
      <c r="J5" t="n">
        <v>300</v>
      </c>
      <c r="K5" t="n">
        <v>800</v>
      </c>
    </row>
    <row r="6">
      <c r="A6" t="n">
        <v>17</v>
      </c>
      <c r="B6" t="n">
        <v>10</v>
      </c>
      <c r="C6" t="n">
        <v>12</v>
      </c>
      <c r="D6" t="n">
        <v>7</v>
      </c>
      <c r="E6" t="n">
        <v>11</v>
      </c>
      <c r="F6" t="n">
        <v>4</v>
      </c>
      <c r="G6" t="n">
        <v>4</v>
      </c>
      <c r="H6" t="n">
        <v>17</v>
      </c>
      <c r="I6" t="n">
        <v>3</v>
      </c>
      <c r="J6" t="n">
        <v>500</v>
      </c>
      <c r="K6" t="n">
        <v>1000</v>
      </c>
    </row>
    <row r="7">
      <c r="A7" t="n">
        <v>20</v>
      </c>
      <c r="B7" t="n">
        <v>14</v>
      </c>
      <c r="C7" t="n">
        <v>15</v>
      </c>
      <c r="D7" t="n">
        <v>14</v>
      </c>
      <c r="E7" t="n">
        <v>18</v>
      </c>
      <c r="F7" t="n">
        <v>5</v>
      </c>
      <c r="G7" t="n">
        <v>14</v>
      </c>
      <c r="H7" t="n">
        <v>7</v>
      </c>
      <c r="I7" t="n">
        <v>7</v>
      </c>
      <c r="J7" t="n">
        <v>700</v>
      </c>
      <c r="K7" t="n">
        <v>1200</v>
      </c>
    </row>
    <row r="8">
      <c r="A8" t="n">
        <v>25</v>
      </c>
      <c r="B8" t="n">
        <v>7</v>
      </c>
      <c r="C8" t="n">
        <v>13</v>
      </c>
      <c r="D8" t="n">
        <v>13</v>
      </c>
      <c r="E8" t="n">
        <v>15</v>
      </c>
      <c r="F8" t="n">
        <v>13</v>
      </c>
      <c r="G8" t="n">
        <v>16</v>
      </c>
      <c r="H8" t="n">
        <v>19</v>
      </c>
      <c r="I8" t="n">
        <v>7</v>
      </c>
      <c r="J8" t="n">
        <v>900</v>
      </c>
      <c r="K8" t="n">
        <v>1400</v>
      </c>
    </row>
    <row r="9">
      <c r="A9" t="n">
        <v>28</v>
      </c>
      <c r="B9" t="n">
        <v>12</v>
      </c>
      <c r="C9" t="n">
        <v>20</v>
      </c>
      <c r="D9" t="n">
        <v>12</v>
      </c>
      <c r="E9" t="n">
        <v>22</v>
      </c>
      <c r="F9" t="n">
        <v>14</v>
      </c>
      <c r="G9" t="n">
        <v>17</v>
      </c>
      <c r="H9" t="n">
        <v>13</v>
      </c>
      <c r="I9" t="n">
        <v>6</v>
      </c>
      <c r="J9" t="n">
        <v>1100</v>
      </c>
      <c r="K9" t="n">
        <v>1600</v>
      </c>
    </row>
    <row r="10">
      <c r="A10" t="n">
        <v>30</v>
      </c>
      <c r="B10" t="n">
        <v>10</v>
      </c>
      <c r="C10" t="n">
        <v>27</v>
      </c>
      <c r="D10" t="n">
        <v>6</v>
      </c>
      <c r="E10" t="n">
        <v>18</v>
      </c>
      <c r="F10" t="n">
        <v>8</v>
      </c>
      <c r="G10" t="n">
        <v>17</v>
      </c>
      <c r="H10" t="n">
        <v>23</v>
      </c>
      <c r="I10" t="n">
        <v>8</v>
      </c>
      <c r="J10" t="n">
        <v>1300</v>
      </c>
      <c r="K10" t="n">
        <v>1800</v>
      </c>
    </row>
    <row r="11">
      <c r="A11" t="n">
        <v>34</v>
      </c>
      <c r="B11" t="n">
        <v>19</v>
      </c>
      <c r="C11" t="n">
        <v>19</v>
      </c>
      <c r="D11" t="n">
        <v>16</v>
      </c>
      <c r="E11" t="n">
        <v>22</v>
      </c>
      <c r="F11" t="n">
        <v>9</v>
      </c>
      <c r="G11" t="n">
        <v>19</v>
      </c>
      <c r="H11" t="n">
        <v>13</v>
      </c>
      <c r="I11" t="n">
        <v>6</v>
      </c>
      <c r="J11" t="n">
        <v>1500</v>
      </c>
      <c r="K11" t="n">
        <v>2000</v>
      </c>
    </row>
    <row r="12">
      <c r="A12" t="n">
        <v>42</v>
      </c>
      <c r="B12" t="n">
        <v>21</v>
      </c>
      <c r="C12" t="n">
        <v>26</v>
      </c>
      <c r="D12" t="n">
        <v>12</v>
      </c>
      <c r="E12" t="n">
        <v>20</v>
      </c>
      <c r="F12" t="n">
        <v>20</v>
      </c>
      <c r="G12" t="n">
        <v>18</v>
      </c>
      <c r="H12" t="n">
        <v>17</v>
      </c>
      <c r="I12" t="n">
        <v>10</v>
      </c>
      <c r="J12" t="n">
        <v>1700</v>
      </c>
      <c r="K12" t="n">
        <v>2200</v>
      </c>
    </row>
    <row r="13">
      <c r="A13" t="n">
        <v>46</v>
      </c>
      <c r="B13" t="n">
        <v>10</v>
      </c>
      <c r="C13" t="n">
        <v>21</v>
      </c>
      <c r="D13" t="n">
        <v>3</v>
      </c>
      <c r="E13" t="n">
        <v>23</v>
      </c>
      <c r="F13" t="n">
        <v>24</v>
      </c>
      <c r="G13" t="n">
        <v>17</v>
      </c>
      <c r="H13" t="n">
        <v>32</v>
      </c>
      <c r="I13" t="n">
        <v>8</v>
      </c>
      <c r="J13" t="n">
        <v>1900</v>
      </c>
      <c r="K13" t="n">
        <v>2400</v>
      </c>
    </row>
    <row r="14">
      <c r="A14" t="n">
        <v>50</v>
      </c>
      <c r="B14" t="n">
        <v>15</v>
      </c>
      <c r="C14" t="n">
        <v>38</v>
      </c>
      <c r="D14" t="n">
        <v>8</v>
      </c>
      <c r="E14" t="n">
        <v>29</v>
      </c>
      <c r="F14" t="n">
        <v>24</v>
      </c>
      <c r="G14" t="n">
        <v>15</v>
      </c>
      <c r="H14" t="n">
        <v>27</v>
      </c>
      <c r="I14" t="n">
        <v>13</v>
      </c>
      <c r="J14" t="n">
        <v>2100</v>
      </c>
      <c r="K14" t="n">
        <v>2600</v>
      </c>
    </row>
    <row r="15">
      <c r="A15" t="n">
        <v>54</v>
      </c>
      <c r="B15" t="n">
        <v>15</v>
      </c>
      <c r="C15" t="n">
        <v>29</v>
      </c>
      <c r="D15" t="n">
        <v>5</v>
      </c>
      <c r="E15" t="n">
        <v>25</v>
      </c>
      <c r="F15" t="n">
        <v>16</v>
      </c>
      <c r="G15" t="n">
        <v>24</v>
      </c>
      <c r="H15" t="n">
        <v>18</v>
      </c>
      <c r="I15" t="n">
        <v>7</v>
      </c>
      <c r="J15" t="n">
        <v>2300</v>
      </c>
      <c r="K15" t="n">
        <v>2800</v>
      </c>
    </row>
    <row r="16">
      <c r="A16" t="n">
        <v>57</v>
      </c>
      <c r="B16" t="n">
        <v>14</v>
      </c>
      <c r="C16" t="n">
        <v>22</v>
      </c>
      <c r="D16" t="n">
        <v>9</v>
      </c>
      <c r="E16" t="n">
        <v>41</v>
      </c>
      <c r="F16" t="n">
        <v>23</v>
      </c>
      <c r="G16" t="n">
        <v>13</v>
      </c>
      <c r="H16" t="n">
        <v>28</v>
      </c>
      <c r="I16" t="n">
        <v>9</v>
      </c>
      <c r="J16" t="n">
        <v>2500</v>
      </c>
      <c r="K16" t="n">
        <v>3000</v>
      </c>
    </row>
    <row r="17">
      <c r="A17" t="n">
        <v>63</v>
      </c>
      <c r="B17" t="n">
        <v>29</v>
      </c>
      <c r="C17" t="n">
        <v>43</v>
      </c>
      <c r="D17" t="n">
        <v>15</v>
      </c>
      <c r="E17" t="n">
        <v>40</v>
      </c>
      <c r="F17" t="n">
        <v>22</v>
      </c>
      <c r="G17" t="n">
        <v>29</v>
      </c>
      <c r="H17" t="n">
        <v>31</v>
      </c>
      <c r="I17" t="n">
        <v>13</v>
      </c>
      <c r="J17" t="n">
        <v>2700</v>
      </c>
      <c r="K17" t="n">
        <v>3200</v>
      </c>
    </row>
    <row r="18">
      <c r="A18" t="n">
        <v>70</v>
      </c>
      <c r="B18" t="n">
        <v>15</v>
      </c>
      <c r="C18" t="n">
        <v>34</v>
      </c>
      <c r="D18" t="n">
        <v>9</v>
      </c>
      <c r="E18" t="n">
        <v>37</v>
      </c>
      <c r="F18" t="n">
        <v>15</v>
      </c>
      <c r="G18" t="n">
        <v>16</v>
      </c>
      <c r="H18" t="n">
        <v>28</v>
      </c>
      <c r="I18" t="n">
        <v>12</v>
      </c>
      <c r="J18" t="n">
        <v>2900</v>
      </c>
      <c r="K18" t="n">
        <v>3400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M14"/>
  <sheetViews>
    <sheetView workbookViewId="0">
      <selection activeCell="A1" sqref="A1"/>
    </sheetView>
  </sheetViews>
  <sheetFormatPr baseColWidth="8" defaultRowHeight="15"/>
  <sheetData>
    <row r="2">
      <c r="H2" t="inlineStr">
        <is>
          <t>Lunch/Tea Break hrs</t>
        </is>
      </c>
      <c r="I2" t="n">
        <v>0.8</v>
      </c>
    </row>
    <row r="3">
      <c r="A3" t="inlineStr">
        <is>
          <t>Shift</t>
        </is>
      </c>
      <c r="B3" t="inlineStr">
        <is>
          <t>Category</t>
        </is>
      </c>
      <c r="C3" t="inlineStr">
        <is>
          <t>Start</t>
        </is>
      </c>
      <c r="D3" t="inlineStr">
        <is>
          <t>End</t>
        </is>
      </c>
      <c r="E3" t="inlineStr">
        <is>
          <t>String</t>
        </is>
      </c>
      <c r="F3" t="inlineStr">
        <is>
          <t>Gen Qty</t>
        </is>
      </c>
      <c r="G3" t="inlineStr">
        <is>
          <t>Cont Qty</t>
        </is>
      </c>
      <c r="H3" t="inlineStr">
        <is>
          <t>Net Hrs</t>
        </is>
      </c>
      <c r="I3" t="inlineStr">
        <is>
          <t>Avl hrs</t>
        </is>
      </c>
    </row>
    <row r="4">
      <c r="A4" t="inlineStr">
        <is>
          <t>Shift A</t>
        </is>
      </c>
      <c r="B4" t="inlineStr">
        <is>
          <t>General Workman</t>
        </is>
      </c>
      <c r="C4" s="18" t="n">
        <v>0.2916666666666667</v>
      </c>
      <c r="D4" s="18" t="n">
        <v>0.625</v>
      </c>
      <c r="E4" t="inlineStr">
        <is>
          <t>07:00 – 15:00</t>
        </is>
      </c>
      <c r="F4" t="n">
        <v>40</v>
      </c>
      <c r="G4" t="n">
        <v>0</v>
      </c>
      <c r="H4" t="n">
        <v>8</v>
      </c>
      <c r="I4" t="n">
        <v>7.2</v>
      </c>
      <c r="J4" t="inlineStr">
        <is>
          <t>General Workman</t>
        </is>
      </c>
      <c r="K4" t="n">
        <v>21.6</v>
      </c>
      <c r="L4" t="inlineStr">
        <is>
          <t>BR1</t>
        </is>
      </c>
      <c r="M4" t="n">
        <v>9</v>
      </c>
    </row>
    <row r="5">
      <c r="A5" t="inlineStr">
        <is>
          <t>Shift B</t>
        </is>
      </c>
      <c r="B5" t="inlineStr">
        <is>
          <t>General Workman</t>
        </is>
      </c>
      <c r="C5" s="18" t="n">
        <v>0.625</v>
      </c>
      <c r="D5" s="18" t="n">
        <v>0.9583333333333334</v>
      </c>
      <c r="E5" t="inlineStr">
        <is>
          <t>15:00 – 23:00</t>
        </is>
      </c>
      <c r="F5" t="n">
        <v>40</v>
      </c>
      <c r="G5" t="n">
        <v>0</v>
      </c>
      <c r="H5" t="n">
        <v>8</v>
      </c>
      <c r="I5" t="n">
        <v>7.2</v>
      </c>
      <c r="J5" t="inlineStr">
        <is>
          <t>Contract Workman</t>
        </is>
      </c>
      <c r="K5" t="n">
        <v>22.4</v>
      </c>
      <c r="L5" t="inlineStr">
        <is>
          <t>BR2</t>
        </is>
      </c>
      <c r="M5" t="n">
        <v>15</v>
      </c>
    </row>
    <row r="6">
      <c r="A6" t="inlineStr">
        <is>
          <t>Shift C</t>
        </is>
      </c>
      <c r="B6" t="inlineStr">
        <is>
          <t>General Workman</t>
        </is>
      </c>
      <c r="C6" s="18" t="n">
        <v>0.9583333333333334</v>
      </c>
      <c r="D6" s="18" t="n">
        <v>0.2916666666666667</v>
      </c>
      <c r="E6" t="inlineStr">
        <is>
          <t>23:00 – 07:00</t>
        </is>
      </c>
      <c r="F6" t="n">
        <v>40</v>
      </c>
      <c r="G6" t="n">
        <v>0</v>
      </c>
      <c r="H6" t="n">
        <v>8</v>
      </c>
      <c r="I6" t="n">
        <v>7.2</v>
      </c>
      <c r="L6" t="inlineStr">
        <is>
          <t>CR2</t>
        </is>
      </c>
      <c r="M6" t="n">
        <v>17</v>
      </c>
    </row>
    <row r="7">
      <c r="A7" t="inlineStr">
        <is>
          <t>Shift S1</t>
        </is>
      </c>
      <c r="B7" t="inlineStr">
        <is>
          <t>Contract Workman</t>
        </is>
      </c>
      <c r="C7" s="18" t="n">
        <v>0.3333333333333333</v>
      </c>
      <c r="D7" s="18" t="n">
        <v>0.8333333333333334</v>
      </c>
      <c r="E7" t="inlineStr">
        <is>
          <t>08:00 – 20:00</t>
        </is>
      </c>
      <c r="F7" t="n">
        <v>0</v>
      </c>
      <c r="G7" t="n">
        <v>60</v>
      </c>
      <c r="H7" t="n">
        <v>12</v>
      </c>
      <c r="I7" t="n">
        <v>11.2</v>
      </c>
      <c r="J7" t="inlineStr">
        <is>
          <t>Global Start</t>
        </is>
      </c>
      <c r="K7" s="19" t="n">
        <v>46113.29166666666</v>
      </c>
      <c r="L7" t="inlineStr">
        <is>
          <t>CR3</t>
        </is>
      </c>
      <c r="M7" t="n">
        <v>20</v>
      </c>
    </row>
    <row r="8">
      <c r="A8" t="inlineStr">
        <is>
          <t>Shift S2</t>
        </is>
      </c>
      <c r="B8" t="inlineStr">
        <is>
          <t>Contract Workman</t>
        </is>
      </c>
      <c r="C8" s="18" t="n">
        <v>0.8333333333333334</v>
      </c>
      <c r="D8" s="18" t="n">
        <v>0.3333333333333333</v>
      </c>
      <c r="E8" t="inlineStr">
        <is>
          <t>20:00 – 08:00</t>
        </is>
      </c>
      <c r="F8" t="n">
        <v>0</v>
      </c>
      <c r="G8" t="n">
        <v>60</v>
      </c>
      <c r="H8" t="n">
        <v>12</v>
      </c>
      <c r="I8" t="n">
        <v>11.2</v>
      </c>
      <c r="L8" t="inlineStr">
        <is>
          <t>CR4</t>
        </is>
      </c>
      <c r="M8" t="n">
        <v>25</v>
      </c>
    </row>
    <row r="9">
      <c r="L9" t="inlineStr">
        <is>
          <t>RIM</t>
        </is>
      </c>
      <c r="M9" t="n">
        <v>28</v>
      </c>
    </row>
    <row r="10">
      <c r="L10" t="inlineStr">
        <is>
          <t>BPR</t>
        </is>
      </c>
      <c r="M10" t="n">
        <v>30</v>
      </c>
    </row>
    <row r="11">
      <c r="M11" t="n">
        <v>34</v>
      </c>
    </row>
    <row r="12">
      <c r="M12" t="n">
        <v>42</v>
      </c>
    </row>
    <row r="13">
      <c r="M13" t="n">
        <v>46</v>
      </c>
    </row>
    <row r="14">
      <c r="M14" t="n">
        <v>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3:J94"/>
  <sheetViews>
    <sheetView workbookViewId="0">
      <selection activeCell="A1" sqref="A1"/>
    </sheetView>
  </sheetViews>
  <sheetFormatPr baseColWidth="8" defaultRowHeight="15"/>
  <sheetData>
    <row r="3">
      <c r="A3" s="20" t="inlineStr">
        <is>
          <t>Operation</t>
        </is>
      </c>
      <c r="B3" s="20" t="inlineStr">
        <is>
          <t>Machine ID</t>
        </is>
      </c>
      <c r="C3" s="20" t="inlineStr">
        <is>
          <t>Next PM Date</t>
        </is>
      </c>
      <c r="D3" s="20" t="inlineStr">
        <is>
          <t>Dur</t>
        </is>
      </c>
      <c r="E3" s="20" t="inlineStr">
        <is>
          <t>Freq</t>
        </is>
      </c>
      <c r="F3" s="20" t="inlineStr">
        <is>
          <t>Status</t>
        </is>
      </c>
      <c r="G3" s="20" t="inlineStr">
        <is>
          <t>Worker Category</t>
        </is>
      </c>
      <c r="H3" t="inlineStr">
        <is>
          <t>Machine Min ID Limit</t>
        </is>
      </c>
      <c r="I3" t="inlineStr">
        <is>
          <t>Machine Max OD Limit (New)</t>
        </is>
      </c>
      <c r="J3" t="inlineStr">
        <is>
          <t>Compatible Size Range</t>
        </is>
      </c>
    </row>
    <row r="4">
      <c r="A4" t="inlineStr">
        <is>
          <t>VTL</t>
        </is>
      </c>
      <c r="B4" t="inlineStr">
        <is>
          <t>VTL-MC-01</t>
        </is>
      </c>
      <c r="C4" s="19" t="n">
        <v>46133</v>
      </c>
      <c r="D4" t="n">
        <v>6</v>
      </c>
      <c r="E4" t="n">
        <v>4</v>
      </c>
      <c r="F4" t="inlineStr">
        <is>
          <t>Active</t>
        </is>
      </c>
      <c r="G4" s="21" t="inlineStr">
        <is>
          <t>General Workman</t>
        </is>
      </c>
      <c r="H4" t="n">
        <v>100</v>
      </c>
      <c r="I4" t="n">
        <v>1600</v>
      </c>
      <c r="J4" t="inlineStr">
        <is>
          <t>9, 15, 17, 20, 25, 28</t>
        </is>
      </c>
    </row>
    <row r="5">
      <c r="A5" t="inlineStr">
        <is>
          <t>VTL</t>
        </is>
      </c>
      <c r="B5" t="inlineStr">
        <is>
          <t>VTL-MC-02</t>
        </is>
      </c>
      <c r="C5" s="19" t="n">
        <v>46521</v>
      </c>
      <c r="D5" t="n">
        <v>6</v>
      </c>
      <c r="E5" t="n">
        <v>4</v>
      </c>
      <c r="F5" t="inlineStr">
        <is>
          <t>Active</t>
        </is>
      </c>
      <c r="G5" s="21" t="inlineStr">
        <is>
          <t>General Workman</t>
        </is>
      </c>
      <c r="H5" t="n">
        <v>600</v>
      </c>
      <c r="I5" t="n">
        <v>2500</v>
      </c>
      <c r="J5" t="inlineStr">
        <is>
          <t>20, 25, 28, 30, 34, 42, 46</t>
        </is>
      </c>
    </row>
    <row r="6">
      <c r="A6" t="inlineStr">
        <is>
          <t>VTL</t>
        </is>
      </c>
      <c r="B6" t="inlineStr">
        <is>
          <t>VTL-MC-03</t>
        </is>
      </c>
      <c r="C6" s="19" t="n">
        <v>46174</v>
      </c>
      <c r="D6" t="n">
        <v>6</v>
      </c>
      <c r="E6" t="n">
        <v>4</v>
      </c>
      <c r="F6" t="inlineStr">
        <is>
          <t>Active</t>
        </is>
      </c>
      <c r="G6" s="21" t="inlineStr">
        <is>
          <t>General Workman</t>
        </is>
      </c>
      <c r="H6" t="n">
        <v>800</v>
      </c>
      <c r="I6" t="n">
        <v>3500</v>
      </c>
      <c r="J6" t="inlineStr">
        <is>
          <t>25, 28, 30, 34, 42, 46, 50, 54, 57, 63, 70</t>
        </is>
      </c>
    </row>
    <row r="7">
      <c r="A7" t="inlineStr">
        <is>
          <t>VTL</t>
        </is>
      </c>
      <c r="B7" t="inlineStr">
        <is>
          <t>VTL-MC-04</t>
        </is>
      </c>
      <c r="C7" s="19" t="n">
        <v>46517</v>
      </c>
      <c r="D7" t="n">
        <v>6</v>
      </c>
      <c r="E7" t="n">
        <v>4</v>
      </c>
      <c r="F7" t="inlineStr">
        <is>
          <t>Active</t>
        </is>
      </c>
      <c r="G7" s="21" t="inlineStr">
        <is>
          <t>General Workman</t>
        </is>
      </c>
      <c r="H7" t="n">
        <v>1000</v>
      </c>
      <c r="I7" t="n">
        <v>4500</v>
      </c>
      <c r="J7" t="inlineStr">
        <is>
          <t>28, 30, 34, 42, 46, 50, 54, 57, 63, 70</t>
        </is>
      </c>
    </row>
    <row r="8">
      <c r="A8" t="inlineStr">
        <is>
          <t>SPM</t>
        </is>
      </c>
      <c r="B8" t="inlineStr">
        <is>
          <t>SPM-MC-01</t>
        </is>
      </c>
      <c r="C8" s="19" t="n">
        <v>46285</v>
      </c>
      <c r="D8" t="n">
        <v>6</v>
      </c>
      <c r="E8" t="n">
        <v>4</v>
      </c>
      <c r="F8" t="inlineStr">
        <is>
          <t>Active</t>
        </is>
      </c>
      <c r="G8" s="21" t="inlineStr">
        <is>
          <t>General Workman</t>
        </is>
      </c>
      <c r="H8" t="n">
        <v>100</v>
      </c>
      <c r="I8" t="n">
        <v>3500</v>
      </c>
      <c r="J8" t="inlineStr">
        <is>
          <t>9, 15, 17, 20, 25, 28, 30, 34, 42, 46, 50, 54, 57, 63, 70</t>
        </is>
      </c>
    </row>
    <row r="9">
      <c r="A9" t="inlineStr">
        <is>
          <t>SPM</t>
        </is>
      </c>
      <c r="B9" t="inlineStr">
        <is>
          <t>SPM-MC-02</t>
        </is>
      </c>
      <c r="C9" s="19" t="n">
        <v>46459</v>
      </c>
      <c r="D9" t="n">
        <v>6</v>
      </c>
      <c r="E9" t="n">
        <v>4</v>
      </c>
      <c r="F9" t="inlineStr">
        <is>
          <t>Active</t>
        </is>
      </c>
      <c r="G9" s="21" t="inlineStr">
        <is>
          <t>General Workman</t>
        </is>
      </c>
      <c r="H9" t="n">
        <v>100</v>
      </c>
      <c r="I9" t="n">
        <v>3500</v>
      </c>
      <c r="J9" t="inlineStr">
        <is>
          <t>9, 15, 17, 20, 25, 28, 30, 34, 42, 46, 50, 54, 57, 63, 70</t>
        </is>
      </c>
    </row>
    <row r="10">
      <c r="A10" t="inlineStr">
        <is>
          <t>SPM</t>
        </is>
      </c>
      <c r="B10" t="inlineStr">
        <is>
          <t>SPM-MC-03</t>
        </is>
      </c>
      <c r="C10" s="19" t="n">
        <v>46104</v>
      </c>
      <c r="D10" t="n">
        <v>6</v>
      </c>
      <c r="E10" t="n">
        <v>4</v>
      </c>
      <c r="F10" t="inlineStr">
        <is>
          <t>Active</t>
        </is>
      </c>
      <c r="G10" s="21" t="inlineStr">
        <is>
          <t>General Workman</t>
        </is>
      </c>
      <c r="H10" t="n">
        <v>100</v>
      </c>
      <c r="I10" t="n">
        <v>4500</v>
      </c>
      <c r="J10" t="inlineStr">
        <is>
          <t>9, 15, 17, 20, 25, 28, 30, 34, 42, 46, 50, 54, 57, 63, 70</t>
        </is>
      </c>
    </row>
    <row r="11">
      <c r="A11" t="inlineStr">
        <is>
          <t>SPM</t>
        </is>
      </c>
      <c r="B11" t="inlineStr">
        <is>
          <t>SPM-MC-04</t>
        </is>
      </c>
      <c r="C11" s="19" t="n">
        <v>46197</v>
      </c>
      <c r="D11" t="n">
        <v>6</v>
      </c>
      <c r="E11" t="n">
        <v>4</v>
      </c>
      <c r="F11" t="inlineStr">
        <is>
          <t>Active</t>
        </is>
      </c>
      <c r="G11" s="21" t="inlineStr">
        <is>
          <t>General Workman</t>
        </is>
      </c>
      <c r="H11" t="n">
        <v>100</v>
      </c>
      <c r="I11" t="n">
        <v>4500</v>
      </c>
      <c r="J11" t="inlineStr">
        <is>
          <t>9, 15, 17, 20, 25, 28, 30, 34, 42, 46, 50, 54, 57, 63, 70</t>
        </is>
      </c>
    </row>
    <row r="12">
      <c r="A12" t="inlineStr">
        <is>
          <t>SPM</t>
        </is>
      </c>
      <c r="B12" t="inlineStr">
        <is>
          <t>SPM-MC-05</t>
        </is>
      </c>
      <c r="C12" s="19" t="n">
        <v>46271</v>
      </c>
      <c r="D12" t="n">
        <v>6</v>
      </c>
      <c r="E12" t="n">
        <v>4</v>
      </c>
      <c r="F12" t="inlineStr">
        <is>
          <t>Active</t>
        </is>
      </c>
      <c r="G12" s="21" t="inlineStr">
        <is>
          <t>General Workman</t>
        </is>
      </c>
      <c r="H12" t="n">
        <v>100</v>
      </c>
      <c r="I12" t="n">
        <v>4500</v>
      </c>
      <c r="J12" t="inlineStr">
        <is>
          <t>9, 15, 17, 20, 25, 28, 30, 34, 42, 46, 50, 54, 57, 63, 70</t>
        </is>
      </c>
    </row>
    <row r="13">
      <c r="A13" t="inlineStr">
        <is>
          <t>SPM</t>
        </is>
      </c>
      <c r="B13" t="inlineStr">
        <is>
          <t>SPM-MC-06</t>
        </is>
      </c>
      <c r="C13" s="19" t="n">
        <v>46176</v>
      </c>
      <c r="D13" t="n">
        <v>6</v>
      </c>
      <c r="E13" t="n">
        <v>4</v>
      </c>
      <c r="F13" t="inlineStr">
        <is>
          <t>Active</t>
        </is>
      </c>
      <c r="G13" s="21" t="inlineStr">
        <is>
          <t>General Workman</t>
        </is>
      </c>
      <c r="H13" t="n">
        <v>100</v>
      </c>
      <c r="I13" t="n">
        <v>4500</v>
      </c>
      <c r="J13" t="inlineStr">
        <is>
          <t>9, 15, 17, 20, 25, 28, 30, 34, 42, 46, 50, 54, 57, 63, 70</t>
        </is>
      </c>
    </row>
    <row r="14">
      <c r="A14" t="inlineStr">
        <is>
          <t>CARVING</t>
        </is>
      </c>
      <c r="B14" t="inlineStr">
        <is>
          <t>CARVING-MC-01</t>
        </is>
      </c>
      <c r="C14" s="19" t="n">
        <v>46418</v>
      </c>
      <c r="D14" t="n">
        <v>6</v>
      </c>
      <c r="E14" t="n">
        <v>4</v>
      </c>
      <c r="F14" t="inlineStr">
        <is>
          <t>Active</t>
        </is>
      </c>
      <c r="G14" s="21" t="inlineStr">
        <is>
          <t>General Workman</t>
        </is>
      </c>
      <c r="H14" t="n">
        <v>100</v>
      </c>
      <c r="I14" t="n">
        <v>4500</v>
      </c>
      <c r="J14" t="inlineStr">
        <is>
          <t>9, 15, 17, 20, 25, 28, 30, 34, 42, 46, 50, 54, 57, 63, 70</t>
        </is>
      </c>
    </row>
    <row r="15">
      <c r="A15" t="inlineStr">
        <is>
          <t>CARVING</t>
        </is>
      </c>
      <c r="B15" t="inlineStr">
        <is>
          <t>CARVING-MC-02</t>
        </is>
      </c>
      <c r="C15" s="19" t="n">
        <v>46282</v>
      </c>
      <c r="D15" t="n">
        <v>6</v>
      </c>
      <c r="E15" t="n">
        <v>4</v>
      </c>
      <c r="F15" t="inlineStr">
        <is>
          <t>Active</t>
        </is>
      </c>
      <c r="G15" s="21" t="inlineStr">
        <is>
          <t>General Workman</t>
        </is>
      </c>
      <c r="H15" t="n">
        <v>100</v>
      </c>
      <c r="I15" t="n">
        <v>4500</v>
      </c>
      <c r="J15" t="inlineStr">
        <is>
          <t>9, 15, 17, 20, 25, 28, 30, 34, 42, 46, 50, 54, 57, 63, 70</t>
        </is>
      </c>
    </row>
    <row r="16">
      <c r="A16" t="inlineStr">
        <is>
          <t>CARVING</t>
        </is>
      </c>
      <c r="B16" t="inlineStr">
        <is>
          <t>CARVING-MC-03</t>
        </is>
      </c>
      <c r="C16" s="19" t="n">
        <v>46296</v>
      </c>
      <c r="D16" t="n">
        <v>6</v>
      </c>
      <c r="E16" t="n">
        <v>4</v>
      </c>
      <c r="F16" t="inlineStr">
        <is>
          <t>Active</t>
        </is>
      </c>
      <c r="G16" s="21" t="inlineStr">
        <is>
          <t>General Workman</t>
        </is>
      </c>
      <c r="H16" t="n">
        <v>100</v>
      </c>
      <c r="I16" t="n">
        <v>4500</v>
      </c>
      <c r="J16" t="inlineStr">
        <is>
          <t>9, 15, 17, 20, 25, 28, 30, 34, 42, 46, 50, 54, 57, 63, 70</t>
        </is>
      </c>
    </row>
    <row r="17">
      <c r="A17" t="inlineStr">
        <is>
          <t>CARVING</t>
        </is>
      </c>
      <c r="B17" t="inlineStr">
        <is>
          <t>CARVING-MC-04</t>
        </is>
      </c>
      <c r="C17" s="19" t="n">
        <v>46237</v>
      </c>
      <c r="D17" t="n">
        <v>6</v>
      </c>
      <c r="E17" t="n">
        <v>4</v>
      </c>
      <c r="F17" t="inlineStr">
        <is>
          <t>Active</t>
        </is>
      </c>
      <c r="G17" s="21" t="inlineStr">
        <is>
          <t>General Workman</t>
        </is>
      </c>
      <c r="H17" t="n">
        <v>100</v>
      </c>
      <c r="I17" t="n">
        <v>4500</v>
      </c>
      <c r="J17" t="inlineStr">
        <is>
          <t>9, 15, 17, 20, 25, 28, 30, 34, 42, 46, 50, 54, 57, 63, 70</t>
        </is>
      </c>
    </row>
    <row r="18">
      <c r="A18" t="inlineStr">
        <is>
          <t>CARVING</t>
        </is>
      </c>
      <c r="B18" t="inlineStr">
        <is>
          <t>CARVING-MC-05</t>
        </is>
      </c>
      <c r="C18" s="19" t="n">
        <v>46238</v>
      </c>
      <c r="D18" t="n">
        <v>6</v>
      </c>
      <c r="E18" t="n">
        <v>4</v>
      </c>
      <c r="F18" t="inlineStr">
        <is>
          <t>Active</t>
        </is>
      </c>
      <c r="G18" s="21" t="inlineStr">
        <is>
          <t>General Workman</t>
        </is>
      </c>
      <c r="H18" t="n">
        <v>100</v>
      </c>
      <c r="I18" t="n">
        <v>4500</v>
      </c>
      <c r="J18" t="inlineStr">
        <is>
          <t>9, 15, 17, 20, 25, 28, 30, 34, 42, 46, 50, 54, 57, 63, 70</t>
        </is>
      </c>
    </row>
    <row r="19">
      <c r="A19" t="inlineStr">
        <is>
          <t>CARVING</t>
        </is>
      </c>
      <c r="B19" t="inlineStr">
        <is>
          <t>CARVING-MC-06</t>
        </is>
      </c>
      <c r="C19" s="19" t="n">
        <v>46397</v>
      </c>
      <c r="D19" t="n">
        <v>6</v>
      </c>
      <c r="E19" t="n">
        <v>4</v>
      </c>
      <c r="F19" t="inlineStr">
        <is>
          <t>Active</t>
        </is>
      </c>
      <c r="G19" s="21" t="inlineStr">
        <is>
          <t>General Workman</t>
        </is>
      </c>
      <c r="H19" t="n">
        <v>100</v>
      </c>
      <c r="I19" t="n">
        <v>4500</v>
      </c>
      <c r="J19" t="inlineStr">
        <is>
          <t>9, 15, 17, 20, 25, 28, 30, 34, 42, 46, 50, 54, 57, 63, 70</t>
        </is>
      </c>
    </row>
    <row r="20">
      <c r="A20" t="inlineStr">
        <is>
          <t>EDM</t>
        </is>
      </c>
      <c r="B20" t="inlineStr">
        <is>
          <t>EDM-MC-01</t>
        </is>
      </c>
      <c r="C20" s="19" t="n">
        <v>46092</v>
      </c>
      <c r="D20" t="n">
        <v>6</v>
      </c>
      <c r="E20" t="n">
        <v>4</v>
      </c>
      <c r="F20" t="inlineStr">
        <is>
          <t>Active</t>
        </is>
      </c>
      <c r="G20" s="21" t="inlineStr">
        <is>
          <t>General Workman</t>
        </is>
      </c>
      <c r="H20" t="n">
        <v>100</v>
      </c>
      <c r="I20" t="n">
        <v>1600</v>
      </c>
      <c r="J20" t="inlineStr">
        <is>
          <t>9, 15, 17, 20, 25, 28</t>
        </is>
      </c>
    </row>
    <row r="21">
      <c r="A21" t="inlineStr">
        <is>
          <t>EDM</t>
        </is>
      </c>
      <c r="B21" t="inlineStr">
        <is>
          <t>EDM-MC-02</t>
        </is>
      </c>
      <c r="C21" s="19" t="n">
        <v>46160</v>
      </c>
      <c r="D21" t="n">
        <v>6</v>
      </c>
      <c r="E21" t="n">
        <v>4</v>
      </c>
      <c r="F21" t="inlineStr">
        <is>
          <t>Active</t>
        </is>
      </c>
      <c r="G21" s="21" t="inlineStr">
        <is>
          <t>General Workman</t>
        </is>
      </c>
      <c r="H21" t="n">
        <v>100</v>
      </c>
      <c r="I21" t="n">
        <v>1600</v>
      </c>
      <c r="J21" t="inlineStr">
        <is>
          <t>9, 15, 17, 20, 25, 28</t>
        </is>
      </c>
    </row>
    <row r="22">
      <c r="A22" t="inlineStr">
        <is>
          <t>EDM</t>
        </is>
      </c>
      <c r="B22" t="inlineStr">
        <is>
          <t>EDM-MC-03</t>
        </is>
      </c>
      <c r="C22" s="19" t="n">
        <v>46057</v>
      </c>
      <c r="D22" t="n">
        <v>6</v>
      </c>
      <c r="E22" t="n">
        <v>4</v>
      </c>
      <c r="F22" t="inlineStr">
        <is>
          <t>Active</t>
        </is>
      </c>
      <c r="G22" s="21" t="inlineStr">
        <is>
          <t>General Workman</t>
        </is>
      </c>
      <c r="H22" t="n">
        <v>100</v>
      </c>
      <c r="I22" t="n">
        <v>1600</v>
      </c>
      <c r="J22" t="inlineStr">
        <is>
          <t>9, 15, 17, 20, 25, 28</t>
        </is>
      </c>
    </row>
    <row r="23">
      <c r="A23" t="inlineStr">
        <is>
          <t>EDM</t>
        </is>
      </c>
      <c r="B23" t="inlineStr">
        <is>
          <t>EDM-MC-04</t>
        </is>
      </c>
      <c r="C23" s="19" t="n">
        <v>46111</v>
      </c>
      <c r="D23" t="n">
        <v>6</v>
      </c>
      <c r="E23" t="n">
        <v>4</v>
      </c>
      <c r="F23" t="inlineStr">
        <is>
          <t>Active</t>
        </is>
      </c>
      <c r="G23" s="21" t="inlineStr">
        <is>
          <t>General Workman</t>
        </is>
      </c>
      <c r="H23" t="n">
        <v>100</v>
      </c>
      <c r="I23" t="n">
        <v>1600</v>
      </c>
      <c r="J23" t="inlineStr">
        <is>
          <t>9, 15, 17, 20, 25, 28</t>
        </is>
      </c>
    </row>
    <row r="24">
      <c r="A24" t="inlineStr">
        <is>
          <t>EDM</t>
        </is>
      </c>
      <c r="B24" t="inlineStr">
        <is>
          <t>EDM-MC-05</t>
        </is>
      </c>
      <c r="C24" s="19" t="n">
        <v>46225</v>
      </c>
      <c r="D24" t="n">
        <v>6</v>
      </c>
      <c r="E24" t="n">
        <v>4</v>
      </c>
      <c r="F24" t="inlineStr">
        <is>
          <t>Active</t>
        </is>
      </c>
      <c r="G24" s="21" t="inlineStr">
        <is>
          <t>General Workman</t>
        </is>
      </c>
      <c r="H24" t="n">
        <v>100</v>
      </c>
      <c r="I24" t="n">
        <v>1600</v>
      </c>
      <c r="J24" t="inlineStr">
        <is>
          <t>9, 15, 17, 20, 25, 28</t>
        </is>
      </c>
    </row>
    <row r="25">
      <c r="A25" t="inlineStr">
        <is>
          <t>EDM</t>
        </is>
      </c>
      <c r="B25" t="inlineStr">
        <is>
          <t>EDM-MC-06</t>
        </is>
      </c>
      <c r="C25" s="19" t="n">
        <v>46330</v>
      </c>
      <c r="D25" t="n">
        <v>6</v>
      </c>
      <c r="E25" t="n">
        <v>4</v>
      </c>
      <c r="F25" t="inlineStr">
        <is>
          <t>Active</t>
        </is>
      </c>
      <c r="G25" s="21" t="inlineStr">
        <is>
          <t>General Workman</t>
        </is>
      </c>
      <c r="H25" t="n">
        <v>100</v>
      </c>
      <c r="I25" t="n">
        <v>1600</v>
      </c>
      <c r="J25" t="inlineStr">
        <is>
          <t>9, 15, 17, 20, 25, 28</t>
        </is>
      </c>
    </row>
    <row r="26">
      <c r="A26" t="inlineStr">
        <is>
          <t>EDM</t>
        </is>
      </c>
      <c r="B26" t="inlineStr">
        <is>
          <t>EDM-MC-07</t>
        </is>
      </c>
      <c r="C26" s="19" t="n">
        <v>46208</v>
      </c>
      <c r="D26" t="n">
        <v>6</v>
      </c>
      <c r="E26" t="n">
        <v>4</v>
      </c>
      <c r="F26" t="inlineStr">
        <is>
          <t>Active</t>
        </is>
      </c>
      <c r="G26" s="21" t="inlineStr">
        <is>
          <t>General Workman</t>
        </is>
      </c>
      <c r="H26" t="n">
        <v>100</v>
      </c>
      <c r="I26" t="n">
        <v>1600</v>
      </c>
      <c r="J26" t="inlineStr">
        <is>
          <t>9, 15, 17, 20, 25, 28</t>
        </is>
      </c>
    </row>
    <row r="27">
      <c r="A27" t="inlineStr">
        <is>
          <t>EDM</t>
        </is>
      </c>
      <c r="B27" t="inlineStr">
        <is>
          <t>EDM-MC-08</t>
        </is>
      </c>
      <c r="C27" s="19" t="n">
        <v>46291</v>
      </c>
      <c r="D27" t="n">
        <v>6</v>
      </c>
      <c r="E27" t="n">
        <v>4</v>
      </c>
      <c r="F27" t="inlineStr">
        <is>
          <t>Active</t>
        </is>
      </c>
      <c r="G27" s="21" t="inlineStr">
        <is>
          <t>General Workman</t>
        </is>
      </c>
      <c r="H27" t="n">
        <v>100</v>
      </c>
      <c r="I27" t="n">
        <v>1600</v>
      </c>
      <c r="J27" t="inlineStr">
        <is>
          <t>9, 15, 17, 20, 25, 28</t>
        </is>
      </c>
    </row>
    <row r="28">
      <c r="A28" t="inlineStr">
        <is>
          <t>EDM</t>
        </is>
      </c>
      <c r="B28" t="inlineStr">
        <is>
          <t>EDM-MC-09</t>
        </is>
      </c>
      <c r="C28" s="19" t="n">
        <v>46237</v>
      </c>
      <c r="D28" t="n">
        <v>6</v>
      </c>
      <c r="E28" t="n">
        <v>4</v>
      </c>
      <c r="F28" t="inlineStr">
        <is>
          <t>Active</t>
        </is>
      </c>
      <c r="G28" s="21" t="inlineStr">
        <is>
          <t>General Workman</t>
        </is>
      </c>
      <c r="H28" t="n">
        <v>300</v>
      </c>
      <c r="I28" t="n">
        <v>2500</v>
      </c>
      <c r="J28" t="inlineStr">
        <is>
          <t>15, 17, 20, 25, 28, 30, 34, 42, 46</t>
        </is>
      </c>
    </row>
    <row r="29">
      <c r="A29" t="inlineStr">
        <is>
          <t>EDM</t>
        </is>
      </c>
      <c r="B29" t="inlineStr">
        <is>
          <t>EDM-MC-10</t>
        </is>
      </c>
      <c r="C29" s="19" t="n">
        <v>46503</v>
      </c>
      <c r="D29" t="n">
        <v>6</v>
      </c>
      <c r="E29" t="n">
        <v>4</v>
      </c>
      <c r="F29" t="inlineStr">
        <is>
          <t>Active</t>
        </is>
      </c>
      <c r="G29" s="21" t="inlineStr">
        <is>
          <t>General Workman</t>
        </is>
      </c>
      <c r="H29" t="n">
        <v>300</v>
      </c>
      <c r="I29" t="n">
        <v>2500</v>
      </c>
      <c r="J29" t="inlineStr">
        <is>
          <t>15, 17, 20, 25, 28, 30, 34, 42, 46</t>
        </is>
      </c>
    </row>
    <row r="30">
      <c r="A30" t="inlineStr">
        <is>
          <t>EDM</t>
        </is>
      </c>
      <c r="B30" t="inlineStr">
        <is>
          <t>EDM-MC-11</t>
        </is>
      </c>
      <c r="C30" s="19" t="n">
        <v>46098</v>
      </c>
      <c r="D30" t="n">
        <v>6</v>
      </c>
      <c r="E30" t="n">
        <v>4</v>
      </c>
      <c r="F30" t="inlineStr">
        <is>
          <t>Active</t>
        </is>
      </c>
      <c r="G30" s="21" t="inlineStr">
        <is>
          <t>General Workman</t>
        </is>
      </c>
      <c r="H30" t="n">
        <v>300</v>
      </c>
      <c r="I30" t="n">
        <v>2500</v>
      </c>
      <c r="J30" t="inlineStr">
        <is>
          <t>15, 17, 20, 25, 28, 30, 34, 42, 46</t>
        </is>
      </c>
    </row>
    <row r="31">
      <c r="A31" t="inlineStr">
        <is>
          <t>EDM</t>
        </is>
      </c>
      <c r="B31" t="inlineStr">
        <is>
          <t>EDM-MC-12</t>
        </is>
      </c>
      <c r="C31" s="19" t="n">
        <v>46337</v>
      </c>
      <c r="D31" t="n">
        <v>6</v>
      </c>
      <c r="E31" t="n">
        <v>4</v>
      </c>
      <c r="F31" t="inlineStr">
        <is>
          <t>Active</t>
        </is>
      </c>
      <c r="G31" s="21" t="inlineStr">
        <is>
          <t>General Workman</t>
        </is>
      </c>
      <c r="H31" t="n">
        <v>300</v>
      </c>
      <c r="I31" t="n">
        <v>2500</v>
      </c>
      <c r="J31" t="inlineStr">
        <is>
          <t>15, 17, 20, 25, 28, 30, 34, 42, 46</t>
        </is>
      </c>
    </row>
    <row r="32">
      <c r="A32" t="inlineStr">
        <is>
          <t>EDM</t>
        </is>
      </c>
      <c r="B32" t="inlineStr">
        <is>
          <t>EDM-MC-13</t>
        </is>
      </c>
      <c r="C32" s="19" t="n">
        <v>46212</v>
      </c>
      <c r="D32" t="n">
        <v>6</v>
      </c>
      <c r="E32" t="n">
        <v>4</v>
      </c>
      <c r="F32" t="inlineStr">
        <is>
          <t>Active</t>
        </is>
      </c>
      <c r="G32" s="21" t="inlineStr">
        <is>
          <t>General Workman</t>
        </is>
      </c>
      <c r="H32" t="n">
        <v>300</v>
      </c>
      <c r="I32" t="n">
        <v>2500</v>
      </c>
      <c r="J32" t="inlineStr">
        <is>
          <t>15, 17, 20, 25, 28, 30, 34, 42, 46</t>
        </is>
      </c>
    </row>
    <row r="33">
      <c r="A33" t="inlineStr">
        <is>
          <t>EDM</t>
        </is>
      </c>
      <c r="B33" t="inlineStr">
        <is>
          <t>EDM-MC-14</t>
        </is>
      </c>
      <c r="C33" s="19" t="n">
        <v>46447</v>
      </c>
      <c r="D33" t="n">
        <v>6</v>
      </c>
      <c r="E33" t="n">
        <v>4</v>
      </c>
      <c r="F33" t="inlineStr">
        <is>
          <t>Active</t>
        </is>
      </c>
      <c r="G33" s="21" t="inlineStr">
        <is>
          <t>General Workman</t>
        </is>
      </c>
      <c r="H33" t="n">
        <v>300</v>
      </c>
      <c r="I33" t="n">
        <v>2500</v>
      </c>
      <c r="J33" t="inlineStr">
        <is>
          <t>15, 17, 20, 25, 28, 30, 34, 42, 46</t>
        </is>
      </c>
    </row>
    <row r="34">
      <c r="A34" t="inlineStr">
        <is>
          <t>EDM</t>
        </is>
      </c>
      <c r="B34" t="inlineStr">
        <is>
          <t>EDM-MC-15</t>
        </is>
      </c>
      <c r="C34" s="19" t="n">
        <v>46357</v>
      </c>
      <c r="D34" t="n">
        <v>6</v>
      </c>
      <c r="E34" t="n">
        <v>4</v>
      </c>
      <c r="F34" t="inlineStr">
        <is>
          <t>Active</t>
        </is>
      </c>
      <c r="G34" s="21" t="inlineStr">
        <is>
          <t>General Workman</t>
        </is>
      </c>
      <c r="H34" t="n">
        <v>300</v>
      </c>
      <c r="I34" t="n">
        <v>2500</v>
      </c>
      <c r="J34" t="inlineStr">
        <is>
          <t>15, 17, 20, 25, 28, 30, 34, 42, 46</t>
        </is>
      </c>
    </row>
    <row r="35">
      <c r="A35" t="inlineStr">
        <is>
          <t>EDM</t>
        </is>
      </c>
      <c r="B35" t="inlineStr">
        <is>
          <t>EDM-MC-16</t>
        </is>
      </c>
      <c r="C35" s="19" t="n">
        <v>46105</v>
      </c>
      <c r="D35" t="n">
        <v>6</v>
      </c>
      <c r="E35" t="n">
        <v>4</v>
      </c>
      <c r="F35" t="inlineStr">
        <is>
          <t>Active</t>
        </is>
      </c>
      <c r="G35" s="21" t="inlineStr">
        <is>
          <t>General Workman</t>
        </is>
      </c>
      <c r="H35" t="n">
        <v>800</v>
      </c>
      <c r="I35" t="n">
        <v>3500</v>
      </c>
      <c r="J35" t="inlineStr">
        <is>
          <t>25, 28, 30, 34, 42, 46, 50, 54, 57, 63, 70</t>
        </is>
      </c>
    </row>
    <row r="36">
      <c r="A36" t="inlineStr">
        <is>
          <t>EDM</t>
        </is>
      </c>
      <c r="B36" t="inlineStr">
        <is>
          <t>EDM-MC-17</t>
        </is>
      </c>
      <c r="C36" s="19" t="n">
        <v>46504</v>
      </c>
      <c r="D36" t="n">
        <v>6</v>
      </c>
      <c r="E36" t="n">
        <v>4</v>
      </c>
      <c r="F36" t="inlineStr">
        <is>
          <t>Active</t>
        </is>
      </c>
      <c r="G36" s="21" t="inlineStr">
        <is>
          <t>General Workman</t>
        </is>
      </c>
      <c r="H36" t="n">
        <v>800</v>
      </c>
      <c r="I36" t="n">
        <v>3500</v>
      </c>
      <c r="J36" t="inlineStr">
        <is>
          <t>25, 28, 30, 34, 42, 46, 50, 54, 57, 63, 70</t>
        </is>
      </c>
    </row>
    <row r="37">
      <c r="A37" t="inlineStr">
        <is>
          <t>EDM</t>
        </is>
      </c>
      <c r="B37" t="inlineStr">
        <is>
          <t>EDM-MC-18</t>
        </is>
      </c>
      <c r="C37" s="19" t="n">
        <v>46225</v>
      </c>
      <c r="D37" t="n">
        <v>6</v>
      </c>
      <c r="E37" t="n">
        <v>4</v>
      </c>
      <c r="F37" t="inlineStr">
        <is>
          <t>Active</t>
        </is>
      </c>
      <c r="G37" s="21" t="inlineStr">
        <is>
          <t>General Workman</t>
        </is>
      </c>
      <c r="H37" t="n">
        <v>800</v>
      </c>
      <c r="I37" t="n">
        <v>3500</v>
      </c>
      <c r="J37" t="inlineStr">
        <is>
          <t>25, 28, 30, 34, 42, 46, 50, 54, 57, 63, 70</t>
        </is>
      </c>
    </row>
    <row r="38">
      <c r="A38" t="inlineStr">
        <is>
          <t>EDM</t>
        </is>
      </c>
      <c r="B38" t="inlineStr">
        <is>
          <t>EDM-MC-19</t>
        </is>
      </c>
      <c r="C38" s="19" t="n">
        <v>46263</v>
      </c>
      <c r="D38" t="n">
        <v>6</v>
      </c>
      <c r="E38" t="n">
        <v>4</v>
      </c>
      <c r="F38" t="inlineStr">
        <is>
          <t>Active</t>
        </is>
      </c>
      <c r="G38" s="21" t="inlineStr">
        <is>
          <t>General Workman</t>
        </is>
      </c>
      <c r="H38" t="n">
        <v>800</v>
      </c>
      <c r="I38" t="n">
        <v>3500</v>
      </c>
      <c r="J38" t="inlineStr">
        <is>
          <t>25, 28, 30, 34, 42, 46, 50, 54, 57, 63, 70</t>
        </is>
      </c>
    </row>
    <row r="39">
      <c r="A39" t="inlineStr">
        <is>
          <t>EDM</t>
        </is>
      </c>
      <c r="B39" t="inlineStr">
        <is>
          <t>EDM-MC-20</t>
        </is>
      </c>
      <c r="C39" s="19" t="n">
        <v>46040</v>
      </c>
      <c r="D39" t="n">
        <v>6</v>
      </c>
      <c r="E39" t="n">
        <v>4</v>
      </c>
      <c r="F39" t="inlineStr">
        <is>
          <t>Active</t>
        </is>
      </c>
      <c r="G39" s="21" t="inlineStr">
        <is>
          <t>General Workman</t>
        </is>
      </c>
      <c r="H39" t="n">
        <v>800</v>
      </c>
      <c r="I39" t="n">
        <v>3500</v>
      </c>
      <c r="J39" t="inlineStr">
        <is>
          <t>25, 28, 30, 34, 42, 46, 50, 54, 57, 63, 70</t>
        </is>
      </c>
    </row>
    <row r="40">
      <c r="A40" t="inlineStr">
        <is>
          <t>EDM</t>
        </is>
      </c>
      <c r="B40" t="inlineStr">
        <is>
          <t>EDM-MC-21</t>
        </is>
      </c>
      <c r="C40" s="19" t="n">
        <v>46476</v>
      </c>
      <c r="D40" t="n">
        <v>6</v>
      </c>
      <c r="E40" t="n">
        <v>4</v>
      </c>
      <c r="F40" t="inlineStr">
        <is>
          <t>Active</t>
        </is>
      </c>
      <c r="G40" s="21" t="inlineStr">
        <is>
          <t>General Workman</t>
        </is>
      </c>
      <c r="H40" t="n">
        <v>800</v>
      </c>
      <c r="I40" t="n">
        <v>3500</v>
      </c>
      <c r="J40" t="inlineStr">
        <is>
          <t>25, 28, 30, 34, 42, 46, 50, 54, 57, 63, 70</t>
        </is>
      </c>
    </row>
    <row r="41">
      <c r="A41" t="inlineStr">
        <is>
          <t>EDM</t>
        </is>
      </c>
      <c r="B41" t="inlineStr">
        <is>
          <t>EDM-MC-22</t>
        </is>
      </c>
      <c r="C41" s="19" t="n">
        <v>46239</v>
      </c>
      <c r="D41" t="n">
        <v>6</v>
      </c>
      <c r="E41" t="n">
        <v>4</v>
      </c>
      <c r="F41" t="inlineStr">
        <is>
          <t>Active</t>
        </is>
      </c>
      <c r="G41" s="21" t="inlineStr">
        <is>
          <t>General Workman</t>
        </is>
      </c>
      <c r="H41" t="n">
        <v>800</v>
      </c>
      <c r="I41" t="n">
        <v>3500</v>
      </c>
      <c r="J41" t="inlineStr">
        <is>
          <t>25, 28, 30, 34, 42, 46, 50, 54, 57, 63, 70</t>
        </is>
      </c>
    </row>
    <row r="42">
      <c r="A42" t="inlineStr">
        <is>
          <t>EDM</t>
        </is>
      </c>
      <c r="B42" t="inlineStr">
        <is>
          <t>EDM-MC-23</t>
        </is>
      </c>
      <c r="C42" s="19" t="n">
        <v>46324</v>
      </c>
      <c r="D42" t="n">
        <v>6</v>
      </c>
      <c r="E42" t="n">
        <v>4</v>
      </c>
      <c r="F42" t="inlineStr">
        <is>
          <t>Active</t>
        </is>
      </c>
      <c r="G42" s="21" t="inlineStr">
        <is>
          <t>General Workman</t>
        </is>
      </c>
      <c r="H42" t="n">
        <v>1000</v>
      </c>
      <c r="I42" t="n">
        <v>4500</v>
      </c>
      <c r="J42" t="inlineStr">
        <is>
          <t>28, 30, 34, 42, 46, 50, 54, 57, 63, 70</t>
        </is>
      </c>
    </row>
    <row r="43">
      <c r="A43" t="inlineStr">
        <is>
          <t>EDM</t>
        </is>
      </c>
      <c r="B43" t="inlineStr">
        <is>
          <t>EDM-MC-24</t>
        </is>
      </c>
      <c r="C43" s="19" t="n">
        <v>46097</v>
      </c>
      <c r="D43" t="n">
        <v>6</v>
      </c>
      <c r="E43" t="n">
        <v>4</v>
      </c>
      <c r="F43" t="inlineStr">
        <is>
          <t>Active</t>
        </is>
      </c>
      <c r="G43" s="21" t="inlineStr">
        <is>
          <t>General Workman</t>
        </is>
      </c>
      <c r="H43" t="n">
        <v>1000</v>
      </c>
      <c r="I43" t="n">
        <v>4500</v>
      </c>
      <c r="J43" t="inlineStr">
        <is>
          <t>28, 30, 34, 42, 46, 50, 54, 57, 63, 70</t>
        </is>
      </c>
    </row>
    <row r="44">
      <c r="A44" t="inlineStr">
        <is>
          <t>EDM</t>
        </is>
      </c>
      <c r="B44" t="inlineStr">
        <is>
          <t>EDM-MC-25</t>
        </is>
      </c>
      <c r="C44" s="19" t="n">
        <v>46098</v>
      </c>
      <c r="D44" t="n">
        <v>6</v>
      </c>
      <c r="E44" t="n">
        <v>4</v>
      </c>
      <c r="F44" t="inlineStr">
        <is>
          <t>Active</t>
        </is>
      </c>
      <c r="G44" s="21" t="inlineStr">
        <is>
          <t>General Workman</t>
        </is>
      </c>
      <c r="H44" t="n">
        <v>1000</v>
      </c>
      <c r="I44" t="n">
        <v>4500</v>
      </c>
      <c r="J44" t="inlineStr">
        <is>
          <t>28, 30, 34, 42, 46, 50, 54, 57, 63, 70</t>
        </is>
      </c>
    </row>
    <row r="45">
      <c r="A45" t="inlineStr">
        <is>
          <t>EDM</t>
        </is>
      </c>
      <c r="B45" t="inlineStr">
        <is>
          <t>EDM-MC-26</t>
        </is>
      </c>
      <c r="C45" s="19" t="n">
        <v>46202</v>
      </c>
      <c r="D45" t="n">
        <v>6</v>
      </c>
      <c r="E45" t="n">
        <v>4</v>
      </c>
      <c r="F45" t="inlineStr">
        <is>
          <t>Active</t>
        </is>
      </c>
      <c r="G45" s="21" t="inlineStr">
        <is>
          <t>General Workman</t>
        </is>
      </c>
      <c r="H45" t="n">
        <v>1000</v>
      </c>
      <c r="I45" t="n">
        <v>4500</v>
      </c>
      <c r="J45" t="inlineStr">
        <is>
          <t>28, 30, 34, 42, 46, 50, 54, 57, 63, 70</t>
        </is>
      </c>
    </row>
    <row r="46">
      <c r="A46" t="inlineStr">
        <is>
          <t>EDM</t>
        </is>
      </c>
      <c r="B46" t="inlineStr">
        <is>
          <t>EDM-MC-27</t>
        </is>
      </c>
      <c r="C46" s="19" t="n">
        <v>46188</v>
      </c>
      <c r="D46" t="n">
        <v>6</v>
      </c>
      <c r="E46" t="n">
        <v>4</v>
      </c>
      <c r="F46" t="inlineStr">
        <is>
          <t>Active</t>
        </is>
      </c>
      <c r="G46" s="21" t="inlineStr">
        <is>
          <t>General Workman</t>
        </is>
      </c>
      <c r="H46" t="n">
        <v>1000</v>
      </c>
      <c r="I46" t="n">
        <v>4500</v>
      </c>
      <c r="J46" t="inlineStr">
        <is>
          <t>28, 30, 34, 42, 46, 50, 54, 57, 63, 70</t>
        </is>
      </c>
    </row>
    <row r="47">
      <c r="A47" t="inlineStr">
        <is>
          <t>EDM</t>
        </is>
      </c>
      <c r="B47" t="inlineStr">
        <is>
          <t>EDM-MC-28</t>
        </is>
      </c>
      <c r="C47" s="19" t="n">
        <v>46182</v>
      </c>
      <c r="D47" t="n">
        <v>6</v>
      </c>
      <c r="E47" t="n">
        <v>4</v>
      </c>
      <c r="F47" t="inlineStr">
        <is>
          <t>Active</t>
        </is>
      </c>
      <c r="G47" s="21" t="inlineStr">
        <is>
          <t>General Workman</t>
        </is>
      </c>
      <c r="H47" t="n">
        <v>1000</v>
      </c>
      <c r="I47" t="n">
        <v>4500</v>
      </c>
      <c r="J47" t="inlineStr">
        <is>
          <t>28, 30, 34, 42, 46, 50, 54, 57, 63, 70</t>
        </is>
      </c>
    </row>
    <row r="48">
      <c r="A48" t="inlineStr">
        <is>
          <t>EDM</t>
        </is>
      </c>
      <c r="B48" t="inlineStr">
        <is>
          <t>EDM-MC-29</t>
        </is>
      </c>
      <c r="C48" s="19" t="n">
        <v>46493</v>
      </c>
      <c r="D48" t="n">
        <v>6</v>
      </c>
      <c r="E48" t="n">
        <v>4</v>
      </c>
      <c r="F48" t="inlineStr">
        <is>
          <t>Active</t>
        </is>
      </c>
      <c r="G48" s="21" t="inlineStr">
        <is>
          <t>General Workman</t>
        </is>
      </c>
      <c r="H48" t="n">
        <v>1000</v>
      </c>
      <c r="I48" t="n">
        <v>4500</v>
      </c>
      <c r="J48" t="inlineStr">
        <is>
          <t>28, 30, 34, 42, 46, 50, 54, 57, 63, 70</t>
        </is>
      </c>
    </row>
    <row r="49">
      <c r="A49" t="inlineStr">
        <is>
          <t>EDM</t>
        </is>
      </c>
      <c r="B49" t="inlineStr">
        <is>
          <t>EDM-MC-30</t>
        </is>
      </c>
      <c r="C49" s="19" t="n">
        <v>46106</v>
      </c>
      <c r="D49" t="n">
        <v>6</v>
      </c>
      <c r="E49" t="n">
        <v>4</v>
      </c>
      <c r="F49" t="inlineStr">
        <is>
          <t>Active</t>
        </is>
      </c>
      <c r="G49" s="21" t="inlineStr">
        <is>
          <t>General Workman</t>
        </is>
      </c>
      <c r="H49" t="n">
        <v>1000</v>
      </c>
      <c r="I49" t="n">
        <v>4500</v>
      </c>
      <c r="J49" t="inlineStr">
        <is>
          <t>28, 30, 34, 42, 46, 50, 54, 57, 63, 70</t>
        </is>
      </c>
    </row>
    <row r="50">
      <c r="A50" t="inlineStr">
        <is>
          <t>ENG</t>
        </is>
      </c>
      <c r="B50" t="inlineStr">
        <is>
          <t>ENG-MC-01</t>
        </is>
      </c>
      <c r="C50" s="19" t="n">
        <v>46090</v>
      </c>
      <c r="D50" t="n">
        <v>6</v>
      </c>
      <c r="E50" t="n">
        <v>4</v>
      </c>
      <c r="F50" t="inlineStr">
        <is>
          <t>Active</t>
        </is>
      </c>
      <c r="G50" s="21" t="inlineStr">
        <is>
          <t>General Workman</t>
        </is>
      </c>
      <c r="H50" t="n">
        <v>100</v>
      </c>
      <c r="I50" t="n">
        <v>2000</v>
      </c>
      <c r="J50" t="inlineStr">
        <is>
          <t>9, 15, 17, 20, 25, 28, 30, 34</t>
        </is>
      </c>
    </row>
    <row r="51">
      <c r="A51" t="inlineStr">
        <is>
          <t>ENG</t>
        </is>
      </c>
      <c r="B51" t="inlineStr">
        <is>
          <t>ENG-MC-02</t>
        </is>
      </c>
      <c r="C51" s="19" t="n">
        <v>46230</v>
      </c>
      <c r="D51" t="n">
        <v>6</v>
      </c>
      <c r="E51" t="n">
        <v>4</v>
      </c>
      <c r="F51" t="inlineStr">
        <is>
          <t>Active</t>
        </is>
      </c>
      <c r="G51" s="21" t="inlineStr">
        <is>
          <t>General Workman</t>
        </is>
      </c>
      <c r="H51" t="n">
        <v>100</v>
      </c>
      <c r="I51" t="n">
        <v>2000</v>
      </c>
      <c r="J51" t="inlineStr">
        <is>
          <t>9, 15, 17, 20, 25, 28, 30, 34</t>
        </is>
      </c>
    </row>
    <row r="52">
      <c r="A52" t="inlineStr">
        <is>
          <t>ENG</t>
        </is>
      </c>
      <c r="B52" t="inlineStr">
        <is>
          <t>ENG-MC-03</t>
        </is>
      </c>
      <c r="C52" s="19" t="n">
        <v>46433</v>
      </c>
      <c r="D52" t="n">
        <v>6</v>
      </c>
      <c r="E52" t="n">
        <v>4</v>
      </c>
      <c r="F52" t="inlineStr">
        <is>
          <t>Active</t>
        </is>
      </c>
      <c r="G52" s="21" t="inlineStr">
        <is>
          <t>General Workman</t>
        </is>
      </c>
      <c r="H52" t="n">
        <v>100</v>
      </c>
      <c r="I52" t="n">
        <v>2200</v>
      </c>
      <c r="J52" t="inlineStr">
        <is>
          <t>9, 15, 17, 20, 25, 28, 30, 34, 42</t>
        </is>
      </c>
    </row>
    <row r="53">
      <c r="A53" t="inlineStr">
        <is>
          <t>ENG</t>
        </is>
      </c>
      <c r="B53" t="inlineStr">
        <is>
          <t>ENG-MC-04</t>
        </is>
      </c>
      <c r="C53" s="19" t="n">
        <v>46450</v>
      </c>
      <c r="D53" t="n">
        <v>6</v>
      </c>
      <c r="E53" t="n">
        <v>4</v>
      </c>
      <c r="F53" t="inlineStr">
        <is>
          <t>Active</t>
        </is>
      </c>
      <c r="G53" s="21" t="inlineStr">
        <is>
          <t>General Workman</t>
        </is>
      </c>
      <c r="H53" t="n">
        <v>100</v>
      </c>
      <c r="I53" t="n">
        <v>2200</v>
      </c>
      <c r="J53" t="inlineStr">
        <is>
          <t>9, 15, 17, 20, 25, 28, 30, 34, 42</t>
        </is>
      </c>
    </row>
    <row r="54">
      <c r="A54" t="inlineStr">
        <is>
          <t>ENG</t>
        </is>
      </c>
      <c r="B54" t="inlineStr">
        <is>
          <t>ENG-MC-05</t>
        </is>
      </c>
      <c r="C54" s="19" t="n">
        <v>46049</v>
      </c>
      <c r="D54" t="n">
        <v>6</v>
      </c>
      <c r="E54" t="n">
        <v>4</v>
      </c>
      <c r="F54" t="inlineStr">
        <is>
          <t>Active</t>
        </is>
      </c>
      <c r="G54" s="21" t="inlineStr">
        <is>
          <t>General Workman</t>
        </is>
      </c>
      <c r="H54" t="n">
        <v>100</v>
      </c>
      <c r="I54" t="n">
        <v>2000</v>
      </c>
      <c r="J54" t="inlineStr">
        <is>
          <t>9, 15, 17, 20, 25, 28, 30, 34</t>
        </is>
      </c>
    </row>
    <row r="55">
      <c r="A55" t="inlineStr">
        <is>
          <t>ENG</t>
        </is>
      </c>
      <c r="B55" t="inlineStr">
        <is>
          <t>ENG-MC-06</t>
        </is>
      </c>
      <c r="C55" s="19" t="n">
        <v>46074</v>
      </c>
      <c r="D55" t="n">
        <v>6</v>
      </c>
      <c r="E55" t="n">
        <v>4</v>
      </c>
      <c r="F55" t="inlineStr">
        <is>
          <t>Active</t>
        </is>
      </c>
      <c r="G55" s="21" t="inlineStr">
        <is>
          <t>General Workman</t>
        </is>
      </c>
      <c r="H55" t="n">
        <v>600</v>
      </c>
      <c r="I55" t="n">
        <v>3200</v>
      </c>
      <c r="J55" t="inlineStr">
        <is>
          <t>20, 25, 28, 30, 34, 42, 46, 50, 54, 57, 63</t>
        </is>
      </c>
    </row>
    <row r="56">
      <c r="A56" t="inlineStr">
        <is>
          <t>ENG</t>
        </is>
      </c>
      <c r="B56" t="inlineStr">
        <is>
          <t>ENG-MC-07</t>
        </is>
      </c>
      <c r="C56" s="19" t="n">
        <v>46272</v>
      </c>
      <c r="D56" t="n">
        <v>6</v>
      </c>
      <c r="E56" t="n">
        <v>4</v>
      </c>
      <c r="F56" t="inlineStr">
        <is>
          <t>Active</t>
        </is>
      </c>
      <c r="G56" s="21" t="inlineStr">
        <is>
          <t>General Workman</t>
        </is>
      </c>
      <c r="H56" t="n">
        <v>600</v>
      </c>
      <c r="I56" t="n">
        <v>3200</v>
      </c>
      <c r="J56" t="inlineStr">
        <is>
          <t>20, 25, 28, 30, 34, 42, 46, 50, 54, 57, 63</t>
        </is>
      </c>
    </row>
    <row r="57">
      <c r="A57" t="inlineStr">
        <is>
          <t>ENG</t>
        </is>
      </c>
      <c r="B57" t="inlineStr">
        <is>
          <t>ENG-MC-08</t>
        </is>
      </c>
      <c r="C57" s="19" t="n">
        <v>46383</v>
      </c>
      <c r="D57" t="n">
        <v>6</v>
      </c>
      <c r="E57" t="n">
        <v>4</v>
      </c>
      <c r="F57" t="inlineStr">
        <is>
          <t>Active</t>
        </is>
      </c>
      <c r="G57" s="21" t="inlineStr">
        <is>
          <t>General Workman</t>
        </is>
      </c>
      <c r="H57" t="n">
        <v>600</v>
      </c>
      <c r="I57" t="n">
        <v>3200</v>
      </c>
      <c r="J57" t="inlineStr">
        <is>
          <t>20, 25, 28, 30, 34, 42, 46, 50, 54, 57, 63</t>
        </is>
      </c>
    </row>
    <row r="58">
      <c r="A58" t="inlineStr">
        <is>
          <t>ENG</t>
        </is>
      </c>
      <c r="B58" t="inlineStr">
        <is>
          <t>ENG-MC-09</t>
        </is>
      </c>
      <c r="C58" s="19" t="n">
        <v>46471</v>
      </c>
      <c r="D58" t="n">
        <v>6</v>
      </c>
      <c r="E58" t="n">
        <v>4</v>
      </c>
      <c r="F58" t="inlineStr">
        <is>
          <t>Active</t>
        </is>
      </c>
      <c r="G58" s="21" t="inlineStr">
        <is>
          <t>General Workman</t>
        </is>
      </c>
      <c r="H58" t="n">
        <v>600</v>
      </c>
      <c r="I58" t="n">
        <v>3000</v>
      </c>
      <c r="J58" t="inlineStr">
        <is>
          <t>20, 25, 28, 30, 34, 42, 46, 50, 54, 57</t>
        </is>
      </c>
    </row>
    <row r="59">
      <c r="A59" t="inlineStr">
        <is>
          <t>ENG</t>
        </is>
      </c>
      <c r="B59" t="inlineStr">
        <is>
          <t>ENG-MC-10</t>
        </is>
      </c>
      <c r="C59" s="19" t="n">
        <v>46377</v>
      </c>
      <c r="D59" t="n">
        <v>6</v>
      </c>
      <c r="E59" t="n">
        <v>4</v>
      </c>
      <c r="F59" t="inlineStr">
        <is>
          <t>Active</t>
        </is>
      </c>
      <c r="G59" s="21" t="inlineStr">
        <is>
          <t>General Workman</t>
        </is>
      </c>
      <c r="H59" t="n">
        <v>600</v>
      </c>
      <c r="I59" t="n">
        <v>3000</v>
      </c>
      <c r="J59" t="inlineStr">
        <is>
          <t>20, 25, 28, 30, 34, 42, 46, 50, 54, 57</t>
        </is>
      </c>
    </row>
    <row r="60">
      <c r="A60" t="inlineStr">
        <is>
          <t>ENG</t>
        </is>
      </c>
      <c r="B60" t="inlineStr">
        <is>
          <t>ENG-MC-11</t>
        </is>
      </c>
      <c r="C60" s="19" t="n">
        <v>46517</v>
      </c>
      <c r="D60" t="n">
        <v>6</v>
      </c>
      <c r="E60" t="n">
        <v>4</v>
      </c>
      <c r="F60" t="inlineStr">
        <is>
          <t>Active</t>
        </is>
      </c>
      <c r="G60" s="21" t="inlineStr">
        <is>
          <t>General Workman</t>
        </is>
      </c>
      <c r="H60" t="n">
        <v>600</v>
      </c>
      <c r="I60" t="n">
        <v>3000</v>
      </c>
      <c r="J60" t="inlineStr">
        <is>
          <t>20, 25, 28, 30, 34, 42, 46, 50, 54, 57</t>
        </is>
      </c>
    </row>
    <row r="61">
      <c r="A61" t="inlineStr">
        <is>
          <t>ENG</t>
        </is>
      </c>
      <c r="B61" t="inlineStr">
        <is>
          <t>ENG-MC-12</t>
        </is>
      </c>
      <c r="C61" s="19" t="n">
        <v>46454</v>
      </c>
      <c r="D61" t="n">
        <v>6</v>
      </c>
      <c r="E61" t="n">
        <v>4</v>
      </c>
      <c r="F61" t="inlineStr">
        <is>
          <t>Active</t>
        </is>
      </c>
      <c r="G61" s="21" t="inlineStr">
        <is>
          <t>General Workman</t>
        </is>
      </c>
      <c r="H61" t="n">
        <v>600</v>
      </c>
      <c r="I61" t="n">
        <v>4000</v>
      </c>
      <c r="J61" t="inlineStr">
        <is>
          <t>20, 25, 28, 30, 34, 42, 46, 50, 54, 57, 63, 70</t>
        </is>
      </c>
    </row>
    <row r="62">
      <c r="A62" t="inlineStr">
        <is>
          <t>ENG</t>
        </is>
      </c>
      <c r="B62" t="inlineStr">
        <is>
          <t>ENG-MC-13</t>
        </is>
      </c>
      <c r="C62" s="19" t="n">
        <v>46371</v>
      </c>
      <c r="D62" t="n">
        <v>6</v>
      </c>
      <c r="E62" t="n">
        <v>4</v>
      </c>
      <c r="F62" t="inlineStr">
        <is>
          <t>Active</t>
        </is>
      </c>
      <c r="G62" s="21" t="inlineStr">
        <is>
          <t>General Workman</t>
        </is>
      </c>
      <c r="H62" t="n">
        <v>600</v>
      </c>
      <c r="I62" t="n">
        <v>4000</v>
      </c>
      <c r="J62" t="inlineStr">
        <is>
          <t>20, 25, 28, 30, 34, 42, 46, 50, 54, 57, 63, 70</t>
        </is>
      </c>
    </row>
    <row r="63">
      <c r="A63" t="inlineStr">
        <is>
          <t>ENG</t>
        </is>
      </c>
      <c r="B63" t="inlineStr">
        <is>
          <t>ENG-MC-14</t>
        </is>
      </c>
      <c r="C63" s="19" t="n">
        <v>46219</v>
      </c>
      <c r="D63" t="n">
        <v>6</v>
      </c>
      <c r="E63" t="n">
        <v>4</v>
      </c>
      <c r="F63" t="inlineStr">
        <is>
          <t>Active</t>
        </is>
      </c>
      <c r="G63" s="21" t="inlineStr">
        <is>
          <t>General Workman</t>
        </is>
      </c>
      <c r="H63" t="n">
        <v>600</v>
      </c>
      <c r="I63" t="n">
        <v>4000</v>
      </c>
      <c r="J63" t="inlineStr">
        <is>
          <t>20, 25, 28, 30, 34, 42, 46, 50, 54, 57, 63, 70</t>
        </is>
      </c>
    </row>
    <row r="64">
      <c r="A64" t="inlineStr">
        <is>
          <t>VENT</t>
        </is>
      </c>
      <c r="B64" t="inlineStr">
        <is>
          <t>VENT-MC-01</t>
        </is>
      </c>
      <c r="C64" s="19" t="n">
        <v>46230</v>
      </c>
      <c r="D64" t="n">
        <v>6</v>
      </c>
      <c r="E64" t="n">
        <v>4</v>
      </c>
      <c r="F64" t="inlineStr">
        <is>
          <t>Active</t>
        </is>
      </c>
      <c r="G64" s="21" t="inlineStr">
        <is>
          <t>Contract Workman</t>
        </is>
      </c>
      <c r="H64" t="n">
        <v>100</v>
      </c>
      <c r="I64" t="n">
        <v>1600</v>
      </c>
      <c r="J64" t="inlineStr">
        <is>
          <t>9, 15, 17, 20, 25, 28</t>
        </is>
      </c>
    </row>
    <row r="65">
      <c r="A65" t="inlineStr">
        <is>
          <t>VENT</t>
        </is>
      </c>
      <c r="B65" t="inlineStr">
        <is>
          <t>VENT-MC-02</t>
        </is>
      </c>
      <c r="C65" s="19" t="n">
        <v>46191</v>
      </c>
      <c r="D65" t="n">
        <v>6</v>
      </c>
      <c r="E65" t="n">
        <v>4</v>
      </c>
      <c r="F65" t="inlineStr">
        <is>
          <t>Active</t>
        </is>
      </c>
      <c r="G65" s="21" t="inlineStr">
        <is>
          <t>Contract Workman</t>
        </is>
      </c>
      <c r="H65" t="n">
        <v>100</v>
      </c>
      <c r="I65" t="n">
        <v>1600</v>
      </c>
      <c r="J65" t="inlineStr">
        <is>
          <t>9, 15, 17, 20, 25, 28</t>
        </is>
      </c>
    </row>
    <row r="66">
      <c r="A66" t="inlineStr">
        <is>
          <t>VENT</t>
        </is>
      </c>
      <c r="B66" t="inlineStr">
        <is>
          <t>VENT-MC-03</t>
        </is>
      </c>
      <c r="C66" s="19" t="n">
        <v>46054</v>
      </c>
      <c r="D66" t="n">
        <v>6</v>
      </c>
      <c r="E66" t="n">
        <v>4</v>
      </c>
      <c r="F66" t="inlineStr">
        <is>
          <t>Active</t>
        </is>
      </c>
      <c r="G66" s="21" t="inlineStr">
        <is>
          <t>Contract Workman</t>
        </is>
      </c>
      <c r="H66" t="n">
        <v>100</v>
      </c>
      <c r="I66" t="n">
        <v>1600</v>
      </c>
      <c r="J66" t="inlineStr">
        <is>
          <t>9, 15, 17, 20, 25, 28</t>
        </is>
      </c>
    </row>
    <row r="67">
      <c r="A67" t="inlineStr">
        <is>
          <t>VENT</t>
        </is>
      </c>
      <c r="B67" t="inlineStr">
        <is>
          <t>VENT-MC-04</t>
        </is>
      </c>
      <c r="C67" s="19" t="n">
        <v>46255</v>
      </c>
      <c r="D67" t="n">
        <v>6</v>
      </c>
      <c r="E67" t="n">
        <v>4</v>
      </c>
      <c r="F67" t="inlineStr">
        <is>
          <t>Active</t>
        </is>
      </c>
      <c r="G67" s="21" t="inlineStr">
        <is>
          <t>Contract Workman</t>
        </is>
      </c>
      <c r="H67" t="n">
        <v>300</v>
      </c>
      <c r="I67" t="n">
        <v>3500</v>
      </c>
      <c r="J67" t="inlineStr">
        <is>
          <t>15, 17, 20, 25, 28, 30, 34, 42, 46, 50, 54, 57, 63, 70</t>
        </is>
      </c>
    </row>
    <row r="68">
      <c r="A68" t="inlineStr">
        <is>
          <t>VENT</t>
        </is>
      </c>
      <c r="B68" t="inlineStr">
        <is>
          <t>VENT-MC-05</t>
        </is>
      </c>
      <c r="C68" s="19" t="n">
        <v>46394</v>
      </c>
      <c r="D68" t="n">
        <v>6</v>
      </c>
      <c r="E68" t="n">
        <v>4</v>
      </c>
      <c r="F68" t="inlineStr">
        <is>
          <t>Active</t>
        </is>
      </c>
      <c r="G68" s="21" t="inlineStr">
        <is>
          <t>Contract Workman</t>
        </is>
      </c>
      <c r="H68" t="n">
        <v>300</v>
      </c>
      <c r="I68" t="n">
        <v>3500</v>
      </c>
      <c r="J68" t="inlineStr">
        <is>
          <t>15, 17, 20, 25, 28, 30, 34, 42, 46, 50, 54, 57, 63, 70</t>
        </is>
      </c>
    </row>
    <row r="69">
      <c r="A69" t="inlineStr">
        <is>
          <t>VENT</t>
        </is>
      </c>
      <c r="B69" t="inlineStr">
        <is>
          <t>VENT-MC-06</t>
        </is>
      </c>
      <c r="C69" s="19" t="n">
        <v>46347</v>
      </c>
      <c r="D69" t="n">
        <v>6</v>
      </c>
      <c r="E69" t="n">
        <v>4</v>
      </c>
      <c r="F69" t="inlineStr">
        <is>
          <t>Active</t>
        </is>
      </c>
      <c r="G69" s="21" t="inlineStr">
        <is>
          <t>Contract Workman</t>
        </is>
      </c>
      <c r="H69" t="n">
        <v>300</v>
      </c>
      <c r="I69" t="n">
        <v>3500</v>
      </c>
      <c r="J69" t="inlineStr">
        <is>
          <t>15, 17, 20, 25, 28, 30, 34, 42, 46, 50, 54, 57, 63, 70</t>
        </is>
      </c>
    </row>
    <row r="70">
      <c r="A70" t="inlineStr">
        <is>
          <t>VENT</t>
        </is>
      </c>
      <c r="B70" t="inlineStr">
        <is>
          <t>VENT-MC-07</t>
        </is>
      </c>
      <c r="C70" s="19" t="n">
        <v>46234</v>
      </c>
      <c r="D70" t="n">
        <v>6</v>
      </c>
      <c r="E70" t="n">
        <v>4</v>
      </c>
      <c r="F70" t="inlineStr">
        <is>
          <t>Active</t>
        </is>
      </c>
      <c r="G70" s="21" t="inlineStr">
        <is>
          <t>Contract Workman</t>
        </is>
      </c>
      <c r="H70" t="n">
        <v>500</v>
      </c>
      <c r="I70" t="n">
        <v>4000</v>
      </c>
      <c r="J70" t="inlineStr">
        <is>
          <t>17, 20, 25, 28, 30, 34, 42, 46, 50, 54, 57, 63, 70</t>
        </is>
      </c>
    </row>
    <row r="71">
      <c r="A71" t="inlineStr">
        <is>
          <t>VENT</t>
        </is>
      </c>
      <c r="B71" t="inlineStr">
        <is>
          <t>VENT-MC-08</t>
        </is>
      </c>
      <c r="C71" s="19" t="n">
        <v>46138</v>
      </c>
      <c r="D71" t="n">
        <v>6</v>
      </c>
      <c r="E71" t="n">
        <v>4</v>
      </c>
      <c r="F71" t="inlineStr">
        <is>
          <t>Active</t>
        </is>
      </c>
      <c r="G71" s="21" t="inlineStr">
        <is>
          <t>Contract Workman</t>
        </is>
      </c>
      <c r="H71" t="n">
        <v>500</v>
      </c>
      <c r="I71" t="n">
        <v>4000</v>
      </c>
      <c r="J71" t="inlineStr">
        <is>
          <t>17, 20, 25, 28, 30, 34, 42, 46, 50, 54, 57, 63, 70</t>
        </is>
      </c>
    </row>
    <row r="72">
      <c r="A72" t="inlineStr">
        <is>
          <t>FID</t>
        </is>
      </c>
      <c r="B72" t="inlineStr">
        <is>
          <t>FID-MC-01</t>
        </is>
      </c>
      <c r="C72" s="19" t="n">
        <v>46106</v>
      </c>
      <c r="D72" t="n">
        <v>6</v>
      </c>
      <c r="E72" t="n">
        <v>4</v>
      </c>
      <c r="F72" t="inlineStr">
        <is>
          <t>Active</t>
        </is>
      </c>
      <c r="G72" s="21" t="inlineStr">
        <is>
          <t>Contract Workman</t>
        </is>
      </c>
      <c r="H72" t="n">
        <v>100</v>
      </c>
      <c r="I72" t="n">
        <v>4500</v>
      </c>
      <c r="J72" t="inlineStr">
        <is>
          <t>9, 15, 17, 20, 25, 28, 30, 34, 42, 46, 50, 54, 57, 63, 70</t>
        </is>
      </c>
    </row>
    <row r="73">
      <c r="A73" t="inlineStr">
        <is>
          <t>FID</t>
        </is>
      </c>
      <c r="B73" t="inlineStr">
        <is>
          <t>FID-MC-02</t>
        </is>
      </c>
      <c r="C73" s="19" t="n">
        <v>46142</v>
      </c>
      <c r="D73" t="n">
        <v>6</v>
      </c>
      <c r="E73" t="n">
        <v>4</v>
      </c>
      <c r="F73" t="inlineStr">
        <is>
          <t>Active</t>
        </is>
      </c>
      <c r="G73" s="21" t="inlineStr">
        <is>
          <t>Contract Workman</t>
        </is>
      </c>
      <c r="H73" t="n">
        <v>100</v>
      </c>
      <c r="I73" t="n">
        <v>4500</v>
      </c>
      <c r="J73" t="inlineStr">
        <is>
          <t>9, 15, 17, 20, 25, 28, 30, 34, 42, 46, 50, 54, 57, 63, 70</t>
        </is>
      </c>
    </row>
    <row r="74">
      <c r="A74" t="inlineStr">
        <is>
          <t>FID</t>
        </is>
      </c>
      <c r="B74" t="inlineStr">
        <is>
          <t>FID-MC-03</t>
        </is>
      </c>
      <c r="C74" s="19" t="n">
        <v>46483</v>
      </c>
      <c r="D74" t="n">
        <v>6</v>
      </c>
      <c r="E74" t="n">
        <v>4</v>
      </c>
      <c r="F74" t="inlineStr">
        <is>
          <t>Active</t>
        </is>
      </c>
      <c r="G74" s="21" t="inlineStr">
        <is>
          <t>Contract Workman</t>
        </is>
      </c>
      <c r="H74" t="n">
        <v>100</v>
      </c>
      <c r="I74" t="n">
        <v>4500</v>
      </c>
      <c r="J74" t="inlineStr">
        <is>
          <t>9, 15, 17, 20, 25, 28, 30, 34, 42, 46, 50, 54, 57, 63, 70</t>
        </is>
      </c>
    </row>
    <row r="75">
      <c r="A75" t="inlineStr">
        <is>
          <t>FID</t>
        </is>
      </c>
      <c r="B75" t="inlineStr">
        <is>
          <t>FID-MC-04</t>
        </is>
      </c>
      <c r="C75" s="19" t="n">
        <v>46318</v>
      </c>
      <c r="D75" t="n">
        <v>6</v>
      </c>
      <c r="E75" t="n">
        <v>4</v>
      </c>
      <c r="F75" t="inlineStr">
        <is>
          <t>Active</t>
        </is>
      </c>
      <c r="G75" s="21" t="inlineStr">
        <is>
          <t>Contract Workman</t>
        </is>
      </c>
      <c r="H75" t="n">
        <v>100</v>
      </c>
      <c r="I75" t="n">
        <v>4500</v>
      </c>
      <c r="J75" t="inlineStr">
        <is>
          <t>9, 15, 17, 20, 25, 28, 30, 34, 42, 46, 50, 54, 57, 63, 70</t>
        </is>
      </c>
    </row>
    <row r="76">
      <c r="A76" t="inlineStr">
        <is>
          <t>FID</t>
        </is>
      </c>
      <c r="B76" t="inlineStr">
        <is>
          <t>FID-MC-05</t>
        </is>
      </c>
      <c r="C76" s="19" t="n">
        <v>46431</v>
      </c>
      <c r="D76" t="n">
        <v>6</v>
      </c>
      <c r="E76" t="n">
        <v>4</v>
      </c>
      <c r="F76" t="inlineStr">
        <is>
          <t>Active</t>
        </is>
      </c>
      <c r="G76" s="21" t="inlineStr">
        <is>
          <t>Contract Workman</t>
        </is>
      </c>
      <c r="H76" t="n">
        <v>100</v>
      </c>
      <c r="I76" t="n">
        <v>4500</v>
      </c>
      <c r="J76" t="inlineStr">
        <is>
          <t>9, 15, 17, 20, 25, 28, 30, 34, 42, 46, 50, 54, 57, 63, 70</t>
        </is>
      </c>
    </row>
    <row r="77">
      <c r="A77" t="inlineStr">
        <is>
          <t>FID</t>
        </is>
      </c>
      <c r="B77" t="inlineStr">
        <is>
          <t>FID-MC-06</t>
        </is>
      </c>
      <c r="C77" s="19" t="n">
        <v>46088</v>
      </c>
      <c r="D77" t="n">
        <v>6</v>
      </c>
      <c r="E77" t="n">
        <v>4</v>
      </c>
      <c r="F77" t="inlineStr">
        <is>
          <t>Active</t>
        </is>
      </c>
      <c r="G77" s="21" t="inlineStr">
        <is>
          <t>Contract Workman</t>
        </is>
      </c>
      <c r="H77" t="n">
        <v>100</v>
      </c>
      <c r="I77" t="n">
        <v>4500</v>
      </c>
      <c r="J77" t="inlineStr">
        <is>
          <t>9, 15, 17, 20, 25, 28, 30, 34, 42, 46, 50, 54, 57, 63, 70</t>
        </is>
      </c>
    </row>
    <row r="78">
      <c r="A78" t="inlineStr">
        <is>
          <t>FID</t>
        </is>
      </c>
      <c r="B78" t="inlineStr">
        <is>
          <t>FID-MC-07</t>
        </is>
      </c>
      <c r="C78" s="19" t="n">
        <v>46402</v>
      </c>
      <c r="D78" t="n">
        <v>6</v>
      </c>
      <c r="E78" t="n">
        <v>4</v>
      </c>
      <c r="F78" t="inlineStr">
        <is>
          <t>Active</t>
        </is>
      </c>
      <c r="G78" s="21" t="inlineStr">
        <is>
          <t>Contract Workman</t>
        </is>
      </c>
      <c r="H78" t="n">
        <v>100</v>
      </c>
      <c r="I78" t="n">
        <v>4500</v>
      </c>
      <c r="J78" t="inlineStr">
        <is>
          <t>9, 15, 17, 20, 25, 28, 30, 34, 42, 46, 50, 54, 57, 63, 70</t>
        </is>
      </c>
    </row>
    <row r="79">
      <c r="A79" t="inlineStr">
        <is>
          <t>FID</t>
        </is>
      </c>
      <c r="B79" t="inlineStr">
        <is>
          <t>FID-MC-08</t>
        </is>
      </c>
      <c r="C79" s="19" t="n">
        <v>46328</v>
      </c>
      <c r="D79" t="n">
        <v>6</v>
      </c>
      <c r="E79" t="n">
        <v>4</v>
      </c>
      <c r="F79" t="inlineStr">
        <is>
          <t>Active</t>
        </is>
      </c>
      <c r="G79" s="21" t="inlineStr">
        <is>
          <t>Contract Workman</t>
        </is>
      </c>
      <c r="H79" t="n">
        <v>100</v>
      </c>
      <c r="I79" t="n">
        <v>4500</v>
      </c>
      <c r="J79" t="inlineStr">
        <is>
          <t>9, 15, 17, 20, 25, 28, 30, 34, 42, 46, 50, 54, 57, 63, 70</t>
        </is>
      </c>
    </row>
    <row r="80">
      <c r="A80" t="inlineStr">
        <is>
          <t>FID</t>
        </is>
      </c>
      <c r="B80" t="inlineStr">
        <is>
          <t>FID-MC-09</t>
        </is>
      </c>
      <c r="C80" s="19" t="n">
        <v>46165</v>
      </c>
      <c r="D80" t="n">
        <v>6</v>
      </c>
      <c r="E80" t="n">
        <v>4</v>
      </c>
      <c r="F80" t="inlineStr">
        <is>
          <t>Active</t>
        </is>
      </c>
      <c r="G80" s="21" t="inlineStr">
        <is>
          <t>Contract Workman</t>
        </is>
      </c>
      <c r="H80" t="n">
        <v>100</v>
      </c>
      <c r="I80" t="n">
        <v>4500</v>
      </c>
      <c r="J80" t="inlineStr">
        <is>
          <t>9, 15, 17, 20, 25, 28, 30, 34, 42, 46, 50, 54, 57, 63, 70</t>
        </is>
      </c>
    </row>
    <row r="81">
      <c r="A81" t="inlineStr">
        <is>
          <t>FID</t>
        </is>
      </c>
      <c r="B81" t="inlineStr">
        <is>
          <t>FID-MC-10</t>
        </is>
      </c>
      <c r="C81" s="19" t="n">
        <v>46483</v>
      </c>
      <c r="D81" t="n">
        <v>6</v>
      </c>
      <c r="E81" t="n">
        <v>4</v>
      </c>
      <c r="F81" t="inlineStr">
        <is>
          <t>Active</t>
        </is>
      </c>
      <c r="G81" s="21" t="inlineStr">
        <is>
          <t>Contract Workman</t>
        </is>
      </c>
      <c r="H81" t="n">
        <v>100</v>
      </c>
      <c r="I81" t="n">
        <v>4500</v>
      </c>
      <c r="J81" t="inlineStr">
        <is>
          <t>9, 15, 17, 20, 25, 28, 30, 34, 42, 46, 50, 54, 57, 63, 70</t>
        </is>
      </c>
    </row>
    <row r="82">
      <c r="A82" t="inlineStr">
        <is>
          <t>QC</t>
        </is>
      </c>
      <c r="B82" t="inlineStr">
        <is>
          <t>QC-MC-01</t>
        </is>
      </c>
      <c r="C82" s="19" t="n">
        <v>46518</v>
      </c>
      <c r="D82" t="n">
        <v>6</v>
      </c>
      <c r="E82" t="n">
        <v>4</v>
      </c>
      <c r="F82" t="inlineStr">
        <is>
          <t>Active</t>
        </is>
      </c>
      <c r="G82" s="21" t="inlineStr">
        <is>
          <t>General Workman</t>
        </is>
      </c>
      <c r="H82" t="n">
        <v>100</v>
      </c>
      <c r="I82" t="n">
        <v>4500</v>
      </c>
      <c r="J82" t="inlineStr">
        <is>
          <t>9, 15, 17, 20, 25, 28, 30, 34, 42, 46, 50, 54, 57, 63, 70</t>
        </is>
      </c>
    </row>
    <row r="83">
      <c r="A83" t="inlineStr">
        <is>
          <t>QC</t>
        </is>
      </c>
      <c r="B83" t="inlineStr">
        <is>
          <t>QC-MC-02</t>
        </is>
      </c>
      <c r="C83" s="19" t="n">
        <v>46115</v>
      </c>
      <c r="D83" t="n">
        <v>6</v>
      </c>
      <c r="E83" t="n">
        <v>4</v>
      </c>
      <c r="F83" t="inlineStr">
        <is>
          <t>Active</t>
        </is>
      </c>
      <c r="G83" s="21" t="inlineStr">
        <is>
          <t>General Workman</t>
        </is>
      </c>
      <c r="H83" t="n">
        <v>100</v>
      </c>
      <c r="I83" t="n">
        <v>4500</v>
      </c>
      <c r="J83" t="inlineStr">
        <is>
          <t>9, 15, 17, 20, 25, 28, 30, 34, 42, 46, 50, 54, 57, 63, 70</t>
        </is>
      </c>
    </row>
    <row r="84">
      <c r="A84" t="inlineStr">
        <is>
          <t>QC</t>
        </is>
      </c>
      <c r="B84" t="inlineStr">
        <is>
          <t>QC-MC-03</t>
        </is>
      </c>
      <c r="C84" s="19" t="n">
        <v>46172</v>
      </c>
      <c r="D84" t="n">
        <v>6</v>
      </c>
      <c r="E84" t="n">
        <v>4</v>
      </c>
      <c r="F84" t="inlineStr">
        <is>
          <t>Active</t>
        </is>
      </c>
      <c r="G84" s="21" t="inlineStr">
        <is>
          <t>General Workman</t>
        </is>
      </c>
      <c r="H84" t="n">
        <v>100</v>
      </c>
      <c r="I84" t="n">
        <v>4500</v>
      </c>
      <c r="J84" t="inlineStr">
        <is>
          <t>9, 15, 17, 20, 25, 28, 30, 34, 42, 46, 50, 54, 57, 63, 70</t>
        </is>
      </c>
    </row>
    <row r="85">
      <c r="A85" t="inlineStr">
        <is>
          <t>QC</t>
        </is>
      </c>
      <c r="B85" t="inlineStr">
        <is>
          <t>QC-MC-04</t>
        </is>
      </c>
      <c r="C85" s="19" t="n">
        <v>46195</v>
      </c>
      <c r="D85" t="n">
        <v>6</v>
      </c>
      <c r="E85" t="n">
        <v>4</v>
      </c>
      <c r="F85" t="inlineStr">
        <is>
          <t>Active</t>
        </is>
      </c>
      <c r="G85" s="21" t="inlineStr">
        <is>
          <t>General Workman</t>
        </is>
      </c>
      <c r="H85" t="n">
        <v>100</v>
      </c>
      <c r="I85" t="n">
        <v>4500</v>
      </c>
      <c r="J85" t="inlineStr">
        <is>
          <t>9, 15, 17, 20, 25, 28, 30, 34, 42, 46, 50, 54, 57, 63, 70</t>
        </is>
      </c>
    </row>
    <row r="86">
      <c r="A86" t="inlineStr">
        <is>
          <t>QC</t>
        </is>
      </c>
      <c r="B86" t="inlineStr">
        <is>
          <t>QC-MC-05</t>
        </is>
      </c>
      <c r="C86" s="19" t="n">
        <v>46373</v>
      </c>
      <c r="D86" t="n">
        <v>6</v>
      </c>
      <c r="E86" t="n">
        <v>4</v>
      </c>
      <c r="F86" t="inlineStr">
        <is>
          <t>Active</t>
        </is>
      </c>
      <c r="G86" s="21" t="inlineStr">
        <is>
          <t>General Workman</t>
        </is>
      </c>
      <c r="H86" t="n">
        <v>100</v>
      </c>
      <c r="I86" t="n">
        <v>4500</v>
      </c>
      <c r="J86" t="inlineStr">
        <is>
          <t>9, 15, 17, 20, 25, 28, 30, 34, 42, 46, 50, 54, 57, 63, 70</t>
        </is>
      </c>
    </row>
    <row r="87">
      <c r="A87" s="28" t="inlineStr">
        <is>
          <t>CNC</t>
        </is>
      </c>
      <c r="B87" s="28" t="inlineStr">
        <is>
          <t>CNC-MC-01</t>
        </is>
      </c>
      <c r="C87" s="29" t="n">
        <v>46204</v>
      </c>
      <c r="D87" s="28" t="n">
        <v>6</v>
      </c>
      <c r="E87" s="28" t="n">
        <v>4</v>
      </c>
      <c r="F87" s="28" t="inlineStr">
        <is>
          <t>Active</t>
        </is>
      </c>
      <c r="G87" s="30" t="inlineStr">
        <is>
          <t>General Workman</t>
        </is>
      </c>
      <c r="H87" s="28" t="n">
        <v>100</v>
      </c>
      <c r="I87" s="28" t="n">
        <v>4500</v>
      </c>
      <c r="J87" s="28" t="inlineStr">
        <is>
          <t>All Sizes</t>
        </is>
      </c>
    </row>
    <row r="88">
      <c r="A88" s="28" t="inlineStr">
        <is>
          <t>CNC</t>
        </is>
      </c>
      <c r="B88" s="28" t="inlineStr">
        <is>
          <t>CNC-MC-02</t>
        </is>
      </c>
      <c r="C88" s="29" t="n">
        <v>46234</v>
      </c>
      <c r="D88" s="28" t="n">
        <v>6</v>
      </c>
      <c r="E88" s="28" t="n">
        <v>4</v>
      </c>
      <c r="F88" s="28" t="inlineStr">
        <is>
          <t>Active</t>
        </is>
      </c>
      <c r="G88" s="30" t="inlineStr">
        <is>
          <t>General Workman</t>
        </is>
      </c>
      <c r="H88" s="28" t="n">
        <v>100</v>
      </c>
      <c r="I88" s="28" t="n">
        <v>4500</v>
      </c>
      <c r="J88" s="28" t="inlineStr">
        <is>
          <t>All Sizes</t>
        </is>
      </c>
    </row>
    <row r="89">
      <c r="A89" s="28" t="inlineStr">
        <is>
          <t>CNC</t>
        </is>
      </c>
      <c r="B89" s="28" t="inlineStr">
        <is>
          <t>CNC-MC-03</t>
        </is>
      </c>
      <c r="C89" s="29" t="n">
        <v>46264</v>
      </c>
      <c r="D89" s="28" t="n">
        <v>6</v>
      </c>
      <c r="E89" s="28" t="n">
        <v>4</v>
      </c>
      <c r="F89" s="28" t="inlineStr">
        <is>
          <t>Active</t>
        </is>
      </c>
      <c r="G89" s="30" t="inlineStr">
        <is>
          <t>General Workman</t>
        </is>
      </c>
      <c r="H89" s="28" t="n">
        <v>100</v>
      </c>
      <c r="I89" s="28" t="n">
        <v>4500</v>
      </c>
      <c r="J89" s="28" t="inlineStr">
        <is>
          <t>All Sizes</t>
        </is>
      </c>
    </row>
    <row r="90">
      <c r="A90" s="28" t="inlineStr">
        <is>
          <t>CNC</t>
        </is>
      </c>
      <c r="B90" s="28" t="inlineStr">
        <is>
          <t>CNC-MC-04</t>
        </is>
      </c>
      <c r="C90" s="29" t="n">
        <v>46294</v>
      </c>
      <c r="D90" s="28" t="n">
        <v>6</v>
      </c>
      <c r="E90" s="28" t="n">
        <v>4</v>
      </c>
      <c r="F90" s="28" t="inlineStr">
        <is>
          <t>Active</t>
        </is>
      </c>
      <c r="G90" s="30" t="inlineStr">
        <is>
          <t>General Workman</t>
        </is>
      </c>
      <c r="H90" s="28" t="n">
        <v>100</v>
      </c>
      <c r="I90" s="28" t="n">
        <v>4500</v>
      </c>
      <c r="J90" s="28" t="inlineStr">
        <is>
          <t>All Sizes</t>
        </is>
      </c>
    </row>
    <row r="91">
      <c r="A91" s="28" t="inlineStr">
        <is>
          <t>CNC</t>
        </is>
      </c>
      <c r="B91" s="28" t="inlineStr">
        <is>
          <t>CNC-MC-05</t>
        </is>
      </c>
      <c r="C91" s="29" t="n">
        <v>46324</v>
      </c>
      <c r="D91" s="28" t="n">
        <v>6</v>
      </c>
      <c r="E91" s="28" t="n">
        <v>4</v>
      </c>
      <c r="F91" s="28" t="inlineStr">
        <is>
          <t>Active</t>
        </is>
      </c>
      <c r="G91" s="30" t="inlineStr">
        <is>
          <t>General Workman</t>
        </is>
      </c>
      <c r="H91" s="28" t="n">
        <v>100</v>
      </c>
      <c r="I91" s="28" t="n">
        <v>4500</v>
      </c>
      <c r="J91" s="28" t="inlineStr">
        <is>
          <t>All Sizes</t>
        </is>
      </c>
    </row>
    <row r="92">
      <c r="A92" s="28" t="inlineStr">
        <is>
          <t>CNC</t>
        </is>
      </c>
      <c r="B92" s="28" t="inlineStr">
        <is>
          <t>CNC-MC-06</t>
        </is>
      </c>
      <c r="C92" s="29" t="n">
        <v>46354</v>
      </c>
      <c r="D92" s="28" t="n">
        <v>6</v>
      </c>
      <c r="E92" s="28" t="n">
        <v>4</v>
      </c>
      <c r="F92" s="28" t="inlineStr">
        <is>
          <t>Active</t>
        </is>
      </c>
      <c r="G92" s="30" t="inlineStr">
        <is>
          <t>General Workman</t>
        </is>
      </c>
      <c r="H92" s="28" t="n">
        <v>100</v>
      </c>
      <c r="I92" s="28" t="n">
        <v>4500</v>
      </c>
      <c r="J92" s="28" t="inlineStr">
        <is>
          <t>All Sizes</t>
        </is>
      </c>
    </row>
    <row r="93">
      <c r="A93" s="28" t="inlineStr">
        <is>
          <t>CNC</t>
        </is>
      </c>
      <c r="B93" s="28" t="inlineStr">
        <is>
          <t>CNC-MC-07</t>
        </is>
      </c>
      <c r="C93" s="29" t="n">
        <v>46384</v>
      </c>
      <c r="D93" s="28" t="n">
        <v>6</v>
      </c>
      <c r="E93" s="28" t="n">
        <v>4</v>
      </c>
      <c r="F93" s="28" t="inlineStr">
        <is>
          <t>Active</t>
        </is>
      </c>
      <c r="G93" s="30" t="inlineStr">
        <is>
          <t>General Workman</t>
        </is>
      </c>
      <c r="H93" s="28" t="n">
        <v>100</v>
      </c>
      <c r="I93" s="28" t="n">
        <v>4500</v>
      </c>
      <c r="J93" s="28" t="inlineStr">
        <is>
          <t>All Sizes</t>
        </is>
      </c>
    </row>
    <row r="94">
      <c r="A94" s="28" t="inlineStr">
        <is>
          <t>CNC</t>
        </is>
      </c>
      <c r="B94" s="28" t="inlineStr">
        <is>
          <t>CNC-MC-08</t>
        </is>
      </c>
      <c r="C94" s="29" t="n">
        <v>46414</v>
      </c>
      <c r="D94" s="28" t="n">
        <v>6</v>
      </c>
      <c r="E94" s="28" t="n">
        <v>4</v>
      </c>
      <c r="F94" s="28" t="inlineStr">
        <is>
          <t>Active</t>
        </is>
      </c>
      <c r="G94" s="30" t="inlineStr">
        <is>
          <t>General Workman</t>
        </is>
      </c>
      <c r="H94" s="28" t="n">
        <v>100</v>
      </c>
      <c r="I94" s="28" t="n">
        <v>4500</v>
      </c>
      <c r="J94" s="28" t="inlineStr">
        <is>
          <t>All Sizes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n">
        <v>9</v>
      </c>
    </row>
    <row r="2">
      <c r="A2" t="n">
        <v>15</v>
      </c>
    </row>
    <row r="3">
      <c r="A3" t="n">
        <v>17</v>
      </c>
    </row>
    <row r="4">
      <c r="A4" t="n">
        <v>20</v>
      </c>
    </row>
    <row r="5">
      <c r="A5" t="n">
        <v>25</v>
      </c>
    </row>
    <row r="6">
      <c r="A6" t="n">
        <v>28</v>
      </c>
    </row>
    <row r="7">
      <c r="A7" t="n">
        <v>30</v>
      </c>
    </row>
    <row r="8">
      <c r="A8" t="n">
        <v>34</v>
      </c>
    </row>
    <row r="9">
      <c r="A9" t="n">
        <v>42</v>
      </c>
    </row>
    <row r="10">
      <c r="A10" t="n">
        <v>46</v>
      </c>
    </row>
    <row r="11">
      <c r="A11" t="n">
        <v>50</v>
      </c>
    </row>
    <row r="12">
      <c r="A12" t="n">
        <v>54</v>
      </c>
    </row>
    <row r="13">
      <c r="A13" t="n">
        <v>57</v>
      </c>
    </row>
    <row r="14">
      <c r="A14" t="n">
        <v>63</v>
      </c>
    </row>
    <row r="15">
      <c r="A15" t="n">
        <v>70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G103"/>
  <sheetViews>
    <sheetView workbookViewId="0">
      <pane xSplit="15" ySplit="3" topLeftCell="P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8" customWidth="1" min="3" max="3"/>
    <col width="8" customWidth="1" min="4" max="4"/>
    <col width="16" customWidth="1" min="5" max="5"/>
    <col width="14" customWidth="1" min="6" max="6"/>
    <col width="12" customWidth="1" min="7" max="7"/>
    <col width="8" customWidth="1" min="8" max="8"/>
    <col width="10" customWidth="1" min="9" max="9"/>
    <col width="14" customWidth="1" min="10" max="10"/>
    <col width="8" customWidth="1" min="11" max="11"/>
    <col width="10" customWidth="1" min="12" max="12"/>
    <col width="14" customWidth="1" min="13" max="13"/>
    <col width="12" customWidth="1" min="14" max="14"/>
    <col width="14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  <col width="3" customWidth="1" min="67" max="67"/>
    <col width="3" customWidth="1" min="68" max="68"/>
    <col width="3" customWidth="1" min="69" max="69"/>
    <col width="3" customWidth="1" min="70" max="70"/>
    <col width="3" customWidth="1" min="71" max="71"/>
    <col width="3" customWidth="1" min="72" max="72"/>
    <col width="3" customWidth="1" min="73" max="73"/>
    <col width="3" customWidth="1" min="74" max="74"/>
  </cols>
  <sheetData>
    <row r="1">
      <c r="BX1" s="24" t="inlineStr">
        <is>
          <t>CNC — Monthly Load vs Capacity</t>
        </is>
      </c>
    </row>
    <row r="2">
      <c r="BX2" s="25" t="inlineStr">
        <is>
          <t>Apr-26</t>
        </is>
      </c>
      <c r="BY2" s="25" t="inlineStr">
        <is>
          <t>May-26</t>
        </is>
      </c>
      <c r="BZ2" s="25" t="inlineStr">
        <is>
          <t>Jun-26</t>
        </is>
      </c>
      <c r="CA2" s="25" t="inlineStr">
        <is>
          <t>Jul-26</t>
        </is>
      </c>
      <c r="CB2" s="25" t="inlineStr">
        <is>
          <t>Aug-26</t>
        </is>
      </c>
      <c r="CC2" s="25" t="inlineStr">
        <is>
          <t>Sep-26</t>
        </is>
      </c>
      <c r="CD2" s="25" t="inlineStr">
        <is>
          <t>Oct-26</t>
        </is>
      </c>
      <c r="CE2" s="25" t="inlineStr">
        <is>
          <t>Nov-26</t>
        </is>
      </c>
      <c r="CF2" s="25" t="inlineStr">
        <is>
          <t>Dec-26</t>
        </is>
      </c>
      <c r="CG2" s="25" t="inlineStr">
        <is>
          <t>Jan-27</t>
        </is>
      </c>
    </row>
    <row r="3" ht="40" customHeight="1">
      <c r="A3" s="73" t="inlineStr">
        <is>
          <t>Job ID</t>
        </is>
      </c>
      <c r="B3" s="73" t="inlineStr">
        <is>
          <t>Size</t>
        </is>
      </c>
      <c r="C3" s="34" t="inlineStr">
        <is>
          <t>Type</t>
        </is>
      </c>
      <c r="D3" s="73" t="inlineStr">
        <is>
          <t>Parts</t>
        </is>
      </c>
      <c r="E3" s="74" t="inlineStr">
        <is>
          <t>Allocated Machine</t>
        </is>
      </c>
      <c r="F3" s="55" t="inlineStr">
        <is>
          <t>Worker</t>
        </is>
      </c>
      <c r="G3" s="74" t="inlineStr">
        <is>
          <t>PM Date</t>
        </is>
      </c>
      <c r="H3" s="74" t="inlineStr">
        <is>
          <t>PM Hrs</t>
        </is>
      </c>
      <c r="I3" s="34" t="inlineStr">
        <is>
          <t>Override</t>
        </is>
      </c>
      <c r="J3" s="73" t="inlineStr">
        <is>
          <t>Start Date</t>
        </is>
      </c>
      <c r="K3" s="73" t="inlineStr">
        <is>
          <t>Unit CT</t>
        </is>
      </c>
      <c r="L3" s="73" t="inlineStr">
        <is>
          <t>Total Load</t>
        </is>
      </c>
      <c r="M3" s="73" t="inlineStr">
        <is>
          <t>End Date</t>
        </is>
      </c>
      <c r="N3" s="75" t="inlineStr">
        <is>
          <t>Shift | Time</t>
        </is>
      </c>
      <c r="O3" s="76" t="inlineStr">
        <is>
          <t>Machine Helper
(Pick Compatible)</t>
        </is>
      </c>
      <c r="P3" s="15" t="n">
        <v>46113</v>
      </c>
      <c r="Q3" s="15" t="n">
        <v>46114</v>
      </c>
      <c r="R3" s="15" t="n">
        <v>46115</v>
      </c>
      <c r="S3" s="15" t="n">
        <v>46116</v>
      </c>
      <c r="T3" s="15" t="n">
        <v>46118</v>
      </c>
      <c r="U3" s="15" t="n">
        <v>46119</v>
      </c>
      <c r="V3" s="15" t="n">
        <v>46120</v>
      </c>
      <c r="W3" s="15" t="n">
        <v>46121</v>
      </c>
      <c r="X3" s="15" t="n">
        <v>46122</v>
      </c>
      <c r="Y3" s="15" t="n">
        <v>46123</v>
      </c>
      <c r="Z3" s="15" t="n">
        <v>46124</v>
      </c>
      <c r="AA3" s="15" t="n">
        <v>46125</v>
      </c>
      <c r="AB3" s="15" t="n">
        <v>46126</v>
      </c>
      <c r="AC3" s="15" t="n">
        <v>46127</v>
      </c>
      <c r="AD3" s="15" t="n">
        <v>46128</v>
      </c>
      <c r="AE3" s="15" t="n">
        <v>46129</v>
      </c>
      <c r="AF3" s="15" t="n">
        <v>46130</v>
      </c>
      <c r="AG3" s="15" t="n">
        <v>46131</v>
      </c>
      <c r="AH3" s="15" t="n">
        <v>46132</v>
      </c>
      <c r="AI3" s="15" t="n">
        <v>46133</v>
      </c>
      <c r="AJ3" s="15" t="n">
        <v>46134</v>
      </c>
      <c r="AK3" s="15" t="n">
        <v>46135</v>
      </c>
      <c r="AL3" s="15" t="n">
        <v>46136</v>
      </c>
      <c r="AM3" s="15" t="n">
        <v>46137</v>
      </c>
      <c r="AN3" s="15" t="n">
        <v>46138</v>
      </c>
      <c r="AO3" s="15" t="n">
        <v>46139</v>
      </c>
      <c r="AP3" s="15" t="n">
        <v>46140</v>
      </c>
      <c r="AQ3" s="15" t="n">
        <v>46141</v>
      </c>
      <c r="AR3" s="15" t="n">
        <v>46142</v>
      </c>
      <c r="AS3" s="15" t="n">
        <v>46143</v>
      </c>
      <c r="AT3" s="15" t="n">
        <v>46144</v>
      </c>
      <c r="AU3" s="15" t="n">
        <v>46145</v>
      </c>
      <c r="AV3" s="15" t="n">
        <v>46146</v>
      </c>
      <c r="AW3" s="15" t="n">
        <v>46147</v>
      </c>
      <c r="AX3" s="15" t="n">
        <v>46148</v>
      </c>
      <c r="AY3" s="15" t="n">
        <v>46149</v>
      </c>
      <c r="AZ3" s="15" t="n">
        <v>46150</v>
      </c>
      <c r="BA3" s="15" t="n">
        <v>46151</v>
      </c>
      <c r="BB3" s="15" t="n">
        <v>46152</v>
      </c>
      <c r="BC3" s="15" t="n">
        <v>46153</v>
      </c>
      <c r="BD3" s="15" t="n">
        <v>46154</v>
      </c>
      <c r="BE3" s="15" t="n">
        <v>46155</v>
      </c>
      <c r="BF3" s="15" t="n">
        <v>46156</v>
      </c>
      <c r="BG3" s="15" t="n">
        <v>46157</v>
      </c>
      <c r="BH3" s="15" t="n">
        <v>46158</v>
      </c>
      <c r="BI3" s="15" t="n">
        <v>46159</v>
      </c>
      <c r="BJ3" s="15" t="n">
        <v>46160</v>
      </c>
      <c r="BK3" s="15" t="n">
        <v>46161</v>
      </c>
      <c r="BL3" s="15" t="n">
        <v>46162</v>
      </c>
      <c r="BM3" s="15" t="n">
        <v>46163</v>
      </c>
      <c r="BN3" s="15" t="n">
        <v>46164</v>
      </c>
      <c r="BO3" s="15" t="n">
        <v>46165</v>
      </c>
      <c r="BP3" s="15" t="n">
        <v>46166</v>
      </c>
      <c r="BQ3" s="15" t="n">
        <v>46167</v>
      </c>
      <c r="BR3" s="15" t="n">
        <v>46168</v>
      </c>
      <c r="BS3" s="15" t="n">
        <v>46169</v>
      </c>
      <c r="BT3" s="15" t="n">
        <v>46170</v>
      </c>
      <c r="BU3" s="15" t="n">
        <v>46171</v>
      </c>
      <c r="BV3" s="15" t="n">
        <v>46172</v>
      </c>
      <c r="BW3" s="26" t="inlineStr">
        <is>
          <t>Load (Hrs)</t>
        </is>
      </c>
      <c r="BX3" s="27" t="n">
        <v>0</v>
      </c>
      <c r="BY3" s="27" t="n">
        <v>0</v>
      </c>
      <c r="BZ3" s="27" t="n">
        <v>0</v>
      </c>
      <c r="CA3" s="27" t="n">
        <v>0</v>
      </c>
      <c r="CB3" s="27" t="n">
        <v>0</v>
      </c>
      <c r="CC3" s="27" t="n">
        <v>0</v>
      </c>
      <c r="CD3" s="27" t="n">
        <v>0</v>
      </c>
      <c r="CE3" s="27" t="n">
        <v>0</v>
      </c>
      <c r="CF3" s="27" t="n">
        <v>0</v>
      </c>
      <c r="CG3" s="27" t="n">
        <v>0</v>
      </c>
    </row>
    <row r="4">
      <c r="A4">
        <f>IF(Job_Master_Ring!$A4="","",Job_Master_Ring!$A4)</f>
        <v/>
      </c>
      <c r="B4">
        <f>IF($A4="","",Job_Master_Ring!B4)</f>
        <v/>
      </c>
      <c r="C4">
        <f>IF($A4="","",Job_Master_Ring!C4)</f>
        <v/>
      </c>
      <c r="D4">
        <f>IF($A4="","",Job_Master_Ring!D4)</f>
        <v/>
      </c>
      <c r="E4">
        <f>IF($A4="","",IF($I4&lt;&gt;"",$I4,IFERROR(INDEX(Machine_List!$B$87:$B$94,MATCH(1,(Machine_List!$H$87:$H$94&lt;=IFERROR(VLOOKUP($B4,CHOOSE(MATCH($C4,Settings!$L$4:$L$10,0),OPR_BR1!$A$4:$K$18,OPR_BR2!$A$4:$K$18,OPR_CR2!$A$4:$K$18,OPR_CR3!$A$4:$K$18,OPR_CR4!$A$4:$K$18,OPR_RIM!$A$4:$K$18,OPR_BPR!$A$4:$K$18),10,0),0))*(Machine_List!$I$87:$I$94&gt;=IFERROR(VLOOKUP($B4,CHOOSE(MATCH($C4,Settings!$L$4:$L$10,0),OPR_BR1!$A$4:$K$18,OPR_BR2!$A$4:$K$18,OPR_CR2!$A$4:$K$18,OPR_CR3!$A$4:$K$18,OPR_CR4!$A$4:$K$18,OPR_RIM!$A$4:$K$18,OPR_BPR!$A$4:$K$18),11,0),9999)),0)),"NO COMPATIBLE MACHINE")))</f>
        <v/>
      </c>
      <c r="F4">
        <f>IF($E4="","",IFERROR(VLOOKUP($E4,Machine_List!$B:$G,6,0),""))</f>
        <v/>
      </c>
      <c r="G4" s="17">
        <f>IF($E4="","",IFERROR(VLOOKUP($E4,Machine_List!$B:$C,2,0),""))</f>
        <v/>
      </c>
      <c r="H4">
        <f>IF($E4="","",IFERROR(VLOOKUP($E4,Machine_List!$B:$D,3,0),""))</f>
        <v/>
      </c>
      <c r="J4" s="16">
        <f>IF($A4="","",IF($I4&lt;&gt;"",$I4,MAX(GlobalStartDate,IFERROR(LOOKUP(2,1/($E$3:INDIRECT("E"&amp;(ROW()-1))=$E4),$M$3:INDIRECT("M"&amp;(ROW()-1))),GlobalStartDate))))</f>
        <v/>
      </c>
      <c r="K4">
        <f>IF($A4="","",IFERROR(VLOOKUP(B4,CHOOSE(MATCH($C4,Settings!$L$4:$L$10,0),OPR_BR1!$A$4:$I$18,OPR_BR2!$A$4:$I$18,OPR_CR2!$A$4:$I$18,OPR_CR3!$A$4:$I$18,OPR_CR4!$A$4:$I$18,OPR_RIM!$A$4:$I$18,OPR_BPR!$A$4:$I$18),2,0),0))</f>
        <v/>
      </c>
      <c r="L4">
        <f>IF($A4="","",K4*D4)</f>
        <v/>
      </c>
      <c r="M4" s="16">
        <f>IF($A4="","",IF(AND(ISNUMBER(G4),G4&gt;=J4,G4&lt;=(J4+(L4/(IF(F4="Contract Workman",Settings!$K$5,Settings!$K$4))))),J4+(L4/(IF(F4="Contract Workman",Settings!$K$5,Settings!$K$4)))+(H4/(IF(F4="Contract Workman",Settings!$K$5,Settings!$K$4))),J4+(L4/(IF(F4="Contract Workman",Settings!$K$5,Settings!$K$4)))))</f>
        <v/>
      </c>
      <c r="N4">
        <f>IF($A4="","",IF(F4="Contract Workman",IF(AND(MOD(M4,1)&gt;=8/24,MOD(M4,1)&lt;20/24),"Shift S1","Shift S2"),IF(AND(MOD(M4,1)&gt;=7/24,MOD(M4,1)&lt;15/24),"Shift A",IF(AND(MOD(M4,1)&gt;=15/24,MOD(M4,1)&lt;23/24),"Shift B","Shift C"))))</f>
        <v/>
      </c>
      <c r="O4">
        <f>IF(B4="","",IF(IFERROR(ISNUMBER(SEARCH(TEXT(B4,"0"),VLOOKUP(E4,Machine_List!$B:$J,9,0))),FALSE),"✅ "&amp;E4,"❌ ?"))</f>
        <v/>
      </c>
      <c r="P4">
        <f>IF(AND($A4&lt;&gt;"",P$3&gt;=$J4,P$3&lt;=$M4),1,"")</f>
        <v/>
      </c>
      <c r="Q4">
        <f>IF(AND($A4&lt;&gt;"",Q$3&gt;=$J4,Q$3&lt;=$M4),1,"")</f>
        <v/>
      </c>
      <c r="R4">
        <f>IF(AND($A4&lt;&gt;"",R$3&gt;=$J4,R$3&lt;=$M4),1,"")</f>
        <v/>
      </c>
      <c r="S4">
        <f>IF(AND($A4&lt;&gt;"",S$3&gt;=$J4,S$3&lt;=$M4),1,"")</f>
        <v/>
      </c>
      <c r="T4">
        <f>IF(AND($A4&lt;&gt;"",T$3&gt;=$J4,T$3&lt;=$M4),1,"")</f>
        <v/>
      </c>
      <c r="U4">
        <f>IF(AND($A4&lt;&gt;"",U$3&gt;=$J4,U$3&lt;=$M4),1,"")</f>
        <v/>
      </c>
      <c r="V4">
        <f>IF(AND($A4&lt;&gt;"",V$3&gt;=$J4,V$3&lt;=$M4),1,"")</f>
        <v/>
      </c>
      <c r="W4">
        <f>IF(AND($A4&lt;&gt;"",W$3&gt;=$J4,W$3&lt;=$M4),1,"")</f>
        <v/>
      </c>
      <c r="X4">
        <f>IF(AND($A4&lt;&gt;"",X$3&gt;=$J4,X$3&lt;=$M4),1,"")</f>
        <v/>
      </c>
      <c r="Y4">
        <f>IF(AND($A4&lt;&gt;"",Y$3&gt;=$J4,Y$3&lt;=$M4),1,"")</f>
        <v/>
      </c>
      <c r="Z4">
        <f>IF(AND($A4&lt;&gt;"",Z$3&gt;=$J4,Z$3&lt;=$M4),1,"")</f>
        <v/>
      </c>
      <c r="AA4">
        <f>IF(AND($A4&lt;&gt;"",AA$3&gt;=$J4,AA$3&lt;=$M4),1,"")</f>
        <v/>
      </c>
      <c r="AB4">
        <f>IF(AND($A4&lt;&gt;"",AB$3&gt;=$J4,AB$3&lt;=$M4),1,"")</f>
        <v/>
      </c>
      <c r="AC4">
        <f>IF(AND($A4&lt;&gt;"",AC$3&gt;=$J4,AC$3&lt;=$M4),1,"")</f>
        <v/>
      </c>
      <c r="AD4">
        <f>IF(AND($A4&lt;&gt;"",AD$3&gt;=$J4,AD$3&lt;=$M4),1,"")</f>
        <v/>
      </c>
      <c r="AE4">
        <f>IF(AND($A4&lt;&gt;"",AE$3&gt;=$J4,AE$3&lt;=$M4),1,"")</f>
        <v/>
      </c>
      <c r="AF4">
        <f>IF(AND($A4&lt;&gt;"",AF$3&gt;=$J4,AF$3&lt;=$M4),1,"")</f>
        <v/>
      </c>
      <c r="AG4">
        <f>IF(AND($A4&lt;&gt;"",AG$3&gt;=$J4,AG$3&lt;=$M4),1,"")</f>
        <v/>
      </c>
      <c r="AH4">
        <f>IF(AND($A4&lt;&gt;"",AH$3&gt;=$J4,AH$3&lt;=$M4),1,"")</f>
        <v/>
      </c>
      <c r="AI4">
        <f>IF(AND($A4&lt;&gt;"",AI$3&gt;=$J4,AI$3&lt;=$M4),1,"")</f>
        <v/>
      </c>
      <c r="AJ4">
        <f>IF(AND($A4&lt;&gt;"",AJ$3&gt;=$J4,AJ$3&lt;=$M4),1,"")</f>
        <v/>
      </c>
      <c r="AK4">
        <f>IF(AND($A4&lt;&gt;"",AK$3&gt;=$J4,AK$3&lt;=$M4),1,"")</f>
        <v/>
      </c>
      <c r="AL4">
        <f>IF(AND($A4&lt;&gt;"",AL$3&gt;=$J4,AL$3&lt;=$M4),1,"")</f>
        <v/>
      </c>
      <c r="AM4">
        <f>IF(AND($A4&lt;&gt;"",AM$3&gt;=$J4,AM$3&lt;=$M4),1,"")</f>
        <v/>
      </c>
      <c r="AN4">
        <f>IF(AND($A4&lt;&gt;"",AN$3&gt;=$J4,AN$3&lt;=$M4),1,"")</f>
        <v/>
      </c>
      <c r="AO4">
        <f>IF(AND($A4&lt;&gt;"",AO$3&gt;=$J4,AO$3&lt;=$M4),1,"")</f>
        <v/>
      </c>
      <c r="AP4">
        <f>IF(AND($A4&lt;&gt;"",AP$3&gt;=$J4,AP$3&lt;=$M4),1,"")</f>
        <v/>
      </c>
      <c r="AQ4">
        <f>IF(AND($A4&lt;&gt;"",AQ$3&gt;=$J4,AQ$3&lt;=$M4),1,"")</f>
        <v/>
      </c>
      <c r="AR4">
        <f>IF(AND($A4&lt;&gt;"",AR$3&gt;=$J4,AR$3&lt;=$M4),1,"")</f>
        <v/>
      </c>
      <c r="AS4">
        <f>IF(AND($A4&lt;&gt;"",AS$3&gt;=$J4,AS$3&lt;=$M4),1,"")</f>
        <v/>
      </c>
      <c r="AT4">
        <f>IF(AND($A4&lt;&gt;"",AT$3&gt;=$J4,AT$3&lt;=$M4),1,"")</f>
        <v/>
      </c>
      <c r="AU4">
        <f>IF(AND($A4&lt;&gt;"",AU$3&gt;=$J4,AU$3&lt;=$M4),1,"")</f>
        <v/>
      </c>
      <c r="AV4">
        <f>IF(AND($A4&lt;&gt;"",AV$3&gt;=$J4,AV$3&lt;=$M4),1,"")</f>
        <v/>
      </c>
      <c r="AW4">
        <f>IF(AND($A4&lt;&gt;"",AW$3&gt;=$J4,AW$3&lt;=$M4),1,"")</f>
        <v/>
      </c>
      <c r="AX4">
        <f>IF(AND($A4&lt;&gt;"",AX$3&gt;=$J4,AX$3&lt;=$M4),1,"")</f>
        <v/>
      </c>
      <c r="AY4">
        <f>IF(AND($A4&lt;&gt;"",AY$3&gt;=$J4,AY$3&lt;=$M4),1,"")</f>
        <v/>
      </c>
      <c r="AZ4">
        <f>IF(AND($A4&lt;&gt;"",AZ$3&gt;=$J4,AZ$3&lt;=$M4),1,"")</f>
        <v/>
      </c>
      <c r="BA4">
        <f>IF(AND($A4&lt;&gt;"",BA$3&gt;=$J4,BA$3&lt;=$M4),1,"")</f>
        <v/>
      </c>
      <c r="BB4">
        <f>IF(AND($A4&lt;&gt;"",BB$3&gt;=$J4,BB$3&lt;=$M4),1,"")</f>
        <v/>
      </c>
      <c r="BC4">
        <f>IF(AND($A4&lt;&gt;"",BC$3&gt;=$J4,BC$3&lt;=$M4),1,"")</f>
        <v/>
      </c>
      <c r="BD4">
        <f>IF(AND($A4&lt;&gt;"",BD$3&gt;=$J4,BD$3&lt;=$M4),1,"")</f>
        <v/>
      </c>
      <c r="BE4">
        <f>IF(AND($A4&lt;&gt;"",BE$3&gt;=$J4,BE$3&lt;=$M4),1,"")</f>
        <v/>
      </c>
      <c r="BF4">
        <f>IF(AND($A4&lt;&gt;"",BF$3&gt;=$J4,BF$3&lt;=$M4),1,"")</f>
        <v/>
      </c>
      <c r="BG4">
        <f>IF(AND($A4&lt;&gt;"",BG$3&gt;=$J4,BG$3&lt;=$M4),1,"")</f>
        <v/>
      </c>
      <c r="BH4">
        <f>IF(AND($A4&lt;&gt;"",BH$3&gt;=$J4,BH$3&lt;=$M4),1,"")</f>
        <v/>
      </c>
      <c r="BI4">
        <f>IF(AND($A4&lt;&gt;"",BI$3&gt;=$J4,BI$3&lt;=$M4),1,"")</f>
        <v/>
      </c>
      <c r="BJ4">
        <f>IF(AND($A4&lt;&gt;"",BJ$3&gt;=$J4,BJ$3&lt;=$M4),1,"")</f>
        <v/>
      </c>
      <c r="BK4">
        <f>IF(AND($A4&lt;&gt;"",BK$3&gt;=$J4,BK$3&lt;=$M4),1,"")</f>
        <v/>
      </c>
      <c r="BL4">
        <f>IF(AND($A4&lt;&gt;"",BL$3&gt;=$J4,BL$3&lt;=$M4),1,"")</f>
        <v/>
      </c>
      <c r="BM4">
        <f>IF(AND($A4&lt;&gt;"",BM$3&gt;=$J4,BM$3&lt;=$M4),1,"")</f>
        <v/>
      </c>
      <c r="BN4">
        <f>IF(AND($A4&lt;&gt;"",BN$3&gt;=$J4,BN$3&lt;=$M4),1,"")</f>
        <v/>
      </c>
      <c r="BO4">
        <f>IF(AND($A4&lt;&gt;"",BO$3&gt;=$J4,BO$3&lt;=$M4),1,"")</f>
        <v/>
      </c>
      <c r="BP4">
        <f>IF(AND($A4&lt;&gt;"",BP$3&gt;=$J4,BP$3&lt;=$M4),1,"")</f>
        <v/>
      </c>
      <c r="BQ4">
        <f>IF(AND($A4&lt;&gt;"",BQ$3&gt;=$J4,BQ$3&lt;=$M4),1,"")</f>
        <v/>
      </c>
      <c r="BR4">
        <f>IF(AND($A4&lt;&gt;"",BR$3&gt;=$J4,BR$3&lt;=$M4),1,"")</f>
        <v/>
      </c>
      <c r="BS4">
        <f>IF(AND($A4&lt;&gt;"",BS$3&gt;=$J4,BS$3&lt;=$M4),1,"")</f>
        <v/>
      </c>
      <c r="BT4">
        <f>IF(AND($A4&lt;&gt;"",BT$3&gt;=$J4,BT$3&lt;=$M4),1,"")</f>
        <v/>
      </c>
      <c r="BU4">
        <f>IF(AND($A4&lt;&gt;"",BU$3&gt;=$J4,BU$3&lt;=$M4),1,"")</f>
        <v/>
      </c>
      <c r="BV4">
        <f>IF(AND($A4&lt;&gt;"",BV$3&gt;=$J4,BV$3&lt;=$M4),1,"")</f>
        <v/>
      </c>
      <c r="BW4" s="26" t="inlineStr">
        <is>
          <t>Capacity (Hrs)</t>
        </is>
      </c>
      <c r="BX4" s="27" t="n">
        <v>5184</v>
      </c>
      <c r="BY4" s="27" t="n">
        <v>5356.8</v>
      </c>
      <c r="BZ4" s="27" t="n">
        <v>5184</v>
      </c>
      <c r="CA4" s="27" t="n">
        <v>5356.8</v>
      </c>
      <c r="CB4" s="27" t="n">
        <v>5356.8</v>
      </c>
      <c r="CC4" s="27" t="n">
        <v>5184</v>
      </c>
      <c r="CD4" s="27" t="n">
        <v>5356.8</v>
      </c>
      <c r="CE4" s="27" t="n">
        <v>5184</v>
      </c>
      <c r="CF4" s="27" t="n">
        <v>5356.8</v>
      </c>
      <c r="CG4" s="27" t="n">
        <v>5356.8</v>
      </c>
    </row>
    <row r="5">
      <c r="A5">
        <f>IF(Job_Master_Ring!$A5="","",Job_Master_Ring!$A5)</f>
        <v/>
      </c>
      <c r="B5">
        <f>IF($A5="","",Job_Master_Ring!B5)</f>
        <v/>
      </c>
      <c r="C5">
        <f>IF($A5="","",Job_Master_Ring!C5)</f>
        <v/>
      </c>
      <c r="D5">
        <f>IF($A5="","",Job_Master_Ring!D5)</f>
        <v/>
      </c>
      <c r="E5">
        <f>IF($A5="","",IF($I5&lt;&gt;"",$I5,IFERROR(INDEX(Machine_List!$B$87:$B$94,MATCH(1,(Machine_List!$H$87:$H$94&lt;=IFERROR(VLOOKUP($B5,CHOOSE(MATCH($C5,Settings!$L$4:$L$10,0),OPR_BR1!$A$4:$K$18,OPR_BR2!$A$4:$K$18,OPR_CR2!$A$4:$K$18,OPR_CR3!$A$4:$K$18,OPR_CR4!$A$4:$K$18,OPR_RIM!$A$4:$K$18,OPR_BPR!$A$4:$K$18),10,0),0))*(Machine_List!$I$87:$I$94&gt;=IFERROR(VLOOKUP($B5,CHOOSE(MATCH($C5,Settings!$L$4:$L$10,0),OPR_BR1!$A$4:$K$18,OPR_BR2!$A$4:$K$18,OPR_CR2!$A$4:$K$18,OPR_CR3!$A$4:$K$18,OPR_CR4!$A$4:$K$18,OPR_RIM!$A$4:$K$18,OPR_BPR!$A$4:$K$18),11,0),9999)),0)),"NO COMPATIBLE MACHINE")))</f>
        <v/>
      </c>
      <c r="F5">
        <f>IF($E5="","",IFERROR(VLOOKUP($E5,Machine_List!$B:$G,6,0),""))</f>
        <v/>
      </c>
      <c r="G5" s="17">
        <f>IF($E5="","",IFERROR(VLOOKUP($E5,Machine_List!$B:$C,2,0),""))</f>
        <v/>
      </c>
      <c r="H5">
        <f>IF($E5="","",IFERROR(VLOOKUP($E5,Machine_List!$B:$D,3,0),""))</f>
        <v/>
      </c>
      <c r="J5" s="16">
        <f>IF($A5="","",IF($I5&lt;&gt;"",$I5,MAX(GlobalStartDate,IFERROR(LOOKUP(2,1/($E$3:INDIRECT("E"&amp;(ROW()-1))=$E5),$M$3:INDIRECT("M"&amp;(ROW()-1))),GlobalStartDate))))</f>
        <v/>
      </c>
      <c r="K5">
        <f>IF($A5="","",IFERROR(VLOOKUP(B5,CHOOSE(MATCH($C5,Settings!$L$4:$L$10,0),OPR_BR1!$A$4:$I$18,OPR_BR2!$A$4:$I$18,OPR_CR2!$A$4:$I$18,OPR_CR3!$A$4:$I$18,OPR_CR4!$A$4:$I$18,OPR_RIM!$A$4:$I$18,OPR_BPR!$A$4:$I$18),2,0),0))</f>
        <v/>
      </c>
      <c r="L5">
        <f>IF($A5="","",K5*D5)</f>
        <v/>
      </c>
      <c r="M5" s="16">
        <f>IF($A5="","",IF(AND(ISNUMBER(G5),G5&gt;=J5,G5&lt;=(J5+(L5/(IF(F5="Contract Workman",Settings!$K$5,Settings!$K$4))))),J5+(L5/(IF(F5="Contract Workman",Settings!$K$5,Settings!$K$4)))+(H5/(IF(F5="Contract Workman",Settings!$K$5,Settings!$K$4))),J5+(L5/(IF(F5="Contract Workman",Settings!$K$5,Settings!$K$4)))))</f>
        <v/>
      </c>
      <c r="N5">
        <f>IF($A5="","",IF(F5="Contract Workman",IF(AND(MOD(M5,1)&gt;=8/24,MOD(M5,1)&lt;20/24),"Shift S1","Shift S2"),IF(AND(MOD(M5,1)&gt;=7/24,MOD(M5,1)&lt;15/24),"Shift A",IF(AND(MOD(M5,1)&gt;=15/24,MOD(M5,1)&lt;23/24),"Shift B","Shift C"))))</f>
        <v/>
      </c>
      <c r="O5">
        <f>IF(B5="","",IF(IFERROR(ISNUMBER(SEARCH(TEXT(B5,"0"),VLOOKUP(E5,Machine_List!$B:$J,9,0))),FALSE),"✅ "&amp;E5,"❌ ?"))</f>
        <v/>
      </c>
      <c r="P5">
        <f>IF(AND($A5&lt;&gt;"",P$3&gt;=$J5,P$3&lt;=$M5),1,"")</f>
        <v/>
      </c>
      <c r="Q5">
        <f>IF(AND($A5&lt;&gt;"",Q$3&gt;=$J5,Q$3&lt;=$M5),1,"")</f>
        <v/>
      </c>
      <c r="R5">
        <f>IF(AND($A5&lt;&gt;"",R$3&gt;=$J5,R$3&lt;=$M5),1,"")</f>
        <v/>
      </c>
      <c r="S5">
        <f>IF(AND($A5&lt;&gt;"",S$3&gt;=$J5,S$3&lt;=$M5),1,"")</f>
        <v/>
      </c>
      <c r="T5">
        <f>IF(AND($A5&lt;&gt;"",T$3&gt;=$J5,T$3&lt;=$M5),1,"")</f>
        <v/>
      </c>
      <c r="U5">
        <f>IF(AND($A5&lt;&gt;"",U$3&gt;=$J5,U$3&lt;=$M5),1,"")</f>
        <v/>
      </c>
      <c r="V5">
        <f>IF(AND($A5&lt;&gt;"",V$3&gt;=$J5,V$3&lt;=$M5),1,"")</f>
        <v/>
      </c>
      <c r="W5">
        <f>IF(AND($A5&lt;&gt;"",W$3&gt;=$J5,W$3&lt;=$M5),1,"")</f>
        <v/>
      </c>
      <c r="X5">
        <f>IF(AND($A5&lt;&gt;"",X$3&gt;=$J5,X$3&lt;=$M5),1,"")</f>
        <v/>
      </c>
      <c r="Y5">
        <f>IF(AND($A5&lt;&gt;"",Y$3&gt;=$J5,Y$3&lt;=$M5),1,"")</f>
        <v/>
      </c>
      <c r="Z5">
        <f>IF(AND($A5&lt;&gt;"",Z$3&gt;=$J5,Z$3&lt;=$M5),1,"")</f>
        <v/>
      </c>
      <c r="AA5">
        <f>IF(AND($A5&lt;&gt;"",AA$3&gt;=$J5,AA$3&lt;=$M5),1,"")</f>
        <v/>
      </c>
      <c r="AB5">
        <f>IF(AND($A5&lt;&gt;"",AB$3&gt;=$J5,AB$3&lt;=$M5),1,"")</f>
        <v/>
      </c>
      <c r="AC5">
        <f>IF(AND($A5&lt;&gt;"",AC$3&gt;=$J5,AC$3&lt;=$M5),1,"")</f>
        <v/>
      </c>
      <c r="AD5">
        <f>IF(AND($A5&lt;&gt;"",AD$3&gt;=$J5,AD$3&lt;=$M5),1,"")</f>
        <v/>
      </c>
      <c r="AE5">
        <f>IF(AND($A5&lt;&gt;"",AE$3&gt;=$J5,AE$3&lt;=$M5),1,"")</f>
        <v/>
      </c>
      <c r="AF5">
        <f>IF(AND($A5&lt;&gt;"",AF$3&gt;=$J5,AF$3&lt;=$M5),1,"")</f>
        <v/>
      </c>
      <c r="AG5">
        <f>IF(AND($A5&lt;&gt;"",AG$3&gt;=$J5,AG$3&lt;=$M5),1,"")</f>
        <v/>
      </c>
      <c r="AH5">
        <f>IF(AND($A5&lt;&gt;"",AH$3&gt;=$J5,AH$3&lt;=$M5),1,"")</f>
        <v/>
      </c>
      <c r="AI5">
        <f>IF(AND($A5&lt;&gt;"",AI$3&gt;=$J5,AI$3&lt;=$M5),1,"")</f>
        <v/>
      </c>
      <c r="AJ5">
        <f>IF(AND($A5&lt;&gt;"",AJ$3&gt;=$J5,AJ$3&lt;=$M5),1,"")</f>
        <v/>
      </c>
      <c r="AK5">
        <f>IF(AND($A5&lt;&gt;"",AK$3&gt;=$J5,AK$3&lt;=$M5),1,"")</f>
        <v/>
      </c>
      <c r="AL5">
        <f>IF(AND($A5&lt;&gt;"",AL$3&gt;=$J5,AL$3&lt;=$M5),1,"")</f>
        <v/>
      </c>
      <c r="AM5">
        <f>IF(AND($A5&lt;&gt;"",AM$3&gt;=$J5,AM$3&lt;=$M5),1,"")</f>
        <v/>
      </c>
      <c r="AN5">
        <f>IF(AND($A5&lt;&gt;"",AN$3&gt;=$J5,AN$3&lt;=$M5),1,"")</f>
        <v/>
      </c>
      <c r="AO5">
        <f>IF(AND($A5&lt;&gt;"",AO$3&gt;=$J5,AO$3&lt;=$M5),1,"")</f>
        <v/>
      </c>
      <c r="AP5">
        <f>IF(AND($A5&lt;&gt;"",AP$3&gt;=$J5,AP$3&lt;=$M5),1,"")</f>
        <v/>
      </c>
      <c r="AQ5">
        <f>IF(AND($A5&lt;&gt;"",AQ$3&gt;=$J5,AQ$3&lt;=$M5),1,"")</f>
        <v/>
      </c>
      <c r="AR5">
        <f>IF(AND($A5&lt;&gt;"",AR$3&gt;=$J5,AR$3&lt;=$M5),1,"")</f>
        <v/>
      </c>
      <c r="AS5">
        <f>IF(AND($A5&lt;&gt;"",AS$3&gt;=$J5,AS$3&lt;=$M5),1,"")</f>
        <v/>
      </c>
      <c r="AT5">
        <f>IF(AND($A5&lt;&gt;"",AT$3&gt;=$J5,AT$3&lt;=$M5),1,"")</f>
        <v/>
      </c>
      <c r="AU5">
        <f>IF(AND($A5&lt;&gt;"",AU$3&gt;=$J5,AU$3&lt;=$M5),1,"")</f>
        <v/>
      </c>
      <c r="AV5">
        <f>IF(AND($A5&lt;&gt;"",AV$3&gt;=$J5,AV$3&lt;=$M5),1,"")</f>
        <v/>
      </c>
      <c r="AW5">
        <f>IF(AND($A5&lt;&gt;"",AW$3&gt;=$J5,AW$3&lt;=$M5),1,"")</f>
        <v/>
      </c>
      <c r="AX5">
        <f>IF(AND($A5&lt;&gt;"",AX$3&gt;=$J5,AX$3&lt;=$M5),1,"")</f>
        <v/>
      </c>
      <c r="AY5">
        <f>IF(AND($A5&lt;&gt;"",AY$3&gt;=$J5,AY$3&lt;=$M5),1,"")</f>
        <v/>
      </c>
      <c r="AZ5">
        <f>IF(AND($A5&lt;&gt;"",AZ$3&gt;=$J5,AZ$3&lt;=$M5),1,"")</f>
        <v/>
      </c>
      <c r="BA5">
        <f>IF(AND($A5&lt;&gt;"",BA$3&gt;=$J5,BA$3&lt;=$M5),1,"")</f>
        <v/>
      </c>
      <c r="BB5">
        <f>IF(AND($A5&lt;&gt;"",BB$3&gt;=$J5,BB$3&lt;=$M5),1,"")</f>
        <v/>
      </c>
      <c r="BC5">
        <f>IF(AND($A5&lt;&gt;"",BC$3&gt;=$J5,BC$3&lt;=$M5),1,"")</f>
        <v/>
      </c>
      <c r="BD5">
        <f>IF(AND($A5&lt;&gt;"",BD$3&gt;=$J5,BD$3&lt;=$M5),1,"")</f>
        <v/>
      </c>
      <c r="BE5">
        <f>IF(AND($A5&lt;&gt;"",BE$3&gt;=$J5,BE$3&lt;=$M5),1,"")</f>
        <v/>
      </c>
      <c r="BF5">
        <f>IF(AND($A5&lt;&gt;"",BF$3&gt;=$J5,BF$3&lt;=$M5),1,"")</f>
        <v/>
      </c>
      <c r="BG5">
        <f>IF(AND($A5&lt;&gt;"",BG$3&gt;=$J5,BG$3&lt;=$M5),1,"")</f>
        <v/>
      </c>
      <c r="BH5">
        <f>IF(AND($A5&lt;&gt;"",BH$3&gt;=$J5,BH$3&lt;=$M5),1,"")</f>
        <v/>
      </c>
      <c r="BI5">
        <f>IF(AND($A5&lt;&gt;"",BI$3&gt;=$J5,BI$3&lt;=$M5),1,"")</f>
        <v/>
      </c>
      <c r="BJ5">
        <f>IF(AND($A5&lt;&gt;"",BJ$3&gt;=$J5,BJ$3&lt;=$M5),1,"")</f>
        <v/>
      </c>
      <c r="BK5">
        <f>IF(AND($A5&lt;&gt;"",BK$3&gt;=$J5,BK$3&lt;=$M5),1,"")</f>
        <v/>
      </c>
      <c r="BL5">
        <f>IF(AND($A5&lt;&gt;"",BL$3&gt;=$J5,BL$3&lt;=$M5),1,"")</f>
        <v/>
      </c>
      <c r="BM5">
        <f>IF(AND($A5&lt;&gt;"",BM$3&gt;=$J5,BM$3&lt;=$M5),1,"")</f>
        <v/>
      </c>
      <c r="BN5">
        <f>IF(AND($A5&lt;&gt;"",BN$3&gt;=$J5,BN$3&lt;=$M5),1,"")</f>
        <v/>
      </c>
      <c r="BO5">
        <f>IF(AND($A5&lt;&gt;"",BO$3&gt;=$J5,BO$3&lt;=$M5),1,"")</f>
        <v/>
      </c>
      <c r="BP5">
        <f>IF(AND($A5&lt;&gt;"",BP$3&gt;=$J5,BP$3&lt;=$M5),1,"")</f>
        <v/>
      </c>
      <c r="BQ5">
        <f>IF(AND($A5&lt;&gt;"",BQ$3&gt;=$J5,BQ$3&lt;=$M5),1,"")</f>
        <v/>
      </c>
      <c r="BR5">
        <f>IF(AND($A5&lt;&gt;"",BR$3&gt;=$J5,BR$3&lt;=$M5),1,"")</f>
        <v/>
      </c>
      <c r="BS5">
        <f>IF(AND($A5&lt;&gt;"",BS$3&gt;=$J5,BS$3&lt;=$M5),1,"")</f>
        <v/>
      </c>
      <c r="BT5">
        <f>IF(AND($A5&lt;&gt;"",BT$3&gt;=$J5,BT$3&lt;=$M5),1,"")</f>
        <v/>
      </c>
      <c r="BU5">
        <f>IF(AND($A5&lt;&gt;"",BU$3&gt;=$J5,BU$3&lt;=$M5),1,"")</f>
        <v/>
      </c>
      <c r="BV5">
        <f>IF(AND($A5&lt;&gt;"",BV$3&gt;=$J5,BV$3&lt;=$M5),1,"")</f>
        <v/>
      </c>
    </row>
    <row r="6">
      <c r="A6">
        <f>IF(Job_Master_Ring!$A6="","",Job_Master_Ring!$A6)</f>
        <v/>
      </c>
      <c r="B6">
        <f>IF($A6="","",Job_Master_Ring!B6)</f>
        <v/>
      </c>
      <c r="C6">
        <f>IF($A6="","",Job_Master_Ring!C6)</f>
        <v/>
      </c>
      <c r="D6">
        <f>IF($A6="","",Job_Master_Ring!D6)</f>
        <v/>
      </c>
      <c r="E6">
        <f>IF($A6="","",IF($I6&lt;&gt;"",$I6,IFERROR(INDEX(Machine_List!$B$87:$B$94,MATCH(1,(Machine_List!$H$87:$H$94&lt;=IFERROR(VLOOKUP($B6,CHOOSE(MATCH($C6,Settings!$L$4:$L$10,0),OPR_BR1!$A$4:$K$18,OPR_BR2!$A$4:$K$18,OPR_CR2!$A$4:$K$18,OPR_CR3!$A$4:$K$18,OPR_CR4!$A$4:$K$18,OPR_RIM!$A$4:$K$18,OPR_BPR!$A$4:$K$18),10,0),0))*(Machine_List!$I$87:$I$94&gt;=IFERROR(VLOOKUP($B6,CHOOSE(MATCH($C6,Settings!$L$4:$L$10,0),OPR_BR1!$A$4:$K$18,OPR_BR2!$A$4:$K$18,OPR_CR2!$A$4:$K$18,OPR_CR3!$A$4:$K$18,OPR_CR4!$A$4:$K$18,OPR_RIM!$A$4:$K$18,OPR_BPR!$A$4:$K$18),11,0),9999)),0)),"NO COMPATIBLE MACHINE")))</f>
        <v/>
      </c>
      <c r="F6">
        <f>IF($E6="","",IFERROR(VLOOKUP($E6,Machine_List!$B:$G,6,0),""))</f>
        <v/>
      </c>
      <c r="G6" s="17">
        <f>IF($E6="","",IFERROR(VLOOKUP($E6,Machine_List!$B:$C,2,0),""))</f>
        <v/>
      </c>
      <c r="H6">
        <f>IF($E6="","",IFERROR(VLOOKUP($E6,Machine_List!$B:$D,3,0),""))</f>
        <v/>
      </c>
      <c r="J6" s="16">
        <f>IF($A6="","",IF($I6&lt;&gt;"",$I6,MAX(GlobalStartDate,IFERROR(LOOKUP(2,1/($E$3:INDIRECT("E"&amp;(ROW()-1))=$E6),$M$3:INDIRECT("M"&amp;(ROW()-1))),GlobalStartDate))))</f>
        <v/>
      </c>
      <c r="K6">
        <f>IF($A6="","",IFERROR(VLOOKUP(B6,CHOOSE(MATCH($C6,Settings!$L$4:$L$10,0),OPR_BR1!$A$4:$I$18,OPR_BR2!$A$4:$I$18,OPR_CR2!$A$4:$I$18,OPR_CR3!$A$4:$I$18,OPR_CR4!$A$4:$I$18,OPR_RIM!$A$4:$I$18,OPR_BPR!$A$4:$I$18),2,0),0))</f>
        <v/>
      </c>
      <c r="L6">
        <f>IF($A6="","",K6*D6)</f>
        <v/>
      </c>
      <c r="M6" s="16">
        <f>IF($A6="","",IF(AND(ISNUMBER(G6),G6&gt;=J6,G6&lt;=(J6+(L6/(IF(F6="Contract Workman",Settings!$K$5,Settings!$K$4))))),J6+(L6/(IF(F6="Contract Workman",Settings!$K$5,Settings!$K$4)))+(H6/(IF(F6="Contract Workman",Settings!$K$5,Settings!$K$4))),J6+(L6/(IF(F6="Contract Workman",Settings!$K$5,Settings!$K$4)))))</f>
        <v/>
      </c>
      <c r="N6">
        <f>IF($A6="","",IF(F6="Contract Workman",IF(AND(MOD(M6,1)&gt;=8/24,MOD(M6,1)&lt;20/24),"Shift S1","Shift S2"),IF(AND(MOD(M6,1)&gt;=7/24,MOD(M6,1)&lt;15/24),"Shift A",IF(AND(MOD(M6,1)&gt;=15/24,MOD(M6,1)&lt;23/24),"Shift B","Shift C"))))</f>
        <v/>
      </c>
      <c r="O6">
        <f>IF(B6="","",IF(IFERROR(ISNUMBER(SEARCH(TEXT(B6,"0"),VLOOKUP(E6,Machine_List!$B:$J,9,0))),FALSE),"✅ "&amp;E6,"❌ ?"))</f>
        <v/>
      </c>
      <c r="P6">
        <f>IF(AND($A6&lt;&gt;"",P$3&gt;=$J6,P$3&lt;=$M6),1,"")</f>
        <v/>
      </c>
      <c r="Q6">
        <f>IF(AND($A6&lt;&gt;"",Q$3&gt;=$J6,Q$3&lt;=$M6),1,"")</f>
        <v/>
      </c>
      <c r="R6">
        <f>IF(AND($A6&lt;&gt;"",R$3&gt;=$J6,R$3&lt;=$M6),1,"")</f>
        <v/>
      </c>
      <c r="S6">
        <f>IF(AND($A6&lt;&gt;"",S$3&gt;=$J6,S$3&lt;=$M6),1,"")</f>
        <v/>
      </c>
      <c r="T6">
        <f>IF(AND($A6&lt;&gt;"",T$3&gt;=$J6,T$3&lt;=$M6),1,"")</f>
        <v/>
      </c>
      <c r="U6">
        <f>IF(AND($A6&lt;&gt;"",U$3&gt;=$J6,U$3&lt;=$M6),1,"")</f>
        <v/>
      </c>
      <c r="V6">
        <f>IF(AND($A6&lt;&gt;"",V$3&gt;=$J6,V$3&lt;=$M6),1,"")</f>
        <v/>
      </c>
      <c r="W6">
        <f>IF(AND($A6&lt;&gt;"",W$3&gt;=$J6,W$3&lt;=$M6),1,"")</f>
        <v/>
      </c>
      <c r="X6">
        <f>IF(AND($A6&lt;&gt;"",X$3&gt;=$J6,X$3&lt;=$M6),1,"")</f>
        <v/>
      </c>
      <c r="Y6">
        <f>IF(AND($A6&lt;&gt;"",Y$3&gt;=$J6,Y$3&lt;=$M6),1,"")</f>
        <v/>
      </c>
      <c r="Z6">
        <f>IF(AND($A6&lt;&gt;"",Z$3&gt;=$J6,Z$3&lt;=$M6),1,"")</f>
        <v/>
      </c>
      <c r="AA6">
        <f>IF(AND($A6&lt;&gt;"",AA$3&gt;=$J6,AA$3&lt;=$M6),1,"")</f>
        <v/>
      </c>
      <c r="AB6">
        <f>IF(AND($A6&lt;&gt;"",AB$3&gt;=$J6,AB$3&lt;=$M6),1,"")</f>
        <v/>
      </c>
      <c r="AC6">
        <f>IF(AND($A6&lt;&gt;"",AC$3&gt;=$J6,AC$3&lt;=$M6),1,"")</f>
        <v/>
      </c>
      <c r="AD6">
        <f>IF(AND($A6&lt;&gt;"",AD$3&gt;=$J6,AD$3&lt;=$M6),1,"")</f>
        <v/>
      </c>
      <c r="AE6">
        <f>IF(AND($A6&lt;&gt;"",AE$3&gt;=$J6,AE$3&lt;=$M6),1,"")</f>
        <v/>
      </c>
      <c r="AF6">
        <f>IF(AND($A6&lt;&gt;"",AF$3&gt;=$J6,AF$3&lt;=$M6),1,"")</f>
        <v/>
      </c>
      <c r="AG6">
        <f>IF(AND($A6&lt;&gt;"",AG$3&gt;=$J6,AG$3&lt;=$M6),1,"")</f>
        <v/>
      </c>
      <c r="AH6">
        <f>IF(AND($A6&lt;&gt;"",AH$3&gt;=$J6,AH$3&lt;=$M6),1,"")</f>
        <v/>
      </c>
      <c r="AI6">
        <f>IF(AND($A6&lt;&gt;"",AI$3&gt;=$J6,AI$3&lt;=$M6),1,"")</f>
        <v/>
      </c>
      <c r="AJ6">
        <f>IF(AND($A6&lt;&gt;"",AJ$3&gt;=$J6,AJ$3&lt;=$M6),1,"")</f>
        <v/>
      </c>
      <c r="AK6">
        <f>IF(AND($A6&lt;&gt;"",AK$3&gt;=$J6,AK$3&lt;=$M6),1,"")</f>
        <v/>
      </c>
      <c r="AL6">
        <f>IF(AND($A6&lt;&gt;"",AL$3&gt;=$J6,AL$3&lt;=$M6),1,"")</f>
        <v/>
      </c>
      <c r="AM6">
        <f>IF(AND($A6&lt;&gt;"",AM$3&gt;=$J6,AM$3&lt;=$M6),1,"")</f>
        <v/>
      </c>
      <c r="AN6">
        <f>IF(AND($A6&lt;&gt;"",AN$3&gt;=$J6,AN$3&lt;=$M6),1,"")</f>
        <v/>
      </c>
      <c r="AO6">
        <f>IF(AND($A6&lt;&gt;"",AO$3&gt;=$J6,AO$3&lt;=$M6),1,"")</f>
        <v/>
      </c>
      <c r="AP6">
        <f>IF(AND($A6&lt;&gt;"",AP$3&gt;=$J6,AP$3&lt;=$M6),1,"")</f>
        <v/>
      </c>
      <c r="AQ6">
        <f>IF(AND($A6&lt;&gt;"",AQ$3&gt;=$J6,AQ$3&lt;=$M6),1,"")</f>
        <v/>
      </c>
      <c r="AR6">
        <f>IF(AND($A6&lt;&gt;"",AR$3&gt;=$J6,AR$3&lt;=$M6),1,"")</f>
        <v/>
      </c>
      <c r="AS6">
        <f>IF(AND($A6&lt;&gt;"",AS$3&gt;=$J6,AS$3&lt;=$M6),1,"")</f>
        <v/>
      </c>
      <c r="AT6">
        <f>IF(AND($A6&lt;&gt;"",AT$3&gt;=$J6,AT$3&lt;=$M6),1,"")</f>
        <v/>
      </c>
      <c r="AU6">
        <f>IF(AND($A6&lt;&gt;"",AU$3&gt;=$J6,AU$3&lt;=$M6),1,"")</f>
        <v/>
      </c>
      <c r="AV6">
        <f>IF(AND($A6&lt;&gt;"",AV$3&gt;=$J6,AV$3&lt;=$M6),1,"")</f>
        <v/>
      </c>
      <c r="AW6">
        <f>IF(AND($A6&lt;&gt;"",AW$3&gt;=$J6,AW$3&lt;=$M6),1,"")</f>
        <v/>
      </c>
      <c r="AX6">
        <f>IF(AND($A6&lt;&gt;"",AX$3&gt;=$J6,AX$3&lt;=$M6),1,"")</f>
        <v/>
      </c>
      <c r="AY6">
        <f>IF(AND($A6&lt;&gt;"",AY$3&gt;=$J6,AY$3&lt;=$M6),1,"")</f>
        <v/>
      </c>
      <c r="AZ6">
        <f>IF(AND($A6&lt;&gt;"",AZ$3&gt;=$J6,AZ$3&lt;=$M6),1,"")</f>
        <v/>
      </c>
      <c r="BA6">
        <f>IF(AND($A6&lt;&gt;"",BA$3&gt;=$J6,BA$3&lt;=$M6),1,"")</f>
        <v/>
      </c>
      <c r="BB6">
        <f>IF(AND($A6&lt;&gt;"",BB$3&gt;=$J6,BB$3&lt;=$M6),1,"")</f>
        <v/>
      </c>
      <c r="BC6">
        <f>IF(AND($A6&lt;&gt;"",BC$3&gt;=$J6,BC$3&lt;=$M6),1,"")</f>
        <v/>
      </c>
      <c r="BD6">
        <f>IF(AND($A6&lt;&gt;"",BD$3&gt;=$J6,BD$3&lt;=$M6),1,"")</f>
        <v/>
      </c>
      <c r="BE6">
        <f>IF(AND($A6&lt;&gt;"",BE$3&gt;=$J6,BE$3&lt;=$M6),1,"")</f>
        <v/>
      </c>
      <c r="BF6">
        <f>IF(AND($A6&lt;&gt;"",BF$3&gt;=$J6,BF$3&lt;=$M6),1,"")</f>
        <v/>
      </c>
      <c r="BG6">
        <f>IF(AND($A6&lt;&gt;"",BG$3&gt;=$J6,BG$3&lt;=$M6),1,"")</f>
        <v/>
      </c>
      <c r="BH6">
        <f>IF(AND($A6&lt;&gt;"",BH$3&gt;=$J6,BH$3&lt;=$M6),1,"")</f>
        <v/>
      </c>
      <c r="BI6">
        <f>IF(AND($A6&lt;&gt;"",BI$3&gt;=$J6,BI$3&lt;=$M6),1,"")</f>
        <v/>
      </c>
      <c r="BJ6">
        <f>IF(AND($A6&lt;&gt;"",BJ$3&gt;=$J6,BJ$3&lt;=$M6),1,"")</f>
        <v/>
      </c>
      <c r="BK6">
        <f>IF(AND($A6&lt;&gt;"",BK$3&gt;=$J6,BK$3&lt;=$M6),1,"")</f>
        <v/>
      </c>
      <c r="BL6">
        <f>IF(AND($A6&lt;&gt;"",BL$3&gt;=$J6,BL$3&lt;=$M6),1,"")</f>
        <v/>
      </c>
      <c r="BM6">
        <f>IF(AND($A6&lt;&gt;"",BM$3&gt;=$J6,BM$3&lt;=$M6),1,"")</f>
        <v/>
      </c>
      <c r="BN6">
        <f>IF(AND($A6&lt;&gt;"",BN$3&gt;=$J6,BN$3&lt;=$M6),1,"")</f>
        <v/>
      </c>
      <c r="BO6">
        <f>IF(AND($A6&lt;&gt;"",BO$3&gt;=$J6,BO$3&lt;=$M6),1,"")</f>
        <v/>
      </c>
      <c r="BP6">
        <f>IF(AND($A6&lt;&gt;"",BP$3&gt;=$J6,BP$3&lt;=$M6),1,"")</f>
        <v/>
      </c>
      <c r="BQ6">
        <f>IF(AND($A6&lt;&gt;"",BQ$3&gt;=$J6,BQ$3&lt;=$M6),1,"")</f>
        <v/>
      </c>
      <c r="BR6">
        <f>IF(AND($A6&lt;&gt;"",BR$3&gt;=$J6,BR$3&lt;=$M6),1,"")</f>
        <v/>
      </c>
      <c r="BS6">
        <f>IF(AND($A6&lt;&gt;"",BS$3&gt;=$J6,BS$3&lt;=$M6),1,"")</f>
        <v/>
      </c>
      <c r="BT6">
        <f>IF(AND($A6&lt;&gt;"",BT$3&gt;=$J6,BT$3&lt;=$M6),1,"")</f>
        <v/>
      </c>
      <c r="BU6">
        <f>IF(AND($A6&lt;&gt;"",BU$3&gt;=$J6,BU$3&lt;=$M6),1,"")</f>
        <v/>
      </c>
      <c r="BV6">
        <f>IF(AND($A6&lt;&gt;"",BV$3&gt;=$J6,BV$3&lt;=$M6),1,"")</f>
        <v/>
      </c>
    </row>
    <row r="7">
      <c r="A7">
        <f>IF(Job_Master_Ring!$A7="","",Job_Master_Ring!$A7)</f>
        <v/>
      </c>
      <c r="B7">
        <f>IF($A7="","",Job_Master_Ring!B7)</f>
        <v/>
      </c>
      <c r="C7">
        <f>IF($A7="","",Job_Master_Ring!C7)</f>
        <v/>
      </c>
      <c r="D7">
        <f>IF($A7="","",Job_Master_Ring!D7)</f>
        <v/>
      </c>
      <c r="E7">
        <f>IF($A7="","",IF($I7&lt;&gt;"",$I7,IFERROR(INDEX(Machine_List!$B$87:$B$94,MATCH(1,(Machine_List!$H$87:$H$94&lt;=IFERROR(VLOOKUP($B7,CHOOSE(MATCH($C7,Settings!$L$4:$L$10,0),OPR_BR1!$A$4:$K$18,OPR_BR2!$A$4:$K$18,OPR_CR2!$A$4:$K$18,OPR_CR3!$A$4:$K$18,OPR_CR4!$A$4:$K$18,OPR_RIM!$A$4:$K$18,OPR_BPR!$A$4:$K$18),10,0),0))*(Machine_List!$I$87:$I$94&gt;=IFERROR(VLOOKUP($B7,CHOOSE(MATCH($C7,Settings!$L$4:$L$10,0),OPR_BR1!$A$4:$K$18,OPR_BR2!$A$4:$K$18,OPR_CR2!$A$4:$K$18,OPR_CR3!$A$4:$K$18,OPR_CR4!$A$4:$K$18,OPR_RIM!$A$4:$K$18,OPR_BPR!$A$4:$K$18),11,0),9999)),0)),"NO COMPATIBLE MACHINE")))</f>
        <v/>
      </c>
      <c r="F7">
        <f>IF($E7="","",IFERROR(VLOOKUP($E7,Machine_List!$B:$G,6,0),""))</f>
        <v/>
      </c>
      <c r="G7" s="17">
        <f>IF($E7="","",IFERROR(VLOOKUP($E7,Machine_List!$B:$C,2,0),""))</f>
        <v/>
      </c>
      <c r="H7">
        <f>IF($E7="","",IFERROR(VLOOKUP($E7,Machine_List!$B:$D,3,0),""))</f>
        <v/>
      </c>
      <c r="J7" s="16">
        <f>IF($A7="","",IF($I7&lt;&gt;"",$I7,MAX(GlobalStartDate,IFERROR(LOOKUP(2,1/($E$3:INDIRECT("E"&amp;(ROW()-1))=$E7),$M$3:INDIRECT("M"&amp;(ROW()-1))),GlobalStartDate))))</f>
        <v/>
      </c>
      <c r="K7">
        <f>IF($A7="","",IFERROR(VLOOKUP(B7,CHOOSE(MATCH($C7,Settings!$L$4:$L$10,0),OPR_BR1!$A$4:$I$18,OPR_BR2!$A$4:$I$18,OPR_CR2!$A$4:$I$18,OPR_CR3!$A$4:$I$18,OPR_CR4!$A$4:$I$18,OPR_RIM!$A$4:$I$18,OPR_BPR!$A$4:$I$18),2,0),0))</f>
        <v/>
      </c>
      <c r="L7">
        <f>IF($A7="","",K7*D7)</f>
        <v/>
      </c>
      <c r="M7" s="16">
        <f>IF($A7="","",IF(AND(ISNUMBER(G7),G7&gt;=J7,G7&lt;=(J7+(L7/(IF(F7="Contract Workman",Settings!$K$5,Settings!$K$4))))),J7+(L7/(IF(F7="Contract Workman",Settings!$K$5,Settings!$K$4)))+(H7/(IF(F7="Contract Workman",Settings!$K$5,Settings!$K$4))),J7+(L7/(IF(F7="Contract Workman",Settings!$K$5,Settings!$K$4)))))</f>
        <v/>
      </c>
      <c r="N7">
        <f>IF($A7="","",IF(F7="Contract Workman",IF(AND(MOD(M7,1)&gt;=8/24,MOD(M7,1)&lt;20/24),"Shift S1","Shift S2"),IF(AND(MOD(M7,1)&gt;=7/24,MOD(M7,1)&lt;15/24),"Shift A",IF(AND(MOD(M7,1)&gt;=15/24,MOD(M7,1)&lt;23/24),"Shift B","Shift C"))))</f>
        <v/>
      </c>
      <c r="O7">
        <f>IF(B7="","",IF(IFERROR(ISNUMBER(SEARCH(TEXT(B7,"0"),VLOOKUP(E7,Machine_List!$B:$J,9,0))),FALSE),"✅ "&amp;E7,"❌ ?"))</f>
        <v/>
      </c>
      <c r="P7">
        <f>IF(AND($A7&lt;&gt;"",P$3&gt;=$J7,P$3&lt;=$M7),1,"")</f>
        <v/>
      </c>
      <c r="Q7">
        <f>IF(AND($A7&lt;&gt;"",Q$3&gt;=$J7,Q$3&lt;=$M7),1,"")</f>
        <v/>
      </c>
      <c r="R7">
        <f>IF(AND($A7&lt;&gt;"",R$3&gt;=$J7,R$3&lt;=$M7),1,"")</f>
        <v/>
      </c>
      <c r="S7">
        <f>IF(AND($A7&lt;&gt;"",S$3&gt;=$J7,S$3&lt;=$M7),1,"")</f>
        <v/>
      </c>
      <c r="T7">
        <f>IF(AND($A7&lt;&gt;"",T$3&gt;=$J7,T$3&lt;=$M7),1,"")</f>
        <v/>
      </c>
      <c r="U7">
        <f>IF(AND($A7&lt;&gt;"",U$3&gt;=$J7,U$3&lt;=$M7),1,"")</f>
        <v/>
      </c>
      <c r="V7">
        <f>IF(AND($A7&lt;&gt;"",V$3&gt;=$J7,V$3&lt;=$M7),1,"")</f>
        <v/>
      </c>
      <c r="W7">
        <f>IF(AND($A7&lt;&gt;"",W$3&gt;=$J7,W$3&lt;=$M7),1,"")</f>
        <v/>
      </c>
      <c r="X7">
        <f>IF(AND($A7&lt;&gt;"",X$3&gt;=$J7,X$3&lt;=$M7),1,"")</f>
        <v/>
      </c>
      <c r="Y7">
        <f>IF(AND($A7&lt;&gt;"",Y$3&gt;=$J7,Y$3&lt;=$M7),1,"")</f>
        <v/>
      </c>
      <c r="Z7">
        <f>IF(AND($A7&lt;&gt;"",Z$3&gt;=$J7,Z$3&lt;=$M7),1,"")</f>
        <v/>
      </c>
      <c r="AA7">
        <f>IF(AND($A7&lt;&gt;"",AA$3&gt;=$J7,AA$3&lt;=$M7),1,"")</f>
        <v/>
      </c>
      <c r="AB7">
        <f>IF(AND($A7&lt;&gt;"",AB$3&gt;=$J7,AB$3&lt;=$M7),1,"")</f>
        <v/>
      </c>
      <c r="AC7">
        <f>IF(AND($A7&lt;&gt;"",AC$3&gt;=$J7,AC$3&lt;=$M7),1,"")</f>
        <v/>
      </c>
      <c r="AD7">
        <f>IF(AND($A7&lt;&gt;"",AD$3&gt;=$J7,AD$3&lt;=$M7),1,"")</f>
        <v/>
      </c>
      <c r="AE7">
        <f>IF(AND($A7&lt;&gt;"",AE$3&gt;=$J7,AE$3&lt;=$M7),1,"")</f>
        <v/>
      </c>
      <c r="AF7">
        <f>IF(AND($A7&lt;&gt;"",AF$3&gt;=$J7,AF$3&lt;=$M7),1,"")</f>
        <v/>
      </c>
      <c r="AG7">
        <f>IF(AND($A7&lt;&gt;"",AG$3&gt;=$J7,AG$3&lt;=$M7),1,"")</f>
        <v/>
      </c>
      <c r="AH7">
        <f>IF(AND($A7&lt;&gt;"",AH$3&gt;=$J7,AH$3&lt;=$M7),1,"")</f>
        <v/>
      </c>
      <c r="AI7">
        <f>IF(AND($A7&lt;&gt;"",AI$3&gt;=$J7,AI$3&lt;=$M7),1,"")</f>
        <v/>
      </c>
      <c r="AJ7">
        <f>IF(AND($A7&lt;&gt;"",AJ$3&gt;=$J7,AJ$3&lt;=$M7),1,"")</f>
        <v/>
      </c>
      <c r="AK7">
        <f>IF(AND($A7&lt;&gt;"",AK$3&gt;=$J7,AK$3&lt;=$M7),1,"")</f>
        <v/>
      </c>
      <c r="AL7">
        <f>IF(AND($A7&lt;&gt;"",AL$3&gt;=$J7,AL$3&lt;=$M7),1,"")</f>
        <v/>
      </c>
      <c r="AM7">
        <f>IF(AND($A7&lt;&gt;"",AM$3&gt;=$J7,AM$3&lt;=$M7),1,"")</f>
        <v/>
      </c>
      <c r="AN7">
        <f>IF(AND($A7&lt;&gt;"",AN$3&gt;=$J7,AN$3&lt;=$M7),1,"")</f>
        <v/>
      </c>
      <c r="AO7">
        <f>IF(AND($A7&lt;&gt;"",AO$3&gt;=$J7,AO$3&lt;=$M7),1,"")</f>
        <v/>
      </c>
      <c r="AP7">
        <f>IF(AND($A7&lt;&gt;"",AP$3&gt;=$J7,AP$3&lt;=$M7),1,"")</f>
        <v/>
      </c>
      <c r="AQ7">
        <f>IF(AND($A7&lt;&gt;"",AQ$3&gt;=$J7,AQ$3&lt;=$M7),1,"")</f>
        <v/>
      </c>
      <c r="AR7">
        <f>IF(AND($A7&lt;&gt;"",AR$3&gt;=$J7,AR$3&lt;=$M7),1,"")</f>
        <v/>
      </c>
      <c r="AS7">
        <f>IF(AND($A7&lt;&gt;"",AS$3&gt;=$J7,AS$3&lt;=$M7),1,"")</f>
        <v/>
      </c>
      <c r="AT7">
        <f>IF(AND($A7&lt;&gt;"",AT$3&gt;=$J7,AT$3&lt;=$M7),1,"")</f>
        <v/>
      </c>
      <c r="AU7">
        <f>IF(AND($A7&lt;&gt;"",AU$3&gt;=$J7,AU$3&lt;=$M7),1,"")</f>
        <v/>
      </c>
      <c r="AV7">
        <f>IF(AND($A7&lt;&gt;"",AV$3&gt;=$J7,AV$3&lt;=$M7),1,"")</f>
        <v/>
      </c>
      <c r="AW7">
        <f>IF(AND($A7&lt;&gt;"",AW$3&gt;=$J7,AW$3&lt;=$M7),1,"")</f>
        <v/>
      </c>
      <c r="AX7">
        <f>IF(AND($A7&lt;&gt;"",AX$3&gt;=$J7,AX$3&lt;=$M7),1,"")</f>
        <v/>
      </c>
      <c r="AY7">
        <f>IF(AND($A7&lt;&gt;"",AY$3&gt;=$J7,AY$3&lt;=$M7),1,"")</f>
        <v/>
      </c>
      <c r="AZ7">
        <f>IF(AND($A7&lt;&gt;"",AZ$3&gt;=$J7,AZ$3&lt;=$M7),1,"")</f>
        <v/>
      </c>
      <c r="BA7">
        <f>IF(AND($A7&lt;&gt;"",BA$3&gt;=$J7,BA$3&lt;=$M7),1,"")</f>
        <v/>
      </c>
      <c r="BB7">
        <f>IF(AND($A7&lt;&gt;"",BB$3&gt;=$J7,BB$3&lt;=$M7),1,"")</f>
        <v/>
      </c>
      <c r="BC7">
        <f>IF(AND($A7&lt;&gt;"",BC$3&gt;=$J7,BC$3&lt;=$M7),1,"")</f>
        <v/>
      </c>
      <c r="BD7">
        <f>IF(AND($A7&lt;&gt;"",BD$3&gt;=$J7,BD$3&lt;=$M7),1,"")</f>
        <v/>
      </c>
      <c r="BE7">
        <f>IF(AND($A7&lt;&gt;"",BE$3&gt;=$J7,BE$3&lt;=$M7),1,"")</f>
        <v/>
      </c>
      <c r="BF7">
        <f>IF(AND($A7&lt;&gt;"",BF$3&gt;=$J7,BF$3&lt;=$M7),1,"")</f>
        <v/>
      </c>
      <c r="BG7">
        <f>IF(AND($A7&lt;&gt;"",BG$3&gt;=$J7,BG$3&lt;=$M7),1,"")</f>
        <v/>
      </c>
      <c r="BH7">
        <f>IF(AND($A7&lt;&gt;"",BH$3&gt;=$J7,BH$3&lt;=$M7),1,"")</f>
        <v/>
      </c>
      <c r="BI7">
        <f>IF(AND($A7&lt;&gt;"",BI$3&gt;=$J7,BI$3&lt;=$M7),1,"")</f>
        <v/>
      </c>
      <c r="BJ7">
        <f>IF(AND($A7&lt;&gt;"",BJ$3&gt;=$J7,BJ$3&lt;=$M7),1,"")</f>
        <v/>
      </c>
      <c r="BK7">
        <f>IF(AND($A7&lt;&gt;"",BK$3&gt;=$J7,BK$3&lt;=$M7),1,"")</f>
        <v/>
      </c>
      <c r="BL7">
        <f>IF(AND($A7&lt;&gt;"",BL$3&gt;=$J7,BL$3&lt;=$M7),1,"")</f>
        <v/>
      </c>
      <c r="BM7">
        <f>IF(AND($A7&lt;&gt;"",BM$3&gt;=$J7,BM$3&lt;=$M7),1,"")</f>
        <v/>
      </c>
      <c r="BN7">
        <f>IF(AND($A7&lt;&gt;"",BN$3&gt;=$J7,BN$3&lt;=$M7),1,"")</f>
        <v/>
      </c>
      <c r="BO7">
        <f>IF(AND($A7&lt;&gt;"",BO$3&gt;=$J7,BO$3&lt;=$M7),1,"")</f>
        <v/>
      </c>
      <c r="BP7">
        <f>IF(AND($A7&lt;&gt;"",BP$3&gt;=$J7,BP$3&lt;=$M7),1,"")</f>
        <v/>
      </c>
      <c r="BQ7">
        <f>IF(AND($A7&lt;&gt;"",BQ$3&gt;=$J7,BQ$3&lt;=$M7),1,"")</f>
        <v/>
      </c>
      <c r="BR7">
        <f>IF(AND($A7&lt;&gt;"",BR$3&gt;=$J7,BR$3&lt;=$M7),1,"")</f>
        <v/>
      </c>
      <c r="BS7">
        <f>IF(AND($A7&lt;&gt;"",BS$3&gt;=$J7,BS$3&lt;=$M7),1,"")</f>
        <v/>
      </c>
      <c r="BT7">
        <f>IF(AND($A7&lt;&gt;"",BT$3&gt;=$J7,BT$3&lt;=$M7),1,"")</f>
        <v/>
      </c>
      <c r="BU7">
        <f>IF(AND($A7&lt;&gt;"",BU$3&gt;=$J7,BU$3&lt;=$M7),1,"")</f>
        <v/>
      </c>
      <c r="BV7">
        <f>IF(AND($A7&lt;&gt;"",BV$3&gt;=$J7,BV$3&lt;=$M7),1,"")</f>
        <v/>
      </c>
    </row>
    <row r="8">
      <c r="A8">
        <f>IF(Job_Master_Ring!$A8="","",Job_Master_Ring!$A8)</f>
        <v/>
      </c>
      <c r="B8">
        <f>IF($A8="","",Job_Master_Ring!B8)</f>
        <v/>
      </c>
      <c r="C8">
        <f>IF($A8="","",Job_Master_Ring!C8)</f>
        <v/>
      </c>
      <c r="D8">
        <f>IF($A8="","",Job_Master_Ring!D8)</f>
        <v/>
      </c>
      <c r="E8">
        <f>IF($A8="","",IF($I8&lt;&gt;"",$I8,IFERROR(INDEX(Machine_List!$B$87:$B$94,MATCH(1,(Machine_List!$H$87:$H$94&lt;=IFERROR(VLOOKUP($B8,CHOOSE(MATCH($C8,Settings!$L$4:$L$10,0),OPR_BR1!$A$4:$K$18,OPR_BR2!$A$4:$K$18,OPR_CR2!$A$4:$K$18,OPR_CR3!$A$4:$K$18,OPR_CR4!$A$4:$K$18,OPR_RIM!$A$4:$K$18,OPR_BPR!$A$4:$K$18),10,0),0))*(Machine_List!$I$87:$I$94&gt;=IFERROR(VLOOKUP($B8,CHOOSE(MATCH($C8,Settings!$L$4:$L$10,0),OPR_BR1!$A$4:$K$18,OPR_BR2!$A$4:$K$18,OPR_CR2!$A$4:$K$18,OPR_CR3!$A$4:$K$18,OPR_CR4!$A$4:$K$18,OPR_RIM!$A$4:$K$18,OPR_BPR!$A$4:$K$18),11,0),9999)),0)),"NO COMPATIBLE MACHINE")))</f>
        <v/>
      </c>
      <c r="F8">
        <f>IF($E8="","",IFERROR(VLOOKUP($E8,Machine_List!$B:$G,6,0),""))</f>
        <v/>
      </c>
      <c r="G8" s="17">
        <f>IF($E8="","",IFERROR(VLOOKUP($E8,Machine_List!$B:$C,2,0),""))</f>
        <v/>
      </c>
      <c r="H8">
        <f>IF($E8="","",IFERROR(VLOOKUP($E8,Machine_List!$B:$D,3,0),""))</f>
        <v/>
      </c>
      <c r="J8" s="16">
        <f>IF($A8="","",IF($I8&lt;&gt;"",$I8,MAX(GlobalStartDate,IFERROR(LOOKUP(2,1/($E$3:INDIRECT("E"&amp;(ROW()-1))=$E8),$M$3:INDIRECT("M"&amp;(ROW()-1))),GlobalStartDate))))</f>
        <v/>
      </c>
      <c r="K8">
        <f>IF($A8="","",IFERROR(VLOOKUP(B8,CHOOSE(MATCH($C8,Settings!$L$4:$L$10,0),OPR_BR1!$A$4:$I$18,OPR_BR2!$A$4:$I$18,OPR_CR2!$A$4:$I$18,OPR_CR3!$A$4:$I$18,OPR_CR4!$A$4:$I$18,OPR_RIM!$A$4:$I$18,OPR_BPR!$A$4:$I$18),2,0),0))</f>
        <v/>
      </c>
      <c r="L8">
        <f>IF($A8="","",K8*D8)</f>
        <v/>
      </c>
      <c r="M8" s="16">
        <f>IF($A8="","",IF(AND(ISNUMBER(G8),G8&gt;=J8,G8&lt;=(J8+(L8/(IF(F8="Contract Workman",Settings!$K$5,Settings!$K$4))))),J8+(L8/(IF(F8="Contract Workman",Settings!$K$5,Settings!$K$4)))+(H8/(IF(F8="Contract Workman",Settings!$K$5,Settings!$K$4))),J8+(L8/(IF(F8="Contract Workman",Settings!$K$5,Settings!$K$4)))))</f>
        <v/>
      </c>
      <c r="N8">
        <f>IF($A8="","",IF(F8="Contract Workman",IF(AND(MOD(M8,1)&gt;=8/24,MOD(M8,1)&lt;20/24),"Shift S1","Shift S2"),IF(AND(MOD(M8,1)&gt;=7/24,MOD(M8,1)&lt;15/24),"Shift A",IF(AND(MOD(M8,1)&gt;=15/24,MOD(M8,1)&lt;23/24),"Shift B","Shift C"))))</f>
        <v/>
      </c>
      <c r="O8">
        <f>IF(B8="","",IF(IFERROR(ISNUMBER(SEARCH(TEXT(B8,"0"),VLOOKUP(E8,Machine_List!$B:$J,9,0))),FALSE),"✅ "&amp;E8,"❌ ?"))</f>
        <v/>
      </c>
      <c r="P8">
        <f>IF(AND($A8&lt;&gt;"",P$3&gt;=$J8,P$3&lt;=$M8),1,"")</f>
        <v/>
      </c>
      <c r="Q8">
        <f>IF(AND($A8&lt;&gt;"",Q$3&gt;=$J8,Q$3&lt;=$M8),1,"")</f>
        <v/>
      </c>
      <c r="R8">
        <f>IF(AND($A8&lt;&gt;"",R$3&gt;=$J8,R$3&lt;=$M8),1,"")</f>
        <v/>
      </c>
      <c r="S8">
        <f>IF(AND($A8&lt;&gt;"",S$3&gt;=$J8,S$3&lt;=$M8),1,"")</f>
        <v/>
      </c>
      <c r="T8">
        <f>IF(AND($A8&lt;&gt;"",T$3&gt;=$J8,T$3&lt;=$M8),1,"")</f>
        <v/>
      </c>
      <c r="U8">
        <f>IF(AND($A8&lt;&gt;"",U$3&gt;=$J8,U$3&lt;=$M8),1,"")</f>
        <v/>
      </c>
      <c r="V8">
        <f>IF(AND($A8&lt;&gt;"",V$3&gt;=$J8,V$3&lt;=$M8),1,"")</f>
        <v/>
      </c>
      <c r="W8">
        <f>IF(AND($A8&lt;&gt;"",W$3&gt;=$J8,W$3&lt;=$M8),1,"")</f>
        <v/>
      </c>
      <c r="X8">
        <f>IF(AND($A8&lt;&gt;"",X$3&gt;=$J8,X$3&lt;=$M8),1,"")</f>
        <v/>
      </c>
      <c r="Y8">
        <f>IF(AND($A8&lt;&gt;"",Y$3&gt;=$J8,Y$3&lt;=$M8),1,"")</f>
        <v/>
      </c>
      <c r="Z8">
        <f>IF(AND($A8&lt;&gt;"",Z$3&gt;=$J8,Z$3&lt;=$M8),1,"")</f>
        <v/>
      </c>
      <c r="AA8">
        <f>IF(AND($A8&lt;&gt;"",AA$3&gt;=$J8,AA$3&lt;=$M8),1,"")</f>
        <v/>
      </c>
      <c r="AB8">
        <f>IF(AND($A8&lt;&gt;"",AB$3&gt;=$J8,AB$3&lt;=$M8),1,"")</f>
        <v/>
      </c>
      <c r="AC8">
        <f>IF(AND($A8&lt;&gt;"",AC$3&gt;=$J8,AC$3&lt;=$M8),1,"")</f>
        <v/>
      </c>
      <c r="AD8">
        <f>IF(AND($A8&lt;&gt;"",AD$3&gt;=$J8,AD$3&lt;=$M8),1,"")</f>
        <v/>
      </c>
      <c r="AE8">
        <f>IF(AND($A8&lt;&gt;"",AE$3&gt;=$J8,AE$3&lt;=$M8),1,"")</f>
        <v/>
      </c>
      <c r="AF8">
        <f>IF(AND($A8&lt;&gt;"",AF$3&gt;=$J8,AF$3&lt;=$M8),1,"")</f>
        <v/>
      </c>
      <c r="AG8">
        <f>IF(AND($A8&lt;&gt;"",AG$3&gt;=$J8,AG$3&lt;=$M8),1,"")</f>
        <v/>
      </c>
      <c r="AH8">
        <f>IF(AND($A8&lt;&gt;"",AH$3&gt;=$J8,AH$3&lt;=$M8),1,"")</f>
        <v/>
      </c>
      <c r="AI8">
        <f>IF(AND($A8&lt;&gt;"",AI$3&gt;=$J8,AI$3&lt;=$M8),1,"")</f>
        <v/>
      </c>
      <c r="AJ8">
        <f>IF(AND($A8&lt;&gt;"",AJ$3&gt;=$J8,AJ$3&lt;=$M8),1,"")</f>
        <v/>
      </c>
      <c r="AK8">
        <f>IF(AND($A8&lt;&gt;"",AK$3&gt;=$J8,AK$3&lt;=$M8),1,"")</f>
        <v/>
      </c>
      <c r="AL8">
        <f>IF(AND($A8&lt;&gt;"",AL$3&gt;=$J8,AL$3&lt;=$M8),1,"")</f>
        <v/>
      </c>
      <c r="AM8">
        <f>IF(AND($A8&lt;&gt;"",AM$3&gt;=$J8,AM$3&lt;=$M8),1,"")</f>
        <v/>
      </c>
      <c r="AN8">
        <f>IF(AND($A8&lt;&gt;"",AN$3&gt;=$J8,AN$3&lt;=$M8),1,"")</f>
        <v/>
      </c>
      <c r="AO8">
        <f>IF(AND($A8&lt;&gt;"",AO$3&gt;=$J8,AO$3&lt;=$M8),1,"")</f>
        <v/>
      </c>
      <c r="AP8">
        <f>IF(AND($A8&lt;&gt;"",AP$3&gt;=$J8,AP$3&lt;=$M8),1,"")</f>
        <v/>
      </c>
      <c r="AQ8">
        <f>IF(AND($A8&lt;&gt;"",AQ$3&gt;=$J8,AQ$3&lt;=$M8),1,"")</f>
        <v/>
      </c>
      <c r="AR8">
        <f>IF(AND($A8&lt;&gt;"",AR$3&gt;=$J8,AR$3&lt;=$M8),1,"")</f>
        <v/>
      </c>
      <c r="AS8">
        <f>IF(AND($A8&lt;&gt;"",AS$3&gt;=$J8,AS$3&lt;=$M8),1,"")</f>
        <v/>
      </c>
      <c r="AT8">
        <f>IF(AND($A8&lt;&gt;"",AT$3&gt;=$J8,AT$3&lt;=$M8),1,"")</f>
        <v/>
      </c>
      <c r="AU8">
        <f>IF(AND($A8&lt;&gt;"",AU$3&gt;=$J8,AU$3&lt;=$M8),1,"")</f>
        <v/>
      </c>
      <c r="AV8">
        <f>IF(AND($A8&lt;&gt;"",AV$3&gt;=$J8,AV$3&lt;=$M8),1,"")</f>
        <v/>
      </c>
      <c r="AW8">
        <f>IF(AND($A8&lt;&gt;"",AW$3&gt;=$J8,AW$3&lt;=$M8),1,"")</f>
        <v/>
      </c>
      <c r="AX8">
        <f>IF(AND($A8&lt;&gt;"",AX$3&gt;=$J8,AX$3&lt;=$M8),1,"")</f>
        <v/>
      </c>
      <c r="AY8">
        <f>IF(AND($A8&lt;&gt;"",AY$3&gt;=$J8,AY$3&lt;=$M8),1,"")</f>
        <v/>
      </c>
      <c r="AZ8">
        <f>IF(AND($A8&lt;&gt;"",AZ$3&gt;=$J8,AZ$3&lt;=$M8),1,"")</f>
        <v/>
      </c>
      <c r="BA8">
        <f>IF(AND($A8&lt;&gt;"",BA$3&gt;=$J8,BA$3&lt;=$M8),1,"")</f>
        <v/>
      </c>
      <c r="BB8">
        <f>IF(AND($A8&lt;&gt;"",BB$3&gt;=$J8,BB$3&lt;=$M8),1,"")</f>
        <v/>
      </c>
      <c r="BC8">
        <f>IF(AND($A8&lt;&gt;"",BC$3&gt;=$J8,BC$3&lt;=$M8),1,"")</f>
        <v/>
      </c>
      <c r="BD8">
        <f>IF(AND($A8&lt;&gt;"",BD$3&gt;=$J8,BD$3&lt;=$M8),1,"")</f>
        <v/>
      </c>
      <c r="BE8">
        <f>IF(AND($A8&lt;&gt;"",BE$3&gt;=$J8,BE$3&lt;=$M8),1,"")</f>
        <v/>
      </c>
      <c r="BF8">
        <f>IF(AND($A8&lt;&gt;"",BF$3&gt;=$J8,BF$3&lt;=$M8),1,"")</f>
        <v/>
      </c>
      <c r="BG8">
        <f>IF(AND($A8&lt;&gt;"",BG$3&gt;=$J8,BG$3&lt;=$M8),1,"")</f>
        <v/>
      </c>
      <c r="BH8">
        <f>IF(AND($A8&lt;&gt;"",BH$3&gt;=$J8,BH$3&lt;=$M8),1,"")</f>
        <v/>
      </c>
      <c r="BI8">
        <f>IF(AND($A8&lt;&gt;"",BI$3&gt;=$J8,BI$3&lt;=$M8),1,"")</f>
        <v/>
      </c>
      <c r="BJ8">
        <f>IF(AND($A8&lt;&gt;"",BJ$3&gt;=$J8,BJ$3&lt;=$M8),1,"")</f>
        <v/>
      </c>
      <c r="BK8">
        <f>IF(AND($A8&lt;&gt;"",BK$3&gt;=$J8,BK$3&lt;=$M8),1,"")</f>
        <v/>
      </c>
      <c r="BL8">
        <f>IF(AND($A8&lt;&gt;"",BL$3&gt;=$J8,BL$3&lt;=$M8),1,"")</f>
        <v/>
      </c>
      <c r="BM8">
        <f>IF(AND($A8&lt;&gt;"",BM$3&gt;=$J8,BM$3&lt;=$M8),1,"")</f>
        <v/>
      </c>
      <c r="BN8">
        <f>IF(AND($A8&lt;&gt;"",BN$3&gt;=$J8,BN$3&lt;=$M8),1,"")</f>
        <v/>
      </c>
      <c r="BO8">
        <f>IF(AND($A8&lt;&gt;"",BO$3&gt;=$J8,BO$3&lt;=$M8),1,"")</f>
        <v/>
      </c>
      <c r="BP8">
        <f>IF(AND($A8&lt;&gt;"",BP$3&gt;=$J8,BP$3&lt;=$M8),1,"")</f>
        <v/>
      </c>
      <c r="BQ8">
        <f>IF(AND($A8&lt;&gt;"",BQ$3&gt;=$J8,BQ$3&lt;=$M8),1,"")</f>
        <v/>
      </c>
      <c r="BR8">
        <f>IF(AND($A8&lt;&gt;"",BR$3&gt;=$J8,BR$3&lt;=$M8),1,"")</f>
        <v/>
      </c>
      <c r="BS8">
        <f>IF(AND($A8&lt;&gt;"",BS$3&gt;=$J8,BS$3&lt;=$M8),1,"")</f>
        <v/>
      </c>
      <c r="BT8">
        <f>IF(AND($A8&lt;&gt;"",BT$3&gt;=$J8,BT$3&lt;=$M8),1,"")</f>
        <v/>
      </c>
      <c r="BU8">
        <f>IF(AND($A8&lt;&gt;"",BU$3&gt;=$J8,BU$3&lt;=$M8),1,"")</f>
        <v/>
      </c>
      <c r="BV8">
        <f>IF(AND($A8&lt;&gt;"",BV$3&gt;=$J8,BV$3&lt;=$M8),1,"")</f>
        <v/>
      </c>
    </row>
    <row r="9">
      <c r="A9">
        <f>IF(Job_Master_Ring!$A9="","",Job_Master_Ring!$A9)</f>
        <v/>
      </c>
      <c r="B9">
        <f>IF($A9="","",Job_Master_Ring!B9)</f>
        <v/>
      </c>
      <c r="C9">
        <f>IF($A9="","",Job_Master_Ring!C9)</f>
        <v/>
      </c>
      <c r="D9">
        <f>IF($A9="","",Job_Master_Ring!D9)</f>
        <v/>
      </c>
      <c r="E9">
        <f>IF($A9="","",IF($I9&lt;&gt;"",$I9,IFERROR(INDEX(Machine_List!$B$87:$B$94,MATCH(1,(Machine_List!$H$87:$H$94&lt;=IFERROR(VLOOKUP($B9,CHOOSE(MATCH($C9,Settings!$L$4:$L$10,0),OPR_BR1!$A$4:$K$18,OPR_BR2!$A$4:$K$18,OPR_CR2!$A$4:$K$18,OPR_CR3!$A$4:$K$18,OPR_CR4!$A$4:$K$18,OPR_RIM!$A$4:$K$18,OPR_BPR!$A$4:$K$18),10,0),0))*(Machine_List!$I$87:$I$94&gt;=IFERROR(VLOOKUP($B9,CHOOSE(MATCH($C9,Settings!$L$4:$L$10,0),OPR_BR1!$A$4:$K$18,OPR_BR2!$A$4:$K$18,OPR_CR2!$A$4:$K$18,OPR_CR3!$A$4:$K$18,OPR_CR4!$A$4:$K$18,OPR_RIM!$A$4:$K$18,OPR_BPR!$A$4:$K$18),11,0),9999)),0)),"NO COMPATIBLE MACHINE")))</f>
        <v/>
      </c>
      <c r="F9">
        <f>IF($E9="","",IFERROR(VLOOKUP($E9,Machine_List!$B:$G,6,0),""))</f>
        <v/>
      </c>
      <c r="G9" s="17">
        <f>IF($E9="","",IFERROR(VLOOKUP($E9,Machine_List!$B:$C,2,0),""))</f>
        <v/>
      </c>
      <c r="H9">
        <f>IF($E9="","",IFERROR(VLOOKUP($E9,Machine_List!$B:$D,3,0),""))</f>
        <v/>
      </c>
      <c r="J9" s="16">
        <f>IF($A9="","",IF($I9&lt;&gt;"",$I9,MAX(GlobalStartDate,IFERROR(LOOKUP(2,1/($E$3:INDIRECT("E"&amp;(ROW()-1))=$E9),$M$3:INDIRECT("M"&amp;(ROW()-1))),GlobalStartDate))))</f>
        <v/>
      </c>
      <c r="K9">
        <f>IF($A9="","",IFERROR(VLOOKUP(B9,CHOOSE(MATCH($C9,Settings!$L$4:$L$10,0),OPR_BR1!$A$4:$I$18,OPR_BR2!$A$4:$I$18,OPR_CR2!$A$4:$I$18,OPR_CR3!$A$4:$I$18,OPR_CR4!$A$4:$I$18,OPR_RIM!$A$4:$I$18,OPR_BPR!$A$4:$I$18),2,0),0))</f>
        <v/>
      </c>
      <c r="L9">
        <f>IF($A9="","",K9*D9)</f>
        <v/>
      </c>
      <c r="M9" s="16">
        <f>IF($A9="","",IF(AND(ISNUMBER(G9),G9&gt;=J9,G9&lt;=(J9+(L9/(IF(F9="Contract Workman",Settings!$K$5,Settings!$K$4))))),J9+(L9/(IF(F9="Contract Workman",Settings!$K$5,Settings!$K$4)))+(H9/(IF(F9="Contract Workman",Settings!$K$5,Settings!$K$4))),J9+(L9/(IF(F9="Contract Workman",Settings!$K$5,Settings!$K$4)))))</f>
        <v/>
      </c>
      <c r="N9">
        <f>IF($A9="","",IF(F9="Contract Workman",IF(AND(MOD(M9,1)&gt;=8/24,MOD(M9,1)&lt;20/24),"Shift S1","Shift S2"),IF(AND(MOD(M9,1)&gt;=7/24,MOD(M9,1)&lt;15/24),"Shift A",IF(AND(MOD(M9,1)&gt;=15/24,MOD(M9,1)&lt;23/24),"Shift B","Shift C"))))</f>
        <v/>
      </c>
      <c r="O9">
        <f>IF(B9="","",IF(IFERROR(ISNUMBER(SEARCH(TEXT(B9,"0"),VLOOKUP(E9,Machine_List!$B:$J,9,0))),FALSE),"✅ "&amp;E9,"❌ ?"))</f>
        <v/>
      </c>
      <c r="P9">
        <f>IF(AND($A9&lt;&gt;"",P$3&gt;=$J9,P$3&lt;=$M9),1,"")</f>
        <v/>
      </c>
      <c r="Q9">
        <f>IF(AND($A9&lt;&gt;"",Q$3&gt;=$J9,Q$3&lt;=$M9),1,"")</f>
        <v/>
      </c>
      <c r="R9">
        <f>IF(AND($A9&lt;&gt;"",R$3&gt;=$J9,R$3&lt;=$M9),1,"")</f>
        <v/>
      </c>
      <c r="S9">
        <f>IF(AND($A9&lt;&gt;"",S$3&gt;=$J9,S$3&lt;=$M9),1,"")</f>
        <v/>
      </c>
      <c r="T9">
        <f>IF(AND($A9&lt;&gt;"",T$3&gt;=$J9,T$3&lt;=$M9),1,"")</f>
        <v/>
      </c>
      <c r="U9">
        <f>IF(AND($A9&lt;&gt;"",U$3&gt;=$J9,U$3&lt;=$M9),1,"")</f>
        <v/>
      </c>
      <c r="V9">
        <f>IF(AND($A9&lt;&gt;"",V$3&gt;=$J9,V$3&lt;=$M9),1,"")</f>
        <v/>
      </c>
      <c r="W9">
        <f>IF(AND($A9&lt;&gt;"",W$3&gt;=$J9,W$3&lt;=$M9),1,"")</f>
        <v/>
      </c>
      <c r="X9">
        <f>IF(AND($A9&lt;&gt;"",X$3&gt;=$J9,X$3&lt;=$M9),1,"")</f>
        <v/>
      </c>
      <c r="Y9">
        <f>IF(AND($A9&lt;&gt;"",Y$3&gt;=$J9,Y$3&lt;=$M9),1,"")</f>
        <v/>
      </c>
      <c r="Z9">
        <f>IF(AND($A9&lt;&gt;"",Z$3&gt;=$J9,Z$3&lt;=$M9),1,"")</f>
        <v/>
      </c>
      <c r="AA9">
        <f>IF(AND($A9&lt;&gt;"",AA$3&gt;=$J9,AA$3&lt;=$M9),1,"")</f>
        <v/>
      </c>
      <c r="AB9">
        <f>IF(AND($A9&lt;&gt;"",AB$3&gt;=$J9,AB$3&lt;=$M9),1,"")</f>
        <v/>
      </c>
      <c r="AC9">
        <f>IF(AND($A9&lt;&gt;"",AC$3&gt;=$J9,AC$3&lt;=$M9),1,"")</f>
        <v/>
      </c>
      <c r="AD9">
        <f>IF(AND($A9&lt;&gt;"",AD$3&gt;=$J9,AD$3&lt;=$M9),1,"")</f>
        <v/>
      </c>
      <c r="AE9">
        <f>IF(AND($A9&lt;&gt;"",AE$3&gt;=$J9,AE$3&lt;=$M9),1,"")</f>
        <v/>
      </c>
      <c r="AF9">
        <f>IF(AND($A9&lt;&gt;"",AF$3&gt;=$J9,AF$3&lt;=$M9),1,"")</f>
        <v/>
      </c>
      <c r="AG9">
        <f>IF(AND($A9&lt;&gt;"",AG$3&gt;=$J9,AG$3&lt;=$M9),1,"")</f>
        <v/>
      </c>
      <c r="AH9">
        <f>IF(AND($A9&lt;&gt;"",AH$3&gt;=$J9,AH$3&lt;=$M9),1,"")</f>
        <v/>
      </c>
      <c r="AI9">
        <f>IF(AND($A9&lt;&gt;"",AI$3&gt;=$J9,AI$3&lt;=$M9),1,"")</f>
        <v/>
      </c>
      <c r="AJ9">
        <f>IF(AND($A9&lt;&gt;"",AJ$3&gt;=$J9,AJ$3&lt;=$M9),1,"")</f>
        <v/>
      </c>
      <c r="AK9">
        <f>IF(AND($A9&lt;&gt;"",AK$3&gt;=$J9,AK$3&lt;=$M9),1,"")</f>
        <v/>
      </c>
      <c r="AL9">
        <f>IF(AND($A9&lt;&gt;"",AL$3&gt;=$J9,AL$3&lt;=$M9),1,"")</f>
        <v/>
      </c>
      <c r="AM9">
        <f>IF(AND($A9&lt;&gt;"",AM$3&gt;=$J9,AM$3&lt;=$M9),1,"")</f>
        <v/>
      </c>
      <c r="AN9">
        <f>IF(AND($A9&lt;&gt;"",AN$3&gt;=$J9,AN$3&lt;=$M9),1,"")</f>
        <v/>
      </c>
      <c r="AO9">
        <f>IF(AND($A9&lt;&gt;"",AO$3&gt;=$J9,AO$3&lt;=$M9),1,"")</f>
        <v/>
      </c>
      <c r="AP9">
        <f>IF(AND($A9&lt;&gt;"",AP$3&gt;=$J9,AP$3&lt;=$M9),1,"")</f>
        <v/>
      </c>
      <c r="AQ9">
        <f>IF(AND($A9&lt;&gt;"",AQ$3&gt;=$J9,AQ$3&lt;=$M9),1,"")</f>
        <v/>
      </c>
      <c r="AR9">
        <f>IF(AND($A9&lt;&gt;"",AR$3&gt;=$J9,AR$3&lt;=$M9),1,"")</f>
        <v/>
      </c>
      <c r="AS9">
        <f>IF(AND($A9&lt;&gt;"",AS$3&gt;=$J9,AS$3&lt;=$M9),1,"")</f>
        <v/>
      </c>
      <c r="AT9">
        <f>IF(AND($A9&lt;&gt;"",AT$3&gt;=$J9,AT$3&lt;=$M9),1,"")</f>
        <v/>
      </c>
      <c r="AU9">
        <f>IF(AND($A9&lt;&gt;"",AU$3&gt;=$J9,AU$3&lt;=$M9),1,"")</f>
        <v/>
      </c>
      <c r="AV9">
        <f>IF(AND($A9&lt;&gt;"",AV$3&gt;=$J9,AV$3&lt;=$M9),1,"")</f>
        <v/>
      </c>
      <c r="AW9">
        <f>IF(AND($A9&lt;&gt;"",AW$3&gt;=$J9,AW$3&lt;=$M9),1,"")</f>
        <v/>
      </c>
      <c r="AX9">
        <f>IF(AND($A9&lt;&gt;"",AX$3&gt;=$J9,AX$3&lt;=$M9),1,"")</f>
        <v/>
      </c>
      <c r="AY9">
        <f>IF(AND($A9&lt;&gt;"",AY$3&gt;=$J9,AY$3&lt;=$M9),1,"")</f>
        <v/>
      </c>
      <c r="AZ9">
        <f>IF(AND($A9&lt;&gt;"",AZ$3&gt;=$J9,AZ$3&lt;=$M9),1,"")</f>
        <v/>
      </c>
      <c r="BA9">
        <f>IF(AND($A9&lt;&gt;"",BA$3&gt;=$J9,BA$3&lt;=$M9),1,"")</f>
        <v/>
      </c>
      <c r="BB9">
        <f>IF(AND($A9&lt;&gt;"",BB$3&gt;=$J9,BB$3&lt;=$M9),1,"")</f>
        <v/>
      </c>
      <c r="BC9">
        <f>IF(AND($A9&lt;&gt;"",BC$3&gt;=$J9,BC$3&lt;=$M9),1,"")</f>
        <v/>
      </c>
      <c r="BD9">
        <f>IF(AND($A9&lt;&gt;"",BD$3&gt;=$J9,BD$3&lt;=$M9),1,"")</f>
        <v/>
      </c>
      <c r="BE9">
        <f>IF(AND($A9&lt;&gt;"",BE$3&gt;=$J9,BE$3&lt;=$M9),1,"")</f>
        <v/>
      </c>
      <c r="BF9">
        <f>IF(AND($A9&lt;&gt;"",BF$3&gt;=$J9,BF$3&lt;=$M9),1,"")</f>
        <v/>
      </c>
      <c r="BG9">
        <f>IF(AND($A9&lt;&gt;"",BG$3&gt;=$J9,BG$3&lt;=$M9),1,"")</f>
        <v/>
      </c>
      <c r="BH9">
        <f>IF(AND($A9&lt;&gt;"",BH$3&gt;=$J9,BH$3&lt;=$M9),1,"")</f>
        <v/>
      </c>
      <c r="BI9">
        <f>IF(AND($A9&lt;&gt;"",BI$3&gt;=$J9,BI$3&lt;=$M9),1,"")</f>
        <v/>
      </c>
      <c r="BJ9">
        <f>IF(AND($A9&lt;&gt;"",BJ$3&gt;=$J9,BJ$3&lt;=$M9),1,"")</f>
        <v/>
      </c>
      <c r="BK9">
        <f>IF(AND($A9&lt;&gt;"",BK$3&gt;=$J9,BK$3&lt;=$M9),1,"")</f>
        <v/>
      </c>
      <c r="BL9">
        <f>IF(AND($A9&lt;&gt;"",BL$3&gt;=$J9,BL$3&lt;=$M9),1,"")</f>
        <v/>
      </c>
      <c r="BM9">
        <f>IF(AND($A9&lt;&gt;"",BM$3&gt;=$J9,BM$3&lt;=$M9),1,"")</f>
        <v/>
      </c>
      <c r="BN9">
        <f>IF(AND($A9&lt;&gt;"",BN$3&gt;=$J9,BN$3&lt;=$M9),1,"")</f>
        <v/>
      </c>
      <c r="BO9">
        <f>IF(AND($A9&lt;&gt;"",BO$3&gt;=$J9,BO$3&lt;=$M9),1,"")</f>
        <v/>
      </c>
      <c r="BP9">
        <f>IF(AND($A9&lt;&gt;"",BP$3&gt;=$J9,BP$3&lt;=$M9),1,"")</f>
        <v/>
      </c>
      <c r="BQ9">
        <f>IF(AND($A9&lt;&gt;"",BQ$3&gt;=$J9,BQ$3&lt;=$M9),1,"")</f>
        <v/>
      </c>
      <c r="BR9">
        <f>IF(AND($A9&lt;&gt;"",BR$3&gt;=$J9,BR$3&lt;=$M9),1,"")</f>
        <v/>
      </c>
      <c r="BS9">
        <f>IF(AND($A9&lt;&gt;"",BS$3&gt;=$J9,BS$3&lt;=$M9),1,"")</f>
        <v/>
      </c>
      <c r="BT9">
        <f>IF(AND($A9&lt;&gt;"",BT$3&gt;=$J9,BT$3&lt;=$M9),1,"")</f>
        <v/>
      </c>
      <c r="BU9">
        <f>IF(AND($A9&lt;&gt;"",BU$3&gt;=$J9,BU$3&lt;=$M9),1,"")</f>
        <v/>
      </c>
      <c r="BV9">
        <f>IF(AND($A9&lt;&gt;"",BV$3&gt;=$J9,BV$3&lt;=$M9),1,"")</f>
        <v/>
      </c>
    </row>
    <row r="10">
      <c r="A10">
        <f>IF(Job_Master_Ring!$A10="","",Job_Master_Ring!$A10)</f>
        <v/>
      </c>
      <c r="B10">
        <f>IF($A10="","",Job_Master_Ring!B10)</f>
        <v/>
      </c>
      <c r="C10">
        <f>IF($A10="","",Job_Master_Ring!C10)</f>
        <v/>
      </c>
      <c r="D10">
        <f>IF($A10="","",Job_Master_Ring!D10)</f>
        <v/>
      </c>
      <c r="E10">
        <f>IF($A10="","",IF($I10&lt;&gt;"",$I10,IFERROR(INDEX(Machine_List!$B$87:$B$94,MATCH(1,(Machine_List!$H$87:$H$94&lt;=IFERROR(VLOOKUP($B10,CHOOSE(MATCH($C10,Settings!$L$4:$L$10,0),OPR_BR1!$A$4:$K$18,OPR_BR2!$A$4:$K$18,OPR_CR2!$A$4:$K$18,OPR_CR3!$A$4:$K$18,OPR_CR4!$A$4:$K$18,OPR_RIM!$A$4:$K$18,OPR_BPR!$A$4:$K$18),10,0),0))*(Machine_List!$I$87:$I$94&gt;=IFERROR(VLOOKUP($B10,CHOOSE(MATCH($C10,Settings!$L$4:$L$10,0),OPR_BR1!$A$4:$K$18,OPR_BR2!$A$4:$K$18,OPR_CR2!$A$4:$K$18,OPR_CR3!$A$4:$K$18,OPR_CR4!$A$4:$K$18,OPR_RIM!$A$4:$K$18,OPR_BPR!$A$4:$K$18),11,0),9999)),0)),"NO COMPATIBLE MACHINE")))</f>
        <v/>
      </c>
      <c r="F10">
        <f>IF($E10="","",IFERROR(VLOOKUP($E10,Machine_List!$B:$G,6,0),""))</f>
        <v/>
      </c>
      <c r="G10" s="17">
        <f>IF($E10="","",IFERROR(VLOOKUP($E10,Machine_List!$B:$C,2,0),""))</f>
        <v/>
      </c>
      <c r="H10">
        <f>IF($E10="","",IFERROR(VLOOKUP($E10,Machine_List!$B:$D,3,0),""))</f>
        <v/>
      </c>
      <c r="J10" s="16">
        <f>IF($A10="","",IF($I10&lt;&gt;"",$I10,MAX(GlobalStartDate,IFERROR(LOOKUP(2,1/($E$3:INDIRECT("E"&amp;(ROW()-1))=$E10),$M$3:INDIRECT("M"&amp;(ROW()-1))),GlobalStartDate))))</f>
        <v/>
      </c>
      <c r="K10">
        <f>IF($A10="","",IFERROR(VLOOKUP(B10,CHOOSE(MATCH($C10,Settings!$L$4:$L$10,0),OPR_BR1!$A$4:$I$18,OPR_BR2!$A$4:$I$18,OPR_CR2!$A$4:$I$18,OPR_CR3!$A$4:$I$18,OPR_CR4!$A$4:$I$18,OPR_RIM!$A$4:$I$18,OPR_BPR!$A$4:$I$18),2,0),0))</f>
        <v/>
      </c>
      <c r="L10">
        <f>IF($A10="","",K10*D10)</f>
        <v/>
      </c>
      <c r="M10" s="16">
        <f>IF($A10="","",IF(AND(ISNUMBER(G10),G10&gt;=J10,G10&lt;=(J10+(L10/(IF(F10="Contract Workman",Settings!$K$5,Settings!$K$4))))),J10+(L10/(IF(F10="Contract Workman",Settings!$K$5,Settings!$K$4)))+(H10/(IF(F10="Contract Workman",Settings!$K$5,Settings!$K$4))),J10+(L10/(IF(F10="Contract Workman",Settings!$K$5,Settings!$K$4)))))</f>
        <v/>
      </c>
      <c r="N10">
        <f>IF($A10="","",IF(F10="Contract Workman",IF(AND(MOD(M10,1)&gt;=8/24,MOD(M10,1)&lt;20/24),"Shift S1","Shift S2"),IF(AND(MOD(M10,1)&gt;=7/24,MOD(M10,1)&lt;15/24),"Shift A",IF(AND(MOD(M10,1)&gt;=15/24,MOD(M10,1)&lt;23/24),"Shift B","Shift C"))))</f>
        <v/>
      </c>
      <c r="O10">
        <f>IF(B10="","",IF(IFERROR(ISNUMBER(SEARCH(TEXT(B10,"0"),VLOOKUP(E10,Machine_List!$B:$J,9,0))),FALSE),"✅ "&amp;E10,"❌ ?"))</f>
        <v/>
      </c>
      <c r="P10">
        <f>IF(AND($A10&lt;&gt;"",P$3&gt;=$J10,P$3&lt;=$M10),1,"")</f>
        <v/>
      </c>
      <c r="Q10">
        <f>IF(AND($A10&lt;&gt;"",Q$3&gt;=$J10,Q$3&lt;=$M10),1,"")</f>
        <v/>
      </c>
      <c r="R10">
        <f>IF(AND($A10&lt;&gt;"",R$3&gt;=$J10,R$3&lt;=$M10),1,"")</f>
        <v/>
      </c>
      <c r="S10">
        <f>IF(AND($A10&lt;&gt;"",S$3&gt;=$J10,S$3&lt;=$M10),1,"")</f>
        <v/>
      </c>
      <c r="T10">
        <f>IF(AND($A10&lt;&gt;"",T$3&gt;=$J10,T$3&lt;=$M10),1,"")</f>
        <v/>
      </c>
      <c r="U10">
        <f>IF(AND($A10&lt;&gt;"",U$3&gt;=$J10,U$3&lt;=$M10),1,"")</f>
        <v/>
      </c>
      <c r="V10">
        <f>IF(AND($A10&lt;&gt;"",V$3&gt;=$J10,V$3&lt;=$M10),1,"")</f>
        <v/>
      </c>
      <c r="W10">
        <f>IF(AND($A10&lt;&gt;"",W$3&gt;=$J10,W$3&lt;=$M10),1,"")</f>
        <v/>
      </c>
      <c r="X10">
        <f>IF(AND($A10&lt;&gt;"",X$3&gt;=$J10,X$3&lt;=$M10),1,"")</f>
        <v/>
      </c>
      <c r="Y10">
        <f>IF(AND($A10&lt;&gt;"",Y$3&gt;=$J10,Y$3&lt;=$M10),1,"")</f>
        <v/>
      </c>
      <c r="Z10">
        <f>IF(AND($A10&lt;&gt;"",Z$3&gt;=$J10,Z$3&lt;=$M10),1,"")</f>
        <v/>
      </c>
      <c r="AA10">
        <f>IF(AND($A10&lt;&gt;"",AA$3&gt;=$J10,AA$3&lt;=$M10),1,"")</f>
        <v/>
      </c>
      <c r="AB10">
        <f>IF(AND($A10&lt;&gt;"",AB$3&gt;=$J10,AB$3&lt;=$M10),1,"")</f>
        <v/>
      </c>
      <c r="AC10">
        <f>IF(AND($A10&lt;&gt;"",AC$3&gt;=$J10,AC$3&lt;=$M10),1,"")</f>
        <v/>
      </c>
      <c r="AD10">
        <f>IF(AND($A10&lt;&gt;"",AD$3&gt;=$J10,AD$3&lt;=$M10),1,"")</f>
        <v/>
      </c>
      <c r="AE10">
        <f>IF(AND($A10&lt;&gt;"",AE$3&gt;=$J10,AE$3&lt;=$M10),1,"")</f>
        <v/>
      </c>
      <c r="AF10">
        <f>IF(AND($A10&lt;&gt;"",AF$3&gt;=$J10,AF$3&lt;=$M10),1,"")</f>
        <v/>
      </c>
      <c r="AG10">
        <f>IF(AND($A10&lt;&gt;"",AG$3&gt;=$J10,AG$3&lt;=$M10),1,"")</f>
        <v/>
      </c>
      <c r="AH10">
        <f>IF(AND($A10&lt;&gt;"",AH$3&gt;=$J10,AH$3&lt;=$M10),1,"")</f>
        <v/>
      </c>
      <c r="AI10">
        <f>IF(AND($A10&lt;&gt;"",AI$3&gt;=$J10,AI$3&lt;=$M10),1,"")</f>
        <v/>
      </c>
      <c r="AJ10">
        <f>IF(AND($A10&lt;&gt;"",AJ$3&gt;=$J10,AJ$3&lt;=$M10),1,"")</f>
        <v/>
      </c>
      <c r="AK10">
        <f>IF(AND($A10&lt;&gt;"",AK$3&gt;=$J10,AK$3&lt;=$M10),1,"")</f>
        <v/>
      </c>
      <c r="AL10">
        <f>IF(AND($A10&lt;&gt;"",AL$3&gt;=$J10,AL$3&lt;=$M10),1,"")</f>
        <v/>
      </c>
      <c r="AM10">
        <f>IF(AND($A10&lt;&gt;"",AM$3&gt;=$J10,AM$3&lt;=$M10),1,"")</f>
        <v/>
      </c>
      <c r="AN10">
        <f>IF(AND($A10&lt;&gt;"",AN$3&gt;=$J10,AN$3&lt;=$M10),1,"")</f>
        <v/>
      </c>
      <c r="AO10">
        <f>IF(AND($A10&lt;&gt;"",AO$3&gt;=$J10,AO$3&lt;=$M10),1,"")</f>
        <v/>
      </c>
      <c r="AP10">
        <f>IF(AND($A10&lt;&gt;"",AP$3&gt;=$J10,AP$3&lt;=$M10),1,"")</f>
        <v/>
      </c>
      <c r="AQ10">
        <f>IF(AND($A10&lt;&gt;"",AQ$3&gt;=$J10,AQ$3&lt;=$M10),1,"")</f>
        <v/>
      </c>
      <c r="AR10">
        <f>IF(AND($A10&lt;&gt;"",AR$3&gt;=$J10,AR$3&lt;=$M10),1,"")</f>
        <v/>
      </c>
      <c r="AS10">
        <f>IF(AND($A10&lt;&gt;"",AS$3&gt;=$J10,AS$3&lt;=$M10),1,"")</f>
        <v/>
      </c>
      <c r="AT10">
        <f>IF(AND($A10&lt;&gt;"",AT$3&gt;=$J10,AT$3&lt;=$M10),1,"")</f>
        <v/>
      </c>
      <c r="AU10">
        <f>IF(AND($A10&lt;&gt;"",AU$3&gt;=$J10,AU$3&lt;=$M10),1,"")</f>
        <v/>
      </c>
      <c r="AV10">
        <f>IF(AND($A10&lt;&gt;"",AV$3&gt;=$J10,AV$3&lt;=$M10),1,"")</f>
        <v/>
      </c>
      <c r="AW10">
        <f>IF(AND($A10&lt;&gt;"",AW$3&gt;=$J10,AW$3&lt;=$M10),1,"")</f>
        <v/>
      </c>
      <c r="AX10">
        <f>IF(AND($A10&lt;&gt;"",AX$3&gt;=$J10,AX$3&lt;=$M10),1,"")</f>
        <v/>
      </c>
      <c r="AY10">
        <f>IF(AND($A10&lt;&gt;"",AY$3&gt;=$J10,AY$3&lt;=$M10),1,"")</f>
        <v/>
      </c>
      <c r="AZ10">
        <f>IF(AND($A10&lt;&gt;"",AZ$3&gt;=$J10,AZ$3&lt;=$M10),1,"")</f>
        <v/>
      </c>
      <c r="BA10">
        <f>IF(AND($A10&lt;&gt;"",BA$3&gt;=$J10,BA$3&lt;=$M10),1,"")</f>
        <v/>
      </c>
      <c r="BB10">
        <f>IF(AND($A10&lt;&gt;"",BB$3&gt;=$J10,BB$3&lt;=$M10),1,"")</f>
        <v/>
      </c>
      <c r="BC10">
        <f>IF(AND($A10&lt;&gt;"",BC$3&gt;=$J10,BC$3&lt;=$M10),1,"")</f>
        <v/>
      </c>
      <c r="BD10">
        <f>IF(AND($A10&lt;&gt;"",BD$3&gt;=$J10,BD$3&lt;=$M10),1,"")</f>
        <v/>
      </c>
      <c r="BE10">
        <f>IF(AND($A10&lt;&gt;"",BE$3&gt;=$J10,BE$3&lt;=$M10),1,"")</f>
        <v/>
      </c>
      <c r="BF10">
        <f>IF(AND($A10&lt;&gt;"",BF$3&gt;=$J10,BF$3&lt;=$M10),1,"")</f>
        <v/>
      </c>
      <c r="BG10">
        <f>IF(AND($A10&lt;&gt;"",BG$3&gt;=$J10,BG$3&lt;=$M10),1,"")</f>
        <v/>
      </c>
      <c r="BH10">
        <f>IF(AND($A10&lt;&gt;"",BH$3&gt;=$J10,BH$3&lt;=$M10),1,"")</f>
        <v/>
      </c>
      <c r="BI10">
        <f>IF(AND($A10&lt;&gt;"",BI$3&gt;=$J10,BI$3&lt;=$M10),1,"")</f>
        <v/>
      </c>
      <c r="BJ10">
        <f>IF(AND($A10&lt;&gt;"",BJ$3&gt;=$J10,BJ$3&lt;=$M10),1,"")</f>
        <v/>
      </c>
      <c r="BK10">
        <f>IF(AND($A10&lt;&gt;"",BK$3&gt;=$J10,BK$3&lt;=$M10),1,"")</f>
        <v/>
      </c>
      <c r="BL10">
        <f>IF(AND($A10&lt;&gt;"",BL$3&gt;=$J10,BL$3&lt;=$M10),1,"")</f>
        <v/>
      </c>
      <c r="BM10">
        <f>IF(AND($A10&lt;&gt;"",BM$3&gt;=$J10,BM$3&lt;=$M10),1,"")</f>
        <v/>
      </c>
      <c r="BN10">
        <f>IF(AND($A10&lt;&gt;"",BN$3&gt;=$J10,BN$3&lt;=$M10),1,"")</f>
        <v/>
      </c>
      <c r="BO10">
        <f>IF(AND($A10&lt;&gt;"",BO$3&gt;=$J10,BO$3&lt;=$M10),1,"")</f>
        <v/>
      </c>
      <c r="BP10">
        <f>IF(AND($A10&lt;&gt;"",BP$3&gt;=$J10,BP$3&lt;=$M10),1,"")</f>
        <v/>
      </c>
      <c r="BQ10">
        <f>IF(AND($A10&lt;&gt;"",BQ$3&gt;=$J10,BQ$3&lt;=$M10),1,"")</f>
        <v/>
      </c>
      <c r="BR10">
        <f>IF(AND($A10&lt;&gt;"",BR$3&gt;=$J10,BR$3&lt;=$M10),1,"")</f>
        <v/>
      </c>
      <c r="BS10">
        <f>IF(AND($A10&lt;&gt;"",BS$3&gt;=$J10,BS$3&lt;=$M10),1,"")</f>
        <v/>
      </c>
      <c r="BT10">
        <f>IF(AND($A10&lt;&gt;"",BT$3&gt;=$J10,BT$3&lt;=$M10),1,"")</f>
        <v/>
      </c>
      <c r="BU10">
        <f>IF(AND($A10&lt;&gt;"",BU$3&gt;=$J10,BU$3&lt;=$M10),1,"")</f>
        <v/>
      </c>
      <c r="BV10">
        <f>IF(AND($A10&lt;&gt;"",BV$3&gt;=$J10,BV$3&lt;=$M10),1,"")</f>
        <v/>
      </c>
    </row>
    <row r="11">
      <c r="A11">
        <f>IF(Job_Master_Ring!$A11="","",Job_Master_Ring!$A11)</f>
        <v/>
      </c>
      <c r="B11">
        <f>IF($A11="","",Job_Master_Ring!B11)</f>
        <v/>
      </c>
      <c r="C11">
        <f>IF($A11="","",Job_Master_Ring!C11)</f>
        <v/>
      </c>
      <c r="D11">
        <f>IF($A11="","",Job_Master_Ring!D11)</f>
        <v/>
      </c>
      <c r="E11">
        <f>IF($A11="","",IF($I11&lt;&gt;"",$I11,IFERROR(INDEX(Machine_List!$B$87:$B$94,MATCH(1,(Machine_List!$H$87:$H$94&lt;=IFERROR(VLOOKUP($B11,CHOOSE(MATCH($C11,Settings!$L$4:$L$10,0),OPR_BR1!$A$4:$K$18,OPR_BR2!$A$4:$K$18,OPR_CR2!$A$4:$K$18,OPR_CR3!$A$4:$K$18,OPR_CR4!$A$4:$K$18,OPR_RIM!$A$4:$K$18,OPR_BPR!$A$4:$K$18),10,0),0))*(Machine_List!$I$87:$I$94&gt;=IFERROR(VLOOKUP($B11,CHOOSE(MATCH($C11,Settings!$L$4:$L$10,0),OPR_BR1!$A$4:$K$18,OPR_BR2!$A$4:$K$18,OPR_CR2!$A$4:$K$18,OPR_CR3!$A$4:$K$18,OPR_CR4!$A$4:$K$18,OPR_RIM!$A$4:$K$18,OPR_BPR!$A$4:$K$18),11,0),9999)),0)),"NO COMPATIBLE MACHINE")))</f>
        <v/>
      </c>
      <c r="F11">
        <f>IF($E11="","",IFERROR(VLOOKUP($E11,Machine_List!$B:$G,6,0),""))</f>
        <v/>
      </c>
      <c r="G11" s="17">
        <f>IF($E11="","",IFERROR(VLOOKUP($E11,Machine_List!$B:$C,2,0),""))</f>
        <v/>
      </c>
      <c r="H11">
        <f>IF($E11="","",IFERROR(VLOOKUP($E11,Machine_List!$B:$D,3,0),""))</f>
        <v/>
      </c>
      <c r="J11" s="16">
        <f>IF($A11="","",IF($I11&lt;&gt;"",$I11,MAX(GlobalStartDate,IFERROR(LOOKUP(2,1/($E$3:INDIRECT("E"&amp;(ROW()-1))=$E11),$M$3:INDIRECT("M"&amp;(ROW()-1))),GlobalStartDate))))</f>
        <v/>
      </c>
      <c r="K11">
        <f>IF($A11="","",IFERROR(VLOOKUP(B11,CHOOSE(MATCH($C11,Settings!$L$4:$L$10,0),OPR_BR1!$A$4:$I$18,OPR_BR2!$A$4:$I$18,OPR_CR2!$A$4:$I$18,OPR_CR3!$A$4:$I$18,OPR_CR4!$A$4:$I$18,OPR_RIM!$A$4:$I$18,OPR_BPR!$A$4:$I$18),2,0),0))</f>
        <v/>
      </c>
      <c r="L11">
        <f>IF($A11="","",K11*D11)</f>
        <v/>
      </c>
      <c r="M11" s="16">
        <f>IF($A11="","",IF(AND(ISNUMBER(G11),G11&gt;=J11,G11&lt;=(J11+(L11/(IF(F11="Contract Workman",Settings!$K$5,Settings!$K$4))))),J11+(L11/(IF(F11="Contract Workman",Settings!$K$5,Settings!$K$4)))+(H11/(IF(F11="Contract Workman",Settings!$K$5,Settings!$K$4))),J11+(L11/(IF(F11="Contract Workman",Settings!$K$5,Settings!$K$4)))))</f>
        <v/>
      </c>
      <c r="N11">
        <f>IF($A11="","",IF(F11="Contract Workman",IF(AND(MOD(M11,1)&gt;=8/24,MOD(M11,1)&lt;20/24),"Shift S1","Shift S2"),IF(AND(MOD(M11,1)&gt;=7/24,MOD(M11,1)&lt;15/24),"Shift A",IF(AND(MOD(M11,1)&gt;=15/24,MOD(M11,1)&lt;23/24),"Shift B","Shift C"))))</f>
        <v/>
      </c>
      <c r="O11">
        <f>IF(B11="","",IF(IFERROR(ISNUMBER(SEARCH(TEXT(B11,"0"),VLOOKUP(E11,Machine_List!$B:$J,9,0))),FALSE),"✅ "&amp;E11,"❌ ?"))</f>
        <v/>
      </c>
      <c r="P11">
        <f>IF(AND($A11&lt;&gt;"",P$3&gt;=$J11,P$3&lt;=$M11),1,"")</f>
        <v/>
      </c>
      <c r="Q11">
        <f>IF(AND($A11&lt;&gt;"",Q$3&gt;=$J11,Q$3&lt;=$M11),1,"")</f>
        <v/>
      </c>
      <c r="R11">
        <f>IF(AND($A11&lt;&gt;"",R$3&gt;=$J11,R$3&lt;=$M11),1,"")</f>
        <v/>
      </c>
      <c r="S11">
        <f>IF(AND($A11&lt;&gt;"",S$3&gt;=$J11,S$3&lt;=$M11),1,"")</f>
        <v/>
      </c>
      <c r="T11">
        <f>IF(AND($A11&lt;&gt;"",T$3&gt;=$J11,T$3&lt;=$M11),1,"")</f>
        <v/>
      </c>
      <c r="U11">
        <f>IF(AND($A11&lt;&gt;"",U$3&gt;=$J11,U$3&lt;=$M11),1,"")</f>
        <v/>
      </c>
      <c r="V11">
        <f>IF(AND($A11&lt;&gt;"",V$3&gt;=$J11,V$3&lt;=$M11),1,"")</f>
        <v/>
      </c>
      <c r="W11">
        <f>IF(AND($A11&lt;&gt;"",W$3&gt;=$J11,W$3&lt;=$M11),1,"")</f>
        <v/>
      </c>
      <c r="X11">
        <f>IF(AND($A11&lt;&gt;"",X$3&gt;=$J11,X$3&lt;=$M11),1,"")</f>
        <v/>
      </c>
      <c r="Y11">
        <f>IF(AND($A11&lt;&gt;"",Y$3&gt;=$J11,Y$3&lt;=$M11),1,"")</f>
        <v/>
      </c>
      <c r="Z11">
        <f>IF(AND($A11&lt;&gt;"",Z$3&gt;=$J11,Z$3&lt;=$M11),1,"")</f>
        <v/>
      </c>
      <c r="AA11">
        <f>IF(AND($A11&lt;&gt;"",AA$3&gt;=$J11,AA$3&lt;=$M11),1,"")</f>
        <v/>
      </c>
      <c r="AB11">
        <f>IF(AND($A11&lt;&gt;"",AB$3&gt;=$J11,AB$3&lt;=$M11),1,"")</f>
        <v/>
      </c>
      <c r="AC11">
        <f>IF(AND($A11&lt;&gt;"",AC$3&gt;=$J11,AC$3&lt;=$M11),1,"")</f>
        <v/>
      </c>
      <c r="AD11">
        <f>IF(AND($A11&lt;&gt;"",AD$3&gt;=$J11,AD$3&lt;=$M11),1,"")</f>
        <v/>
      </c>
      <c r="AE11">
        <f>IF(AND($A11&lt;&gt;"",AE$3&gt;=$J11,AE$3&lt;=$M11),1,"")</f>
        <v/>
      </c>
      <c r="AF11">
        <f>IF(AND($A11&lt;&gt;"",AF$3&gt;=$J11,AF$3&lt;=$M11),1,"")</f>
        <v/>
      </c>
      <c r="AG11">
        <f>IF(AND($A11&lt;&gt;"",AG$3&gt;=$J11,AG$3&lt;=$M11),1,"")</f>
        <v/>
      </c>
      <c r="AH11">
        <f>IF(AND($A11&lt;&gt;"",AH$3&gt;=$J11,AH$3&lt;=$M11),1,"")</f>
        <v/>
      </c>
      <c r="AI11">
        <f>IF(AND($A11&lt;&gt;"",AI$3&gt;=$J11,AI$3&lt;=$M11),1,"")</f>
        <v/>
      </c>
      <c r="AJ11">
        <f>IF(AND($A11&lt;&gt;"",AJ$3&gt;=$J11,AJ$3&lt;=$M11),1,"")</f>
        <v/>
      </c>
      <c r="AK11">
        <f>IF(AND($A11&lt;&gt;"",AK$3&gt;=$J11,AK$3&lt;=$M11),1,"")</f>
        <v/>
      </c>
      <c r="AL11">
        <f>IF(AND($A11&lt;&gt;"",AL$3&gt;=$J11,AL$3&lt;=$M11),1,"")</f>
        <v/>
      </c>
      <c r="AM11">
        <f>IF(AND($A11&lt;&gt;"",AM$3&gt;=$J11,AM$3&lt;=$M11),1,"")</f>
        <v/>
      </c>
      <c r="AN11">
        <f>IF(AND($A11&lt;&gt;"",AN$3&gt;=$J11,AN$3&lt;=$M11),1,"")</f>
        <v/>
      </c>
      <c r="AO11">
        <f>IF(AND($A11&lt;&gt;"",AO$3&gt;=$J11,AO$3&lt;=$M11),1,"")</f>
        <v/>
      </c>
      <c r="AP11">
        <f>IF(AND($A11&lt;&gt;"",AP$3&gt;=$J11,AP$3&lt;=$M11),1,"")</f>
        <v/>
      </c>
      <c r="AQ11">
        <f>IF(AND($A11&lt;&gt;"",AQ$3&gt;=$J11,AQ$3&lt;=$M11),1,"")</f>
        <v/>
      </c>
      <c r="AR11">
        <f>IF(AND($A11&lt;&gt;"",AR$3&gt;=$J11,AR$3&lt;=$M11),1,"")</f>
        <v/>
      </c>
      <c r="AS11">
        <f>IF(AND($A11&lt;&gt;"",AS$3&gt;=$J11,AS$3&lt;=$M11),1,"")</f>
        <v/>
      </c>
      <c r="AT11">
        <f>IF(AND($A11&lt;&gt;"",AT$3&gt;=$J11,AT$3&lt;=$M11),1,"")</f>
        <v/>
      </c>
      <c r="AU11">
        <f>IF(AND($A11&lt;&gt;"",AU$3&gt;=$J11,AU$3&lt;=$M11),1,"")</f>
        <v/>
      </c>
      <c r="AV11">
        <f>IF(AND($A11&lt;&gt;"",AV$3&gt;=$J11,AV$3&lt;=$M11),1,"")</f>
        <v/>
      </c>
      <c r="AW11">
        <f>IF(AND($A11&lt;&gt;"",AW$3&gt;=$J11,AW$3&lt;=$M11),1,"")</f>
        <v/>
      </c>
      <c r="AX11">
        <f>IF(AND($A11&lt;&gt;"",AX$3&gt;=$J11,AX$3&lt;=$M11),1,"")</f>
        <v/>
      </c>
      <c r="AY11">
        <f>IF(AND($A11&lt;&gt;"",AY$3&gt;=$J11,AY$3&lt;=$M11),1,"")</f>
        <v/>
      </c>
      <c r="AZ11">
        <f>IF(AND($A11&lt;&gt;"",AZ$3&gt;=$J11,AZ$3&lt;=$M11),1,"")</f>
        <v/>
      </c>
      <c r="BA11">
        <f>IF(AND($A11&lt;&gt;"",BA$3&gt;=$J11,BA$3&lt;=$M11),1,"")</f>
        <v/>
      </c>
      <c r="BB11">
        <f>IF(AND($A11&lt;&gt;"",BB$3&gt;=$J11,BB$3&lt;=$M11),1,"")</f>
        <v/>
      </c>
      <c r="BC11">
        <f>IF(AND($A11&lt;&gt;"",BC$3&gt;=$J11,BC$3&lt;=$M11),1,"")</f>
        <v/>
      </c>
      <c r="BD11">
        <f>IF(AND($A11&lt;&gt;"",BD$3&gt;=$J11,BD$3&lt;=$M11),1,"")</f>
        <v/>
      </c>
      <c r="BE11">
        <f>IF(AND($A11&lt;&gt;"",BE$3&gt;=$J11,BE$3&lt;=$M11),1,"")</f>
        <v/>
      </c>
      <c r="BF11">
        <f>IF(AND($A11&lt;&gt;"",BF$3&gt;=$J11,BF$3&lt;=$M11),1,"")</f>
        <v/>
      </c>
      <c r="BG11">
        <f>IF(AND($A11&lt;&gt;"",BG$3&gt;=$J11,BG$3&lt;=$M11),1,"")</f>
        <v/>
      </c>
      <c r="BH11">
        <f>IF(AND($A11&lt;&gt;"",BH$3&gt;=$J11,BH$3&lt;=$M11),1,"")</f>
        <v/>
      </c>
      <c r="BI11">
        <f>IF(AND($A11&lt;&gt;"",BI$3&gt;=$J11,BI$3&lt;=$M11),1,"")</f>
        <v/>
      </c>
      <c r="BJ11">
        <f>IF(AND($A11&lt;&gt;"",BJ$3&gt;=$J11,BJ$3&lt;=$M11),1,"")</f>
        <v/>
      </c>
      <c r="BK11">
        <f>IF(AND($A11&lt;&gt;"",BK$3&gt;=$J11,BK$3&lt;=$M11),1,"")</f>
        <v/>
      </c>
      <c r="BL11">
        <f>IF(AND($A11&lt;&gt;"",BL$3&gt;=$J11,BL$3&lt;=$M11),1,"")</f>
        <v/>
      </c>
      <c r="BM11">
        <f>IF(AND($A11&lt;&gt;"",BM$3&gt;=$J11,BM$3&lt;=$M11),1,"")</f>
        <v/>
      </c>
      <c r="BN11">
        <f>IF(AND($A11&lt;&gt;"",BN$3&gt;=$J11,BN$3&lt;=$M11),1,"")</f>
        <v/>
      </c>
      <c r="BO11">
        <f>IF(AND($A11&lt;&gt;"",BO$3&gt;=$J11,BO$3&lt;=$M11),1,"")</f>
        <v/>
      </c>
      <c r="BP11">
        <f>IF(AND($A11&lt;&gt;"",BP$3&gt;=$J11,BP$3&lt;=$M11),1,"")</f>
        <v/>
      </c>
      <c r="BQ11">
        <f>IF(AND($A11&lt;&gt;"",BQ$3&gt;=$J11,BQ$3&lt;=$M11),1,"")</f>
        <v/>
      </c>
      <c r="BR11">
        <f>IF(AND($A11&lt;&gt;"",BR$3&gt;=$J11,BR$3&lt;=$M11),1,"")</f>
        <v/>
      </c>
      <c r="BS11">
        <f>IF(AND($A11&lt;&gt;"",BS$3&gt;=$J11,BS$3&lt;=$M11),1,"")</f>
        <v/>
      </c>
      <c r="BT11">
        <f>IF(AND($A11&lt;&gt;"",BT$3&gt;=$J11,BT$3&lt;=$M11),1,"")</f>
        <v/>
      </c>
      <c r="BU11">
        <f>IF(AND($A11&lt;&gt;"",BU$3&gt;=$J11,BU$3&lt;=$M11),1,"")</f>
        <v/>
      </c>
      <c r="BV11">
        <f>IF(AND($A11&lt;&gt;"",BV$3&gt;=$J11,BV$3&lt;=$M11),1,"")</f>
        <v/>
      </c>
    </row>
    <row r="12">
      <c r="A12">
        <f>IF(Job_Master_Ring!$A12="","",Job_Master_Ring!$A12)</f>
        <v/>
      </c>
      <c r="B12">
        <f>IF($A12="","",Job_Master_Ring!B12)</f>
        <v/>
      </c>
      <c r="C12">
        <f>IF($A12="","",Job_Master_Ring!C12)</f>
        <v/>
      </c>
      <c r="D12">
        <f>IF($A12="","",Job_Master_Ring!D12)</f>
        <v/>
      </c>
      <c r="E12">
        <f>IF($A12="","",IF($I12&lt;&gt;"",$I12,IFERROR(INDEX(Machine_List!$B$87:$B$94,MATCH(1,(Machine_List!$H$87:$H$94&lt;=IFERROR(VLOOKUP($B12,CHOOSE(MATCH($C12,Settings!$L$4:$L$10,0),OPR_BR1!$A$4:$K$18,OPR_BR2!$A$4:$K$18,OPR_CR2!$A$4:$K$18,OPR_CR3!$A$4:$K$18,OPR_CR4!$A$4:$K$18,OPR_RIM!$A$4:$K$18,OPR_BPR!$A$4:$K$18),10,0),0))*(Machine_List!$I$87:$I$94&gt;=IFERROR(VLOOKUP($B12,CHOOSE(MATCH($C12,Settings!$L$4:$L$10,0),OPR_BR1!$A$4:$K$18,OPR_BR2!$A$4:$K$18,OPR_CR2!$A$4:$K$18,OPR_CR3!$A$4:$K$18,OPR_CR4!$A$4:$K$18,OPR_RIM!$A$4:$K$18,OPR_BPR!$A$4:$K$18),11,0),9999)),0)),"NO COMPATIBLE MACHINE")))</f>
        <v/>
      </c>
      <c r="F12">
        <f>IF($E12="","",IFERROR(VLOOKUP($E12,Machine_List!$B:$G,6,0),""))</f>
        <v/>
      </c>
      <c r="G12" s="17">
        <f>IF($E12="","",IFERROR(VLOOKUP($E12,Machine_List!$B:$C,2,0),""))</f>
        <v/>
      </c>
      <c r="H12">
        <f>IF($E12="","",IFERROR(VLOOKUP($E12,Machine_List!$B:$D,3,0),""))</f>
        <v/>
      </c>
      <c r="J12" s="16">
        <f>IF($A12="","",IF($I12&lt;&gt;"",$I12,MAX(GlobalStartDate,IFERROR(LOOKUP(2,1/($E$3:INDIRECT("E"&amp;(ROW()-1))=$E12),$M$3:INDIRECT("M"&amp;(ROW()-1))),GlobalStartDate))))</f>
        <v/>
      </c>
      <c r="K12">
        <f>IF($A12="","",IFERROR(VLOOKUP(B12,CHOOSE(MATCH($C12,Settings!$L$4:$L$10,0),OPR_BR1!$A$4:$I$18,OPR_BR2!$A$4:$I$18,OPR_CR2!$A$4:$I$18,OPR_CR3!$A$4:$I$18,OPR_CR4!$A$4:$I$18,OPR_RIM!$A$4:$I$18,OPR_BPR!$A$4:$I$18),2,0),0))</f>
        <v/>
      </c>
      <c r="L12">
        <f>IF($A12="","",K12*D12)</f>
        <v/>
      </c>
      <c r="M12" s="16">
        <f>IF($A12="","",IF(AND(ISNUMBER(G12),G12&gt;=J12,G12&lt;=(J12+(L12/(IF(F12="Contract Workman",Settings!$K$5,Settings!$K$4))))),J12+(L12/(IF(F12="Contract Workman",Settings!$K$5,Settings!$K$4)))+(H12/(IF(F12="Contract Workman",Settings!$K$5,Settings!$K$4))),J12+(L12/(IF(F12="Contract Workman",Settings!$K$5,Settings!$K$4)))))</f>
        <v/>
      </c>
      <c r="N12">
        <f>IF($A12="","",IF(F12="Contract Workman",IF(AND(MOD(M12,1)&gt;=8/24,MOD(M12,1)&lt;20/24),"Shift S1","Shift S2"),IF(AND(MOD(M12,1)&gt;=7/24,MOD(M12,1)&lt;15/24),"Shift A",IF(AND(MOD(M12,1)&gt;=15/24,MOD(M12,1)&lt;23/24),"Shift B","Shift C"))))</f>
        <v/>
      </c>
      <c r="O12">
        <f>IF(B12="","",IF(IFERROR(ISNUMBER(SEARCH(TEXT(B12,"0"),VLOOKUP(E12,Machine_List!$B:$J,9,0))),FALSE),"✅ "&amp;E12,"❌ ?"))</f>
        <v/>
      </c>
      <c r="P12">
        <f>IF(AND($A12&lt;&gt;"",P$3&gt;=$J12,P$3&lt;=$M12),1,"")</f>
        <v/>
      </c>
      <c r="Q12">
        <f>IF(AND($A12&lt;&gt;"",Q$3&gt;=$J12,Q$3&lt;=$M12),1,"")</f>
        <v/>
      </c>
      <c r="R12">
        <f>IF(AND($A12&lt;&gt;"",R$3&gt;=$J12,R$3&lt;=$M12),1,"")</f>
        <v/>
      </c>
      <c r="S12">
        <f>IF(AND($A12&lt;&gt;"",S$3&gt;=$J12,S$3&lt;=$M12),1,"")</f>
        <v/>
      </c>
      <c r="T12">
        <f>IF(AND($A12&lt;&gt;"",T$3&gt;=$J12,T$3&lt;=$M12),1,"")</f>
        <v/>
      </c>
      <c r="U12">
        <f>IF(AND($A12&lt;&gt;"",U$3&gt;=$J12,U$3&lt;=$M12),1,"")</f>
        <v/>
      </c>
      <c r="V12">
        <f>IF(AND($A12&lt;&gt;"",V$3&gt;=$J12,V$3&lt;=$M12),1,"")</f>
        <v/>
      </c>
      <c r="W12">
        <f>IF(AND($A12&lt;&gt;"",W$3&gt;=$J12,W$3&lt;=$M12),1,"")</f>
        <v/>
      </c>
      <c r="X12">
        <f>IF(AND($A12&lt;&gt;"",X$3&gt;=$J12,X$3&lt;=$M12),1,"")</f>
        <v/>
      </c>
      <c r="Y12">
        <f>IF(AND($A12&lt;&gt;"",Y$3&gt;=$J12,Y$3&lt;=$M12),1,"")</f>
        <v/>
      </c>
      <c r="Z12">
        <f>IF(AND($A12&lt;&gt;"",Z$3&gt;=$J12,Z$3&lt;=$M12),1,"")</f>
        <v/>
      </c>
      <c r="AA12">
        <f>IF(AND($A12&lt;&gt;"",AA$3&gt;=$J12,AA$3&lt;=$M12),1,"")</f>
        <v/>
      </c>
      <c r="AB12">
        <f>IF(AND($A12&lt;&gt;"",AB$3&gt;=$J12,AB$3&lt;=$M12),1,"")</f>
        <v/>
      </c>
      <c r="AC12">
        <f>IF(AND($A12&lt;&gt;"",AC$3&gt;=$J12,AC$3&lt;=$M12),1,"")</f>
        <v/>
      </c>
      <c r="AD12">
        <f>IF(AND($A12&lt;&gt;"",AD$3&gt;=$J12,AD$3&lt;=$M12),1,"")</f>
        <v/>
      </c>
      <c r="AE12">
        <f>IF(AND($A12&lt;&gt;"",AE$3&gt;=$J12,AE$3&lt;=$M12),1,"")</f>
        <v/>
      </c>
      <c r="AF12">
        <f>IF(AND($A12&lt;&gt;"",AF$3&gt;=$J12,AF$3&lt;=$M12),1,"")</f>
        <v/>
      </c>
      <c r="AG12">
        <f>IF(AND($A12&lt;&gt;"",AG$3&gt;=$J12,AG$3&lt;=$M12),1,"")</f>
        <v/>
      </c>
      <c r="AH12">
        <f>IF(AND($A12&lt;&gt;"",AH$3&gt;=$J12,AH$3&lt;=$M12),1,"")</f>
        <v/>
      </c>
      <c r="AI12">
        <f>IF(AND($A12&lt;&gt;"",AI$3&gt;=$J12,AI$3&lt;=$M12),1,"")</f>
        <v/>
      </c>
      <c r="AJ12">
        <f>IF(AND($A12&lt;&gt;"",AJ$3&gt;=$J12,AJ$3&lt;=$M12),1,"")</f>
        <v/>
      </c>
      <c r="AK12">
        <f>IF(AND($A12&lt;&gt;"",AK$3&gt;=$J12,AK$3&lt;=$M12),1,"")</f>
        <v/>
      </c>
      <c r="AL12">
        <f>IF(AND($A12&lt;&gt;"",AL$3&gt;=$J12,AL$3&lt;=$M12),1,"")</f>
        <v/>
      </c>
      <c r="AM12">
        <f>IF(AND($A12&lt;&gt;"",AM$3&gt;=$J12,AM$3&lt;=$M12),1,"")</f>
        <v/>
      </c>
      <c r="AN12">
        <f>IF(AND($A12&lt;&gt;"",AN$3&gt;=$J12,AN$3&lt;=$M12),1,"")</f>
        <v/>
      </c>
      <c r="AO12">
        <f>IF(AND($A12&lt;&gt;"",AO$3&gt;=$J12,AO$3&lt;=$M12),1,"")</f>
        <v/>
      </c>
      <c r="AP12">
        <f>IF(AND($A12&lt;&gt;"",AP$3&gt;=$J12,AP$3&lt;=$M12),1,"")</f>
        <v/>
      </c>
      <c r="AQ12">
        <f>IF(AND($A12&lt;&gt;"",AQ$3&gt;=$J12,AQ$3&lt;=$M12),1,"")</f>
        <v/>
      </c>
      <c r="AR12">
        <f>IF(AND($A12&lt;&gt;"",AR$3&gt;=$J12,AR$3&lt;=$M12),1,"")</f>
        <v/>
      </c>
      <c r="AS12">
        <f>IF(AND($A12&lt;&gt;"",AS$3&gt;=$J12,AS$3&lt;=$M12),1,"")</f>
        <v/>
      </c>
      <c r="AT12">
        <f>IF(AND($A12&lt;&gt;"",AT$3&gt;=$J12,AT$3&lt;=$M12),1,"")</f>
        <v/>
      </c>
      <c r="AU12">
        <f>IF(AND($A12&lt;&gt;"",AU$3&gt;=$J12,AU$3&lt;=$M12),1,"")</f>
        <v/>
      </c>
      <c r="AV12">
        <f>IF(AND($A12&lt;&gt;"",AV$3&gt;=$J12,AV$3&lt;=$M12),1,"")</f>
        <v/>
      </c>
      <c r="AW12">
        <f>IF(AND($A12&lt;&gt;"",AW$3&gt;=$J12,AW$3&lt;=$M12),1,"")</f>
        <v/>
      </c>
      <c r="AX12">
        <f>IF(AND($A12&lt;&gt;"",AX$3&gt;=$J12,AX$3&lt;=$M12),1,"")</f>
        <v/>
      </c>
      <c r="AY12">
        <f>IF(AND($A12&lt;&gt;"",AY$3&gt;=$J12,AY$3&lt;=$M12),1,"")</f>
        <v/>
      </c>
      <c r="AZ12">
        <f>IF(AND($A12&lt;&gt;"",AZ$3&gt;=$J12,AZ$3&lt;=$M12),1,"")</f>
        <v/>
      </c>
      <c r="BA12">
        <f>IF(AND($A12&lt;&gt;"",BA$3&gt;=$J12,BA$3&lt;=$M12),1,"")</f>
        <v/>
      </c>
      <c r="BB12">
        <f>IF(AND($A12&lt;&gt;"",BB$3&gt;=$J12,BB$3&lt;=$M12),1,"")</f>
        <v/>
      </c>
      <c r="BC12">
        <f>IF(AND($A12&lt;&gt;"",BC$3&gt;=$J12,BC$3&lt;=$M12),1,"")</f>
        <v/>
      </c>
      <c r="BD12">
        <f>IF(AND($A12&lt;&gt;"",BD$3&gt;=$J12,BD$3&lt;=$M12),1,"")</f>
        <v/>
      </c>
      <c r="BE12">
        <f>IF(AND($A12&lt;&gt;"",BE$3&gt;=$J12,BE$3&lt;=$M12),1,"")</f>
        <v/>
      </c>
      <c r="BF12">
        <f>IF(AND($A12&lt;&gt;"",BF$3&gt;=$J12,BF$3&lt;=$M12),1,"")</f>
        <v/>
      </c>
      <c r="BG12">
        <f>IF(AND($A12&lt;&gt;"",BG$3&gt;=$J12,BG$3&lt;=$M12),1,"")</f>
        <v/>
      </c>
      <c r="BH12">
        <f>IF(AND($A12&lt;&gt;"",BH$3&gt;=$J12,BH$3&lt;=$M12),1,"")</f>
        <v/>
      </c>
      <c r="BI12">
        <f>IF(AND($A12&lt;&gt;"",BI$3&gt;=$J12,BI$3&lt;=$M12),1,"")</f>
        <v/>
      </c>
      <c r="BJ12">
        <f>IF(AND($A12&lt;&gt;"",BJ$3&gt;=$J12,BJ$3&lt;=$M12),1,"")</f>
        <v/>
      </c>
      <c r="BK12">
        <f>IF(AND($A12&lt;&gt;"",BK$3&gt;=$J12,BK$3&lt;=$M12),1,"")</f>
        <v/>
      </c>
      <c r="BL12">
        <f>IF(AND($A12&lt;&gt;"",BL$3&gt;=$J12,BL$3&lt;=$M12),1,"")</f>
        <v/>
      </c>
      <c r="BM12">
        <f>IF(AND($A12&lt;&gt;"",BM$3&gt;=$J12,BM$3&lt;=$M12),1,"")</f>
        <v/>
      </c>
      <c r="BN12">
        <f>IF(AND($A12&lt;&gt;"",BN$3&gt;=$J12,BN$3&lt;=$M12),1,"")</f>
        <v/>
      </c>
      <c r="BO12">
        <f>IF(AND($A12&lt;&gt;"",BO$3&gt;=$J12,BO$3&lt;=$M12),1,"")</f>
        <v/>
      </c>
      <c r="BP12">
        <f>IF(AND($A12&lt;&gt;"",BP$3&gt;=$J12,BP$3&lt;=$M12),1,"")</f>
        <v/>
      </c>
      <c r="BQ12">
        <f>IF(AND($A12&lt;&gt;"",BQ$3&gt;=$J12,BQ$3&lt;=$M12),1,"")</f>
        <v/>
      </c>
      <c r="BR12">
        <f>IF(AND($A12&lt;&gt;"",BR$3&gt;=$J12,BR$3&lt;=$M12),1,"")</f>
        <v/>
      </c>
      <c r="BS12">
        <f>IF(AND($A12&lt;&gt;"",BS$3&gt;=$J12,BS$3&lt;=$M12),1,"")</f>
        <v/>
      </c>
      <c r="BT12">
        <f>IF(AND($A12&lt;&gt;"",BT$3&gt;=$J12,BT$3&lt;=$M12),1,"")</f>
        <v/>
      </c>
      <c r="BU12">
        <f>IF(AND($A12&lt;&gt;"",BU$3&gt;=$J12,BU$3&lt;=$M12),1,"")</f>
        <v/>
      </c>
      <c r="BV12">
        <f>IF(AND($A12&lt;&gt;"",BV$3&gt;=$J12,BV$3&lt;=$M12),1,"")</f>
        <v/>
      </c>
    </row>
    <row r="13">
      <c r="A13">
        <f>IF(Job_Master_Ring!$A13="","",Job_Master_Ring!$A13)</f>
        <v/>
      </c>
      <c r="B13">
        <f>IF($A13="","",Job_Master_Ring!B13)</f>
        <v/>
      </c>
      <c r="C13">
        <f>IF($A13="","",Job_Master_Ring!C13)</f>
        <v/>
      </c>
      <c r="D13">
        <f>IF($A13="","",Job_Master_Ring!D13)</f>
        <v/>
      </c>
      <c r="E13">
        <f>IF($A13="","",IF($I13&lt;&gt;"",$I13,IFERROR(INDEX(Machine_List!$B$87:$B$94,MATCH(1,(Machine_List!$H$87:$H$94&lt;=IFERROR(VLOOKUP($B13,CHOOSE(MATCH($C13,Settings!$L$4:$L$10,0),OPR_BR1!$A$4:$K$18,OPR_BR2!$A$4:$K$18,OPR_CR2!$A$4:$K$18,OPR_CR3!$A$4:$K$18,OPR_CR4!$A$4:$K$18,OPR_RIM!$A$4:$K$18,OPR_BPR!$A$4:$K$18),10,0),0))*(Machine_List!$I$87:$I$94&gt;=IFERROR(VLOOKUP($B13,CHOOSE(MATCH($C13,Settings!$L$4:$L$10,0),OPR_BR1!$A$4:$K$18,OPR_BR2!$A$4:$K$18,OPR_CR2!$A$4:$K$18,OPR_CR3!$A$4:$K$18,OPR_CR4!$A$4:$K$18,OPR_RIM!$A$4:$K$18,OPR_BPR!$A$4:$K$18),11,0),9999)),0)),"NO COMPATIBLE MACHINE")))</f>
        <v/>
      </c>
      <c r="F13">
        <f>IF($E13="","",IFERROR(VLOOKUP($E13,Machine_List!$B:$G,6,0),""))</f>
        <v/>
      </c>
      <c r="G13" s="17">
        <f>IF($E13="","",IFERROR(VLOOKUP($E13,Machine_List!$B:$C,2,0),""))</f>
        <v/>
      </c>
      <c r="H13">
        <f>IF($E13="","",IFERROR(VLOOKUP($E13,Machine_List!$B:$D,3,0),""))</f>
        <v/>
      </c>
      <c r="J13" s="16">
        <f>IF($A13="","",IF($I13&lt;&gt;"",$I13,MAX(GlobalStartDate,IFERROR(LOOKUP(2,1/($E$3:INDIRECT("E"&amp;(ROW()-1))=$E13),$M$3:INDIRECT("M"&amp;(ROW()-1))),GlobalStartDate))))</f>
        <v/>
      </c>
      <c r="K13">
        <f>IF($A13="","",IFERROR(VLOOKUP(B13,CHOOSE(MATCH($C13,Settings!$L$4:$L$10,0),OPR_BR1!$A$4:$I$18,OPR_BR2!$A$4:$I$18,OPR_CR2!$A$4:$I$18,OPR_CR3!$A$4:$I$18,OPR_CR4!$A$4:$I$18,OPR_RIM!$A$4:$I$18,OPR_BPR!$A$4:$I$18),2,0),0))</f>
        <v/>
      </c>
      <c r="L13">
        <f>IF($A13="","",K13*D13)</f>
        <v/>
      </c>
      <c r="M13" s="16">
        <f>IF($A13="","",IF(AND(ISNUMBER(G13),G13&gt;=J13,G13&lt;=(J13+(L13/(IF(F13="Contract Workman",Settings!$K$5,Settings!$K$4))))),J13+(L13/(IF(F13="Contract Workman",Settings!$K$5,Settings!$K$4)))+(H13/(IF(F13="Contract Workman",Settings!$K$5,Settings!$K$4))),J13+(L13/(IF(F13="Contract Workman",Settings!$K$5,Settings!$K$4)))))</f>
        <v/>
      </c>
      <c r="N13">
        <f>IF($A13="","",IF(F13="Contract Workman",IF(AND(MOD(M13,1)&gt;=8/24,MOD(M13,1)&lt;20/24),"Shift S1","Shift S2"),IF(AND(MOD(M13,1)&gt;=7/24,MOD(M13,1)&lt;15/24),"Shift A",IF(AND(MOD(M13,1)&gt;=15/24,MOD(M13,1)&lt;23/24),"Shift B","Shift C"))))</f>
        <v/>
      </c>
      <c r="O13">
        <f>IF(B13="","",IF(IFERROR(ISNUMBER(SEARCH(TEXT(B13,"0"),VLOOKUP(E13,Machine_List!$B:$J,9,0))),FALSE),"✅ "&amp;E13,"❌ ?"))</f>
        <v/>
      </c>
      <c r="P13">
        <f>IF(AND($A13&lt;&gt;"",P$3&gt;=$J13,P$3&lt;=$M13),1,"")</f>
        <v/>
      </c>
      <c r="Q13">
        <f>IF(AND($A13&lt;&gt;"",Q$3&gt;=$J13,Q$3&lt;=$M13),1,"")</f>
        <v/>
      </c>
      <c r="R13">
        <f>IF(AND($A13&lt;&gt;"",R$3&gt;=$J13,R$3&lt;=$M13),1,"")</f>
        <v/>
      </c>
      <c r="S13">
        <f>IF(AND($A13&lt;&gt;"",S$3&gt;=$J13,S$3&lt;=$M13),1,"")</f>
        <v/>
      </c>
      <c r="T13">
        <f>IF(AND($A13&lt;&gt;"",T$3&gt;=$J13,T$3&lt;=$M13),1,"")</f>
        <v/>
      </c>
      <c r="U13">
        <f>IF(AND($A13&lt;&gt;"",U$3&gt;=$J13,U$3&lt;=$M13),1,"")</f>
        <v/>
      </c>
      <c r="V13">
        <f>IF(AND($A13&lt;&gt;"",V$3&gt;=$J13,V$3&lt;=$M13),1,"")</f>
        <v/>
      </c>
      <c r="W13">
        <f>IF(AND($A13&lt;&gt;"",W$3&gt;=$J13,W$3&lt;=$M13),1,"")</f>
        <v/>
      </c>
      <c r="X13">
        <f>IF(AND($A13&lt;&gt;"",X$3&gt;=$J13,X$3&lt;=$M13),1,"")</f>
        <v/>
      </c>
      <c r="Y13">
        <f>IF(AND($A13&lt;&gt;"",Y$3&gt;=$J13,Y$3&lt;=$M13),1,"")</f>
        <v/>
      </c>
      <c r="Z13">
        <f>IF(AND($A13&lt;&gt;"",Z$3&gt;=$J13,Z$3&lt;=$M13),1,"")</f>
        <v/>
      </c>
      <c r="AA13">
        <f>IF(AND($A13&lt;&gt;"",AA$3&gt;=$J13,AA$3&lt;=$M13),1,"")</f>
        <v/>
      </c>
      <c r="AB13">
        <f>IF(AND($A13&lt;&gt;"",AB$3&gt;=$J13,AB$3&lt;=$M13),1,"")</f>
        <v/>
      </c>
      <c r="AC13">
        <f>IF(AND($A13&lt;&gt;"",AC$3&gt;=$J13,AC$3&lt;=$M13),1,"")</f>
        <v/>
      </c>
      <c r="AD13">
        <f>IF(AND($A13&lt;&gt;"",AD$3&gt;=$J13,AD$3&lt;=$M13),1,"")</f>
        <v/>
      </c>
      <c r="AE13">
        <f>IF(AND($A13&lt;&gt;"",AE$3&gt;=$J13,AE$3&lt;=$M13),1,"")</f>
        <v/>
      </c>
      <c r="AF13">
        <f>IF(AND($A13&lt;&gt;"",AF$3&gt;=$J13,AF$3&lt;=$M13),1,"")</f>
        <v/>
      </c>
      <c r="AG13">
        <f>IF(AND($A13&lt;&gt;"",AG$3&gt;=$J13,AG$3&lt;=$M13),1,"")</f>
        <v/>
      </c>
      <c r="AH13">
        <f>IF(AND($A13&lt;&gt;"",AH$3&gt;=$J13,AH$3&lt;=$M13),1,"")</f>
        <v/>
      </c>
      <c r="AI13">
        <f>IF(AND($A13&lt;&gt;"",AI$3&gt;=$J13,AI$3&lt;=$M13),1,"")</f>
        <v/>
      </c>
      <c r="AJ13">
        <f>IF(AND($A13&lt;&gt;"",AJ$3&gt;=$J13,AJ$3&lt;=$M13),1,"")</f>
        <v/>
      </c>
      <c r="AK13">
        <f>IF(AND($A13&lt;&gt;"",AK$3&gt;=$J13,AK$3&lt;=$M13),1,"")</f>
        <v/>
      </c>
      <c r="AL13">
        <f>IF(AND($A13&lt;&gt;"",AL$3&gt;=$J13,AL$3&lt;=$M13),1,"")</f>
        <v/>
      </c>
      <c r="AM13">
        <f>IF(AND($A13&lt;&gt;"",AM$3&gt;=$J13,AM$3&lt;=$M13),1,"")</f>
        <v/>
      </c>
      <c r="AN13">
        <f>IF(AND($A13&lt;&gt;"",AN$3&gt;=$J13,AN$3&lt;=$M13),1,"")</f>
        <v/>
      </c>
      <c r="AO13">
        <f>IF(AND($A13&lt;&gt;"",AO$3&gt;=$J13,AO$3&lt;=$M13),1,"")</f>
        <v/>
      </c>
      <c r="AP13">
        <f>IF(AND($A13&lt;&gt;"",AP$3&gt;=$J13,AP$3&lt;=$M13),1,"")</f>
        <v/>
      </c>
      <c r="AQ13">
        <f>IF(AND($A13&lt;&gt;"",AQ$3&gt;=$J13,AQ$3&lt;=$M13),1,"")</f>
        <v/>
      </c>
      <c r="AR13">
        <f>IF(AND($A13&lt;&gt;"",AR$3&gt;=$J13,AR$3&lt;=$M13),1,"")</f>
        <v/>
      </c>
      <c r="AS13">
        <f>IF(AND($A13&lt;&gt;"",AS$3&gt;=$J13,AS$3&lt;=$M13),1,"")</f>
        <v/>
      </c>
      <c r="AT13">
        <f>IF(AND($A13&lt;&gt;"",AT$3&gt;=$J13,AT$3&lt;=$M13),1,"")</f>
        <v/>
      </c>
      <c r="AU13">
        <f>IF(AND($A13&lt;&gt;"",AU$3&gt;=$J13,AU$3&lt;=$M13),1,"")</f>
        <v/>
      </c>
      <c r="AV13">
        <f>IF(AND($A13&lt;&gt;"",AV$3&gt;=$J13,AV$3&lt;=$M13),1,"")</f>
        <v/>
      </c>
      <c r="AW13">
        <f>IF(AND($A13&lt;&gt;"",AW$3&gt;=$J13,AW$3&lt;=$M13),1,"")</f>
        <v/>
      </c>
      <c r="AX13">
        <f>IF(AND($A13&lt;&gt;"",AX$3&gt;=$J13,AX$3&lt;=$M13),1,"")</f>
        <v/>
      </c>
      <c r="AY13">
        <f>IF(AND($A13&lt;&gt;"",AY$3&gt;=$J13,AY$3&lt;=$M13),1,"")</f>
        <v/>
      </c>
      <c r="AZ13">
        <f>IF(AND($A13&lt;&gt;"",AZ$3&gt;=$J13,AZ$3&lt;=$M13),1,"")</f>
        <v/>
      </c>
      <c r="BA13">
        <f>IF(AND($A13&lt;&gt;"",BA$3&gt;=$J13,BA$3&lt;=$M13),1,"")</f>
        <v/>
      </c>
      <c r="BB13">
        <f>IF(AND($A13&lt;&gt;"",BB$3&gt;=$J13,BB$3&lt;=$M13),1,"")</f>
        <v/>
      </c>
      <c r="BC13">
        <f>IF(AND($A13&lt;&gt;"",BC$3&gt;=$J13,BC$3&lt;=$M13),1,"")</f>
        <v/>
      </c>
      <c r="BD13">
        <f>IF(AND($A13&lt;&gt;"",BD$3&gt;=$J13,BD$3&lt;=$M13),1,"")</f>
        <v/>
      </c>
      <c r="BE13">
        <f>IF(AND($A13&lt;&gt;"",BE$3&gt;=$J13,BE$3&lt;=$M13),1,"")</f>
        <v/>
      </c>
      <c r="BF13">
        <f>IF(AND($A13&lt;&gt;"",BF$3&gt;=$J13,BF$3&lt;=$M13),1,"")</f>
        <v/>
      </c>
      <c r="BG13">
        <f>IF(AND($A13&lt;&gt;"",BG$3&gt;=$J13,BG$3&lt;=$M13),1,"")</f>
        <v/>
      </c>
      <c r="BH13">
        <f>IF(AND($A13&lt;&gt;"",BH$3&gt;=$J13,BH$3&lt;=$M13),1,"")</f>
        <v/>
      </c>
      <c r="BI13">
        <f>IF(AND($A13&lt;&gt;"",BI$3&gt;=$J13,BI$3&lt;=$M13),1,"")</f>
        <v/>
      </c>
      <c r="BJ13">
        <f>IF(AND($A13&lt;&gt;"",BJ$3&gt;=$J13,BJ$3&lt;=$M13),1,"")</f>
        <v/>
      </c>
      <c r="BK13">
        <f>IF(AND($A13&lt;&gt;"",BK$3&gt;=$J13,BK$3&lt;=$M13),1,"")</f>
        <v/>
      </c>
      <c r="BL13">
        <f>IF(AND($A13&lt;&gt;"",BL$3&gt;=$J13,BL$3&lt;=$M13),1,"")</f>
        <v/>
      </c>
      <c r="BM13">
        <f>IF(AND($A13&lt;&gt;"",BM$3&gt;=$J13,BM$3&lt;=$M13),1,"")</f>
        <v/>
      </c>
      <c r="BN13">
        <f>IF(AND($A13&lt;&gt;"",BN$3&gt;=$J13,BN$3&lt;=$M13),1,"")</f>
        <v/>
      </c>
      <c r="BO13">
        <f>IF(AND($A13&lt;&gt;"",BO$3&gt;=$J13,BO$3&lt;=$M13),1,"")</f>
        <v/>
      </c>
      <c r="BP13">
        <f>IF(AND($A13&lt;&gt;"",BP$3&gt;=$J13,BP$3&lt;=$M13),1,"")</f>
        <v/>
      </c>
      <c r="BQ13">
        <f>IF(AND($A13&lt;&gt;"",BQ$3&gt;=$J13,BQ$3&lt;=$M13),1,"")</f>
        <v/>
      </c>
      <c r="BR13">
        <f>IF(AND($A13&lt;&gt;"",BR$3&gt;=$J13,BR$3&lt;=$M13),1,"")</f>
        <v/>
      </c>
      <c r="BS13">
        <f>IF(AND($A13&lt;&gt;"",BS$3&gt;=$J13,BS$3&lt;=$M13),1,"")</f>
        <v/>
      </c>
      <c r="BT13">
        <f>IF(AND($A13&lt;&gt;"",BT$3&gt;=$J13,BT$3&lt;=$M13),1,"")</f>
        <v/>
      </c>
      <c r="BU13">
        <f>IF(AND($A13&lt;&gt;"",BU$3&gt;=$J13,BU$3&lt;=$M13),1,"")</f>
        <v/>
      </c>
      <c r="BV13">
        <f>IF(AND($A13&lt;&gt;"",BV$3&gt;=$J13,BV$3&lt;=$M13),1,"")</f>
        <v/>
      </c>
    </row>
    <row r="14">
      <c r="A14">
        <f>IF(Job_Master_Ring!$A14="","",Job_Master_Ring!$A14)</f>
        <v/>
      </c>
      <c r="B14">
        <f>IF($A14="","",Job_Master_Ring!B14)</f>
        <v/>
      </c>
      <c r="C14">
        <f>IF($A14="","",Job_Master_Ring!C14)</f>
        <v/>
      </c>
      <c r="D14">
        <f>IF($A14="","",Job_Master_Ring!D14)</f>
        <v/>
      </c>
      <c r="E14">
        <f>IF($A14="","",IF($I14&lt;&gt;"",$I14,IFERROR(INDEX(Machine_List!$B$87:$B$94,MATCH(1,(Machine_List!$H$87:$H$94&lt;=IFERROR(VLOOKUP($B14,CHOOSE(MATCH($C14,Settings!$L$4:$L$10,0),OPR_BR1!$A$4:$K$18,OPR_BR2!$A$4:$K$18,OPR_CR2!$A$4:$K$18,OPR_CR3!$A$4:$K$18,OPR_CR4!$A$4:$K$18,OPR_RIM!$A$4:$K$18,OPR_BPR!$A$4:$K$18),10,0),0))*(Machine_List!$I$87:$I$94&gt;=IFERROR(VLOOKUP($B14,CHOOSE(MATCH($C14,Settings!$L$4:$L$10,0),OPR_BR1!$A$4:$K$18,OPR_BR2!$A$4:$K$18,OPR_CR2!$A$4:$K$18,OPR_CR3!$A$4:$K$18,OPR_CR4!$A$4:$K$18,OPR_RIM!$A$4:$K$18,OPR_BPR!$A$4:$K$18),11,0),9999)),0)),"NO COMPATIBLE MACHINE")))</f>
        <v/>
      </c>
      <c r="F14">
        <f>IF($E14="","",IFERROR(VLOOKUP($E14,Machine_List!$B:$G,6,0),""))</f>
        <v/>
      </c>
      <c r="G14" s="17">
        <f>IF($E14="","",IFERROR(VLOOKUP($E14,Machine_List!$B:$C,2,0),""))</f>
        <v/>
      </c>
      <c r="H14">
        <f>IF($E14="","",IFERROR(VLOOKUP($E14,Machine_List!$B:$D,3,0),""))</f>
        <v/>
      </c>
      <c r="J14" s="16">
        <f>IF($A14="","",IF($I14&lt;&gt;"",$I14,MAX(GlobalStartDate,IFERROR(LOOKUP(2,1/($E$3:INDIRECT("E"&amp;(ROW()-1))=$E14),$M$3:INDIRECT("M"&amp;(ROW()-1))),GlobalStartDate))))</f>
        <v/>
      </c>
      <c r="K14">
        <f>IF($A14="","",IFERROR(VLOOKUP(B14,CHOOSE(MATCH($C14,Settings!$L$4:$L$10,0),OPR_BR1!$A$4:$I$18,OPR_BR2!$A$4:$I$18,OPR_CR2!$A$4:$I$18,OPR_CR3!$A$4:$I$18,OPR_CR4!$A$4:$I$18,OPR_RIM!$A$4:$I$18,OPR_BPR!$A$4:$I$18),2,0),0))</f>
        <v/>
      </c>
      <c r="L14">
        <f>IF($A14="","",K14*D14)</f>
        <v/>
      </c>
      <c r="M14" s="16">
        <f>IF($A14="","",IF(AND(ISNUMBER(G14),G14&gt;=J14,G14&lt;=(J14+(L14/(IF(F14="Contract Workman",Settings!$K$5,Settings!$K$4))))),J14+(L14/(IF(F14="Contract Workman",Settings!$K$5,Settings!$K$4)))+(H14/(IF(F14="Contract Workman",Settings!$K$5,Settings!$K$4))),J14+(L14/(IF(F14="Contract Workman",Settings!$K$5,Settings!$K$4)))))</f>
        <v/>
      </c>
      <c r="N14">
        <f>IF($A14="","",IF(F14="Contract Workman",IF(AND(MOD(M14,1)&gt;=8/24,MOD(M14,1)&lt;20/24),"Shift S1","Shift S2"),IF(AND(MOD(M14,1)&gt;=7/24,MOD(M14,1)&lt;15/24),"Shift A",IF(AND(MOD(M14,1)&gt;=15/24,MOD(M14,1)&lt;23/24),"Shift B","Shift C"))))</f>
        <v/>
      </c>
      <c r="O14">
        <f>IF(B14="","",IF(IFERROR(ISNUMBER(SEARCH(TEXT(B14,"0"),VLOOKUP(E14,Machine_List!$B:$J,9,0))),FALSE),"✅ "&amp;E14,"❌ ?"))</f>
        <v/>
      </c>
      <c r="P14">
        <f>IF(AND($A14&lt;&gt;"",P$3&gt;=$J14,P$3&lt;=$M14),1,"")</f>
        <v/>
      </c>
      <c r="Q14">
        <f>IF(AND($A14&lt;&gt;"",Q$3&gt;=$J14,Q$3&lt;=$M14),1,"")</f>
        <v/>
      </c>
      <c r="R14">
        <f>IF(AND($A14&lt;&gt;"",R$3&gt;=$J14,R$3&lt;=$M14),1,"")</f>
        <v/>
      </c>
      <c r="S14">
        <f>IF(AND($A14&lt;&gt;"",S$3&gt;=$J14,S$3&lt;=$M14),1,"")</f>
        <v/>
      </c>
      <c r="T14">
        <f>IF(AND($A14&lt;&gt;"",T$3&gt;=$J14,T$3&lt;=$M14),1,"")</f>
        <v/>
      </c>
      <c r="U14">
        <f>IF(AND($A14&lt;&gt;"",U$3&gt;=$J14,U$3&lt;=$M14),1,"")</f>
        <v/>
      </c>
      <c r="V14">
        <f>IF(AND($A14&lt;&gt;"",V$3&gt;=$J14,V$3&lt;=$M14),1,"")</f>
        <v/>
      </c>
      <c r="W14">
        <f>IF(AND($A14&lt;&gt;"",W$3&gt;=$J14,W$3&lt;=$M14),1,"")</f>
        <v/>
      </c>
      <c r="X14">
        <f>IF(AND($A14&lt;&gt;"",X$3&gt;=$J14,X$3&lt;=$M14),1,"")</f>
        <v/>
      </c>
      <c r="Y14">
        <f>IF(AND($A14&lt;&gt;"",Y$3&gt;=$J14,Y$3&lt;=$M14),1,"")</f>
        <v/>
      </c>
      <c r="Z14">
        <f>IF(AND($A14&lt;&gt;"",Z$3&gt;=$J14,Z$3&lt;=$M14),1,"")</f>
        <v/>
      </c>
      <c r="AA14">
        <f>IF(AND($A14&lt;&gt;"",AA$3&gt;=$J14,AA$3&lt;=$M14),1,"")</f>
        <v/>
      </c>
      <c r="AB14">
        <f>IF(AND($A14&lt;&gt;"",AB$3&gt;=$J14,AB$3&lt;=$M14),1,"")</f>
        <v/>
      </c>
      <c r="AC14">
        <f>IF(AND($A14&lt;&gt;"",AC$3&gt;=$J14,AC$3&lt;=$M14),1,"")</f>
        <v/>
      </c>
      <c r="AD14">
        <f>IF(AND($A14&lt;&gt;"",AD$3&gt;=$J14,AD$3&lt;=$M14),1,"")</f>
        <v/>
      </c>
      <c r="AE14">
        <f>IF(AND($A14&lt;&gt;"",AE$3&gt;=$J14,AE$3&lt;=$M14),1,"")</f>
        <v/>
      </c>
      <c r="AF14">
        <f>IF(AND($A14&lt;&gt;"",AF$3&gt;=$J14,AF$3&lt;=$M14),1,"")</f>
        <v/>
      </c>
      <c r="AG14">
        <f>IF(AND($A14&lt;&gt;"",AG$3&gt;=$J14,AG$3&lt;=$M14),1,"")</f>
        <v/>
      </c>
      <c r="AH14">
        <f>IF(AND($A14&lt;&gt;"",AH$3&gt;=$J14,AH$3&lt;=$M14),1,"")</f>
        <v/>
      </c>
      <c r="AI14">
        <f>IF(AND($A14&lt;&gt;"",AI$3&gt;=$J14,AI$3&lt;=$M14),1,"")</f>
        <v/>
      </c>
      <c r="AJ14">
        <f>IF(AND($A14&lt;&gt;"",AJ$3&gt;=$J14,AJ$3&lt;=$M14),1,"")</f>
        <v/>
      </c>
      <c r="AK14">
        <f>IF(AND($A14&lt;&gt;"",AK$3&gt;=$J14,AK$3&lt;=$M14),1,"")</f>
        <v/>
      </c>
      <c r="AL14">
        <f>IF(AND($A14&lt;&gt;"",AL$3&gt;=$J14,AL$3&lt;=$M14),1,"")</f>
        <v/>
      </c>
      <c r="AM14">
        <f>IF(AND($A14&lt;&gt;"",AM$3&gt;=$J14,AM$3&lt;=$M14),1,"")</f>
        <v/>
      </c>
      <c r="AN14">
        <f>IF(AND($A14&lt;&gt;"",AN$3&gt;=$J14,AN$3&lt;=$M14),1,"")</f>
        <v/>
      </c>
      <c r="AO14">
        <f>IF(AND($A14&lt;&gt;"",AO$3&gt;=$J14,AO$3&lt;=$M14),1,"")</f>
        <v/>
      </c>
      <c r="AP14">
        <f>IF(AND($A14&lt;&gt;"",AP$3&gt;=$J14,AP$3&lt;=$M14),1,"")</f>
        <v/>
      </c>
      <c r="AQ14">
        <f>IF(AND($A14&lt;&gt;"",AQ$3&gt;=$J14,AQ$3&lt;=$M14),1,"")</f>
        <v/>
      </c>
      <c r="AR14">
        <f>IF(AND($A14&lt;&gt;"",AR$3&gt;=$J14,AR$3&lt;=$M14),1,"")</f>
        <v/>
      </c>
      <c r="AS14">
        <f>IF(AND($A14&lt;&gt;"",AS$3&gt;=$J14,AS$3&lt;=$M14),1,"")</f>
        <v/>
      </c>
      <c r="AT14">
        <f>IF(AND($A14&lt;&gt;"",AT$3&gt;=$J14,AT$3&lt;=$M14),1,"")</f>
        <v/>
      </c>
      <c r="AU14">
        <f>IF(AND($A14&lt;&gt;"",AU$3&gt;=$J14,AU$3&lt;=$M14),1,"")</f>
        <v/>
      </c>
      <c r="AV14">
        <f>IF(AND($A14&lt;&gt;"",AV$3&gt;=$J14,AV$3&lt;=$M14),1,"")</f>
        <v/>
      </c>
      <c r="AW14">
        <f>IF(AND($A14&lt;&gt;"",AW$3&gt;=$J14,AW$3&lt;=$M14),1,"")</f>
        <v/>
      </c>
      <c r="AX14">
        <f>IF(AND($A14&lt;&gt;"",AX$3&gt;=$J14,AX$3&lt;=$M14),1,"")</f>
        <v/>
      </c>
      <c r="AY14">
        <f>IF(AND($A14&lt;&gt;"",AY$3&gt;=$J14,AY$3&lt;=$M14),1,"")</f>
        <v/>
      </c>
      <c r="AZ14">
        <f>IF(AND($A14&lt;&gt;"",AZ$3&gt;=$J14,AZ$3&lt;=$M14),1,"")</f>
        <v/>
      </c>
      <c r="BA14">
        <f>IF(AND($A14&lt;&gt;"",BA$3&gt;=$J14,BA$3&lt;=$M14),1,"")</f>
        <v/>
      </c>
      <c r="BB14">
        <f>IF(AND($A14&lt;&gt;"",BB$3&gt;=$J14,BB$3&lt;=$M14),1,"")</f>
        <v/>
      </c>
      <c r="BC14">
        <f>IF(AND($A14&lt;&gt;"",BC$3&gt;=$J14,BC$3&lt;=$M14),1,"")</f>
        <v/>
      </c>
      <c r="BD14">
        <f>IF(AND($A14&lt;&gt;"",BD$3&gt;=$J14,BD$3&lt;=$M14),1,"")</f>
        <v/>
      </c>
      <c r="BE14">
        <f>IF(AND($A14&lt;&gt;"",BE$3&gt;=$J14,BE$3&lt;=$M14),1,"")</f>
        <v/>
      </c>
      <c r="BF14">
        <f>IF(AND($A14&lt;&gt;"",BF$3&gt;=$J14,BF$3&lt;=$M14),1,"")</f>
        <v/>
      </c>
      <c r="BG14">
        <f>IF(AND($A14&lt;&gt;"",BG$3&gt;=$J14,BG$3&lt;=$M14),1,"")</f>
        <v/>
      </c>
      <c r="BH14">
        <f>IF(AND($A14&lt;&gt;"",BH$3&gt;=$J14,BH$3&lt;=$M14),1,"")</f>
        <v/>
      </c>
      <c r="BI14">
        <f>IF(AND($A14&lt;&gt;"",BI$3&gt;=$J14,BI$3&lt;=$M14),1,"")</f>
        <v/>
      </c>
      <c r="BJ14">
        <f>IF(AND($A14&lt;&gt;"",BJ$3&gt;=$J14,BJ$3&lt;=$M14),1,"")</f>
        <v/>
      </c>
      <c r="BK14">
        <f>IF(AND($A14&lt;&gt;"",BK$3&gt;=$J14,BK$3&lt;=$M14),1,"")</f>
        <v/>
      </c>
      <c r="BL14">
        <f>IF(AND($A14&lt;&gt;"",BL$3&gt;=$J14,BL$3&lt;=$M14),1,"")</f>
        <v/>
      </c>
      <c r="BM14">
        <f>IF(AND($A14&lt;&gt;"",BM$3&gt;=$J14,BM$3&lt;=$M14),1,"")</f>
        <v/>
      </c>
      <c r="BN14">
        <f>IF(AND($A14&lt;&gt;"",BN$3&gt;=$J14,BN$3&lt;=$M14),1,"")</f>
        <v/>
      </c>
      <c r="BO14">
        <f>IF(AND($A14&lt;&gt;"",BO$3&gt;=$J14,BO$3&lt;=$M14),1,"")</f>
        <v/>
      </c>
      <c r="BP14">
        <f>IF(AND($A14&lt;&gt;"",BP$3&gt;=$J14,BP$3&lt;=$M14),1,"")</f>
        <v/>
      </c>
      <c r="BQ14">
        <f>IF(AND($A14&lt;&gt;"",BQ$3&gt;=$J14,BQ$3&lt;=$M14),1,"")</f>
        <v/>
      </c>
      <c r="BR14">
        <f>IF(AND($A14&lt;&gt;"",BR$3&gt;=$J14,BR$3&lt;=$M14),1,"")</f>
        <v/>
      </c>
      <c r="BS14">
        <f>IF(AND($A14&lt;&gt;"",BS$3&gt;=$J14,BS$3&lt;=$M14),1,"")</f>
        <v/>
      </c>
      <c r="BT14">
        <f>IF(AND($A14&lt;&gt;"",BT$3&gt;=$J14,BT$3&lt;=$M14),1,"")</f>
        <v/>
      </c>
      <c r="BU14">
        <f>IF(AND($A14&lt;&gt;"",BU$3&gt;=$J14,BU$3&lt;=$M14),1,"")</f>
        <v/>
      </c>
      <c r="BV14">
        <f>IF(AND($A14&lt;&gt;"",BV$3&gt;=$J14,BV$3&lt;=$M14),1,"")</f>
        <v/>
      </c>
    </row>
    <row r="15">
      <c r="A15">
        <f>IF(Job_Master_Ring!$A15="","",Job_Master_Ring!$A15)</f>
        <v/>
      </c>
      <c r="B15">
        <f>IF($A15="","",Job_Master_Ring!B15)</f>
        <v/>
      </c>
      <c r="C15">
        <f>IF($A15="","",Job_Master_Ring!C15)</f>
        <v/>
      </c>
      <c r="D15">
        <f>IF($A15="","",Job_Master_Ring!D15)</f>
        <v/>
      </c>
      <c r="E15">
        <f>IF($A15="","",IF($I15&lt;&gt;"",$I15,IFERROR(INDEX(Machine_List!$B$87:$B$94,MATCH(1,(Machine_List!$H$87:$H$94&lt;=IFERROR(VLOOKUP($B15,CHOOSE(MATCH($C15,Settings!$L$4:$L$10,0),OPR_BR1!$A$4:$K$18,OPR_BR2!$A$4:$K$18,OPR_CR2!$A$4:$K$18,OPR_CR3!$A$4:$K$18,OPR_CR4!$A$4:$K$18,OPR_RIM!$A$4:$K$18,OPR_BPR!$A$4:$K$18),10,0),0))*(Machine_List!$I$87:$I$94&gt;=IFERROR(VLOOKUP($B15,CHOOSE(MATCH($C15,Settings!$L$4:$L$10,0),OPR_BR1!$A$4:$K$18,OPR_BR2!$A$4:$K$18,OPR_CR2!$A$4:$K$18,OPR_CR3!$A$4:$K$18,OPR_CR4!$A$4:$K$18,OPR_RIM!$A$4:$K$18,OPR_BPR!$A$4:$K$18),11,0),9999)),0)),"NO COMPATIBLE MACHINE")))</f>
        <v/>
      </c>
      <c r="F15">
        <f>IF($E15="","",IFERROR(VLOOKUP($E15,Machine_List!$B:$G,6,0),""))</f>
        <v/>
      </c>
      <c r="G15" s="17">
        <f>IF($E15="","",IFERROR(VLOOKUP($E15,Machine_List!$B:$C,2,0),""))</f>
        <v/>
      </c>
      <c r="H15">
        <f>IF($E15="","",IFERROR(VLOOKUP($E15,Machine_List!$B:$D,3,0),""))</f>
        <v/>
      </c>
      <c r="J15" s="16">
        <f>IF($A15="","",IF($I15&lt;&gt;"",$I15,MAX(GlobalStartDate,IFERROR(LOOKUP(2,1/($E$3:INDIRECT("E"&amp;(ROW()-1))=$E15),$M$3:INDIRECT("M"&amp;(ROW()-1))),GlobalStartDate))))</f>
        <v/>
      </c>
      <c r="K15">
        <f>IF($A15="","",IFERROR(VLOOKUP(B15,CHOOSE(MATCH($C15,Settings!$L$4:$L$10,0),OPR_BR1!$A$4:$I$18,OPR_BR2!$A$4:$I$18,OPR_CR2!$A$4:$I$18,OPR_CR3!$A$4:$I$18,OPR_CR4!$A$4:$I$18,OPR_RIM!$A$4:$I$18,OPR_BPR!$A$4:$I$18),2,0),0))</f>
        <v/>
      </c>
      <c r="L15">
        <f>IF($A15="","",K15*D15)</f>
        <v/>
      </c>
      <c r="M15" s="16">
        <f>IF($A15="","",IF(AND(ISNUMBER(G15),G15&gt;=J15,G15&lt;=(J15+(L15/(IF(F15="Contract Workman",Settings!$K$5,Settings!$K$4))))),J15+(L15/(IF(F15="Contract Workman",Settings!$K$5,Settings!$K$4)))+(H15/(IF(F15="Contract Workman",Settings!$K$5,Settings!$K$4))),J15+(L15/(IF(F15="Contract Workman",Settings!$K$5,Settings!$K$4)))))</f>
        <v/>
      </c>
      <c r="N15">
        <f>IF($A15="","",IF(F15="Contract Workman",IF(AND(MOD(M15,1)&gt;=8/24,MOD(M15,1)&lt;20/24),"Shift S1","Shift S2"),IF(AND(MOD(M15,1)&gt;=7/24,MOD(M15,1)&lt;15/24),"Shift A",IF(AND(MOD(M15,1)&gt;=15/24,MOD(M15,1)&lt;23/24),"Shift B","Shift C"))))</f>
        <v/>
      </c>
      <c r="O15">
        <f>IF(B15="","",IF(IFERROR(ISNUMBER(SEARCH(TEXT(B15,"0"),VLOOKUP(E15,Machine_List!$B:$J,9,0))),FALSE),"✅ "&amp;E15,"❌ ?"))</f>
        <v/>
      </c>
      <c r="P15">
        <f>IF(AND($A15&lt;&gt;"",P$3&gt;=$J15,P$3&lt;=$M15),1,"")</f>
        <v/>
      </c>
      <c r="Q15">
        <f>IF(AND($A15&lt;&gt;"",Q$3&gt;=$J15,Q$3&lt;=$M15),1,"")</f>
        <v/>
      </c>
      <c r="R15">
        <f>IF(AND($A15&lt;&gt;"",R$3&gt;=$J15,R$3&lt;=$M15),1,"")</f>
        <v/>
      </c>
      <c r="S15">
        <f>IF(AND($A15&lt;&gt;"",S$3&gt;=$J15,S$3&lt;=$M15),1,"")</f>
        <v/>
      </c>
      <c r="T15">
        <f>IF(AND($A15&lt;&gt;"",T$3&gt;=$J15,T$3&lt;=$M15),1,"")</f>
        <v/>
      </c>
      <c r="U15">
        <f>IF(AND($A15&lt;&gt;"",U$3&gt;=$J15,U$3&lt;=$M15),1,"")</f>
        <v/>
      </c>
      <c r="V15">
        <f>IF(AND($A15&lt;&gt;"",V$3&gt;=$J15,V$3&lt;=$M15),1,"")</f>
        <v/>
      </c>
      <c r="W15">
        <f>IF(AND($A15&lt;&gt;"",W$3&gt;=$J15,W$3&lt;=$M15),1,"")</f>
        <v/>
      </c>
      <c r="X15">
        <f>IF(AND($A15&lt;&gt;"",X$3&gt;=$J15,X$3&lt;=$M15),1,"")</f>
        <v/>
      </c>
      <c r="Y15">
        <f>IF(AND($A15&lt;&gt;"",Y$3&gt;=$J15,Y$3&lt;=$M15),1,"")</f>
        <v/>
      </c>
      <c r="Z15">
        <f>IF(AND($A15&lt;&gt;"",Z$3&gt;=$J15,Z$3&lt;=$M15),1,"")</f>
        <v/>
      </c>
      <c r="AA15">
        <f>IF(AND($A15&lt;&gt;"",AA$3&gt;=$J15,AA$3&lt;=$M15),1,"")</f>
        <v/>
      </c>
      <c r="AB15">
        <f>IF(AND($A15&lt;&gt;"",AB$3&gt;=$J15,AB$3&lt;=$M15),1,"")</f>
        <v/>
      </c>
      <c r="AC15">
        <f>IF(AND($A15&lt;&gt;"",AC$3&gt;=$J15,AC$3&lt;=$M15),1,"")</f>
        <v/>
      </c>
      <c r="AD15">
        <f>IF(AND($A15&lt;&gt;"",AD$3&gt;=$J15,AD$3&lt;=$M15),1,"")</f>
        <v/>
      </c>
      <c r="AE15">
        <f>IF(AND($A15&lt;&gt;"",AE$3&gt;=$J15,AE$3&lt;=$M15),1,"")</f>
        <v/>
      </c>
      <c r="AF15">
        <f>IF(AND($A15&lt;&gt;"",AF$3&gt;=$J15,AF$3&lt;=$M15),1,"")</f>
        <v/>
      </c>
      <c r="AG15">
        <f>IF(AND($A15&lt;&gt;"",AG$3&gt;=$J15,AG$3&lt;=$M15),1,"")</f>
        <v/>
      </c>
      <c r="AH15">
        <f>IF(AND($A15&lt;&gt;"",AH$3&gt;=$J15,AH$3&lt;=$M15),1,"")</f>
        <v/>
      </c>
      <c r="AI15">
        <f>IF(AND($A15&lt;&gt;"",AI$3&gt;=$J15,AI$3&lt;=$M15),1,"")</f>
        <v/>
      </c>
      <c r="AJ15">
        <f>IF(AND($A15&lt;&gt;"",AJ$3&gt;=$J15,AJ$3&lt;=$M15),1,"")</f>
        <v/>
      </c>
      <c r="AK15">
        <f>IF(AND($A15&lt;&gt;"",AK$3&gt;=$J15,AK$3&lt;=$M15),1,"")</f>
        <v/>
      </c>
      <c r="AL15">
        <f>IF(AND($A15&lt;&gt;"",AL$3&gt;=$J15,AL$3&lt;=$M15),1,"")</f>
        <v/>
      </c>
      <c r="AM15">
        <f>IF(AND($A15&lt;&gt;"",AM$3&gt;=$J15,AM$3&lt;=$M15),1,"")</f>
        <v/>
      </c>
      <c r="AN15">
        <f>IF(AND($A15&lt;&gt;"",AN$3&gt;=$J15,AN$3&lt;=$M15),1,"")</f>
        <v/>
      </c>
      <c r="AO15">
        <f>IF(AND($A15&lt;&gt;"",AO$3&gt;=$J15,AO$3&lt;=$M15),1,"")</f>
        <v/>
      </c>
      <c r="AP15">
        <f>IF(AND($A15&lt;&gt;"",AP$3&gt;=$J15,AP$3&lt;=$M15),1,"")</f>
        <v/>
      </c>
      <c r="AQ15">
        <f>IF(AND($A15&lt;&gt;"",AQ$3&gt;=$J15,AQ$3&lt;=$M15),1,"")</f>
        <v/>
      </c>
      <c r="AR15">
        <f>IF(AND($A15&lt;&gt;"",AR$3&gt;=$J15,AR$3&lt;=$M15),1,"")</f>
        <v/>
      </c>
      <c r="AS15">
        <f>IF(AND($A15&lt;&gt;"",AS$3&gt;=$J15,AS$3&lt;=$M15),1,"")</f>
        <v/>
      </c>
      <c r="AT15">
        <f>IF(AND($A15&lt;&gt;"",AT$3&gt;=$J15,AT$3&lt;=$M15),1,"")</f>
        <v/>
      </c>
      <c r="AU15">
        <f>IF(AND($A15&lt;&gt;"",AU$3&gt;=$J15,AU$3&lt;=$M15),1,"")</f>
        <v/>
      </c>
      <c r="AV15">
        <f>IF(AND($A15&lt;&gt;"",AV$3&gt;=$J15,AV$3&lt;=$M15),1,"")</f>
        <v/>
      </c>
      <c r="AW15">
        <f>IF(AND($A15&lt;&gt;"",AW$3&gt;=$J15,AW$3&lt;=$M15),1,"")</f>
        <v/>
      </c>
      <c r="AX15">
        <f>IF(AND($A15&lt;&gt;"",AX$3&gt;=$J15,AX$3&lt;=$M15),1,"")</f>
        <v/>
      </c>
      <c r="AY15">
        <f>IF(AND($A15&lt;&gt;"",AY$3&gt;=$J15,AY$3&lt;=$M15),1,"")</f>
        <v/>
      </c>
      <c r="AZ15">
        <f>IF(AND($A15&lt;&gt;"",AZ$3&gt;=$J15,AZ$3&lt;=$M15),1,"")</f>
        <v/>
      </c>
      <c r="BA15">
        <f>IF(AND($A15&lt;&gt;"",BA$3&gt;=$J15,BA$3&lt;=$M15),1,"")</f>
        <v/>
      </c>
      <c r="BB15">
        <f>IF(AND($A15&lt;&gt;"",BB$3&gt;=$J15,BB$3&lt;=$M15),1,"")</f>
        <v/>
      </c>
      <c r="BC15">
        <f>IF(AND($A15&lt;&gt;"",BC$3&gt;=$J15,BC$3&lt;=$M15),1,"")</f>
        <v/>
      </c>
      <c r="BD15">
        <f>IF(AND($A15&lt;&gt;"",BD$3&gt;=$J15,BD$3&lt;=$M15),1,"")</f>
        <v/>
      </c>
      <c r="BE15">
        <f>IF(AND($A15&lt;&gt;"",BE$3&gt;=$J15,BE$3&lt;=$M15),1,"")</f>
        <v/>
      </c>
      <c r="BF15">
        <f>IF(AND($A15&lt;&gt;"",BF$3&gt;=$J15,BF$3&lt;=$M15),1,"")</f>
        <v/>
      </c>
      <c r="BG15">
        <f>IF(AND($A15&lt;&gt;"",BG$3&gt;=$J15,BG$3&lt;=$M15),1,"")</f>
        <v/>
      </c>
      <c r="BH15">
        <f>IF(AND($A15&lt;&gt;"",BH$3&gt;=$J15,BH$3&lt;=$M15),1,"")</f>
        <v/>
      </c>
      <c r="BI15">
        <f>IF(AND($A15&lt;&gt;"",BI$3&gt;=$J15,BI$3&lt;=$M15),1,"")</f>
        <v/>
      </c>
      <c r="BJ15">
        <f>IF(AND($A15&lt;&gt;"",BJ$3&gt;=$J15,BJ$3&lt;=$M15),1,"")</f>
        <v/>
      </c>
      <c r="BK15">
        <f>IF(AND($A15&lt;&gt;"",BK$3&gt;=$J15,BK$3&lt;=$M15),1,"")</f>
        <v/>
      </c>
      <c r="BL15">
        <f>IF(AND($A15&lt;&gt;"",BL$3&gt;=$J15,BL$3&lt;=$M15),1,"")</f>
        <v/>
      </c>
      <c r="BM15">
        <f>IF(AND($A15&lt;&gt;"",BM$3&gt;=$J15,BM$3&lt;=$M15),1,"")</f>
        <v/>
      </c>
      <c r="BN15">
        <f>IF(AND($A15&lt;&gt;"",BN$3&gt;=$J15,BN$3&lt;=$M15),1,"")</f>
        <v/>
      </c>
      <c r="BO15">
        <f>IF(AND($A15&lt;&gt;"",BO$3&gt;=$J15,BO$3&lt;=$M15),1,"")</f>
        <v/>
      </c>
      <c r="BP15">
        <f>IF(AND($A15&lt;&gt;"",BP$3&gt;=$J15,BP$3&lt;=$M15),1,"")</f>
        <v/>
      </c>
      <c r="BQ15">
        <f>IF(AND($A15&lt;&gt;"",BQ$3&gt;=$J15,BQ$3&lt;=$M15),1,"")</f>
        <v/>
      </c>
      <c r="BR15">
        <f>IF(AND($A15&lt;&gt;"",BR$3&gt;=$J15,BR$3&lt;=$M15),1,"")</f>
        <v/>
      </c>
      <c r="BS15">
        <f>IF(AND($A15&lt;&gt;"",BS$3&gt;=$J15,BS$3&lt;=$M15),1,"")</f>
        <v/>
      </c>
      <c r="BT15">
        <f>IF(AND($A15&lt;&gt;"",BT$3&gt;=$J15,BT$3&lt;=$M15),1,"")</f>
        <v/>
      </c>
      <c r="BU15">
        <f>IF(AND($A15&lt;&gt;"",BU$3&gt;=$J15,BU$3&lt;=$M15),1,"")</f>
        <v/>
      </c>
      <c r="BV15">
        <f>IF(AND($A15&lt;&gt;"",BV$3&gt;=$J15,BV$3&lt;=$M15),1,"")</f>
        <v/>
      </c>
    </row>
    <row r="16">
      <c r="A16">
        <f>IF(Job_Master_Ring!$A16="","",Job_Master_Ring!$A16)</f>
        <v/>
      </c>
      <c r="B16">
        <f>IF($A16="","",Job_Master_Ring!B16)</f>
        <v/>
      </c>
      <c r="C16">
        <f>IF($A16="","",Job_Master_Ring!C16)</f>
        <v/>
      </c>
      <c r="D16">
        <f>IF($A16="","",Job_Master_Ring!D16)</f>
        <v/>
      </c>
      <c r="E16">
        <f>IF($A16="","",IF($I16&lt;&gt;"",$I16,IFERROR(INDEX(Machine_List!$B$87:$B$94,MATCH(1,(Machine_List!$H$87:$H$94&lt;=IFERROR(VLOOKUP($B16,CHOOSE(MATCH($C16,Settings!$L$4:$L$10,0),OPR_BR1!$A$4:$K$18,OPR_BR2!$A$4:$K$18,OPR_CR2!$A$4:$K$18,OPR_CR3!$A$4:$K$18,OPR_CR4!$A$4:$K$18,OPR_RIM!$A$4:$K$18,OPR_BPR!$A$4:$K$18),10,0),0))*(Machine_List!$I$87:$I$94&gt;=IFERROR(VLOOKUP($B16,CHOOSE(MATCH($C16,Settings!$L$4:$L$10,0),OPR_BR1!$A$4:$K$18,OPR_BR2!$A$4:$K$18,OPR_CR2!$A$4:$K$18,OPR_CR3!$A$4:$K$18,OPR_CR4!$A$4:$K$18,OPR_RIM!$A$4:$K$18,OPR_BPR!$A$4:$K$18),11,0),9999)),0)),"NO COMPATIBLE MACHINE")))</f>
        <v/>
      </c>
      <c r="F16">
        <f>IF($E16="","",IFERROR(VLOOKUP($E16,Machine_List!$B:$G,6,0),""))</f>
        <v/>
      </c>
      <c r="G16" s="17">
        <f>IF($E16="","",IFERROR(VLOOKUP($E16,Machine_List!$B:$C,2,0),""))</f>
        <v/>
      </c>
      <c r="H16">
        <f>IF($E16="","",IFERROR(VLOOKUP($E16,Machine_List!$B:$D,3,0),""))</f>
        <v/>
      </c>
      <c r="J16" s="16">
        <f>IF($A16="","",IF($I16&lt;&gt;"",$I16,MAX(GlobalStartDate,IFERROR(LOOKUP(2,1/($E$3:INDIRECT("E"&amp;(ROW()-1))=$E16),$M$3:INDIRECT("M"&amp;(ROW()-1))),GlobalStartDate))))</f>
        <v/>
      </c>
      <c r="K16">
        <f>IF($A16="","",IFERROR(VLOOKUP(B16,CHOOSE(MATCH($C16,Settings!$L$4:$L$10,0),OPR_BR1!$A$4:$I$18,OPR_BR2!$A$4:$I$18,OPR_CR2!$A$4:$I$18,OPR_CR3!$A$4:$I$18,OPR_CR4!$A$4:$I$18,OPR_RIM!$A$4:$I$18,OPR_BPR!$A$4:$I$18),2,0),0))</f>
        <v/>
      </c>
      <c r="L16">
        <f>IF($A16="","",K16*D16)</f>
        <v/>
      </c>
      <c r="M16" s="16">
        <f>IF($A16="","",IF(AND(ISNUMBER(G16),G16&gt;=J16,G16&lt;=(J16+(L16/(IF(F16="Contract Workman",Settings!$K$5,Settings!$K$4))))),J16+(L16/(IF(F16="Contract Workman",Settings!$K$5,Settings!$K$4)))+(H16/(IF(F16="Contract Workman",Settings!$K$5,Settings!$K$4))),J16+(L16/(IF(F16="Contract Workman",Settings!$K$5,Settings!$K$4)))))</f>
        <v/>
      </c>
      <c r="N16">
        <f>IF($A16="","",IF(F16="Contract Workman",IF(AND(MOD(M16,1)&gt;=8/24,MOD(M16,1)&lt;20/24),"Shift S1","Shift S2"),IF(AND(MOD(M16,1)&gt;=7/24,MOD(M16,1)&lt;15/24),"Shift A",IF(AND(MOD(M16,1)&gt;=15/24,MOD(M16,1)&lt;23/24),"Shift B","Shift C"))))</f>
        <v/>
      </c>
      <c r="O16">
        <f>IF(B16="","",IF(IFERROR(ISNUMBER(SEARCH(TEXT(B16,"0"),VLOOKUP(E16,Machine_List!$B:$J,9,0))),FALSE),"✅ "&amp;E16,"❌ ?"))</f>
        <v/>
      </c>
      <c r="P16">
        <f>IF(AND($A16&lt;&gt;"",P$3&gt;=$J16,P$3&lt;=$M16),1,"")</f>
        <v/>
      </c>
      <c r="Q16">
        <f>IF(AND($A16&lt;&gt;"",Q$3&gt;=$J16,Q$3&lt;=$M16),1,"")</f>
        <v/>
      </c>
      <c r="R16">
        <f>IF(AND($A16&lt;&gt;"",R$3&gt;=$J16,R$3&lt;=$M16),1,"")</f>
        <v/>
      </c>
      <c r="S16">
        <f>IF(AND($A16&lt;&gt;"",S$3&gt;=$J16,S$3&lt;=$M16),1,"")</f>
        <v/>
      </c>
      <c r="T16">
        <f>IF(AND($A16&lt;&gt;"",T$3&gt;=$J16,T$3&lt;=$M16),1,"")</f>
        <v/>
      </c>
      <c r="U16">
        <f>IF(AND($A16&lt;&gt;"",U$3&gt;=$J16,U$3&lt;=$M16),1,"")</f>
        <v/>
      </c>
      <c r="V16">
        <f>IF(AND($A16&lt;&gt;"",V$3&gt;=$J16,V$3&lt;=$M16),1,"")</f>
        <v/>
      </c>
      <c r="W16">
        <f>IF(AND($A16&lt;&gt;"",W$3&gt;=$J16,W$3&lt;=$M16),1,"")</f>
        <v/>
      </c>
      <c r="X16">
        <f>IF(AND($A16&lt;&gt;"",X$3&gt;=$J16,X$3&lt;=$M16),1,"")</f>
        <v/>
      </c>
      <c r="Y16">
        <f>IF(AND($A16&lt;&gt;"",Y$3&gt;=$J16,Y$3&lt;=$M16),1,"")</f>
        <v/>
      </c>
      <c r="Z16">
        <f>IF(AND($A16&lt;&gt;"",Z$3&gt;=$J16,Z$3&lt;=$M16),1,"")</f>
        <v/>
      </c>
      <c r="AA16">
        <f>IF(AND($A16&lt;&gt;"",AA$3&gt;=$J16,AA$3&lt;=$M16),1,"")</f>
        <v/>
      </c>
      <c r="AB16">
        <f>IF(AND($A16&lt;&gt;"",AB$3&gt;=$J16,AB$3&lt;=$M16),1,"")</f>
        <v/>
      </c>
      <c r="AC16">
        <f>IF(AND($A16&lt;&gt;"",AC$3&gt;=$J16,AC$3&lt;=$M16),1,"")</f>
        <v/>
      </c>
      <c r="AD16">
        <f>IF(AND($A16&lt;&gt;"",AD$3&gt;=$J16,AD$3&lt;=$M16),1,"")</f>
        <v/>
      </c>
      <c r="AE16">
        <f>IF(AND($A16&lt;&gt;"",AE$3&gt;=$J16,AE$3&lt;=$M16),1,"")</f>
        <v/>
      </c>
      <c r="AF16">
        <f>IF(AND($A16&lt;&gt;"",AF$3&gt;=$J16,AF$3&lt;=$M16),1,"")</f>
        <v/>
      </c>
      <c r="AG16">
        <f>IF(AND($A16&lt;&gt;"",AG$3&gt;=$J16,AG$3&lt;=$M16),1,"")</f>
        <v/>
      </c>
      <c r="AH16">
        <f>IF(AND($A16&lt;&gt;"",AH$3&gt;=$J16,AH$3&lt;=$M16),1,"")</f>
        <v/>
      </c>
      <c r="AI16">
        <f>IF(AND($A16&lt;&gt;"",AI$3&gt;=$J16,AI$3&lt;=$M16),1,"")</f>
        <v/>
      </c>
      <c r="AJ16">
        <f>IF(AND($A16&lt;&gt;"",AJ$3&gt;=$J16,AJ$3&lt;=$M16),1,"")</f>
        <v/>
      </c>
      <c r="AK16">
        <f>IF(AND($A16&lt;&gt;"",AK$3&gt;=$J16,AK$3&lt;=$M16),1,"")</f>
        <v/>
      </c>
      <c r="AL16">
        <f>IF(AND($A16&lt;&gt;"",AL$3&gt;=$J16,AL$3&lt;=$M16),1,"")</f>
        <v/>
      </c>
      <c r="AM16">
        <f>IF(AND($A16&lt;&gt;"",AM$3&gt;=$J16,AM$3&lt;=$M16),1,"")</f>
        <v/>
      </c>
      <c r="AN16">
        <f>IF(AND($A16&lt;&gt;"",AN$3&gt;=$J16,AN$3&lt;=$M16),1,"")</f>
        <v/>
      </c>
      <c r="AO16">
        <f>IF(AND($A16&lt;&gt;"",AO$3&gt;=$J16,AO$3&lt;=$M16),1,"")</f>
        <v/>
      </c>
      <c r="AP16">
        <f>IF(AND($A16&lt;&gt;"",AP$3&gt;=$J16,AP$3&lt;=$M16),1,"")</f>
        <v/>
      </c>
      <c r="AQ16">
        <f>IF(AND($A16&lt;&gt;"",AQ$3&gt;=$J16,AQ$3&lt;=$M16),1,"")</f>
        <v/>
      </c>
      <c r="AR16">
        <f>IF(AND($A16&lt;&gt;"",AR$3&gt;=$J16,AR$3&lt;=$M16),1,"")</f>
        <v/>
      </c>
      <c r="AS16">
        <f>IF(AND($A16&lt;&gt;"",AS$3&gt;=$J16,AS$3&lt;=$M16),1,"")</f>
        <v/>
      </c>
      <c r="AT16">
        <f>IF(AND($A16&lt;&gt;"",AT$3&gt;=$J16,AT$3&lt;=$M16),1,"")</f>
        <v/>
      </c>
      <c r="AU16">
        <f>IF(AND($A16&lt;&gt;"",AU$3&gt;=$J16,AU$3&lt;=$M16),1,"")</f>
        <v/>
      </c>
      <c r="AV16">
        <f>IF(AND($A16&lt;&gt;"",AV$3&gt;=$J16,AV$3&lt;=$M16),1,"")</f>
        <v/>
      </c>
      <c r="AW16">
        <f>IF(AND($A16&lt;&gt;"",AW$3&gt;=$J16,AW$3&lt;=$M16),1,"")</f>
        <v/>
      </c>
      <c r="AX16">
        <f>IF(AND($A16&lt;&gt;"",AX$3&gt;=$J16,AX$3&lt;=$M16),1,"")</f>
        <v/>
      </c>
      <c r="AY16">
        <f>IF(AND($A16&lt;&gt;"",AY$3&gt;=$J16,AY$3&lt;=$M16),1,"")</f>
        <v/>
      </c>
      <c r="AZ16">
        <f>IF(AND($A16&lt;&gt;"",AZ$3&gt;=$J16,AZ$3&lt;=$M16),1,"")</f>
        <v/>
      </c>
      <c r="BA16">
        <f>IF(AND($A16&lt;&gt;"",BA$3&gt;=$J16,BA$3&lt;=$M16),1,"")</f>
        <v/>
      </c>
      <c r="BB16">
        <f>IF(AND($A16&lt;&gt;"",BB$3&gt;=$J16,BB$3&lt;=$M16),1,"")</f>
        <v/>
      </c>
      <c r="BC16">
        <f>IF(AND($A16&lt;&gt;"",BC$3&gt;=$J16,BC$3&lt;=$M16),1,"")</f>
        <v/>
      </c>
      <c r="BD16">
        <f>IF(AND($A16&lt;&gt;"",BD$3&gt;=$J16,BD$3&lt;=$M16),1,"")</f>
        <v/>
      </c>
      <c r="BE16">
        <f>IF(AND($A16&lt;&gt;"",BE$3&gt;=$J16,BE$3&lt;=$M16),1,"")</f>
        <v/>
      </c>
      <c r="BF16">
        <f>IF(AND($A16&lt;&gt;"",BF$3&gt;=$J16,BF$3&lt;=$M16),1,"")</f>
        <v/>
      </c>
      <c r="BG16">
        <f>IF(AND($A16&lt;&gt;"",BG$3&gt;=$J16,BG$3&lt;=$M16),1,"")</f>
        <v/>
      </c>
      <c r="BH16">
        <f>IF(AND($A16&lt;&gt;"",BH$3&gt;=$J16,BH$3&lt;=$M16),1,"")</f>
        <v/>
      </c>
      <c r="BI16">
        <f>IF(AND($A16&lt;&gt;"",BI$3&gt;=$J16,BI$3&lt;=$M16),1,"")</f>
        <v/>
      </c>
      <c r="BJ16">
        <f>IF(AND($A16&lt;&gt;"",BJ$3&gt;=$J16,BJ$3&lt;=$M16),1,"")</f>
        <v/>
      </c>
      <c r="BK16">
        <f>IF(AND($A16&lt;&gt;"",BK$3&gt;=$J16,BK$3&lt;=$M16),1,"")</f>
        <v/>
      </c>
      <c r="BL16">
        <f>IF(AND($A16&lt;&gt;"",BL$3&gt;=$J16,BL$3&lt;=$M16),1,"")</f>
        <v/>
      </c>
      <c r="BM16">
        <f>IF(AND($A16&lt;&gt;"",BM$3&gt;=$J16,BM$3&lt;=$M16),1,"")</f>
        <v/>
      </c>
      <c r="BN16">
        <f>IF(AND($A16&lt;&gt;"",BN$3&gt;=$J16,BN$3&lt;=$M16),1,"")</f>
        <v/>
      </c>
      <c r="BO16">
        <f>IF(AND($A16&lt;&gt;"",BO$3&gt;=$J16,BO$3&lt;=$M16),1,"")</f>
        <v/>
      </c>
      <c r="BP16">
        <f>IF(AND($A16&lt;&gt;"",BP$3&gt;=$J16,BP$3&lt;=$M16),1,"")</f>
        <v/>
      </c>
      <c r="BQ16">
        <f>IF(AND($A16&lt;&gt;"",BQ$3&gt;=$J16,BQ$3&lt;=$M16),1,"")</f>
        <v/>
      </c>
      <c r="BR16">
        <f>IF(AND($A16&lt;&gt;"",BR$3&gt;=$J16,BR$3&lt;=$M16),1,"")</f>
        <v/>
      </c>
      <c r="BS16">
        <f>IF(AND($A16&lt;&gt;"",BS$3&gt;=$J16,BS$3&lt;=$M16),1,"")</f>
        <v/>
      </c>
      <c r="BT16">
        <f>IF(AND($A16&lt;&gt;"",BT$3&gt;=$J16,BT$3&lt;=$M16),1,"")</f>
        <v/>
      </c>
      <c r="BU16">
        <f>IF(AND($A16&lt;&gt;"",BU$3&gt;=$J16,BU$3&lt;=$M16),1,"")</f>
        <v/>
      </c>
      <c r="BV16">
        <f>IF(AND($A16&lt;&gt;"",BV$3&gt;=$J16,BV$3&lt;=$M16),1,"")</f>
        <v/>
      </c>
    </row>
    <row r="17">
      <c r="A17">
        <f>IF(Job_Master_Ring!$A17="","",Job_Master_Ring!$A17)</f>
        <v/>
      </c>
      <c r="B17">
        <f>IF($A17="","",Job_Master_Ring!B17)</f>
        <v/>
      </c>
      <c r="C17">
        <f>IF($A17="","",Job_Master_Ring!C17)</f>
        <v/>
      </c>
      <c r="D17">
        <f>IF($A17="","",Job_Master_Ring!D17)</f>
        <v/>
      </c>
      <c r="E17">
        <f>IF($A17="","",IF($I17&lt;&gt;"",$I17,IFERROR(INDEX(Machine_List!$B$87:$B$94,MATCH(1,(Machine_List!$H$87:$H$94&lt;=IFERROR(VLOOKUP($B17,CHOOSE(MATCH($C17,Settings!$L$4:$L$10,0),OPR_BR1!$A$4:$K$18,OPR_BR2!$A$4:$K$18,OPR_CR2!$A$4:$K$18,OPR_CR3!$A$4:$K$18,OPR_CR4!$A$4:$K$18,OPR_RIM!$A$4:$K$18,OPR_BPR!$A$4:$K$18),10,0),0))*(Machine_List!$I$87:$I$94&gt;=IFERROR(VLOOKUP($B17,CHOOSE(MATCH($C17,Settings!$L$4:$L$10,0),OPR_BR1!$A$4:$K$18,OPR_BR2!$A$4:$K$18,OPR_CR2!$A$4:$K$18,OPR_CR3!$A$4:$K$18,OPR_CR4!$A$4:$K$18,OPR_RIM!$A$4:$K$18,OPR_BPR!$A$4:$K$18),11,0),9999)),0)),"NO COMPATIBLE MACHINE")))</f>
        <v/>
      </c>
      <c r="F17">
        <f>IF($E17="","",IFERROR(VLOOKUP($E17,Machine_List!$B:$G,6,0),""))</f>
        <v/>
      </c>
      <c r="G17" s="17">
        <f>IF($E17="","",IFERROR(VLOOKUP($E17,Machine_List!$B:$C,2,0),""))</f>
        <v/>
      </c>
      <c r="H17">
        <f>IF($E17="","",IFERROR(VLOOKUP($E17,Machine_List!$B:$D,3,0),""))</f>
        <v/>
      </c>
      <c r="J17" s="16">
        <f>IF($A17="","",IF($I17&lt;&gt;"",$I17,MAX(GlobalStartDate,IFERROR(LOOKUP(2,1/($E$3:INDIRECT("E"&amp;(ROW()-1))=$E17),$M$3:INDIRECT("M"&amp;(ROW()-1))),GlobalStartDate))))</f>
        <v/>
      </c>
      <c r="K17">
        <f>IF($A17="","",IFERROR(VLOOKUP(B17,CHOOSE(MATCH($C17,Settings!$L$4:$L$10,0),OPR_BR1!$A$4:$I$18,OPR_BR2!$A$4:$I$18,OPR_CR2!$A$4:$I$18,OPR_CR3!$A$4:$I$18,OPR_CR4!$A$4:$I$18,OPR_RIM!$A$4:$I$18,OPR_BPR!$A$4:$I$18),2,0),0))</f>
        <v/>
      </c>
      <c r="L17">
        <f>IF($A17="","",K17*D17)</f>
        <v/>
      </c>
      <c r="M17" s="16">
        <f>IF($A17="","",IF(AND(ISNUMBER(G17),G17&gt;=J17,G17&lt;=(J17+(L17/(IF(F17="Contract Workman",Settings!$K$5,Settings!$K$4))))),J17+(L17/(IF(F17="Contract Workman",Settings!$K$5,Settings!$K$4)))+(H17/(IF(F17="Contract Workman",Settings!$K$5,Settings!$K$4))),J17+(L17/(IF(F17="Contract Workman",Settings!$K$5,Settings!$K$4)))))</f>
        <v/>
      </c>
      <c r="N17">
        <f>IF($A17="","",IF(F17="Contract Workman",IF(AND(MOD(M17,1)&gt;=8/24,MOD(M17,1)&lt;20/24),"Shift S1","Shift S2"),IF(AND(MOD(M17,1)&gt;=7/24,MOD(M17,1)&lt;15/24),"Shift A",IF(AND(MOD(M17,1)&gt;=15/24,MOD(M17,1)&lt;23/24),"Shift B","Shift C"))))</f>
        <v/>
      </c>
      <c r="O17">
        <f>IF(B17="","",IF(IFERROR(ISNUMBER(SEARCH(TEXT(B17,"0"),VLOOKUP(E17,Machine_List!$B:$J,9,0))),FALSE),"✅ "&amp;E17,"❌ ?"))</f>
        <v/>
      </c>
      <c r="P17">
        <f>IF(AND($A17&lt;&gt;"",P$3&gt;=$J17,P$3&lt;=$M17),1,"")</f>
        <v/>
      </c>
      <c r="Q17">
        <f>IF(AND($A17&lt;&gt;"",Q$3&gt;=$J17,Q$3&lt;=$M17),1,"")</f>
        <v/>
      </c>
      <c r="R17">
        <f>IF(AND($A17&lt;&gt;"",R$3&gt;=$J17,R$3&lt;=$M17),1,"")</f>
        <v/>
      </c>
      <c r="S17">
        <f>IF(AND($A17&lt;&gt;"",S$3&gt;=$J17,S$3&lt;=$M17),1,"")</f>
        <v/>
      </c>
      <c r="T17">
        <f>IF(AND($A17&lt;&gt;"",T$3&gt;=$J17,T$3&lt;=$M17),1,"")</f>
        <v/>
      </c>
      <c r="U17">
        <f>IF(AND($A17&lt;&gt;"",U$3&gt;=$J17,U$3&lt;=$M17),1,"")</f>
        <v/>
      </c>
      <c r="V17">
        <f>IF(AND($A17&lt;&gt;"",V$3&gt;=$J17,V$3&lt;=$M17),1,"")</f>
        <v/>
      </c>
      <c r="W17">
        <f>IF(AND($A17&lt;&gt;"",W$3&gt;=$J17,W$3&lt;=$M17),1,"")</f>
        <v/>
      </c>
      <c r="X17">
        <f>IF(AND($A17&lt;&gt;"",X$3&gt;=$J17,X$3&lt;=$M17),1,"")</f>
        <v/>
      </c>
      <c r="Y17">
        <f>IF(AND($A17&lt;&gt;"",Y$3&gt;=$J17,Y$3&lt;=$M17),1,"")</f>
        <v/>
      </c>
      <c r="Z17">
        <f>IF(AND($A17&lt;&gt;"",Z$3&gt;=$J17,Z$3&lt;=$M17),1,"")</f>
        <v/>
      </c>
      <c r="AA17">
        <f>IF(AND($A17&lt;&gt;"",AA$3&gt;=$J17,AA$3&lt;=$M17),1,"")</f>
        <v/>
      </c>
      <c r="AB17">
        <f>IF(AND($A17&lt;&gt;"",AB$3&gt;=$J17,AB$3&lt;=$M17),1,"")</f>
        <v/>
      </c>
      <c r="AC17">
        <f>IF(AND($A17&lt;&gt;"",AC$3&gt;=$J17,AC$3&lt;=$M17),1,"")</f>
        <v/>
      </c>
      <c r="AD17">
        <f>IF(AND($A17&lt;&gt;"",AD$3&gt;=$J17,AD$3&lt;=$M17),1,"")</f>
        <v/>
      </c>
      <c r="AE17">
        <f>IF(AND($A17&lt;&gt;"",AE$3&gt;=$J17,AE$3&lt;=$M17),1,"")</f>
        <v/>
      </c>
      <c r="AF17">
        <f>IF(AND($A17&lt;&gt;"",AF$3&gt;=$J17,AF$3&lt;=$M17),1,"")</f>
        <v/>
      </c>
      <c r="AG17">
        <f>IF(AND($A17&lt;&gt;"",AG$3&gt;=$J17,AG$3&lt;=$M17),1,"")</f>
        <v/>
      </c>
      <c r="AH17">
        <f>IF(AND($A17&lt;&gt;"",AH$3&gt;=$J17,AH$3&lt;=$M17),1,"")</f>
        <v/>
      </c>
      <c r="AI17">
        <f>IF(AND($A17&lt;&gt;"",AI$3&gt;=$J17,AI$3&lt;=$M17),1,"")</f>
        <v/>
      </c>
      <c r="AJ17">
        <f>IF(AND($A17&lt;&gt;"",AJ$3&gt;=$J17,AJ$3&lt;=$M17),1,"")</f>
        <v/>
      </c>
      <c r="AK17">
        <f>IF(AND($A17&lt;&gt;"",AK$3&gt;=$J17,AK$3&lt;=$M17),1,"")</f>
        <v/>
      </c>
      <c r="AL17">
        <f>IF(AND($A17&lt;&gt;"",AL$3&gt;=$J17,AL$3&lt;=$M17),1,"")</f>
        <v/>
      </c>
      <c r="AM17">
        <f>IF(AND($A17&lt;&gt;"",AM$3&gt;=$J17,AM$3&lt;=$M17),1,"")</f>
        <v/>
      </c>
      <c r="AN17">
        <f>IF(AND($A17&lt;&gt;"",AN$3&gt;=$J17,AN$3&lt;=$M17),1,"")</f>
        <v/>
      </c>
      <c r="AO17">
        <f>IF(AND($A17&lt;&gt;"",AO$3&gt;=$J17,AO$3&lt;=$M17),1,"")</f>
        <v/>
      </c>
      <c r="AP17">
        <f>IF(AND($A17&lt;&gt;"",AP$3&gt;=$J17,AP$3&lt;=$M17),1,"")</f>
        <v/>
      </c>
      <c r="AQ17">
        <f>IF(AND($A17&lt;&gt;"",AQ$3&gt;=$J17,AQ$3&lt;=$M17),1,"")</f>
        <v/>
      </c>
      <c r="AR17">
        <f>IF(AND($A17&lt;&gt;"",AR$3&gt;=$J17,AR$3&lt;=$M17),1,"")</f>
        <v/>
      </c>
      <c r="AS17">
        <f>IF(AND($A17&lt;&gt;"",AS$3&gt;=$J17,AS$3&lt;=$M17),1,"")</f>
        <v/>
      </c>
      <c r="AT17">
        <f>IF(AND($A17&lt;&gt;"",AT$3&gt;=$J17,AT$3&lt;=$M17),1,"")</f>
        <v/>
      </c>
      <c r="AU17">
        <f>IF(AND($A17&lt;&gt;"",AU$3&gt;=$J17,AU$3&lt;=$M17),1,"")</f>
        <v/>
      </c>
      <c r="AV17">
        <f>IF(AND($A17&lt;&gt;"",AV$3&gt;=$J17,AV$3&lt;=$M17),1,"")</f>
        <v/>
      </c>
      <c r="AW17">
        <f>IF(AND($A17&lt;&gt;"",AW$3&gt;=$J17,AW$3&lt;=$M17),1,"")</f>
        <v/>
      </c>
      <c r="AX17">
        <f>IF(AND($A17&lt;&gt;"",AX$3&gt;=$J17,AX$3&lt;=$M17),1,"")</f>
        <v/>
      </c>
      <c r="AY17">
        <f>IF(AND($A17&lt;&gt;"",AY$3&gt;=$J17,AY$3&lt;=$M17),1,"")</f>
        <v/>
      </c>
      <c r="AZ17">
        <f>IF(AND($A17&lt;&gt;"",AZ$3&gt;=$J17,AZ$3&lt;=$M17),1,"")</f>
        <v/>
      </c>
      <c r="BA17">
        <f>IF(AND($A17&lt;&gt;"",BA$3&gt;=$J17,BA$3&lt;=$M17),1,"")</f>
        <v/>
      </c>
      <c r="BB17">
        <f>IF(AND($A17&lt;&gt;"",BB$3&gt;=$J17,BB$3&lt;=$M17),1,"")</f>
        <v/>
      </c>
      <c r="BC17">
        <f>IF(AND($A17&lt;&gt;"",BC$3&gt;=$J17,BC$3&lt;=$M17),1,"")</f>
        <v/>
      </c>
      <c r="BD17">
        <f>IF(AND($A17&lt;&gt;"",BD$3&gt;=$J17,BD$3&lt;=$M17),1,"")</f>
        <v/>
      </c>
      <c r="BE17">
        <f>IF(AND($A17&lt;&gt;"",BE$3&gt;=$J17,BE$3&lt;=$M17),1,"")</f>
        <v/>
      </c>
      <c r="BF17">
        <f>IF(AND($A17&lt;&gt;"",BF$3&gt;=$J17,BF$3&lt;=$M17),1,"")</f>
        <v/>
      </c>
      <c r="BG17">
        <f>IF(AND($A17&lt;&gt;"",BG$3&gt;=$J17,BG$3&lt;=$M17),1,"")</f>
        <v/>
      </c>
      <c r="BH17">
        <f>IF(AND($A17&lt;&gt;"",BH$3&gt;=$J17,BH$3&lt;=$M17),1,"")</f>
        <v/>
      </c>
      <c r="BI17">
        <f>IF(AND($A17&lt;&gt;"",BI$3&gt;=$J17,BI$3&lt;=$M17),1,"")</f>
        <v/>
      </c>
      <c r="BJ17">
        <f>IF(AND($A17&lt;&gt;"",BJ$3&gt;=$J17,BJ$3&lt;=$M17),1,"")</f>
        <v/>
      </c>
      <c r="BK17">
        <f>IF(AND($A17&lt;&gt;"",BK$3&gt;=$J17,BK$3&lt;=$M17),1,"")</f>
        <v/>
      </c>
      <c r="BL17">
        <f>IF(AND($A17&lt;&gt;"",BL$3&gt;=$J17,BL$3&lt;=$M17),1,"")</f>
        <v/>
      </c>
      <c r="BM17">
        <f>IF(AND($A17&lt;&gt;"",BM$3&gt;=$J17,BM$3&lt;=$M17),1,"")</f>
        <v/>
      </c>
      <c r="BN17">
        <f>IF(AND($A17&lt;&gt;"",BN$3&gt;=$J17,BN$3&lt;=$M17),1,"")</f>
        <v/>
      </c>
      <c r="BO17">
        <f>IF(AND($A17&lt;&gt;"",BO$3&gt;=$J17,BO$3&lt;=$M17),1,"")</f>
        <v/>
      </c>
      <c r="BP17">
        <f>IF(AND($A17&lt;&gt;"",BP$3&gt;=$J17,BP$3&lt;=$M17),1,"")</f>
        <v/>
      </c>
      <c r="BQ17">
        <f>IF(AND($A17&lt;&gt;"",BQ$3&gt;=$J17,BQ$3&lt;=$M17),1,"")</f>
        <v/>
      </c>
      <c r="BR17">
        <f>IF(AND($A17&lt;&gt;"",BR$3&gt;=$J17,BR$3&lt;=$M17),1,"")</f>
        <v/>
      </c>
      <c r="BS17">
        <f>IF(AND($A17&lt;&gt;"",BS$3&gt;=$J17,BS$3&lt;=$M17),1,"")</f>
        <v/>
      </c>
      <c r="BT17">
        <f>IF(AND($A17&lt;&gt;"",BT$3&gt;=$J17,BT$3&lt;=$M17),1,"")</f>
        <v/>
      </c>
      <c r="BU17">
        <f>IF(AND($A17&lt;&gt;"",BU$3&gt;=$J17,BU$3&lt;=$M17),1,"")</f>
        <v/>
      </c>
      <c r="BV17">
        <f>IF(AND($A17&lt;&gt;"",BV$3&gt;=$J17,BV$3&lt;=$M17),1,"")</f>
        <v/>
      </c>
    </row>
    <row r="18">
      <c r="A18">
        <f>IF(Job_Master_Ring!$A18="","",Job_Master_Ring!$A18)</f>
        <v/>
      </c>
      <c r="B18">
        <f>IF($A18="","",Job_Master_Ring!B18)</f>
        <v/>
      </c>
      <c r="C18">
        <f>IF($A18="","",Job_Master_Ring!C18)</f>
        <v/>
      </c>
      <c r="D18">
        <f>IF($A18="","",Job_Master_Ring!D18)</f>
        <v/>
      </c>
      <c r="E18">
        <f>IF($A18="","",IF($I18&lt;&gt;"",$I18,IFERROR(INDEX(Machine_List!$B$87:$B$94,MATCH(1,(Machine_List!$H$87:$H$94&lt;=IFERROR(VLOOKUP($B18,CHOOSE(MATCH($C18,Settings!$L$4:$L$10,0),OPR_BR1!$A$4:$K$18,OPR_BR2!$A$4:$K$18,OPR_CR2!$A$4:$K$18,OPR_CR3!$A$4:$K$18,OPR_CR4!$A$4:$K$18,OPR_RIM!$A$4:$K$18,OPR_BPR!$A$4:$K$18),10,0),0))*(Machine_List!$I$87:$I$94&gt;=IFERROR(VLOOKUP($B18,CHOOSE(MATCH($C18,Settings!$L$4:$L$10,0),OPR_BR1!$A$4:$K$18,OPR_BR2!$A$4:$K$18,OPR_CR2!$A$4:$K$18,OPR_CR3!$A$4:$K$18,OPR_CR4!$A$4:$K$18,OPR_RIM!$A$4:$K$18,OPR_BPR!$A$4:$K$18),11,0),9999)),0)),"NO COMPATIBLE MACHINE")))</f>
        <v/>
      </c>
      <c r="F18">
        <f>IF($E18="","",IFERROR(VLOOKUP($E18,Machine_List!$B:$G,6,0),""))</f>
        <v/>
      </c>
      <c r="G18" s="17">
        <f>IF($E18="","",IFERROR(VLOOKUP($E18,Machine_List!$B:$C,2,0),""))</f>
        <v/>
      </c>
      <c r="H18">
        <f>IF($E18="","",IFERROR(VLOOKUP($E18,Machine_List!$B:$D,3,0),""))</f>
        <v/>
      </c>
      <c r="J18" s="16">
        <f>IF($A18="","",IF($I18&lt;&gt;"",$I18,MAX(GlobalStartDate,IFERROR(LOOKUP(2,1/($E$3:INDIRECT("E"&amp;(ROW()-1))=$E18),$M$3:INDIRECT("M"&amp;(ROW()-1))),GlobalStartDate))))</f>
        <v/>
      </c>
      <c r="K18">
        <f>IF($A18="","",IFERROR(VLOOKUP(B18,CHOOSE(MATCH($C18,Settings!$L$4:$L$10,0),OPR_BR1!$A$4:$I$18,OPR_BR2!$A$4:$I$18,OPR_CR2!$A$4:$I$18,OPR_CR3!$A$4:$I$18,OPR_CR4!$A$4:$I$18,OPR_RIM!$A$4:$I$18,OPR_BPR!$A$4:$I$18),2,0),0))</f>
        <v/>
      </c>
      <c r="L18">
        <f>IF($A18="","",K18*D18)</f>
        <v/>
      </c>
      <c r="M18" s="16">
        <f>IF($A18="","",IF(AND(ISNUMBER(G18),G18&gt;=J18,G18&lt;=(J18+(L18/(IF(F18="Contract Workman",Settings!$K$5,Settings!$K$4))))),J18+(L18/(IF(F18="Contract Workman",Settings!$K$5,Settings!$K$4)))+(H18/(IF(F18="Contract Workman",Settings!$K$5,Settings!$K$4))),J18+(L18/(IF(F18="Contract Workman",Settings!$K$5,Settings!$K$4)))))</f>
        <v/>
      </c>
      <c r="N18">
        <f>IF($A18="","",IF(F18="Contract Workman",IF(AND(MOD(M18,1)&gt;=8/24,MOD(M18,1)&lt;20/24),"Shift S1","Shift S2"),IF(AND(MOD(M18,1)&gt;=7/24,MOD(M18,1)&lt;15/24),"Shift A",IF(AND(MOD(M18,1)&gt;=15/24,MOD(M18,1)&lt;23/24),"Shift B","Shift C"))))</f>
        <v/>
      </c>
      <c r="O18">
        <f>IF(B18="","",IF(IFERROR(ISNUMBER(SEARCH(TEXT(B18,"0"),VLOOKUP(E18,Machine_List!$B:$J,9,0))),FALSE),"✅ "&amp;E18,"❌ ?"))</f>
        <v/>
      </c>
      <c r="P18">
        <f>IF(AND($A18&lt;&gt;"",P$3&gt;=$J18,P$3&lt;=$M18),1,"")</f>
        <v/>
      </c>
      <c r="Q18">
        <f>IF(AND($A18&lt;&gt;"",Q$3&gt;=$J18,Q$3&lt;=$M18),1,"")</f>
        <v/>
      </c>
      <c r="R18">
        <f>IF(AND($A18&lt;&gt;"",R$3&gt;=$J18,R$3&lt;=$M18),1,"")</f>
        <v/>
      </c>
      <c r="S18">
        <f>IF(AND($A18&lt;&gt;"",S$3&gt;=$J18,S$3&lt;=$M18),1,"")</f>
        <v/>
      </c>
      <c r="T18">
        <f>IF(AND($A18&lt;&gt;"",T$3&gt;=$J18,T$3&lt;=$M18),1,"")</f>
        <v/>
      </c>
      <c r="U18">
        <f>IF(AND($A18&lt;&gt;"",U$3&gt;=$J18,U$3&lt;=$M18),1,"")</f>
        <v/>
      </c>
      <c r="V18">
        <f>IF(AND($A18&lt;&gt;"",V$3&gt;=$J18,V$3&lt;=$M18),1,"")</f>
        <v/>
      </c>
      <c r="W18">
        <f>IF(AND($A18&lt;&gt;"",W$3&gt;=$J18,W$3&lt;=$M18),1,"")</f>
        <v/>
      </c>
      <c r="X18">
        <f>IF(AND($A18&lt;&gt;"",X$3&gt;=$J18,X$3&lt;=$M18),1,"")</f>
        <v/>
      </c>
      <c r="Y18">
        <f>IF(AND($A18&lt;&gt;"",Y$3&gt;=$J18,Y$3&lt;=$M18),1,"")</f>
        <v/>
      </c>
      <c r="Z18">
        <f>IF(AND($A18&lt;&gt;"",Z$3&gt;=$J18,Z$3&lt;=$M18),1,"")</f>
        <v/>
      </c>
      <c r="AA18">
        <f>IF(AND($A18&lt;&gt;"",AA$3&gt;=$J18,AA$3&lt;=$M18),1,"")</f>
        <v/>
      </c>
      <c r="AB18">
        <f>IF(AND($A18&lt;&gt;"",AB$3&gt;=$J18,AB$3&lt;=$M18),1,"")</f>
        <v/>
      </c>
      <c r="AC18">
        <f>IF(AND($A18&lt;&gt;"",AC$3&gt;=$J18,AC$3&lt;=$M18),1,"")</f>
        <v/>
      </c>
      <c r="AD18">
        <f>IF(AND($A18&lt;&gt;"",AD$3&gt;=$J18,AD$3&lt;=$M18),1,"")</f>
        <v/>
      </c>
      <c r="AE18">
        <f>IF(AND($A18&lt;&gt;"",AE$3&gt;=$J18,AE$3&lt;=$M18),1,"")</f>
        <v/>
      </c>
      <c r="AF18">
        <f>IF(AND($A18&lt;&gt;"",AF$3&gt;=$J18,AF$3&lt;=$M18),1,"")</f>
        <v/>
      </c>
      <c r="AG18">
        <f>IF(AND($A18&lt;&gt;"",AG$3&gt;=$J18,AG$3&lt;=$M18),1,"")</f>
        <v/>
      </c>
      <c r="AH18">
        <f>IF(AND($A18&lt;&gt;"",AH$3&gt;=$J18,AH$3&lt;=$M18),1,"")</f>
        <v/>
      </c>
      <c r="AI18">
        <f>IF(AND($A18&lt;&gt;"",AI$3&gt;=$J18,AI$3&lt;=$M18),1,"")</f>
        <v/>
      </c>
      <c r="AJ18">
        <f>IF(AND($A18&lt;&gt;"",AJ$3&gt;=$J18,AJ$3&lt;=$M18),1,"")</f>
        <v/>
      </c>
      <c r="AK18">
        <f>IF(AND($A18&lt;&gt;"",AK$3&gt;=$J18,AK$3&lt;=$M18),1,"")</f>
        <v/>
      </c>
      <c r="AL18">
        <f>IF(AND($A18&lt;&gt;"",AL$3&gt;=$J18,AL$3&lt;=$M18),1,"")</f>
        <v/>
      </c>
      <c r="AM18">
        <f>IF(AND($A18&lt;&gt;"",AM$3&gt;=$J18,AM$3&lt;=$M18),1,"")</f>
        <v/>
      </c>
      <c r="AN18">
        <f>IF(AND($A18&lt;&gt;"",AN$3&gt;=$J18,AN$3&lt;=$M18),1,"")</f>
        <v/>
      </c>
      <c r="AO18">
        <f>IF(AND($A18&lt;&gt;"",AO$3&gt;=$J18,AO$3&lt;=$M18),1,"")</f>
        <v/>
      </c>
      <c r="AP18">
        <f>IF(AND($A18&lt;&gt;"",AP$3&gt;=$J18,AP$3&lt;=$M18),1,"")</f>
        <v/>
      </c>
      <c r="AQ18">
        <f>IF(AND($A18&lt;&gt;"",AQ$3&gt;=$J18,AQ$3&lt;=$M18),1,"")</f>
        <v/>
      </c>
      <c r="AR18">
        <f>IF(AND($A18&lt;&gt;"",AR$3&gt;=$J18,AR$3&lt;=$M18),1,"")</f>
        <v/>
      </c>
      <c r="AS18">
        <f>IF(AND($A18&lt;&gt;"",AS$3&gt;=$J18,AS$3&lt;=$M18),1,"")</f>
        <v/>
      </c>
      <c r="AT18">
        <f>IF(AND($A18&lt;&gt;"",AT$3&gt;=$J18,AT$3&lt;=$M18),1,"")</f>
        <v/>
      </c>
      <c r="AU18">
        <f>IF(AND($A18&lt;&gt;"",AU$3&gt;=$J18,AU$3&lt;=$M18),1,"")</f>
        <v/>
      </c>
      <c r="AV18">
        <f>IF(AND($A18&lt;&gt;"",AV$3&gt;=$J18,AV$3&lt;=$M18),1,"")</f>
        <v/>
      </c>
      <c r="AW18">
        <f>IF(AND($A18&lt;&gt;"",AW$3&gt;=$J18,AW$3&lt;=$M18),1,"")</f>
        <v/>
      </c>
      <c r="AX18">
        <f>IF(AND($A18&lt;&gt;"",AX$3&gt;=$J18,AX$3&lt;=$M18),1,"")</f>
        <v/>
      </c>
      <c r="AY18">
        <f>IF(AND($A18&lt;&gt;"",AY$3&gt;=$J18,AY$3&lt;=$M18),1,"")</f>
        <v/>
      </c>
      <c r="AZ18">
        <f>IF(AND($A18&lt;&gt;"",AZ$3&gt;=$J18,AZ$3&lt;=$M18),1,"")</f>
        <v/>
      </c>
      <c r="BA18">
        <f>IF(AND($A18&lt;&gt;"",BA$3&gt;=$J18,BA$3&lt;=$M18),1,"")</f>
        <v/>
      </c>
      <c r="BB18">
        <f>IF(AND($A18&lt;&gt;"",BB$3&gt;=$J18,BB$3&lt;=$M18),1,"")</f>
        <v/>
      </c>
      <c r="BC18">
        <f>IF(AND($A18&lt;&gt;"",BC$3&gt;=$J18,BC$3&lt;=$M18),1,"")</f>
        <v/>
      </c>
      <c r="BD18">
        <f>IF(AND($A18&lt;&gt;"",BD$3&gt;=$J18,BD$3&lt;=$M18),1,"")</f>
        <v/>
      </c>
      <c r="BE18">
        <f>IF(AND($A18&lt;&gt;"",BE$3&gt;=$J18,BE$3&lt;=$M18),1,"")</f>
        <v/>
      </c>
      <c r="BF18">
        <f>IF(AND($A18&lt;&gt;"",BF$3&gt;=$J18,BF$3&lt;=$M18),1,"")</f>
        <v/>
      </c>
      <c r="BG18">
        <f>IF(AND($A18&lt;&gt;"",BG$3&gt;=$J18,BG$3&lt;=$M18),1,"")</f>
        <v/>
      </c>
      <c r="BH18">
        <f>IF(AND($A18&lt;&gt;"",BH$3&gt;=$J18,BH$3&lt;=$M18),1,"")</f>
        <v/>
      </c>
      <c r="BI18">
        <f>IF(AND($A18&lt;&gt;"",BI$3&gt;=$J18,BI$3&lt;=$M18),1,"")</f>
        <v/>
      </c>
      <c r="BJ18">
        <f>IF(AND($A18&lt;&gt;"",BJ$3&gt;=$J18,BJ$3&lt;=$M18),1,"")</f>
        <v/>
      </c>
      <c r="BK18">
        <f>IF(AND($A18&lt;&gt;"",BK$3&gt;=$J18,BK$3&lt;=$M18),1,"")</f>
        <v/>
      </c>
      <c r="BL18">
        <f>IF(AND($A18&lt;&gt;"",BL$3&gt;=$J18,BL$3&lt;=$M18),1,"")</f>
        <v/>
      </c>
      <c r="BM18">
        <f>IF(AND($A18&lt;&gt;"",BM$3&gt;=$J18,BM$3&lt;=$M18),1,"")</f>
        <v/>
      </c>
      <c r="BN18">
        <f>IF(AND($A18&lt;&gt;"",BN$3&gt;=$J18,BN$3&lt;=$M18),1,"")</f>
        <v/>
      </c>
      <c r="BO18">
        <f>IF(AND($A18&lt;&gt;"",BO$3&gt;=$J18,BO$3&lt;=$M18),1,"")</f>
        <v/>
      </c>
      <c r="BP18">
        <f>IF(AND($A18&lt;&gt;"",BP$3&gt;=$J18,BP$3&lt;=$M18),1,"")</f>
        <v/>
      </c>
      <c r="BQ18">
        <f>IF(AND($A18&lt;&gt;"",BQ$3&gt;=$J18,BQ$3&lt;=$M18),1,"")</f>
        <v/>
      </c>
      <c r="BR18">
        <f>IF(AND($A18&lt;&gt;"",BR$3&gt;=$J18,BR$3&lt;=$M18),1,"")</f>
        <v/>
      </c>
      <c r="BS18">
        <f>IF(AND($A18&lt;&gt;"",BS$3&gt;=$J18,BS$3&lt;=$M18),1,"")</f>
        <v/>
      </c>
      <c r="BT18">
        <f>IF(AND($A18&lt;&gt;"",BT$3&gt;=$J18,BT$3&lt;=$M18),1,"")</f>
        <v/>
      </c>
      <c r="BU18">
        <f>IF(AND($A18&lt;&gt;"",BU$3&gt;=$J18,BU$3&lt;=$M18),1,"")</f>
        <v/>
      </c>
      <c r="BV18">
        <f>IF(AND($A18&lt;&gt;"",BV$3&gt;=$J18,BV$3&lt;=$M18),1,"")</f>
        <v/>
      </c>
    </row>
    <row r="19">
      <c r="A19">
        <f>IF(Job_Master_Ring!$A19="","",Job_Master_Ring!$A19)</f>
        <v/>
      </c>
      <c r="B19">
        <f>IF($A19="","",Job_Master_Ring!B19)</f>
        <v/>
      </c>
      <c r="C19">
        <f>IF($A19="","",Job_Master_Ring!C19)</f>
        <v/>
      </c>
      <c r="D19">
        <f>IF($A19="","",Job_Master_Ring!D19)</f>
        <v/>
      </c>
      <c r="E19">
        <f>IF($A19="","",IF($I19&lt;&gt;"",$I19,IFERROR(INDEX(Machine_List!$B$87:$B$94,MATCH(1,(Machine_List!$H$87:$H$94&lt;=IFERROR(VLOOKUP($B19,CHOOSE(MATCH($C19,Settings!$L$4:$L$10,0),OPR_BR1!$A$4:$K$18,OPR_BR2!$A$4:$K$18,OPR_CR2!$A$4:$K$18,OPR_CR3!$A$4:$K$18,OPR_CR4!$A$4:$K$18,OPR_RIM!$A$4:$K$18,OPR_BPR!$A$4:$K$18),10,0),0))*(Machine_List!$I$87:$I$94&gt;=IFERROR(VLOOKUP($B19,CHOOSE(MATCH($C19,Settings!$L$4:$L$10,0),OPR_BR1!$A$4:$K$18,OPR_BR2!$A$4:$K$18,OPR_CR2!$A$4:$K$18,OPR_CR3!$A$4:$K$18,OPR_CR4!$A$4:$K$18,OPR_RIM!$A$4:$K$18,OPR_BPR!$A$4:$K$18),11,0),9999)),0)),"NO COMPATIBLE MACHINE")))</f>
        <v/>
      </c>
      <c r="F19">
        <f>IF($E19="","",IFERROR(VLOOKUP($E19,Machine_List!$B:$G,6,0),""))</f>
        <v/>
      </c>
      <c r="G19" s="17">
        <f>IF($E19="","",IFERROR(VLOOKUP($E19,Machine_List!$B:$C,2,0),""))</f>
        <v/>
      </c>
      <c r="H19">
        <f>IF($E19="","",IFERROR(VLOOKUP($E19,Machine_List!$B:$D,3,0),""))</f>
        <v/>
      </c>
      <c r="J19" s="16">
        <f>IF($A19="","",IF($I19&lt;&gt;"",$I19,MAX(GlobalStartDate,IFERROR(LOOKUP(2,1/($E$3:INDIRECT("E"&amp;(ROW()-1))=$E19),$M$3:INDIRECT("M"&amp;(ROW()-1))),GlobalStartDate))))</f>
        <v/>
      </c>
      <c r="K19">
        <f>IF($A19="","",IFERROR(VLOOKUP(B19,CHOOSE(MATCH($C19,Settings!$L$4:$L$10,0),OPR_BR1!$A$4:$I$18,OPR_BR2!$A$4:$I$18,OPR_CR2!$A$4:$I$18,OPR_CR3!$A$4:$I$18,OPR_CR4!$A$4:$I$18,OPR_RIM!$A$4:$I$18,OPR_BPR!$A$4:$I$18),2,0),0))</f>
        <v/>
      </c>
      <c r="L19">
        <f>IF($A19="","",K19*D19)</f>
        <v/>
      </c>
      <c r="M19" s="16">
        <f>IF($A19="","",IF(AND(ISNUMBER(G19),G19&gt;=J19,G19&lt;=(J19+(L19/(IF(F19="Contract Workman",Settings!$K$5,Settings!$K$4))))),J19+(L19/(IF(F19="Contract Workman",Settings!$K$5,Settings!$K$4)))+(H19/(IF(F19="Contract Workman",Settings!$K$5,Settings!$K$4))),J19+(L19/(IF(F19="Contract Workman",Settings!$K$5,Settings!$K$4)))))</f>
        <v/>
      </c>
      <c r="N19">
        <f>IF($A19="","",IF(F19="Contract Workman",IF(AND(MOD(M19,1)&gt;=8/24,MOD(M19,1)&lt;20/24),"Shift S1","Shift S2"),IF(AND(MOD(M19,1)&gt;=7/24,MOD(M19,1)&lt;15/24),"Shift A",IF(AND(MOD(M19,1)&gt;=15/24,MOD(M19,1)&lt;23/24),"Shift B","Shift C"))))</f>
        <v/>
      </c>
      <c r="O19">
        <f>IF(B19="","",IF(IFERROR(ISNUMBER(SEARCH(TEXT(B19,"0"),VLOOKUP(E19,Machine_List!$B:$J,9,0))),FALSE),"✅ "&amp;E19,"❌ ?"))</f>
        <v/>
      </c>
      <c r="P19">
        <f>IF(AND($A19&lt;&gt;"",P$3&gt;=$J19,P$3&lt;=$M19),1,"")</f>
        <v/>
      </c>
      <c r="Q19">
        <f>IF(AND($A19&lt;&gt;"",Q$3&gt;=$J19,Q$3&lt;=$M19),1,"")</f>
        <v/>
      </c>
      <c r="R19">
        <f>IF(AND($A19&lt;&gt;"",R$3&gt;=$J19,R$3&lt;=$M19),1,"")</f>
        <v/>
      </c>
      <c r="S19">
        <f>IF(AND($A19&lt;&gt;"",S$3&gt;=$J19,S$3&lt;=$M19),1,"")</f>
        <v/>
      </c>
      <c r="T19">
        <f>IF(AND($A19&lt;&gt;"",T$3&gt;=$J19,T$3&lt;=$M19),1,"")</f>
        <v/>
      </c>
      <c r="U19">
        <f>IF(AND($A19&lt;&gt;"",U$3&gt;=$J19,U$3&lt;=$M19),1,"")</f>
        <v/>
      </c>
      <c r="V19">
        <f>IF(AND($A19&lt;&gt;"",V$3&gt;=$J19,V$3&lt;=$M19),1,"")</f>
        <v/>
      </c>
      <c r="W19">
        <f>IF(AND($A19&lt;&gt;"",W$3&gt;=$J19,W$3&lt;=$M19),1,"")</f>
        <v/>
      </c>
      <c r="X19">
        <f>IF(AND($A19&lt;&gt;"",X$3&gt;=$J19,X$3&lt;=$M19),1,"")</f>
        <v/>
      </c>
      <c r="Y19">
        <f>IF(AND($A19&lt;&gt;"",Y$3&gt;=$J19,Y$3&lt;=$M19),1,"")</f>
        <v/>
      </c>
      <c r="Z19">
        <f>IF(AND($A19&lt;&gt;"",Z$3&gt;=$J19,Z$3&lt;=$M19),1,"")</f>
        <v/>
      </c>
      <c r="AA19">
        <f>IF(AND($A19&lt;&gt;"",AA$3&gt;=$J19,AA$3&lt;=$M19),1,"")</f>
        <v/>
      </c>
      <c r="AB19">
        <f>IF(AND($A19&lt;&gt;"",AB$3&gt;=$J19,AB$3&lt;=$M19),1,"")</f>
        <v/>
      </c>
      <c r="AC19">
        <f>IF(AND($A19&lt;&gt;"",AC$3&gt;=$J19,AC$3&lt;=$M19),1,"")</f>
        <v/>
      </c>
      <c r="AD19">
        <f>IF(AND($A19&lt;&gt;"",AD$3&gt;=$J19,AD$3&lt;=$M19),1,"")</f>
        <v/>
      </c>
      <c r="AE19">
        <f>IF(AND($A19&lt;&gt;"",AE$3&gt;=$J19,AE$3&lt;=$M19),1,"")</f>
        <v/>
      </c>
      <c r="AF19">
        <f>IF(AND($A19&lt;&gt;"",AF$3&gt;=$J19,AF$3&lt;=$M19),1,"")</f>
        <v/>
      </c>
      <c r="AG19">
        <f>IF(AND($A19&lt;&gt;"",AG$3&gt;=$J19,AG$3&lt;=$M19),1,"")</f>
        <v/>
      </c>
      <c r="AH19">
        <f>IF(AND($A19&lt;&gt;"",AH$3&gt;=$J19,AH$3&lt;=$M19),1,"")</f>
        <v/>
      </c>
      <c r="AI19">
        <f>IF(AND($A19&lt;&gt;"",AI$3&gt;=$J19,AI$3&lt;=$M19),1,"")</f>
        <v/>
      </c>
      <c r="AJ19">
        <f>IF(AND($A19&lt;&gt;"",AJ$3&gt;=$J19,AJ$3&lt;=$M19),1,"")</f>
        <v/>
      </c>
      <c r="AK19">
        <f>IF(AND($A19&lt;&gt;"",AK$3&gt;=$J19,AK$3&lt;=$M19),1,"")</f>
        <v/>
      </c>
      <c r="AL19">
        <f>IF(AND($A19&lt;&gt;"",AL$3&gt;=$J19,AL$3&lt;=$M19),1,"")</f>
        <v/>
      </c>
      <c r="AM19">
        <f>IF(AND($A19&lt;&gt;"",AM$3&gt;=$J19,AM$3&lt;=$M19),1,"")</f>
        <v/>
      </c>
      <c r="AN19">
        <f>IF(AND($A19&lt;&gt;"",AN$3&gt;=$J19,AN$3&lt;=$M19),1,"")</f>
        <v/>
      </c>
      <c r="AO19">
        <f>IF(AND($A19&lt;&gt;"",AO$3&gt;=$J19,AO$3&lt;=$M19),1,"")</f>
        <v/>
      </c>
      <c r="AP19">
        <f>IF(AND($A19&lt;&gt;"",AP$3&gt;=$J19,AP$3&lt;=$M19),1,"")</f>
        <v/>
      </c>
      <c r="AQ19">
        <f>IF(AND($A19&lt;&gt;"",AQ$3&gt;=$J19,AQ$3&lt;=$M19),1,"")</f>
        <v/>
      </c>
      <c r="AR19">
        <f>IF(AND($A19&lt;&gt;"",AR$3&gt;=$J19,AR$3&lt;=$M19),1,"")</f>
        <v/>
      </c>
      <c r="AS19">
        <f>IF(AND($A19&lt;&gt;"",AS$3&gt;=$J19,AS$3&lt;=$M19),1,"")</f>
        <v/>
      </c>
      <c r="AT19">
        <f>IF(AND($A19&lt;&gt;"",AT$3&gt;=$J19,AT$3&lt;=$M19),1,"")</f>
        <v/>
      </c>
      <c r="AU19">
        <f>IF(AND($A19&lt;&gt;"",AU$3&gt;=$J19,AU$3&lt;=$M19),1,"")</f>
        <v/>
      </c>
      <c r="AV19">
        <f>IF(AND($A19&lt;&gt;"",AV$3&gt;=$J19,AV$3&lt;=$M19),1,"")</f>
        <v/>
      </c>
      <c r="AW19">
        <f>IF(AND($A19&lt;&gt;"",AW$3&gt;=$J19,AW$3&lt;=$M19),1,"")</f>
        <v/>
      </c>
      <c r="AX19">
        <f>IF(AND($A19&lt;&gt;"",AX$3&gt;=$J19,AX$3&lt;=$M19),1,"")</f>
        <v/>
      </c>
      <c r="AY19">
        <f>IF(AND($A19&lt;&gt;"",AY$3&gt;=$J19,AY$3&lt;=$M19),1,"")</f>
        <v/>
      </c>
      <c r="AZ19">
        <f>IF(AND($A19&lt;&gt;"",AZ$3&gt;=$J19,AZ$3&lt;=$M19),1,"")</f>
        <v/>
      </c>
      <c r="BA19">
        <f>IF(AND($A19&lt;&gt;"",BA$3&gt;=$J19,BA$3&lt;=$M19),1,"")</f>
        <v/>
      </c>
      <c r="BB19">
        <f>IF(AND($A19&lt;&gt;"",BB$3&gt;=$J19,BB$3&lt;=$M19),1,"")</f>
        <v/>
      </c>
      <c r="BC19">
        <f>IF(AND($A19&lt;&gt;"",BC$3&gt;=$J19,BC$3&lt;=$M19),1,"")</f>
        <v/>
      </c>
      <c r="BD19">
        <f>IF(AND($A19&lt;&gt;"",BD$3&gt;=$J19,BD$3&lt;=$M19),1,"")</f>
        <v/>
      </c>
      <c r="BE19">
        <f>IF(AND($A19&lt;&gt;"",BE$3&gt;=$J19,BE$3&lt;=$M19),1,"")</f>
        <v/>
      </c>
      <c r="BF19">
        <f>IF(AND($A19&lt;&gt;"",BF$3&gt;=$J19,BF$3&lt;=$M19),1,"")</f>
        <v/>
      </c>
      <c r="BG19">
        <f>IF(AND($A19&lt;&gt;"",BG$3&gt;=$J19,BG$3&lt;=$M19),1,"")</f>
        <v/>
      </c>
      <c r="BH19">
        <f>IF(AND($A19&lt;&gt;"",BH$3&gt;=$J19,BH$3&lt;=$M19),1,"")</f>
        <v/>
      </c>
      <c r="BI19">
        <f>IF(AND($A19&lt;&gt;"",BI$3&gt;=$J19,BI$3&lt;=$M19),1,"")</f>
        <v/>
      </c>
      <c r="BJ19">
        <f>IF(AND($A19&lt;&gt;"",BJ$3&gt;=$J19,BJ$3&lt;=$M19),1,"")</f>
        <v/>
      </c>
      <c r="BK19">
        <f>IF(AND($A19&lt;&gt;"",BK$3&gt;=$J19,BK$3&lt;=$M19),1,"")</f>
        <v/>
      </c>
      <c r="BL19">
        <f>IF(AND($A19&lt;&gt;"",BL$3&gt;=$J19,BL$3&lt;=$M19),1,"")</f>
        <v/>
      </c>
      <c r="BM19">
        <f>IF(AND($A19&lt;&gt;"",BM$3&gt;=$J19,BM$3&lt;=$M19),1,"")</f>
        <v/>
      </c>
      <c r="BN19">
        <f>IF(AND($A19&lt;&gt;"",BN$3&gt;=$J19,BN$3&lt;=$M19),1,"")</f>
        <v/>
      </c>
      <c r="BO19">
        <f>IF(AND($A19&lt;&gt;"",BO$3&gt;=$J19,BO$3&lt;=$M19),1,"")</f>
        <v/>
      </c>
      <c r="BP19">
        <f>IF(AND($A19&lt;&gt;"",BP$3&gt;=$J19,BP$3&lt;=$M19),1,"")</f>
        <v/>
      </c>
      <c r="BQ19">
        <f>IF(AND($A19&lt;&gt;"",BQ$3&gt;=$J19,BQ$3&lt;=$M19),1,"")</f>
        <v/>
      </c>
      <c r="BR19">
        <f>IF(AND($A19&lt;&gt;"",BR$3&gt;=$J19,BR$3&lt;=$M19),1,"")</f>
        <v/>
      </c>
      <c r="BS19">
        <f>IF(AND($A19&lt;&gt;"",BS$3&gt;=$J19,BS$3&lt;=$M19),1,"")</f>
        <v/>
      </c>
      <c r="BT19">
        <f>IF(AND($A19&lt;&gt;"",BT$3&gt;=$J19,BT$3&lt;=$M19),1,"")</f>
        <v/>
      </c>
      <c r="BU19">
        <f>IF(AND($A19&lt;&gt;"",BU$3&gt;=$J19,BU$3&lt;=$M19),1,"")</f>
        <v/>
      </c>
      <c r="BV19">
        <f>IF(AND($A19&lt;&gt;"",BV$3&gt;=$J19,BV$3&lt;=$M19),1,"")</f>
        <v/>
      </c>
    </row>
    <row r="20">
      <c r="A20">
        <f>IF(Job_Master_Ring!$A20="","",Job_Master_Ring!$A20)</f>
        <v/>
      </c>
      <c r="B20">
        <f>IF($A20="","",Job_Master_Ring!B20)</f>
        <v/>
      </c>
      <c r="C20">
        <f>IF($A20="","",Job_Master_Ring!C20)</f>
        <v/>
      </c>
      <c r="D20">
        <f>IF($A20="","",Job_Master_Ring!D20)</f>
        <v/>
      </c>
      <c r="E20">
        <f>IF($A20="","",IF($I20&lt;&gt;"",$I20,IFERROR(INDEX(Machine_List!$B$87:$B$94,MATCH(1,(Machine_List!$H$87:$H$94&lt;=IFERROR(VLOOKUP($B20,CHOOSE(MATCH($C20,Settings!$L$4:$L$10,0),OPR_BR1!$A$4:$K$18,OPR_BR2!$A$4:$K$18,OPR_CR2!$A$4:$K$18,OPR_CR3!$A$4:$K$18,OPR_CR4!$A$4:$K$18,OPR_RIM!$A$4:$K$18,OPR_BPR!$A$4:$K$18),10,0),0))*(Machine_List!$I$87:$I$94&gt;=IFERROR(VLOOKUP($B20,CHOOSE(MATCH($C20,Settings!$L$4:$L$10,0),OPR_BR1!$A$4:$K$18,OPR_BR2!$A$4:$K$18,OPR_CR2!$A$4:$K$18,OPR_CR3!$A$4:$K$18,OPR_CR4!$A$4:$K$18,OPR_RIM!$A$4:$K$18,OPR_BPR!$A$4:$K$18),11,0),9999)),0)),"NO COMPATIBLE MACHINE")))</f>
        <v/>
      </c>
      <c r="F20">
        <f>IF($E20="","",IFERROR(VLOOKUP($E20,Machine_List!$B:$G,6,0),""))</f>
        <v/>
      </c>
      <c r="G20" s="17">
        <f>IF($E20="","",IFERROR(VLOOKUP($E20,Machine_List!$B:$C,2,0),""))</f>
        <v/>
      </c>
      <c r="H20">
        <f>IF($E20="","",IFERROR(VLOOKUP($E20,Machine_List!$B:$D,3,0),""))</f>
        <v/>
      </c>
      <c r="J20" s="16">
        <f>IF($A20="","",IF($I20&lt;&gt;"",$I20,MAX(GlobalStartDate,IFERROR(LOOKUP(2,1/($E$3:INDIRECT("E"&amp;(ROW()-1))=$E20),$M$3:INDIRECT("M"&amp;(ROW()-1))),GlobalStartDate))))</f>
        <v/>
      </c>
      <c r="K20">
        <f>IF($A20="","",IFERROR(VLOOKUP(B20,CHOOSE(MATCH($C20,Settings!$L$4:$L$10,0),OPR_BR1!$A$4:$I$18,OPR_BR2!$A$4:$I$18,OPR_CR2!$A$4:$I$18,OPR_CR3!$A$4:$I$18,OPR_CR4!$A$4:$I$18,OPR_RIM!$A$4:$I$18,OPR_BPR!$A$4:$I$18),2,0),0))</f>
        <v/>
      </c>
      <c r="L20">
        <f>IF($A20="","",K20*D20)</f>
        <v/>
      </c>
      <c r="M20" s="16">
        <f>IF($A20="","",IF(AND(ISNUMBER(G20),G20&gt;=J20,G20&lt;=(J20+(L20/(IF(F20="Contract Workman",Settings!$K$5,Settings!$K$4))))),J20+(L20/(IF(F20="Contract Workman",Settings!$K$5,Settings!$K$4)))+(H20/(IF(F20="Contract Workman",Settings!$K$5,Settings!$K$4))),J20+(L20/(IF(F20="Contract Workman",Settings!$K$5,Settings!$K$4)))))</f>
        <v/>
      </c>
      <c r="N20">
        <f>IF($A20="","",IF(F20="Contract Workman",IF(AND(MOD(M20,1)&gt;=8/24,MOD(M20,1)&lt;20/24),"Shift S1","Shift S2"),IF(AND(MOD(M20,1)&gt;=7/24,MOD(M20,1)&lt;15/24),"Shift A",IF(AND(MOD(M20,1)&gt;=15/24,MOD(M20,1)&lt;23/24),"Shift B","Shift C"))))</f>
        <v/>
      </c>
      <c r="O20">
        <f>IF(B20="","",IF(IFERROR(ISNUMBER(SEARCH(TEXT(B20,"0"),VLOOKUP(E20,Machine_List!$B:$J,9,0))),FALSE),"✅ "&amp;E20,"❌ ?"))</f>
        <v/>
      </c>
      <c r="P20">
        <f>IF(AND($A20&lt;&gt;"",P$3&gt;=$J20,P$3&lt;=$M20),1,"")</f>
        <v/>
      </c>
      <c r="Q20">
        <f>IF(AND($A20&lt;&gt;"",Q$3&gt;=$J20,Q$3&lt;=$M20),1,"")</f>
        <v/>
      </c>
      <c r="R20">
        <f>IF(AND($A20&lt;&gt;"",R$3&gt;=$J20,R$3&lt;=$M20),1,"")</f>
        <v/>
      </c>
      <c r="S20">
        <f>IF(AND($A20&lt;&gt;"",S$3&gt;=$J20,S$3&lt;=$M20),1,"")</f>
        <v/>
      </c>
      <c r="T20">
        <f>IF(AND($A20&lt;&gt;"",T$3&gt;=$J20,T$3&lt;=$M20),1,"")</f>
        <v/>
      </c>
      <c r="U20">
        <f>IF(AND($A20&lt;&gt;"",U$3&gt;=$J20,U$3&lt;=$M20),1,"")</f>
        <v/>
      </c>
      <c r="V20">
        <f>IF(AND($A20&lt;&gt;"",V$3&gt;=$J20,V$3&lt;=$M20),1,"")</f>
        <v/>
      </c>
      <c r="W20">
        <f>IF(AND($A20&lt;&gt;"",W$3&gt;=$J20,W$3&lt;=$M20),1,"")</f>
        <v/>
      </c>
      <c r="X20">
        <f>IF(AND($A20&lt;&gt;"",X$3&gt;=$J20,X$3&lt;=$M20),1,"")</f>
        <v/>
      </c>
      <c r="Y20">
        <f>IF(AND($A20&lt;&gt;"",Y$3&gt;=$J20,Y$3&lt;=$M20),1,"")</f>
        <v/>
      </c>
      <c r="Z20">
        <f>IF(AND($A20&lt;&gt;"",Z$3&gt;=$J20,Z$3&lt;=$M20),1,"")</f>
        <v/>
      </c>
      <c r="AA20">
        <f>IF(AND($A20&lt;&gt;"",AA$3&gt;=$J20,AA$3&lt;=$M20),1,"")</f>
        <v/>
      </c>
      <c r="AB20">
        <f>IF(AND($A20&lt;&gt;"",AB$3&gt;=$J20,AB$3&lt;=$M20),1,"")</f>
        <v/>
      </c>
      <c r="AC20">
        <f>IF(AND($A20&lt;&gt;"",AC$3&gt;=$J20,AC$3&lt;=$M20),1,"")</f>
        <v/>
      </c>
      <c r="AD20">
        <f>IF(AND($A20&lt;&gt;"",AD$3&gt;=$J20,AD$3&lt;=$M20),1,"")</f>
        <v/>
      </c>
      <c r="AE20">
        <f>IF(AND($A20&lt;&gt;"",AE$3&gt;=$J20,AE$3&lt;=$M20),1,"")</f>
        <v/>
      </c>
      <c r="AF20">
        <f>IF(AND($A20&lt;&gt;"",AF$3&gt;=$J20,AF$3&lt;=$M20),1,"")</f>
        <v/>
      </c>
      <c r="AG20">
        <f>IF(AND($A20&lt;&gt;"",AG$3&gt;=$J20,AG$3&lt;=$M20),1,"")</f>
        <v/>
      </c>
      <c r="AH20">
        <f>IF(AND($A20&lt;&gt;"",AH$3&gt;=$J20,AH$3&lt;=$M20),1,"")</f>
        <v/>
      </c>
      <c r="AI20">
        <f>IF(AND($A20&lt;&gt;"",AI$3&gt;=$J20,AI$3&lt;=$M20),1,"")</f>
        <v/>
      </c>
      <c r="AJ20">
        <f>IF(AND($A20&lt;&gt;"",AJ$3&gt;=$J20,AJ$3&lt;=$M20),1,"")</f>
        <v/>
      </c>
      <c r="AK20">
        <f>IF(AND($A20&lt;&gt;"",AK$3&gt;=$J20,AK$3&lt;=$M20),1,"")</f>
        <v/>
      </c>
      <c r="AL20">
        <f>IF(AND($A20&lt;&gt;"",AL$3&gt;=$J20,AL$3&lt;=$M20),1,"")</f>
        <v/>
      </c>
      <c r="AM20">
        <f>IF(AND($A20&lt;&gt;"",AM$3&gt;=$J20,AM$3&lt;=$M20),1,"")</f>
        <v/>
      </c>
      <c r="AN20">
        <f>IF(AND($A20&lt;&gt;"",AN$3&gt;=$J20,AN$3&lt;=$M20),1,"")</f>
        <v/>
      </c>
      <c r="AO20">
        <f>IF(AND($A20&lt;&gt;"",AO$3&gt;=$J20,AO$3&lt;=$M20),1,"")</f>
        <v/>
      </c>
      <c r="AP20">
        <f>IF(AND($A20&lt;&gt;"",AP$3&gt;=$J20,AP$3&lt;=$M20),1,"")</f>
        <v/>
      </c>
      <c r="AQ20">
        <f>IF(AND($A20&lt;&gt;"",AQ$3&gt;=$J20,AQ$3&lt;=$M20),1,"")</f>
        <v/>
      </c>
      <c r="AR20">
        <f>IF(AND($A20&lt;&gt;"",AR$3&gt;=$J20,AR$3&lt;=$M20),1,"")</f>
        <v/>
      </c>
      <c r="AS20">
        <f>IF(AND($A20&lt;&gt;"",AS$3&gt;=$J20,AS$3&lt;=$M20),1,"")</f>
        <v/>
      </c>
      <c r="AT20">
        <f>IF(AND($A20&lt;&gt;"",AT$3&gt;=$J20,AT$3&lt;=$M20),1,"")</f>
        <v/>
      </c>
      <c r="AU20">
        <f>IF(AND($A20&lt;&gt;"",AU$3&gt;=$J20,AU$3&lt;=$M20),1,"")</f>
        <v/>
      </c>
      <c r="AV20">
        <f>IF(AND($A20&lt;&gt;"",AV$3&gt;=$J20,AV$3&lt;=$M20),1,"")</f>
        <v/>
      </c>
      <c r="AW20">
        <f>IF(AND($A20&lt;&gt;"",AW$3&gt;=$J20,AW$3&lt;=$M20),1,"")</f>
        <v/>
      </c>
      <c r="AX20">
        <f>IF(AND($A20&lt;&gt;"",AX$3&gt;=$J20,AX$3&lt;=$M20),1,"")</f>
        <v/>
      </c>
      <c r="AY20">
        <f>IF(AND($A20&lt;&gt;"",AY$3&gt;=$J20,AY$3&lt;=$M20),1,"")</f>
        <v/>
      </c>
      <c r="AZ20">
        <f>IF(AND($A20&lt;&gt;"",AZ$3&gt;=$J20,AZ$3&lt;=$M20),1,"")</f>
        <v/>
      </c>
      <c r="BA20">
        <f>IF(AND($A20&lt;&gt;"",BA$3&gt;=$J20,BA$3&lt;=$M20),1,"")</f>
        <v/>
      </c>
      <c r="BB20">
        <f>IF(AND($A20&lt;&gt;"",BB$3&gt;=$J20,BB$3&lt;=$M20),1,"")</f>
        <v/>
      </c>
      <c r="BC20">
        <f>IF(AND($A20&lt;&gt;"",BC$3&gt;=$J20,BC$3&lt;=$M20),1,"")</f>
        <v/>
      </c>
      <c r="BD20">
        <f>IF(AND($A20&lt;&gt;"",BD$3&gt;=$J20,BD$3&lt;=$M20),1,"")</f>
        <v/>
      </c>
      <c r="BE20">
        <f>IF(AND($A20&lt;&gt;"",BE$3&gt;=$J20,BE$3&lt;=$M20),1,"")</f>
        <v/>
      </c>
      <c r="BF20">
        <f>IF(AND($A20&lt;&gt;"",BF$3&gt;=$J20,BF$3&lt;=$M20),1,"")</f>
        <v/>
      </c>
      <c r="BG20">
        <f>IF(AND($A20&lt;&gt;"",BG$3&gt;=$J20,BG$3&lt;=$M20),1,"")</f>
        <v/>
      </c>
      <c r="BH20">
        <f>IF(AND($A20&lt;&gt;"",BH$3&gt;=$J20,BH$3&lt;=$M20),1,"")</f>
        <v/>
      </c>
      <c r="BI20">
        <f>IF(AND($A20&lt;&gt;"",BI$3&gt;=$J20,BI$3&lt;=$M20),1,"")</f>
        <v/>
      </c>
      <c r="BJ20">
        <f>IF(AND($A20&lt;&gt;"",BJ$3&gt;=$J20,BJ$3&lt;=$M20),1,"")</f>
        <v/>
      </c>
      <c r="BK20">
        <f>IF(AND($A20&lt;&gt;"",BK$3&gt;=$J20,BK$3&lt;=$M20),1,"")</f>
        <v/>
      </c>
      <c r="BL20">
        <f>IF(AND($A20&lt;&gt;"",BL$3&gt;=$J20,BL$3&lt;=$M20),1,"")</f>
        <v/>
      </c>
      <c r="BM20">
        <f>IF(AND($A20&lt;&gt;"",BM$3&gt;=$J20,BM$3&lt;=$M20),1,"")</f>
        <v/>
      </c>
      <c r="BN20">
        <f>IF(AND($A20&lt;&gt;"",BN$3&gt;=$J20,BN$3&lt;=$M20),1,"")</f>
        <v/>
      </c>
      <c r="BO20">
        <f>IF(AND($A20&lt;&gt;"",BO$3&gt;=$J20,BO$3&lt;=$M20),1,"")</f>
        <v/>
      </c>
      <c r="BP20">
        <f>IF(AND($A20&lt;&gt;"",BP$3&gt;=$J20,BP$3&lt;=$M20),1,"")</f>
        <v/>
      </c>
      <c r="BQ20">
        <f>IF(AND($A20&lt;&gt;"",BQ$3&gt;=$J20,BQ$3&lt;=$M20),1,"")</f>
        <v/>
      </c>
      <c r="BR20">
        <f>IF(AND($A20&lt;&gt;"",BR$3&gt;=$J20,BR$3&lt;=$M20),1,"")</f>
        <v/>
      </c>
      <c r="BS20">
        <f>IF(AND($A20&lt;&gt;"",BS$3&gt;=$J20,BS$3&lt;=$M20),1,"")</f>
        <v/>
      </c>
      <c r="BT20">
        <f>IF(AND($A20&lt;&gt;"",BT$3&gt;=$J20,BT$3&lt;=$M20),1,"")</f>
        <v/>
      </c>
      <c r="BU20">
        <f>IF(AND($A20&lt;&gt;"",BU$3&gt;=$J20,BU$3&lt;=$M20),1,"")</f>
        <v/>
      </c>
      <c r="BV20">
        <f>IF(AND($A20&lt;&gt;"",BV$3&gt;=$J20,BV$3&lt;=$M20),1,"")</f>
        <v/>
      </c>
    </row>
    <row r="21">
      <c r="A21">
        <f>IF(Job_Master_Ring!$A21="","",Job_Master_Ring!$A21)</f>
        <v/>
      </c>
      <c r="B21">
        <f>IF($A21="","",Job_Master_Ring!B21)</f>
        <v/>
      </c>
      <c r="C21">
        <f>IF($A21="","",Job_Master_Ring!C21)</f>
        <v/>
      </c>
      <c r="D21">
        <f>IF($A21="","",Job_Master_Ring!D21)</f>
        <v/>
      </c>
      <c r="E21">
        <f>IF($A21="","",IF($I21&lt;&gt;"",$I21,IFERROR(INDEX(Machine_List!$B$87:$B$94,MATCH(1,(Machine_List!$H$87:$H$94&lt;=IFERROR(VLOOKUP($B21,CHOOSE(MATCH($C21,Settings!$L$4:$L$10,0),OPR_BR1!$A$4:$K$18,OPR_BR2!$A$4:$K$18,OPR_CR2!$A$4:$K$18,OPR_CR3!$A$4:$K$18,OPR_CR4!$A$4:$K$18,OPR_RIM!$A$4:$K$18,OPR_BPR!$A$4:$K$18),10,0),0))*(Machine_List!$I$87:$I$94&gt;=IFERROR(VLOOKUP($B21,CHOOSE(MATCH($C21,Settings!$L$4:$L$10,0),OPR_BR1!$A$4:$K$18,OPR_BR2!$A$4:$K$18,OPR_CR2!$A$4:$K$18,OPR_CR3!$A$4:$K$18,OPR_CR4!$A$4:$K$18,OPR_RIM!$A$4:$K$18,OPR_BPR!$A$4:$K$18),11,0),9999)),0)),"NO COMPATIBLE MACHINE")))</f>
        <v/>
      </c>
      <c r="F21">
        <f>IF($E21="","",IFERROR(VLOOKUP($E21,Machine_List!$B:$G,6,0),""))</f>
        <v/>
      </c>
      <c r="G21" s="17">
        <f>IF($E21="","",IFERROR(VLOOKUP($E21,Machine_List!$B:$C,2,0),""))</f>
        <v/>
      </c>
      <c r="H21">
        <f>IF($E21="","",IFERROR(VLOOKUP($E21,Machine_List!$B:$D,3,0),""))</f>
        <v/>
      </c>
      <c r="J21" s="16">
        <f>IF($A21="","",IF($I21&lt;&gt;"",$I21,MAX(GlobalStartDate,IFERROR(LOOKUP(2,1/($E$3:INDIRECT("E"&amp;(ROW()-1))=$E21),$M$3:INDIRECT("M"&amp;(ROW()-1))),GlobalStartDate))))</f>
        <v/>
      </c>
      <c r="K21">
        <f>IF($A21="","",IFERROR(VLOOKUP(B21,CHOOSE(MATCH($C21,Settings!$L$4:$L$10,0),OPR_BR1!$A$4:$I$18,OPR_BR2!$A$4:$I$18,OPR_CR2!$A$4:$I$18,OPR_CR3!$A$4:$I$18,OPR_CR4!$A$4:$I$18,OPR_RIM!$A$4:$I$18,OPR_BPR!$A$4:$I$18),2,0),0))</f>
        <v/>
      </c>
      <c r="L21">
        <f>IF($A21="","",K21*D21)</f>
        <v/>
      </c>
      <c r="M21" s="16">
        <f>IF($A21="","",IF(AND(ISNUMBER(G21),G21&gt;=J21,G21&lt;=(J21+(L21/(IF(F21="Contract Workman",Settings!$K$5,Settings!$K$4))))),J21+(L21/(IF(F21="Contract Workman",Settings!$K$5,Settings!$K$4)))+(H21/(IF(F21="Contract Workman",Settings!$K$5,Settings!$K$4))),J21+(L21/(IF(F21="Contract Workman",Settings!$K$5,Settings!$K$4)))))</f>
        <v/>
      </c>
      <c r="N21">
        <f>IF($A21="","",IF(F21="Contract Workman",IF(AND(MOD(M21,1)&gt;=8/24,MOD(M21,1)&lt;20/24),"Shift S1","Shift S2"),IF(AND(MOD(M21,1)&gt;=7/24,MOD(M21,1)&lt;15/24),"Shift A",IF(AND(MOD(M21,1)&gt;=15/24,MOD(M21,1)&lt;23/24),"Shift B","Shift C"))))</f>
        <v/>
      </c>
      <c r="O21">
        <f>IF(B21="","",IF(IFERROR(ISNUMBER(SEARCH(TEXT(B21,"0"),VLOOKUP(E21,Machine_List!$B:$J,9,0))),FALSE),"✅ "&amp;E21,"❌ ?"))</f>
        <v/>
      </c>
      <c r="P21">
        <f>IF(AND($A21&lt;&gt;"",P$3&gt;=$J21,P$3&lt;=$M21),1,"")</f>
        <v/>
      </c>
      <c r="Q21">
        <f>IF(AND($A21&lt;&gt;"",Q$3&gt;=$J21,Q$3&lt;=$M21),1,"")</f>
        <v/>
      </c>
      <c r="R21">
        <f>IF(AND($A21&lt;&gt;"",R$3&gt;=$J21,R$3&lt;=$M21),1,"")</f>
        <v/>
      </c>
      <c r="S21">
        <f>IF(AND($A21&lt;&gt;"",S$3&gt;=$J21,S$3&lt;=$M21),1,"")</f>
        <v/>
      </c>
      <c r="T21">
        <f>IF(AND($A21&lt;&gt;"",T$3&gt;=$J21,T$3&lt;=$M21),1,"")</f>
        <v/>
      </c>
      <c r="U21">
        <f>IF(AND($A21&lt;&gt;"",U$3&gt;=$J21,U$3&lt;=$M21),1,"")</f>
        <v/>
      </c>
      <c r="V21">
        <f>IF(AND($A21&lt;&gt;"",V$3&gt;=$J21,V$3&lt;=$M21),1,"")</f>
        <v/>
      </c>
      <c r="W21">
        <f>IF(AND($A21&lt;&gt;"",W$3&gt;=$J21,W$3&lt;=$M21),1,"")</f>
        <v/>
      </c>
      <c r="X21">
        <f>IF(AND($A21&lt;&gt;"",X$3&gt;=$J21,X$3&lt;=$M21),1,"")</f>
        <v/>
      </c>
      <c r="Y21">
        <f>IF(AND($A21&lt;&gt;"",Y$3&gt;=$J21,Y$3&lt;=$M21),1,"")</f>
        <v/>
      </c>
      <c r="Z21">
        <f>IF(AND($A21&lt;&gt;"",Z$3&gt;=$J21,Z$3&lt;=$M21),1,"")</f>
        <v/>
      </c>
      <c r="AA21">
        <f>IF(AND($A21&lt;&gt;"",AA$3&gt;=$J21,AA$3&lt;=$M21),1,"")</f>
        <v/>
      </c>
      <c r="AB21">
        <f>IF(AND($A21&lt;&gt;"",AB$3&gt;=$J21,AB$3&lt;=$M21),1,"")</f>
        <v/>
      </c>
      <c r="AC21">
        <f>IF(AND($A21&lt;&gt;"",AC$3&gt;=$J21,AC$3&lt;=$M21),1,"")</f>
        <v/>
      </c>
      <c r="AD21">
        <f>IF(AND($A21&lt;&gt;"",AD$3&gt;=$J21,AD$3&lt;=$M21),1,"")</f>
        <v/>
      </c>
      <c r="AE21">
        <f>IF(AND($A21&lt;&gt;"",AE$3&gt;=$J21,AE$3&lt;=$M21),1,"")</f>
        <v/>
      </c>
      <c r="AF21">
        <f>IF(AND($A21&lt;&gt;"",AF$3&gt;=$J21,AF$3&lt;=$M21),1,"")</f>
        <v/>
      </c>
      <c r="AG21">
        <f>IF(AND($A21&lt;&gt;"",AG$3&gt;=$J21,AG$3&lt;=$M21),1,"")</f>
        <v/>
      </c>
      <c r="AH21">
        <f>IF(AND($A21&lt;&gt;"",AH$3&gt;=$J21,AH$3&lt;=$M21),1,"")</f>
        <v/>
      </c>
      <c r="AI21">
        <f>IF(AND($A21&lt;&gt;"",AI$3&gt;=$J21,AI$3&lt;=$M21),1,"")</f>
        <v/>
      </c>
      <c r="AJ21">
        <f>IF(AND($A21&lt;&gt;"",AJ$3&gt;=$J21,AJ$3&lt;=$M21),1,"")</f>
        <v/>
      </c>
      <c r="AK21">
        <f>IF(AND($A21&lt;&gt;"",AK$3&gt;=$J21,AK$3&lt;=$M21),1,"")</f>
        <v/>
      </c>
      <c r="AL21">
        <f>IF(AND($A21&lt;&gt;"",AL$3&gt;=$J21,AL$3&lt;=$M21),1,"")</f>
        <v/>
      </c>
      <c r="AM21">
        <f>IF(AND($A21&lt;&gt;"",AM$3&gt;=$J21,AM$3&lt;=$M21),1,"")</f>
        <v/>
      </c>
      <c r="AN21">
        <f>IF(AND($A21&lt;&gt;"",AN$3&gt;=$J21,AN$3&lt;=$M21),1,"")</f>
        <v/>
      </c>
      <c r="AO21">
        <f>IF(AND($A21&lt;&gt;"",AO$3&gt;=$J21,AO$3&lt;=$M21),1,"")</f>
        <v/>
      </c>
      <c r="AP21">
        <f>IF(AND($A21&lt;&gt;"",AP$3&gt;=$J21,AP$3&lt;=$M21),1,"")</f>
        <v/>
      </c>
      <c r="AQ21">
        <f>IF(AND($A21&lt;&gt;"",AQ$3&gt;=$J21,AQ$3&lt;=$M21),1,"")</f>
        <v/>
      </c>
      <c r="AR21">
        <f>IF(AND($A21&lt;&gt;"",AR$3&gt;=$J21,AR$3&lt;=$M21),1,"")</f>
        <v/>
      </c>
      <c r="AS21">
        <f>IF(AND($A21&lt;&gt;"",AS$3&gt;=$J21,AS$3&lt;=$M21),1,"")</f>
        <v/>
      </c>
      <c r="AT21">
        <f>IF(AND($A21&lt;&gt;"",AT$3&gt;=$J21,AT$3&lt;=$M21),1,"")</f>
        <v/>
      </c>
      <c r="AU21">
        <f>IF(AND($A21&lt;&gt;"",AU$3&gt;=$J21,AU$3&lt;=$M21),1,"")</f>
        <v/>
      </c>
      <c r="AV21">
        <f>IF(AND($A21&lt;&gt;"",AV$3&gt;=$J21,AV$3&lt;=$M21),1,"")</f>
        <v/>
      </c>
      <c r="AW21">
        <f>IF(AND($A21&lt;&gt;"",AW$3&gt;=$J21,AW$3&lt;=$M21),1,"")</f>
        <v/>
      </c>
      <c r="AX21">
        <f>IF(AND($A21&lt;&gt;"",AX$3&gt;=$J21,AX$3&lt;=$M21),1,"")</f>
        <v/>
      </c>
      <c r="AY21">
        <f>IF(AND($A21&lt;&gt;"",AY$3&gt;=$J21,AY$3&lt;=$M21),1,"")</f>
        <v/>
      </c>
      <c r="AZ21">
        <f>IF(AND($A21&lt;&gt;"",AZ$3&gt;=$J21,AZ$3&lt;=$M21),1,"")</f>
        <v/>
      </c>
      <c r="BA21">
        <f>IF(AND($A21&lt;&gt;"",BA$3&gt;=$J21,BA$3&lt;=$M21),1,"")</f>
        <v/>
      </c>
      <c r="BB21">
        <f>IF(AND($A21&lt;&gt;"",BB$3&gt;=$J21,BB$3&lt;=$M21),1,"")</f>
        <v/>
      </c>
      <c r="BC21">
        <f>IF(AND($A21&lt;&gt;"",BC$3&gt;=$J21,BC$3&lt;=$M21),1,"")</f>
        <v/>
      </c>
      <c r="BD21">
        <f>IF(AND($A21&lt;&gt;"",BD$3&gt;=$J21,BD$3&lt;=$M21),1,"")</f>
        <v/>
      </c>
      <c r="BE21">
        <f>IF(AND($A21&lt;&gt;"",BE$3&gt;=$J21,BE$3&lt;=$M21),1,"")</f>
        <v/>
      </c>
      <c r="BF21">
        <f>IF(AND($A21&lt;&gt;"",BF$3&gt;=$J21,BF$3&lt;=$M21),1,"")</f>
        <v/>
      </c>
      <c r="BG21">
        <f>IF(AND($A21&lt;&gt;"",BG$3&gt;=$J21,BG$3&lt;=$M21),1,"")</f>
        <v/>
      </c>
      <c r="BH21">
        <f>IF(AND($A21&lt;&gt;"",BH$3&gt;=$J21,BH$3&lt;=$M21),1,"")</f>
        <v/>
      </c>
      <c r="BI21">
        <f>IF(AND($A21&lt;&gt;"",BI$3&gt;=$J21,BI$3&lt;=$M21),1,"")</f>
        <v/>
      </c>
      <c r="BJ21">
        <f>IF(AND($A21&lt;&gt;"",BJ$3&gt;=$J21,BJ$3&lt;=$M21),1,"")</f>
        <v/>
      </c>
      <c r="BK21">
        <f>IF(AND($A21&lt;&gt;"",BK$3&gt;=$J21,BK$3&lt;=$M21),1,"")</f>
        <v/>
      </c>
      <c r="BL21">
        <f>IF(AND($A21&lt;&gt;"",BL$3&gt;=$J21,BL$3&lt;=$M21),1,"")</f>
        <v/>
      </c>
      <c r="BM21">
        <f>IF(AND($A21&lt;&gt;"",BM$3&gt;=$J21,BM$3&lt;=$M21),1,"")</f>
        <v/>
      </c>
      <c r="BN21">
        <f>IF(AND($A21&lt;&gt;"",BN$3&gt;=$J21,BN$3&lt;=$M21),1,"")</f>
        <v/>
      </c>
      <c r="BO21">
        <f>IF(AND($A21&lt;&gt;"",BO$3&gt;=$J21,BO$3&lt;=$M21),1,"")</f>
        <v/>
      </c>
      <c r="BP21">
        <f>IF(AND($A21&lt;&gt;"",BP$3&gt;=$J21,BP$3&lt;=$M21),1,"")</f>
        <v/>
      </c>
      <c r="BQ21">
        <f>IF(AND($A21&lt;&gt;"",BQ$3&gt;=$J21,BQ$3&lt;=$M21),1,"")</f>
        <v/>
      </c>
      <c r="BR21">
        <f>IF(AND($A21&lt;&gt;"",BR$3&gt;=$J21,BR$3&lt;=$M21),1,"")</f>
        <v/>
      </c>
      <c r="BS21">
        <f>IF(AND($A21&lt;&gt;"",BS$3&gt;=$J21,BS$3&lt;=$M21),1,"")</f>
        <v/>
      </c>
      <c r="BT21">
        <f>IF(AND($A21&lt;&gt;"",BT$3&gt;=$J21,BT$3&lt;=$M21),1,"")</f>
        <v/>
      </c>
      <c r="BU21">
        <f>IF(AND($A21&lt;&gt;"",BU$3&gt;=$J21,BU$3&lt;=$M21),1,"")</f>
        <v/>
      </c>
      <c r="BV21">
        <f>IF(AND($A21&lt;&gt;"",BV$3&gt;=$J21,BV$3&lt;=$M21),1,"")</f>
        <v/>
      </c>
    </row>
    <row r="22">
      <c r="A22">
        <f>IF(Job_Master_Ring!$A22="","",Job_Master_Ring!$A22)</f>
        <v/>
      </c>
      <c r="B22">
        <f>IF($A22="","",Job_Master_Ring!B22)</f>
        <v/>
      </c>
      <c r="C22">
        <f>IF($A22="","",Job_Master_Ring!C22)</f>
        <v/>
      </c>
      <c r="D22">
        <f>IF($A22="","",Job_Master_Ring!D22)</f>
        <v/>
      </c>
      <c r="E22">
        <f>IF($A22="","",IF($I22&lt;&gt;"",$I22,IFERROR(INDEX(Machine_List!$B$87:$B$94,MATCH(1,(Machine_List!$H$87:$H$94&lt;=IFERROR(VLOOKUP($B22,CHOOSE(MATCH($C22,Settings!$L$4:$L$10,0),OPR_BR1!$A$4:$K$18,OPR_BR2!$A$4:$K$18,OPR_CR2!$A$4:$K$18,OPR_CR3!$A$4:$K$18,OPR_CR4!$A$4:$K$18,OPR_RIM!$A$4:$K$18,OPR_BPR!$A$4:$K$18),10,0),0))*(Machine_List!$I$87:$I$94&gt;=IFERROR(VLOOKUP($B22,CHOOSE(MATCH($C22,Settings!$L$4:$L$10,0),OPR_BR1!$A$4:$K$18,OPR_BR2!$A$4:$K$18,OPR_CR2!$A$4:$K$18,OPR_CR3!$A$4:$K$18,OPR_CR4!$A$4:$K$18,OPR_RIM!$A$4:$K$18,OPR_BPR!$A$4:$K$18),11,0),9999)),0)),"NO COMPATIBLE MACHINE")))</f>
        <v/>
      </c>
      <c r="F22">
        <f>IF($E22="","",IFERROR(VLOOKUP($E22,Machine_List!$B:$G,6,0),""))</f>
        <v/>
      </c>
      <c r="G22" s="17">
        <f>IF($E22="","",IFERROR(VLOOKUP($E22,Machine_List!$B:$C,2,0),""))</f>
        <v/>
      </c>
      <c r="H22">
        <f>IF($E22="","",IFERROR(VLOOKUP($E22,Machine_List!$B:$D,3,0),""))</f>
        <v/>
      </c>
      <c r="J22" s="16">
        <f>IF($A22="","",IF($I22&lt;&gt;"",$I22,MAX(GlobalStartDate,IFERROR(LOOKUP(2,1/($E$3:INDIRECT("E"&amp;(ROW()-1))=$E22),$M$3:INDIRECT("M"&amp;(ROW()-1))),GlobalStartDate))))</f>
        <v/>
      </c>
      <c r="K22">
        <f>IF($A22="","",IFERROR(VLOOKUP(B22,CHOOSE(MATCH($C22,Settings!$L$4:$L$10,0),OPR_BR1!$A$4:$I$18,OPR_BR2!$A$4:$I$18,OPR_CR2!$A$4:$I$18,OPR_CR3!$A$4:$I$18,OPR_CR4!$A$4:$I$18,OPR_RIM!$A$4:$I$18,OPR_BPR!$A$4:$I$18),2,0),0))</f>
        <v/>
      </c>
      <c r="L22">
        <f>IF($A22="","",K22*D22)</f>
        <v/>
      </c>
      <c r="M22" s="16">
        <f>IF($A22="","",IF(AND(ISNUMBER(G22),G22&gt;=J22,G22&lt;=(J22+(L22/(IF(F22="Contract Workman",Settings!$K$5,Settings!$K$4))))),J22+(L22/(IF(F22="Contract Workman",Settings!$K$5,Settings!$K$4)))+(H22/(IF(F22="Contract Workman",Settings!$K$5,Settings!$K$4))),J22+(L22/(IF(F22="Contract Workman",Settings!$K$5,Settings!$K$4)))))</f>
        <v/>
      </c>
      <c r="N22">
        <f>IF($A22="","",IF(F22="Contract Workman",IF(AND(MOD(M22,1)&gt;=8/24,MOD(M22,1)&lt;20/24),"Shift S1","Shift S2"),IF(AND(MOD(M22,1)&gt;=7/24,MOD(M22,1)&lt;15/24),"Shift A",IF(AND(MOD(M22,1)&gt;=15/24,MOD(M22,1)&lt;23/24),"Shift B","Shift C"))))</f>
        <v/>
      </c>
      <c r="O22">
        <f>IF(B22="","",IF(IFERROR(ISNUMBER(SEARCH(TEXT(B22,"0"),VLOOKUP(E22,Machine_List!$B:$J,9,0))),FALSE),"✅ "&amp;E22,"❌ ?"))</f>
        <v/>
      </c>
      <c r="P22">
        <f>IF(AND($A22&lt;&gt;"",P$3&gt;=$J22,P$3&lt;=$M22),1,"")</f>
        <v/>
      </c>
      <c r="Q22">
        <f>IF(AND($A22&lt;&gt;"",Q$3&gt;=$J22,Q$3&lt;=$M22),1,"")</f>
        <v/>
      </c>
      <c r="R22">
        <f>IF(AND($A22&lt;&gt;"",R$3&gt;=$J22,R$3&lt;=$M22),1,"")</f>
        <v/>
      </c>
      <c r="S22">
        <f>IF(AND($A22&lt;&gt;"",S$3&gt;=$J22,S$3&lt;=$M22),1,"")</f>
        <v/>
      </c>
      <c r="T22">
        <f>IF(AND($A22&lt;&gt;"",T$3&gt;=$J22,T$3&lt;=$M22),1,"")</f>
        <v/>
      </c>
      <c r="U22">
        <f>IF(AND($A22&lt;&gt;"",U$3&gt;=$J22,U$3&lt;=$M22),1,"")</f>
        <v/>
      </c>
      <c r="V22">
        <f>IF(AND($A22&lt;&gt;"",V$3&gt;=$J22,V$3&lt;=$M22),1,"")</f>
        <v/>
      </c>
      <c r="W22">
        <f>IF(AND($A22&lt;&gt;"",W$3&gt;=$J22,W$3&lt;=$M22),1,"")</f>
        <v/>
      </c>
      <c r="X22">
        <f>IF(AND($A22&lt;&gt;"",X$3&gt;=$J22,X$3&lt;=$M22),1,"")</f>
        <v/>
      </c>
      <c r="Y22">
        <f>IF(AND($A22&lt;&gt;"",Y$3&gt;=$J22,Y$3&lt;=$M22),1,"")</f>
        <v/>
      </c>
      <c r="Z22">
        <f>IF(AND($A22&lt;&gt;"",Z$3&gt;=$J22,Z$3&lt;=$M22),1,"")</f>
        <v/>
      </c>
      <c r="AA22">
        <f>IF(AND($A22&lt;&gt;"",AA$3&gt;=$J22,AA$3&lt;=$M22),1,"")</f>
        <v/>
      </c>
      <c r="AB22">
        <f>IF(AND($A22&lt;&gt;"",AB$3&gt;=$J22,AB$3&lt;=$M22),1,"")</f>
        <v/>
      </c>
      <c r="AC22">
        <f>IF(AND($A22&lt;&gt;"",AC$3&gt;=$J22,AC$3&lt;=$M22),1,"")</f>
        <v/>
      </c>
      <c r="AD22">
        <f>IF(AND($A22&lt;&gt;"",AD$3&gt;=$J22,AD$3&lt;=$M22),1,"")</f>
        <v/>
      </c>
      <c r="AE22">
        <f>IF(AND($A22&lt;&gt;"",AE$3&gt;=$J22,AE$3&lt;=$M22),1,"")</f>
        <v/>
      </c>
      <c r="AF22">
        <f>IF(AND($A22&lt;&gt;"",AF$3&gt;=$J22,AF$3&lt;=$M22),1,"")</f>
        <v/>
      </c>
      <c r="AG22">
        <f>IF(AND($A22&lt;&gt;"",AG$3&gt;=$J22,AG$3&lt;=$M22),1,"")</f>
        <v/>
      </c>
      <c r="AH22">
        <f>IF(AND($A22&lt;&gt;"",AH$3&gt;=$J22,AH$3&lt;=$M22),1,"")</f>
        <v/>
      </c>
      <c r="AI22">
        <f>IF(AND($A22&lt;&gt;"",AI$3&gt;=$J22,AI$3&lt;=$M22),1,"")</f>
        <v/>
      </c>
      <c r="AJ22">
        <f>IF(AND($A22&lt;&gt;"",AJ$3&gt;=$J22,AJ$3&lt;=$M22),1,"")</f>
        <v/>
      </c>
      <c r="AK22">
        <f>IF(AND($A22&lt;&gt;"",AK$3&gt;=$J22,AK$3&lt;=$M22),1,"")</f>
        <v/>
      </c>
      <c r="AL22">
        <f>IF(AND($A22&lt;&gt;"",AL$3&gt;=$J22,AL$3&lt;=$M22),1,"")</f>
        <v/>
      </c>
      <c r="AM22">
        <f>IF(AND($A22&lt;&gt;"",AM$3&gt;=$J22,AM$3&lt;=$M22),1,"")</f>
        <v/>
      </c>
      <c r="AN22">
        <f>IF(AND($A22&lt;&gt;"",AN$3&gt;=$J22,AN$3&lt;=$M22),1,"")</f>
        <v/>
      </c>
      <c r="AO22">
        <f>IF(AND($A22&lt;&gt;"",AO$3&gt;=$J22,AO$3&lt;=$M22),1,"")</f>
        <v/>
      </c>
      <c r="AP22">
        <f>IF(AND($A22&lt;&gt;"",AP$3&gt;=$J22,AP$3&lt;=$M22),1,"")</f>
        <v/>
      </c>
      <c r="AQ22">
        <f>IF(AND($A22&lt;&gt;"",AQ$3&gt;=$J22,AQ$3&lt;=$M22),1,"")</f>
        <v/>
      </c>
      <c r="AR22">
        <f>IF(AND($A22&lt;&gt;"",AR$3&gt;=$J22,AR$3&lt;=$M22),1,"")</f>
        <v/>
      </c>
      <c r="AS22">
        <f>IF(AND($A22&lt;&gt;"",AS$3&gt;=$J22,AS$3&lt;=$M22),1,"")</f>
        <v/>
      </c>
      <c r="AT22">
        <f>IF(AND($A22&lt;&gt;"",AT$3&gt;=$J22,AT$3&lt;=$M22),1,"")</f>
        <v/>
      </c>
      <c r="AU22">
        <f>IF(AND($A22&lt;&gt;"",AU$3&gt;=$J22,AU$3&lt;=$M22),1,"")</f>
        <v/>
      </c>
      <c r="AV22">
        <f>IF(AND($A22&lt;&gt;"",AV$3&gt;=$J22,AV$3&lt;=$M22),1,"")</f>
        <v/>
      </c>
      <c r="AW22">
        <f>IF(AND($A22&lt;&gt;"",AW$3&gt;=$J22,AW$3&lt;=$M22),1,"")</f>
        <v/>
      </c>
      <c r="AX22">
        <f>IF(AND($A22&lt;&gt;"",AX$3&gt;=$J22,AX$3&lt;=$M22),1,"")</f>
        <v/>
      </c>
      <c r="AY22">
        <f>IF(AND($A22&lt;&gt;"",AY$3&gt;=$J22,AY$3&lt;=$M22),1,"")</f>
        <v/>
      </c>
      <c r="AZ22">
        <f>IF(AND($A22&lt;&gt;"",AZ$3&gt;=$J22,AZ$3&lt;=$M22),1,"")</f>
        <v/>
      </c>
      <c r="BA22">
        <f>IF(AND($A22&lt;&gt;"",BA$3&gt;=$J22,BA$3&lt;=$M22),1,"")</f>
        <v/>
      </c>
      <c r="BB22">
        <f>IF(AND($A22&lt;&gt;"",BB$3&gt;=$J22,BB$3&lt;=$M22),1,"")</f>
        <v/>
      </c>
      <c r="BC22">
        <f>IF(AND($A22&lt;&gt;"",BC$3&gt;=$J22,BC$3&lt;=$M22),1,"")</f>
        <v/>
      </c>
      <c r="BD22">
        <f>IF(AND($A22&lt;&gt;"",BD$3&gt;=$J22,BD$3&lt;=$M22),1,"")</f>
        <v/>
      </c>
      <c r="BE22">
        <f>IF(AND($A22&lt;&gt;"",BE$3&gt;=$J22,BE$3&lt;=$M22),1,"")</f>
        <v/>
      </c>
      <c r="BF22">
        <f>IF(AND($A22&lt;&gt;"",BF$3&gt;=$J22,BF$3&lt;=$M22),1,"")</f>
        <v/>
      </c>
      <c r="BG22">
        <f>IF(AND($A22&lt;&gt;"",BG$3&gt;=$J22,BG$3&lt;=$M22),1,"")</f>
        <v/>
      </c>
      <c r="BH22">
        <f>IF(AND($A22&lt;&gt;"",BH$3&gt;=$J22,BH$3&lt;=$M22),1,"")</f>
        <v/>
      </c>
      <c r="BI22">
        <f>IF(AND($A22&lt;&gt;"",BI$3&gt;=$J22,BI$3&lt;=$M22),1,"")</f>
        <v/>
      </c>
      <c r="BJ22">
        <f>IF(AND($A22&lt;&gt;"",BJ$3&gt;=$J22,BJ$3&lt;=$M22),1,"")</f>
        <v/>
      </c>
      <c r="BK22">
        <f>IF(AND($A22&lt;&gt;"",BK$3&gt;=$J22,BK$3&lt;=$M22),1,"")</f>
        <v/>
      </c>
      <c r="BL22">
        <f>IF(AND($A22&lt;&gt;"",BL$3&gt;=$J22,BL$3&lt;=$M22),1,"")</f>
        <v/>
      </c>
      <c r="BM22">
        <f>IF(AND($A22&lt;&gt;"",BM$3&gt;=$J22,BM$3&lt;=$M22),1,"")</f>
        <v/>
      </c>
      <c r="BN22">
        <f>IF(AND($A22&lt;&gt;"",BN$3&gt;=$J22,BN$3&lt;=$M22),1,"")</f>
        <v/>
      </c>
      <c r="BO22">
        <f>IF(AND($A22&lt;&gt;"",BO$3&gt;=$J22,BO$3&lt;=$M22),1,"")</f>
        <v/>
      </c>
      <c r="BP22">
        <f>IF(AND($A22&lt;&gt;"",BP$3&gt;=$J22,BP$3&lt;=$M22),1,"")</f>
        <v/>
      </c>
      <c r="BQ22">
        <f>IF(AND($A22&lt;&gt;"",BQ$3&gt;=$J22,BQ$3&lt;=$M22),1,"")</f>
        <v/>
      </c>
      <c r="BR22">
        <f>IF(AND($A22&lt;&gt;"",BR$3&gt;=$J22,BR$3&lt;=$M22),1,"")</f>
        <v/>
      </c>
      <c r="BS22">
        <f>IF(AND($A22&lt;&gt;"",BS$3&gt;=$J22,BS$3&lt;=$M22),1,"")</f>
        <v/>
      </c>
      <c r="BT22">
        <f>IF(AND($A22&lt;&gt;"",BT$3&gt;=$J22,BT$3&lt;=$M22),1,"")</f>
        <v/>
      </c>
      <c r="BU22">
        <f>IF(AND($A22&lt;&gt;"",BU$3&gt;=$J22,BU$3&lt;=$M22),1,"")</f>
        <v/>
      </c>
      <c r="BV22">
        <f>IF(AND($A22&lt;&gt;"",BV$3&gt;=$J22,BV$3&lt;=$M22),1,"")</f>
        <v/>
      </c>
    </row>
    <row r="23">
      <c r="A23">
        <f>IF(Job_Master_Ring!$A23="","",Job_Master_Ring!$A23)</f>
        <v/>
      </c>
      <c r="B23">
        <f>IF($A23="","",Job_Master_Ring!B23)</f>
        <v/>
      </c>
      <c r="C23">
        <f>IF($A23="","",Job_Master_Ring!C23)</f>
        <v/>
      </c>
      <c r="D23">
        <f>IF($A23="","",Job_Master_Ring!D23)</f>
        <v/>
      </c>
      <c r="E23">
        <f>IF($A23="","",IF($I23&lt;&gt;"",$I23,IFERROR(INDEX(Machine_List!$B$87:$B$94,MATCH(1,(Machine_List!$H$87:$H$94&lt;=IFERROR(VLOOKUP($B23,CHOOSE(MATCH($C23,Settings!$L$4:$L$10,0),OPR_BR1!$A$4:$K$18,OPR_BR2!$A$4:$K$18,OPR_CR2!$A$4:$K$18,OPR_CR3!$A$4:$K$18,OPR_CR4!$A$4:$K$18,OPR_RIM!$A$4:$K$18,OPR_BPR!$A$4:$K$18),10,0),0))*(Machine_List!$I$87:$I$94&gt;=IFERROR(VLOOKUP($B23,CHOOSE(MATCH($C23,Settings!$L$4:$L$10,0),OPR_BR1!$A$4:$K$18,OPR_BR2!$A$4:$K$18,OPR_CR2!$A$4:$K$18,OPR_CR3!$A$4:$K$18,OPR_CR4!$A$4:$K$18,OPR_RIM!$A$4:$K$18,OPR_BPR!$A$4:$K$18),11,0),9999)),0)),"NO COMPATIBLE MACHINE")))</f>
        <v/>
      </c>
      <c r="F23">
        <f>IF($E23="","",IFERROR(VLOOKUP($E23,Machine_List!$B:$G,6,0),""))</f>
        <v/>
      </c>
      <c r="G23" s="17">
        <f>IF($E23="","",IFERROR(VLOOKUP($E23,Machine_List!$B:$C,2,0),""))</f>
        <v/>
      </c>
      <c r="H23">
        <f>IF($E23="","",IFERROR(VLOOKUP($E23,Machine_List!$B:$D,3,0),""))</f>
        <v/>
      </c>
      <c r="J23" s="16">
        <f>IF($A23="","",IF($I23&lt;&gt;"",$I23,MAX(GlobalStartDate,IFERROR(LOOKUP(2,1/($E$3:INDIRECT("E"&amp;(ROW()-1))=$E23),$M$3:INDIRECT("M"&amp;(ROW()-1))),GlobalStartDate))))</f>
        <v/>
      </c>
      <c r="K23">
        <f>IF($A23="","",IFERROR(VLOOKUP(B23,CHOOSE(MATCH($C23,Settings!$L$4:$L$10,0),OPR_BR1!$A$4:$I$18,OPR_BR2!$A$4:$I$18,OPR_CR2!$A$4:$I$18,OPR_CR3!$A$4:$I$18,OPR_CR4!$A$4:$I$18,OPR_RIM!$A$4:$I$18,OPR_BPR!$A$4:$I$18),2,0),0))</f>
        <v/>
      </c>
      <c r="L23">
        <f>IF($A23="","",K23*D23)</f>
        <v/>
      </c>
      <c r="M23" s="16">
        <f>IF($A23="","",IF(AND(ISNUMBER(G23),G23&gt;=J23,G23&lt;=(J23+(L23/(IF(F23="Contract Workman",Settings!$K$5,Settings!$K$4))))),J23+(L23/(IF(F23="Contract Workman",Settings!$K$5,Settings!$K$4)))+(H23/(IF(F23="Contract Workman",Settings!$K$5,Settings!$K$4))),J23+(L23/(IF(F23="Contract Workman",Settings!$K$5,Settings!$K$4)))))</f>
        <v/>
      </c>
      <c r="N23">
        <f>IF($A23="","",IF(F23="Contract Workman",IF(AND(MOD(M23,1)&gt;=8/24,MOD(M23,1)&lt;20/24),"Shift S1","Shift S2"),IF(AND(MOD(M23,1)&gt;=7/24,MOD(M23,1)&lt;15/24),"Shift A",IF(AND(MOD(M23,1)&gt;=15/24,MOD(M23,1)&lt;23/24),"Shift B","Shift C"))))</f>
        <v/>
      </c>
      <c r="O23">
        <f>IF(B23="","",IF(IFERROR(ISNUMBER(SEARCH(TEXT(B23,"0"),VLOOKUP(E23,Machine_List!$B:$J,9,0))),FALSE),"✅ "&amp;E23,"❌ ?"))</f>
        <v/>
      </c>
      <c r="P23">
        <f>IF(AND($A23&lt;&gt;"",P$3&gt;=$J23,P$3&lt;=$M23),1,"")</f>
        <v/>
      </c>
      <c r="Q23">
        <f>IF(AND($A23&lt;&gt;"",Q$3&gt;=$J23,Q$3&lt;=$M23),1,"")</f>
        <v/>
      </c>
      <c r="R23">
        <f>IF(AND($A23&lt;&gt;"",R$3&gt;=$J23,R$3&lt;=$M23),1,"")</f>
        <v/>
      </c>
      <c r="S23">
        <f>IF(AND($A23&lt;&gt;"",S$3&gt;=$J23,S$3&lt;=$M23),1,"")</f>
        <v/>
      </c>
      <c r="T23">
        <f>IF(AND($A23&lt;&gt;"",T$3&gt;=$J23,T$3&lt;=$M23),1,"")</f>
        <v/>
      </c>
      <c r="U23">
        <f>IF(AND($A23&lt;&gt;"",U$3&gt;=$J23,U$3&lt;=$M23),1,"")</f>
        <v/>
      </c>
      <c r="V23">
        <f>IF(AND($A23&lt;&gt;"",V$3&gt;=$J23,V$3&lt;=$M23),1,"")</f>
        <v/>
      </c>
      <c r="W23">
        <f>IF(AND($A23&lt;&gt;"",W$3&gt;=$J23,W$3&lt;=$M23),1,"")</f>
        <v/>
      </c>
      <c r="X23">
        <f>IF(AND($A23&lt;&gt;"",X$3&gt;=$J23,X$3&lt;=$M23),1,"")</f>
        <v/>
      </c>
      <c r="Y23">
        <f>IF(AND($A23&lt;&gt;"",Y$3&gt;=$J23,Y$3&lt;=$M23),1,"")</f>
        <v/>
      </c>
      <c r="Z23">
        <f>IF(AND($A23&lt;&gt;"",Z$3&gt;=$J23,Z$3&lt;=$M23),1,"")</f>
        <v/>
      </c>
      <c r="AA23">
        <f>IF(AND($A23&lt;&gt;"",AA$3&gt;=$J23,AA$3&lt;=$M23),1,"")</f>
        <v/>
      </c>
      <c r="AB23">
        <f>IF(AND($A23&lt;&gt;"",AB$3&gt;=$J23,AB$3&lt;=$M23),1,"")</f>
        <v/>
      </c>
      <c r="AC23">
        <f>IF(AND($A23&lt;&gt;"",AC$3&gt;=$J23,AC$3&lt;=$M23),1,"")</f>
        <v/>
      </c>
      <c r="AD23">
        <f>IF(AND($A23&lt;&gt;"",AD$3&gt;=$J23,AD$3&lt;=$M23),1,"")</f>
        <v/>
      </c>
      <c r="AE23">
        <f>IF(AND($A23&lt;&gt;"",AE$3&gt;=$J23,AE$3&lt;=$M23),1,"")</f>
        <v/>
      </c>
      <c r="AF23">
        <f>IF(AND($A23&lt;&gt;"",AF$3&gt;=$J23,AF$3&lt;=$M23),1,"")</f>
        <v/>
      </c>
      <c r="AG23">
        <f>IF(AND($A23&lt;&gt;"",AG$3&gt;=$J23,AG$3&lt;=$M23),1,"")</f>
        <v/>
      </c>
      <c r="AH23">
        <f>IF(AND($A23&lt;&gt;"",AH$3&gt;=$J23,AH$3&lt;=$M23),1,"")</f>
        <v/>
      </c>
      <c r="AI23">
        <f>IF(AND($A23&lt;&gt;"",AI$3&gt;=$J23,AI$3&lt;=$M23),1,"")</f>
        <v/>
      </c>
      <c r="AJ23">
        <f>IF(AND($A23&lt;&gt;"",AJ$3&gt;=$J23,AJ$3&lt;=$M23),1,"")</f>
        <v/>
      </c>
      <c r="AK23">
        <f>IF(AND($A23&lt;&gt;"",AK$3&gt;=$J23,AK$3&lt;=$M23),1,"")</f>
        <v/>
      </c>
      <c r="AL23">
        <f>IF(AND($A23&lt;&gt;"",AL$3&gt;=$J23,AL$3&lt;=$M23),1,"")</f>
        <v/>
      </c>
      <c r="AM23">
        <f>IF(AND($A23&lt;&gt;"",AM$3&gt;=$J23,AM$3&lt;=$M23),1,"")</f>
        <v/>
      </c>
      <c r="AN23">
        <f>IF(AND($A23&lt;&gt;"",AN$3&gt;=$J23,AN$3&lt;=$M23),1,"")</f>
        <v/>
      </c>
      <c r="AO23">
        <f>IF(AND($A23&lt;&gt;"",AO$3&gt;=$J23,AO$3&lt;=$M23),1,"")</f>
        <v/>
      </c>
      <c r="AP23">
        <f>IF(AND($A23&lt;&gt;"",AP$3&gt;=$J23,AP$3&lt;=$M23),1,"")</f>
        <v/>
      </c>
      <c r="AQ23">
        <f>IF(AND($A23&lt;&gt;"",AQ$3&gt;=$J23,AQ$3&lt;=$M23),1,"")</f>
        <v/>
      </c>
      <c r="AR23">
        <f>IF(AND($A23&lt;&gt;"",AR$3&gt;=$J23,AR$3&lt;=$M23),1,"")</f>
        <v/>
      </c>
      <c r="AS23">
        <f>IF(AND($A23&lt;&gt;"",AS$3&gt;=$J23,AS$3&lt;=$M23),1,"")</f>
        <v/>
      </c>
      <c r="AT23">
        <f>IF(AND($A23&lt;&gt;"",AT$3&gt;=$J23,AT$3&lt;=$M23),1,"")</f>
        <v/>
      </c>
      <c r="AU23">
        <f>IF(AND($A23&lt;&gt;"",AU$3&gt;=$J23,AU$3&lt;=$M23),1,"")</f>
        <v/>
      </c>
      <c r="AV23">
        <f>IF(AND($A23&lt;&gt;"",AV$3&gt;=$J23,AV$3&lt;=$M23),1,"")</f>
        <v/>
      </c>
      <c r="AW23">
        <f>IF(AND($A23&lt;&gt;"",AW$3&gt;=$J23,AW$3&lt;=$M23),1,"")</f>
        <v/>
      </c>
      <c r="AX23">
        <f>IF(AND($A23&lt;&gt;"",AX$3&gt;=$J23,AX$3&lt;=$M23),1,"")</f>
        <v/>
      </c>
      <c r="AY23">
        <f>IF(AND($A23&lt;&gt;"",AY$3&gt;=$J23,AY$3&lt;=$M23),1,"")</f>
        <v/>
      </c>
      <c r="AZ23">
        <f>IF(AND($A23&lt;&gt;"",AZ$3&gt;=$J23,AZ$3&lt;=$M23),1,"")</f>
        <v/>
      </c>
      <c r="BA23">
        <f>IF(AND($A23&lt;&gt;"",BA$3&gt;=$J23,BA$3&lt;=$M23),1,"")</f>
        <v/>
      </c>
      <c r="BB23">
        <f>IF(AND($A23&lt;&gt;"",BB$3&gt;=$J23,BB$3&lt;=$M23),1,"")</f>
        <v/>
      </c>
      <c r="BC23">
        <f>IF(AND($A23&lt;&gt;"",BC$3&gt;=$J23,BC$3&lt;=$M23),1,"")</f>
        <v/>
      </c>
      <c r="BD23">
        <f>IF(AND($A23&lt;&gt;"",BD$3&gt;=$J23,BD$3&lt;=$M23),1,"")</f>
        <v/>
      </c>
      <c r="BE23">
        <f>IF(AND($A23&lt;&gt;"",BE$3&gt;=$J23,BE$3&lt;=$M23),1,"")</f>
        <v/>
      </c>
      <c r="BF23">
        <f>IF(AND($A23&lt;&gt;"",BF$3&gt;=$J23,BF$3&lt;=$M23),1,"")</f>
        <v/>
      </c>
      <c r="BG23">
        <f>IF(AND($A23&lt;&gt;"",BG$3&gt;=$J23,BG$3&lt;=$M23),1,"")</f>
        <v/>
      </c>
      <c r="BH23">
        <f>IF(AND($A23&lt;&gt;"",BH$3&gt;=$J23,BH$3&lt;=$M23),1,"")</f>
        <v/>
      </c>
      <c r="BI23">
        <f>IF(AND($A23&lt;&gt;"",BI$3&gt;=$J23,BI$3&lt;=$M23),1,"")</f>
        <v/>
      </c>
      <c r="BJ23">
        <f>IF(AND($A23&lt;&gt;"",BJ$3&gt;=$J23,BJ$3&lt;=$M23),1,"")</f>
        <v/>
      </c>
      <c r="BK23">
        <f>IF(AND($A23&lt;&gt;"",BK$3&gt;=$J23,BK$3&lt;=$M23),1,"")</f>
        <v/>
      </c>
      <c r="BL23">
        <f>IF(AND($A23&lt;&gt;"",BL$3&gt;=$J23,BL$3&lt;=$M23),1,"")</f>
        <v/>
      </c>
      <c r="BM23">
        <f>IF(AND($A23&lt;&gt;"",BM$3&gt;=$J23,BM$3&lt;=$M23),1,"")</f>
        <v/>
      </c>
      <c r="BN23">
        <f>IF(AND($A23&lt;&gt;"",BN$3&gt;=$J23,BN$3&lt;=$M23),1,"")</f>
        <v/>
      </c>
      <c r="BO23">
        <f>IF(AND($A23&lt;&gt;"",BO$3&gt;=$J23,BO$3&lt;=$M23),1,"")</f>
        <v/>
      </c>
      <c r="BP23">
        <f>IF(AND($A23&lt;&gt;"",BP$3&gt;=$J23,BP$3&lt;=$M23),1,"")</f>
        <v/>
      </c>
      <c r="BQ23">
        <f>IF(AND($A23&lt;&gt;"",BQ$3&gt;=$J23,BQ$3&lt;=$M23),1,"")</f>
        <v/>
      </c>
      <c r="BR23">
        <f>IF(AND($A23&lt;&gt;"",BR$3&gt;=$J23,BR$3&lt;=$M23),1,"")</f>
        <v/>
      </c>
      <c r="BS23">
        <f>IF(AND($A23&lt;&gt;"",BS$3&gt;=$J23,BS$3&lt;=$M23),1,"")</f>
        <v/>
      </c>
      <c r="BT23">
        <f>IF(AND($A23&lt;&gt;"",BT$3&gt;=$J23,BT$3&lt;=$M23),1,"")</f>
        <v/>
      </c>
      <c r="BU23">
        <f>IF(AND($A23&lt;&gt;"",BU$3&gt;=$J23,BU$3&lt;=$M23),1,"")</f>
        <v/>
      </c>
      <c r="BV23">
        <f>IF(AND($A23&lt;&gt;"",BV$3&gt;=$J23,BV$3&lt;=$M23),1,"")</f>
        <v/>
      </c>
    </row>
    <row r="24">
      <c r="A24">
        <f>IF(Job_Master_Ring!$A24="","",Job_Master_Ring!$A24)</f>
        <v/>
      </c>
      <c r="B24">
        <f>IF($A24="","",Job_Master_Ring!B24)</f>
        <v/>
      </c>
      <c r="C24">
        <f>IF($A24="","",Job_Master_Ring!C24)</f>
        <v/>
      </c>
      <c r="D24">
        <f>IF($A24="","",Job_Master_Ring!D24)</f>
        <v/>
      </c>
      <c r="E24">
        <f>IF($A24="","",IF($I24&lt;&gt;"",$I24,IFERROR(INDEX(Machine_List!$B$87:$B$94,MATCH(1,(Machine_List!$H$87:$H$94&lt;=IFERROR(VLOOKUP($B24,CHOOSE(MATCH($C24,Settings!$L$4:$L$10,0),OPR_BR1!$A$4:$K$18,OPR_BR2!$A$4:$K$18,OPR_CR2!$A$4:$K$18,OPR_CR3!$A$4:$K$18,OPR_CR4!$A$4:$K$18,OPR_RIM!$A$4:$K$18,OPR_BPR!$A$4:$K$18),10,0),0))*(Machine_List!$I$87:$I$94&gt;=IFERROR(VLOOKUP($B24,CHOOSE(MATCH($C24,Settings!$L$4:$L$10,0),OPR_BR1!$A$4:$K$18,OPR_BR2!$A$4:$K$18,OPR_CR2!$A$4:$K$18,OPR_CR3!$A$4:$K$18,OPR_CR4!$A$4:$K$18,OPR_RIM!$A$4:$K$18,OPR_BPR!$A$4:$K$18),11,0),9999)),0)),"NO COMPATIBLE MACHINE")))</f>
        <v/>
      </c>
      <c r="F24">
        <f>IF($E24="","",IFERROR(VLOOKUP($E24,Machine_List!$B:$G,6,0),""))</f>
        <v/>
      </c>
      <c r="G24" s="17">
        <f>IF($E24="","",IFERROR(VLOOKUP($E24,Machine_List!$B:$C,2,0),""))</f>
        <v/>
      </c>
      <c r="H24">
        <f>IF($E24="","",IFERROR(VLOOKUP($E24,Machine_List!$B:$D,3,0),""))</f>
        <v/>
      </c>
      <c r="J24" s="16">
        <f>IF($A24="","",IF($I24&lt;&gt;"",$I24,MAX(GlobalStartDate,IFERROR(LOOKUP(2,1/($E$3:INDIRECT("E"&amp;(ROW()-1))=$E24),$M$3:INDIRECT("M"&amp;(ROW()-1))),GlobalStartDate))))</f>
        <v/>
      </c>
      <c r="K24">
        <f>IF($A24="","",IFERROR(VLOOKUP(B24,CHOOSE(MATCH($C24,Settings!$L$4:$L$10,0),OPR_BR1!$A$4:$I$18,OPR_BR2!$A$4:$I$18,OPR_CR2!$A$4:$I$18,OPR_CR3!$A$4:$I$18,OPR_CR4!$A$4:$I$18,OPR_RIM!$A$4:$I$18,OPR_BPR!$A$4:$I$18),2,0),0))</f>
        <v/>
      </c>
      <c r="L24">
        <f>IF($A24="","",K24*D24)</f>
        <v/>
      </c>
      <c r="M24" s="16">
        <f>IF($A24="","",IF(AND(ISNUMBER(G24),G24&gt;=J24,G24&lt;=(J24+(L24/(IF(F24="Contract Workman",Settings!$K$5,Settings!$K$4))))),J24+(L24/(IF(F24="Contract Workman",Settings!$K$5,Settings!$K$4)))+(H24/(IF(F24="Contract Workman",Settings!$K$5,Settings!$K$4))),J24+(L24/(IF(F24="Contract Workman",Settings!$K$5,Settings!$K$4)))))</f>
        <v/>
      </c>
      <c r="N24">
        <f>IF($A24="","",IF(F24="Contract Workman",IF(AND(MOD(M24,1)&gt;=8/24,MOD(M24,1)&lt;20/24),"Shift S1","Shift S2"),IF(AND(MOD(M24,1)&gt;=7/24,MOD(M24,1)&lt;15/24),"Shift A",IF(AND(MOD(M24,1)&gt;=15/24,MOD(M24,1)&lt;23/24),"Shift B","Shift C"))))</f>
        <v/>
      </c>
      <c r="O24">
        <f>IF(B24="","",IF(IFERROR(ISNUMBER(SEARCH(TEXT(B24,"0"),VLOOKUP(E24,Machine_List!$B:$J,9,0))),FALSE),"✅ "&amp;E24,"❌ ?"))</f>
        <v/>
      </c>
      <c r="P24">
        <f>IF(AND($A24&lt;&gt;"",P$3&gt;=$J24,P$3&lt;=$M24),1,"")</f>
        <v/>
      </c>
      <c r="Q24">
        <f>IF(AND($A24&lt;&gt;"",Q$3&gt;=$J24,Q$3&lt;=$M24),1,"")</f>
        <v/>
      </c>
      <c r="R24">
        <f>IF(AND($A24&lt;&gt;"",R$3&gt;=$J24,R$3&lt;=$M24),1,"")</f>
        <v/>
      </c>
      <c r="S24">
        <f>IF(AND($A24&lt;&gt;"",S$3&gt;=$J24,S$3&lt;=$M24),1,"")</f>
        <v/>
      </c>
      <c r="T24">
        <f>IF(AND($A24&lt;&gt;"",T$3&gt;=$J24,T$3&lt;=$M24),1,"")</f>
        <v/>
      </c>
      <c r="U24">
        <f>IF(AND($A24&lt;&gt;"",U$3&gt;=$J24,U$3&lt;=$M24),1,"")</f>
        <v/>
      </c>
      <c r="V24">
        <f>IF(AND($A24&lt;&gt;"",V$3&gt;=$J24,V$3&lt;=$M24),1,"")</f>
        <v/>
      </c>
      <c r="W24">
        <f>IF(AND($A24&lt;&gt;"",W$3&gt;=$J24,W$3&lt;=$M24),1,"")</f>
        <v/>
      </c>
      <c r="X24">
        <f>IF(AND($A24&lt;&gt;"",X$3&gt;=$J24,X$3&lt;=$M24),1,"")</f>
        <v/>
      </c>
      <c r="Y24">
        <f>IF(AND($A24&lt;&gt;"",Y$3&gt;=$J24,Y$3&lt;=$M24),1,"")</f>
        <v/>
      </c>
      <c r="Z24">
        <f>IF(AND($A24&lt;&gt;"",Z$3&gt;=$J24,Z$3&lt;=$M24),1,"")</f>
        <v/>
      </c>
      <c r="AA24">
        <f>IF(AND($A24&lt;&gt;"",AA$3&gt;=$J24,AA$3&lt;=$M24),1,"")</f>
        <v/>
      </c>
      <c r="AB24">
        <f>IF(AND($A24&lt;&gt;"",AB$3&gt;=$J24,AB$3&lt;=$M24),1,"")</f>
        <v/>
      </c>
      <c r="AC24">
        <f>IF(AND($A24&lt;&gt;"",AC$3&gt;=$J24,AC$3&lt;=$M24),1,"")</f>
        <v/>
      </c>
      <c r="AD24">
        <f>IF(AND($A24&lt;&gt;"",AD$3&gt;=$J24,AD$3&lt;=$M24),1,"")</f>
        <v/>
      </c>
      <c r="AE24">
        <f>IF(AND($A24&lt;&gt;"",AE$3&gt;=$J24,AE$3&lt;=$M24),1,"")</f>
        <v/>
      </c>
      <c r="AF24">
        <f>IF(AND($A24&lt;&gt;"",AF$3&gt;=$J24,AF$3&lt;=$M24),1,"")</f>
        <v/>
      </c>
      <c r="AG24">
        <f>IF(AND($A24&lt;&gt;"",AG$3&gt;=$J24,AG$3&lt;=$M24),1,"")</f>
        <v/>
      </c>
      <c r="AH24">
        <f>IF(AND($A24&lt;&gt;"",AH$3&gt;=$J24,AH$3&lt;=$M24),1,"")</f>
        <v/>
      </c>
      <c r="AI24">
        <f>IF(AND($A24&lt;&gt;"",AI$3&gt;=$J24,AI$3&lt;=$M24),1,"")</f>
        <v/>
      </c>
      <c r="AJ24">
        <f>IF(AND($A24&lt;&gt;"",AJ$3&gt;=$J24,AJ$3&lt;=$M24),1,"")</f>
        <v/>
      </c>
      <c r="AK24">
        <f>IF(AND($A24&lt;&gt;"",AK$3&gt;=$J24,AK$3&lt;=$M24),1,"")</f>
        <v/>
      </c>
      <c r="AL24">
        <f>IF(AND($A24&lt;&gt;"",AL$3&gt;=$J24,AL$3&lt;=$M24),1,"")</f>
        <v/>
      </c>
      <c r="AM24">
        <f>IF(AND($A24&lt;&gt;"",AM$3&gt;=$J24,AM$3&lt;=$M24),1,"")</f>
        <v/>
      </c>
      <c r="AN24">
        <f>IF(AND($A24&lt;&gt;"",AN$3&gt;=$J24,AN$3&lt;=$M24),1,"")</f>
        <v/>
      </c>
      <c r="AO24">
        <f>IF(AND($A24&lt;&gt;"",AO$3&gt;=$J24,AO$3&lt;=$M24),1,"")</f>
        <v/>
      </c>
      <c r="AP24">
        <f>IF(AND($A24&lt;&gt;"",AP$3&gt;=$J24,AP$3&lt;=$M24),1,"")</f>
        <v/>
      </c>
      <c r="AQ24">
        <f>IF(AND($A24&lt;&gt;"",AQ$3&gt;=$J24,AQ$3&lt;=$M24),1,"")</f>
        <v/>
      </c>
      <c r="AR24">
        <f>IF(AND($A24&lt;&gt;"",AR$3&gt;=$J24,AR$3&lt;=$M24),1,"")</f>
        <v/>
      </c>
      <c r="AS24">
        <f>IF(AND($A24&lt;&gt;"",AS$3&gt;=$J24,AS$3&lt;=$M24),1,"")</f>
        <v/>
      </c>
      <c r="AT24">
        <f>IF(AND($A24&lt;&gt;"",AT$3&gt;=$J24,AT$3&lt;=$M24),1,"")</f>
        <v/>
      </c>
      <c r="AU24">
        <f>IF(AND($A24&lt;&gt;"",AU$3&gt;=$J24,AU$3&lt;=$M24),1,"")</f>
        <v/>
      </c>
      <c r="AV24">
        <f>IF(AND($A24&lt;&gt;"",AV$3&gt;=$J24,AV$3&lt;=$M24),1,"")</f>
        <v/>
      </c>
      <c r="AW24">
        <f>IF(AND($A24&lt;&gt;"",AW$3&gt;=$J24,AW$3&lt;=$M24),1,"")</f>
        <v/>
      </c>
      <c r="AX24">
        <f>IF(AND($A24&lt;&gt;"",AX$3&gt;=$J24,AX$3&lt;=$M24),1,"")</f>
        <v/>
      </c>
      <c r="AY24">
        <f>IF(AND($A24&lt;&gt;"",AY$3&gt;=$J24,AY$3&lt;=$M24),1,"")</f>
        <v/>
      </c>
      <c r="AZ24">
        <f>IF(AND($A24&lt;&gt;"",AZ$3&gt;=$J24,AZ$3&lt;=$M24),1,"")</f>
        <v/>
      </c>
      <c r="BA24">
        <f>IF(AND($A24&lt;&gt;"",BA$3&gt;=$J24,BA$3&lt;=$M24),1,"")</f>
        <v/>
      </c>
      <c r="BB24">
        <f>IF(AND($A24&lt;&gt;"",BB$3&gt;=$J24,BB$3&lt;=$M24),1,"")</f>
        <v/>
      </c>
      <c r="BC24">
        <f>IF(AND($A24&lt;&gt;"",BC$3&gt;=$J24,BC$3&lt;=$M24),1,"")</f>
        <v/>
      </c>
      <c r="BD24">
        <f>IF(AND($A24&lt;&gt;"",BD$3&gt;=$J24,BD$3&lt;=$M24),1,"")</f>
        <v/>
      </c>
      <c r="BE24">
        <f>IF(AND($A24&lt;&gt;"",BE$3&gt;=$J24,BE$3&lt;=$M24),1,"")</f>
        <v/>
      </c>
      <c r="BF24">
        <f>IF(AND($A24&lt;&gt;"",BF$3&gt;=$J24,BF$3&lt;=$M24),1,"")</f>
        <v/>
      </c>
      <c r="BG24">
        <f>IF(AND($A24&lt;&gt;"",BG$3&gt;=$J24,BG$3&lt;=$M24),1,"")</f>
        <v/>
      </c>
      <c r="BH24">
        <f>IF(AND($A24&lt;&gt;"",BH$3&gt;=$J24,BH$3&lt;=$M24),1,"")</f>
        <v/>
      </c>
      <c r="BI24">
        <f>IF(AND($A24&lt;&gt;"",BI$3&gt;=$J24,BI$3&lt;=$M24),1,"")</f>
        <v/>
      </c>
      <c r="BJ24">
        <f>IF(AND($A24&lt;&gt;"",BJ$3&gt;=$J24,BJ$3&lt;=$M24),1,"")</f>
        <v/>
      </c>
      <c r="BK24">
        <f>IF(AND($A24&lt;&gt;"",BK$3&gt;=$J24,BK$3&lt;=$M24),1,"")</f>
        <v/>
      </c>
      <c r="BL24">
        <f>IF(AND($A24&lt;&gt;"",BL$3&gt;=$J24,BL$3&lt;=$M24),1,"")</f>
        <v/>
      </c>
      <c r="BM24">
        <f>IF(AND($A24&lt;&gt;"",BM$3&gt;=$J24,BM$3&lt;=$M24),1,"")</f>
        <v/>
      </c>
      <c r="BN24">
        <f>IF(AND($A24&lt;&gt;"",BN$3&gt;=$J24,BN$3&lt;=$M24),1,"")</f>
        <v/>
      </c>
      <c r="BO24">
        <f>IF(AND($A24&lt;&gt;"",BO$3&gt;=$J24,BO$3&lt;=$M24),1,"")</f>
        <v/>
      </c>
      <c r="BP24">
        <f>IF(AND($A24&lt;&gt;"",BP$3&gt;=$J24,BP$3&lt;=$M24),1,"")</f>
        <v/>
      </c>
      <c r="BQ24">
        <f>IF(AND($A24&lt;&gt;"",BQ$3&gt;=$J24,BQ$3&lt;=$M24),1,"")</f>
        <v/>
      </c>
      <c r="BR24">
        <f>IF(AND($A24&lt;&gt;"",BR$3&gt;=$J24,BR$3&lt;=$M24),1,"")</f>
        <v/>
      </c>
      <c r="BS24">
        <f>IF(AND($A24&lt;&gt;"",BS$3&gt;=$J24,BS$3&lt;=$M24),1,"")</f>
        <v/>
      </c>
      <c r="BT24">
        <f>IF(AND($A24&lt;&gt;"",BT$3&gt;=$J24,BT$3&lt;=$M24),1,"")</f>
        <v/>
      </c>
      <c r="BU24">
        <f>IF(AND($A24&lt;&gt;"",BU$3&gt;=$J24,BU$3&lt;=$M24),1,"")</f>
        <v/>
      </c>
      <c r="BV24">
        <f>IF(AND($A24&lt;&gt;"",BV$3&gt;=$J24,BV$3&lt;=$M24),1,"")</f>
        <v/>
      </c>
    </row>
    <row r="25">
      <c r="A25">
        <f>IF(Job_Master_Ring!$A25="","",Job_Master_Ring!$A25)</f>
        <v/>
      </c>
      <c r="B25">
        <f>IF($A25="","",Job_Master_Ring!B25)</f>
        <v/>
      </c>
      <c r="C25">
        <f>IF($A25="","",Job_Master_Ring!C25)</f>
        <v/>
      </c>
      <c r="D25">
        <f>IF($A25="","",Job_Master_Ring!D25)</f>
        <v/>
      </c>
      <c r="E25">
        <f>IF($A25="","",IF($I25&lt;&gt;"",$I25,IFERROR(INDEX(Machine_List!$B$87:$B$94,MATCH(1,(Machine_List!$H$87:$H$94&lt;=IFERROR(VLOOKUP($B25,CHOOSE(MATCH($C25,Settings!$L$4:$L$10,0),OPR_BR1!$A$4:$K$18,OPR_BR2!$A$4:$K$18,OPR_CR2!$A$4:$K$18,OPR_CR3!$A$4:$K$18,OPR_CR4!$A$4:$K$18,OPR_RIM!$A$4:$K$18,OPR_BPR!$A$4:$K$18),10,0),0))*(Machine_List!$I$87:$I$94&gt;=IFERROR(VLOOKUP($B25,CHOOSE(MATCH($C25,Settings!$L$4:$L$10,0),OPR_BR1!$A$4:$K$18,OPR_BR2!$A$4:$K$18,OPR_CR2!$A$4:$K$18,OPR_CR3!$A$4:$K$18,OPR_CR4!$A$4:$K$18,OPR_RIM!$A$4:$K$18,OPR_BPR!$A$4:$K$18),11,0),9999)),0)),"NO COMPATIBLE MACHINE")))</f>
        <v/>
      </c>
      <c r="F25">
        <f>IF($E25="","",IFERROR(VLOOKUP($E25,Machine_List!$B:$G,6,0),""))</f>
        <v/>
      </c>
      <c r="G25" s="17">
        <f>IF($E25="","",IFERROR(VLOOKUP($E25,Machine_List!$B:$C,2,0),""))</f>
        <v/>
      </c>
      <c r="H25">
        <f>IF($E25="","",IFERROR(VLOOKUP($E25,Machine_List!$B:$D,3,0),""))</f>
        <v/>
      </c>
      <c r="J25" s="16">
        <f>IF($A25="","",IF($I25&lt;&gt;"",$I25,MAX(GlobalStartDate,IFERROR(LOOKUP(2,1/($E$3:INDIRECT("E"&amp;(ROW()-1))=$E25),$M$3:INDIRECT("M"&amp;(ROW()-1))),GlobalStartDate))))</f>
        <v/>
      </c>
      <c r="K25">
        <f>IF($A25="","",IFERROR(VLOOKUP(B25,CHOOSE(MATCH($C25,Settings!$L$4:$L$10,0),OPR_BR1!$A$4:$I$18,OPR_BR2!$A$4:$I$18,OPR_CR2!$A$4:$I$18,OPR_CR3!$A$4:$I$18,OPR_CR4!$A$4:$I$18,OPR_RIM!$A$4:$I$18,OPR_BPR!$A$4:$I$18),2,0),0))</f>
        <v/>
      </c>
      <c r="L25">
        <f>IF($A25="","",K25*D25)</f>
        <v/>
      </c>
      <c r="M25" s="16">
        <f>IF($A25="","",IF(AND(ISNUMBER(G25),G25&gt;=J25,G25&lt;=(J25+(L25/(IF(F25="Contract Workman",Settings!$K$5,Settings!$K$4))))),J25+(L25/(IF(F25="Contract Workman",Settings!$K$5,Settings!$K$4)))+(H25/(IF(F25="Contract Workman",Settings!$K$5,Settings!$K$4))),J25+(L25/(IF(F25="Contract Workman",Settings!$K$5,Settings!$K$4)))))</f>
        <v/>
      </c>
      <c r="N25">
        <f>IF($A25="","",IF(F25="Contract Workman",IF(AND(MOD(M25,1)&gt;=8/24,MOD(M25,1)&lt;20/24),"Shift S1","Shift S2"),IF(AND(MOD(M25,1)&gt;=7/24,MOD(M25,1)&lt;15/24),"Shift A",IF(AND(MOD(M25,1)&gt;=15/24,MOD(M25,1)&lt;23/24),"Shift B","Shift C"))))</f>
        <v/>
      </c>
      <c r="O25">
        <f>IF(B25="","",IF(IFERROR(ISNUMBER(SEARCH(TEXT(B25,"0"),VLOOKUP(E25,Machine_List!$B:$J,9,0))),FALSE),"✅ "&amp;E25,"❌ ?"))</f>
        <v/>
      </c>
      <c r="P25">
        <f>IF(AND($A25&lt;&gt;"",P$3&gt;=$J25,P$3&lt;=$M25),1,"")</f>
        <v/>
      </c>
      <c r="Q25">
        <f>IF(AND($A25&lt;&gt;"",Q$3&gt;=$J25,Q$3&lt;=$M25),1,"")</f>
        <v/>
      </c>
      <c r="R25">
        <f>IF(AND($A25&lt;&gt;"",R$3&gt;=$J25,R$3&lt;=$M25),1,"")</f>
        <v/>
      </c>
      <c r="S25">
        <f>IF(AND($A25&lt;&gt;"",S$3&gt;=$J25,S$3&lt;=$M25),1,"")</f>
        <v/>
      </c>
      <c r="T25">
        <f>IF(AND($A25&lt;&gt;"",T$3&gt;=$J25,T$3&lt;=$M25),1,"")</f>
        <v/>
      </c>
      <c r="U25">
        <f>IF(AND($A25&lt;&gt;"",U$3&gt;=$J25,U$3&lt;=$M25),1,"")</f>
        <v/>
      </c>
      <c r="V25">
        <f>IF(AND($A25&lt;&gt;"",V$3&gt;=$J25,V$3&lt;=$M25),1,"")</f>
        <v/>
      </c>
      <c r="W25">
        <f>IF(AND($A25&lt;&gt;"",W$3&gt;=$J25,W$3&lt;=$M25),1,"")</f>
        <v/>
      </c>
      <c r="X25">
        <f>IF(AND($A25&lt;&gt;"",X$3&gt;=$J25,X$3&lt;=$M25),1,"")</f>
        <v/>
      </c>
      <c r="Y25">
        <f>IF(AND($A25&lt;&gt;"",Y$3&gt;=$J25,Y$3&lt;=$M25),1,"")</f>
        <v/>
      </c>
      <c r="Z25">
        <f>IF(AND($A25&lt;&gt;"",Z$3&gt;=$J25,Z$3&lt;=$M25),1,"")</f>
        <v/>
      </c>
      <c r="AA25">
        <f>IF(AND($A25&lt;&gt;"",AA$3&gt;=$J25,AA$3&lt;=$M25),1,"")</f>
        <v/>
      </c>
      <c r="AB25">
        <f>IF(AND($A25&lt;&gt;"",AB$3&gt;=$J25,AB$3&lt;=$M25),1,"")</f>
        <v/>
      </c>
      <c r="AC25">
        <f>IF(AND($A25&lt;&gt;"",AC$3&gt;=$J25,AC$3&lt;=$M25),1,"")</f>
        <v/>
      </c>
      <c r="AD25">
        <f>IF(AND($A25&lt;&gt;"",AD$3&gt;=$J25,AD$3&lt;=$M25),1,"")</f>
        <v/>
      </c>
      <c r="AE25">
        <f>IF(AND($A25&lt;&gt;"",AE$3&gt;=$J25,AE$3&lt;=$M25),1,"")</f>
        <v/>
      </c>
      <c r="AF25">
        <f>IF(AND($A25&lt;&gt;"",AF$3&gt;=$J25,AF$3&lt;=$M25),1,"")</f>
        <v/>
      </c>
      <c r="AG25">
        <f>IF(AND($A25&lt;&gt;"",AG$3&gt;=$J25,AG$3&lt;=$M25),1,"")</f>
        <v/>
      </c>
      <c r="AH25">
        <f>IF(AND($A25&lt;&gt;"",AH$3&gt;=$J25,AH$3&lt;=$M25),1,"")</f>
        <v/>
      </c>
      <c r="AI25">
        <f>IF(AND($A25&lt;&gt;"",AI$3&gt;=$J25,AI$3&lt;=$M25),1,"")</f>
        <v/>
      </c>
      <c r="AJ25">
        <f>IF(AND($A25&lt;&gt;"",AJ$3&gt;=$J25,AJ$3&lt;=$M25),1,"")</f>
        <v/>
      </c>
      <c r="AK25">
        <f>IF(AND($A25&lt;&gt;"",AK$3&gt;=$J25,AK$3&lt;=$M25),1,"")</f>
        <v/>
      </c>
      <c r="AL25">
        <f>IF(AND($A25&lt;&gt;"",AL$3&gt;=$J25,AL$3&lt;=$M25),1,"")</f>
        <v/>
      </c>
      <c r="AM25">
        <f>IF(AND($A25&lt;&gt;"",AM$3&gt;=$J25,AM$3&lt;=$M25),1,"")</f>
        <v/>
      </c>
      <c r="AN25">
        <f>IF(AND($A25&lt;&gt;"",AN$3&gt;=$J25,AN$3&lt;=$M25),1,"")</f>
        <v/>
      </c>
      <c r="AO25">
        <f>IF(AND($A25&lt;&gt;"",AO$3&gt;=$J25,AO$3&lt;=$M25),1,"")</f>
        <v/>
      </c>
      <c r="AP25">
        <f>IF(AND($A25&lt;&gt;"",AP$3&gt;=$J25,AP$3&lt;=$M25),1,"")</f>
        <v/>
      </c>
      <c r="AQ25">
        <f>IF(AND($A25&lt;&gt;"",AQ$3&gt;=$J25,AQ$3&lt;=$M25),1,"")</f>
        <v/>
      </c>
      <c r="AR25">
        <f>IF(AND($A25&lt;&gt;"",AR$3&gt;=$J25,AR$3&lt;=$M25),1,"")</f>
        <v/>
      </c>
      <c r="AS25">
        <f>IF(AND($A25&lt;&gt;"",AS$3&gt;=$J25,AS$3&lt;=$M25),1,"")</f>
        <v/>
      </c>
      <c r="AT25">
        <f>IF(AND($A25&lt;&gt;"",AT$3&gt;=$J25,AT$3&lt;=$M25),1,"")</f>
        <v/>
      </c>
      <c r="AU25">
        <f>IF(AND($A25&lt;&gt;"",AU$3&gt;=$J25,AU$3&lt;=$M25),1,"")</f>
        <v/>
      </c>
      <c r="AV25">
        <f>IF(AND($A25&lt;&gt;"",AV$3&gt;=$J25,AV$3&lt;=$M25),1,"")</f>
        <v/>
      </c>
      <c r="AW25">
        <f>IF(AND($A25&lt;&gt;"",AW$3&gt;=$J25,AW$3&lt;=$M25),1,"")</f>
        <v/>
      </c>
      <c r="AX25">
        <f>IF(AND($A25&lt;&gt;"",AX$3&gt;=$J25,AX$3&lt;=$M25),1,"")</f>
        <v/>
      </c>
      <c r="AY25">
        <f>IF(AND($A25&lt;&gt;"",AY$3&gt;=$J25,AY$3&lt;=$M25),1,"")</f>
        <v/>
      </c>
      <c r="AZ25">
        <f>IF(AND($A25&lt;&gt;"",AZ$3&gt;=$J25,AZ$3&lt;=$M25),1,"")</f>
        <v/>
      </c>
      <c r="BA25">
        <f>IF(AND($A25&lt;&gt;"",BA$3&gt;=$J25,BA$3&lt;=$M25),1,"")</f>
        <v/>
      </c>
      <c r="BB25">
        <f>IF(AND($A25&lt;&gt;"",BB$3&gt;=$J25,BB$3&lt;=$M25),1,"")</f>
        <v/>
      </c>
      <c r="BC25">
        <f>IF(AND($A25&lt;&gt;"",BC$3&gt;=$J25,BC$3&lt;=$M25),1,"")</f>
        <v/>
      </c>
      <c r="BD25">
        <f>IF(AND($A25&lt;&gt;"",BD$3&gt;=$J25,BD$3&lt;=$M25),1,"")</f>
        <v/>
      </c>
      <c r="BE25">
        <f>IF(AND($A25&lt;&gt;"",BE$3&gt;=$J25,BE$3&lt;=$M25),1,"")</f>
        <v/>
      </c>
      <c r="BF25">
        <f>IF(AND($A25&lt;&gt;"",BF$3&gt;=$J25,BF$3&lt;=$M25),1,"")</f>
        <v/>
      </c>
      <c r="BG25">
        <f>IF(AND($A25&lt;&gt;"",BG$3&gt;=$J25,BG$3&lt;=$M25),1,"")</f>
        <v/>
      </c>
      <c r="BH25">
        <f>IF(AND($A25&lt;&gt;"",BH$3&gt;=$J25,BH$3&lt;=$M25),1,"")</f>
        <v/>
      </c>
      <c r="BI25">
        <f>IF(AND($A25&lt;&gt;"",BI$3&gt;=$J25,BI$3&lt;=$M25),1,"")</f>
        <v/>
      </c>
      <c r="BJ25">
        <f>IF(AND($A25&lt;&gt;"",BJ$3&gt;=$J25,BJ$3&lt;=$M25),1,"")</f>
        <v/>
      </c>
      <c r="BK25">
        <f>IF(AND($A25&lt;&gt;"",BK$3&gt;=$J25,BK$3&lt;=$M25),1,"")</f>
        <v/>
      </c>
      <c r="BL25">
        <f>IF(AND($A25&lt;&gt;"",BL$3&gt;=$J25,BL$3&lt;=$M25),1,"")</f>
        <v/>
      </c>
      <c r="BM25">
        <f>IF(AND($A25&lt;&gt;"",BM$3&gt;=$J25,BM$3&lt;=$M25),1,"")</f>
        <v/>
      </c>
      <c r="BN25">
        <f>IF(AND($A25&lt;&gt;"",BN$3&gt;=$J25,BN$3&lt;=$M25),1,"")</f>
        <v/>
      </c>
      <c r="BO25">
        <f>IF(AND($A25&lt;&gt;"",BO$3&gt;=$J25,BO$3&lt;=$M25),1,"")</f>
        <v/>
      </c>
      <c r="BP25">
        <f>IF(AND($A25&lt;&gt;"",BP$3&gt;=$J25,BP$3&lt;=$M25),1,"")</f>
        <v/>
      </c>
      <c r="BQ25">
        <f>IF(AND($A25&lt;&gt;"",BQ$3&gt;=$J25,BQ$3&lt;=$M25),1,"")</f>
        <v/>
      </c>
      <c r="BR25">
        <f>IF(AND($A25&lt;&gt;"",BR$3&gt;=$J25,BR$3&lt;=$M25),1,"")</f>
        <v/>
      </c>
      <c r="BS25">
        <f>IF(AND($A25&lt;&gt;"",BS$3&gt;=$J25,BS$3&lt;=$M25),1,"")</f>
        <v/>
      </c>
      <c r="BT25">
        <f>IF(AND($A25&lt;&gt;"",BT$3&gt;=$J25,BT$3&lt;=$M25),1,"")</f>
        <v/>
      </c>
      <c r="BU25">
        <f>IF(AND($A25&lt;&gt;"",BU$3&gt;=$J25,BU$3&lt;=$M25),1,"")</f>
        <v/>
      </c>
      <c r="BV25">
        <f>IF(AND($A25&lt;&gt;"",BV$3&gt;=$J25,BV$3&lt;=$M25),1,"")</f>
        <v/>
      </c>
    </row>
    <row r="26">
      <c r="A26">
        <f>IF(Job_Master_Ring!$A26="","",Job_Master_Ring!$A26)</f>
        <v/>
      </c>
      <c r="B26">
        <f>IF($A26="","",Job_Master_Ring!B26)</f>
        <v/>
      </c>
      <c r="C26">
        <f>IF($A26="","",Job_Master_Ring!C26)</f>
        <v/>
      </c>
      <c r="D26">
        <f>IF($A26="","",Job_Master_Ring!D26)</f>
        <v/>
      </c>
      <c r="E26">
        <f>IF($A26="","",IF($I26&lt;&gt;"",$I26,IFERROR(INDEX(Machine_List!$B$87:$B$94,MATCH(1,(Machine_List!$H$87:$H$94&lt;=IFERROR(VLOOKUP($B26,CHOOSE(MATCH($C26,Settings!$L$4:$L$10,0),OPR_BR1!$A$4:$K$18,OPR_BR2!$A$4:$K$18,OPR_CR2!$A$4:$K$18,OPR_CR3!$A$4:$K$18,OPR_CR4!$A$4:$K$18,OPR_RIM!$A$4:$K$18,OPR_BPR!$A$4:$K$18),10,0),0))*(Machine_List!$I$87:$I$94&gt;=IFERROR(VLOOKUP($B26,CHOOSE(MATCH($C26,Settings!$L$4:$L$10,0),OPR_BR1!$A$4:$K$18,OPR_BR2!$A$4:$K$18,OPR_CR2!$A$4:$K$18,OPR_CR3!$A$4:$K$18,OPR_CR4!$A$4:$K$18,OPR_RIM!$A$4:$K$18,OPR_BPR!$A$4:$K$18),11,0),9999)),0)),"NO COMPATIBLE MACHINE")))</f>
        <v/>
      </c>
      <c r="F26">
        <f>IF($E26="","",IFERROR(VLOOKUP($E26,Machine_List!$B:$G,6,0),""))</f>
        <v/>
      </c>
      <c r="G26" s="17">
        <f>IF($E26="","",IFERROR(VLOOKUP($E26,Machine_List!$B:$C,2,0),""))</f>
        <v/>
      </c>
      <c r="H26">
        <f>IF($E26="","",IFERROR(VLOOKUP($E26,Machine_List!$B:$D,3,0),""))</f>
        <v/>
      </c>
      <c r="J26" s="16">
        <f>IF($A26="","",IF($I26&lt;&gt;"",$I26,MAX(GlobalStartDate,IFERROR(LOOKUP(2,1/($E$3:INDIRECT("E"&amp;(ROW()-1))=$E26),$M$3:INDIRECT("M"&amp;(ROW()-1))),GlobalStartDate))))</f>
        <v/>
      </c>
      <c r="K26">
        <f>IF($A26="","",IFERROR(VLOOKUP(B26,CHOOSE(MATCH($C26,Settings!$L$4:$L$10,0),OPR_BR1!$A$4:$I$18,OPR_BR2!$A$4:$I$18,OPR_CR2!$A$4:$I$18,OPR_CR3!$A$4:$I$18,OPR_CR4!$A$4:$I$18,OPR_RIM!$A$4:$I$18,OPR_BPR!$A$4:$I$18),2,0),0))</f>
        <v/>
      </c>
      <c r="L26">
        <f>IF($A26="","",K26*D26)</f>
        <v/>
      </c>
      <c r="M26" s="16">
        <f>IF($A26="","",IF(AND(ISNUMBER(G26),G26&gt;=J26,G26&lt;=(J26+(L26/(IF(F26="Contract Workman",Settings!$K$5,Settings!$K$4))))),J26+(L26/(IF(F26="Contract Workman",Settings!$K$5,Settings!$K$4)))+(H26/(IF(F26="Contract Workman",Settings!$K$5,Settings!$K$4))),J26+(L26/(IF(F26="Contract Workman",Settings!$K$5,Settings!$K$4)))))</f>
        <v/>
      </c>
      <c r="N26">
        <f>IF($A26="","",IF(F26="Contract Workman",IF(AND(MOD(M26,1)&gt;=8/24,MOD(M26,1)&lt;20/24),"Shift S1","Shift S2"),IF(AND(MOD(M26,1)&gt;=7/24,MOD(M26,1)&lt;15/24),"Shift A",IF(AND(MOD(M26,1)&gt;=15/24,MOD(M26,1)&lt;23/24),"Shift B","Shift C"))))</f>
        <v/>
      </c>
      <c r="O26">
        <f>IF(B26="","",IF(IFERROR(ISNUMBER(SEARCH(TEXT(B26,"0"),VLOOKUP(E26,Machine_List!$B:$J,9,0))),FALSE),"✅ "&amp;E26,"❌ ?"))</f>
        <v/>
      </c>
      <c r="P26">
        <f>IF(AND($A26&lt;&gt;"",P$3&gt;=$J26,P$3&lt;=$M26),1,"")</f>
        <v/>
      </c>
      <c r="Q26">
        <f>IF(AND($A26&lt;&gt;"",Q$3&gt;=$J26,Q$3&lt;=$M26),1,"")</f>
        <v/>
      </c>
      <c r="R26">
        <f>IF(AND($A26&lt;&gt;"",R$3&gt;=$J26,R$3&lt;=$M26),1,"")</f>
        <v/>
      </c>
      <c r="S26">
        <f>IF(AND($A26&lt;&gt;"",S$3&gt;=$J26,S$3&lt;=$M26),1,"")</f>
        <v/>
      </c>
      <c r="T26">
        <f>IF(AND($A26&lt;&gt;"",T$3&gt;=$J26,T$3&lt;=$M26),1,"")</f>
        <v/>
      </c>
      <c r="U26">
        <f>IF(AND($A26&lt;&gt;"",U$3&gt;=$J26,U$3&lt;=$M26),1,"")</f>
        <v/>
      </c>
      <c r="V26">
        <f>IF(AND($A26&lt;&gt;"",V$3&gt;=$J26,V$3&lt;=$M26),1,"")</f>
        <v/>
      </c>
      <c r="W26">
        <f>IF(AND($A26&lt;&gt;"",W$3&gt;=$J26,W$3&lt;=$M26),1,"")</f>
        <v/>
      </c>
      <c r="X26">
        <f>IF(AND($A26&lt;&gt;"",X$3&gt;=$J26,X$3&lt;=$M26),1,"")</f>
        <v/>
      </c>
      <c r="Y26">
        <f>IF(AND($A26&lt;&gt;"",Y$3&gt;=$J26,Y$3&lt;=$M26),1,"")</f>
        <v/>
      </c>
      <c r="Z26">
        <f>IF(AND($A26&lt;&gt;"",Z$3&gt;=$J26,Z$3&lt;=$M26),1,"")</f>
        <v/>
      </c>
      <c r="AA26">
        <f>IF(AND($A26&lt;&gt;"",AA$3&gt;=$J26,AA$3&lt;=$M26),1,"")</f>
        <v/>
      </c>
      <c r="AB26">
        <f>IF(AND($A26&lt;&gt;"",AB$3&gt;=$J26,AB$3&lt;=$M26),1,"")</f>
        <v/>
      </c>
      <c r="AC26">
        <f>IF(AND($A26&lt;&gt;"",AC$3&gt;=$J26,AC$3&lt;=$M26),1,"")</f>
        <v/>
      </c>
      <c r="AD26">
        <f>IF(AND($A26&lt;&gt;"",AD$3&gt;=$J26,AD$3&lt;=$M26),1,"")</f>
        <v/>
      </c>
      <c r="AE26">
        <f>IF(AND($A26&lt;&gt;"",AE$3&gt;=$J26,AE$3&lt;=$M26),1,"")</f>
        <v/>
      </c>
      <c r="AF26">
        <f>IF(AND($A26&lt;&gt;"",AF$3&gt;=$J26,AF$3&lt;=$M26),1,"")</f>
        <v/>
      </c>
      <c r="AG26">
        <f>IF(AND($A26&lt;&gt;"",AG$3&gt;=$J26,AG$3&lt;=$M26),1,"")</f>
        <v/>
      </c>
      <c r="AH26">
        <f>IF(AND($A26&lt;&gt;"",AH$3&gt;=$J26,AH$3&lt;=$M26),1,"")</f>
        <v/>
      </c>
      <c r="AI26">
        <f>IF(AND($A26&lt;&gt;"",AI$3&gt;=$J26,AI$3&lt;=$M26),1,"")</f>
        <v/>
      </c>
      <c r="AJ26">
        <f>IF(AND($A26&lt;&gt;"",AJ$3&gt;=$J26,AJ$3&lt;=$M26),1,"")</f>
        <v/>
      </c>
      <c r="AK26">
        <f>IF(AND($A26&lt;&gt;"",AK$3&gt;=$J26,AK$3&lt;=$M26),1,"")</f>
        <v/>
      </c>
      <c r="AL26">
        <f>IF(AND($A26&lt;&gt;"",AL$3&gt;=$J26,AL$3&lt;=$M26),1,"")</f>
        <v/>
      </c>
      <c r="AM26">
        <f>IF(AND($A26&lt;&gt;"",AM$3&gt;=$J26,AM$3&lt;=$M26),1,"")</f>
        <v/>
      </c>
      <c r="AN26">
        <f>IF(AND($A26&lt;&gt;"",AN$3&gt;=$J26,AN$3&lt;=$M26),1,"")</f>
        <v/>
      </c>
      <c r="AO26">
        <f>IF(AND($A26&lt;&gt;"",AO$3&gt;=$J26,AO$3&lt;=$M26),1,"")</f>
        <v/>
      </c>
      <c r="AP26">
        <f>IF(AND($A26&lt;&gt;"",AP$3&gt;=$J26,AP$3&lt;=$M26),1,"")</f>
        <v/>
      </c>
      <c r="AQ26">
        <f>IF(AND($A26&lt;&gt;"",AQ$3&gt;=$J26,AQ$3&lt;=$M26),1,"")</f>
        <v/>
      </c>
      <c r="AR26">
        <f>IF(AND($A26&lt;&gt;"",AR$3&gt;=$J26,AR$3&lt;=$M26),1,"")</f>
        <v/>
      </c>
      <c r="AS26">
        <f>IF(AND($A26&lt;&gt;"",AS$3&gt;=$J26,AS$3&lt;=$M26),1,"")</f>
        <v/>
      </c>
      <c r="AT26">
        <f>IF(AND($A26&lt;&gt;"",AT$3&gt;=$J26,AT$3&lt;=$M26),1,"")</f>
        <v/>
      </c>
      <c r="AU26">
        <f>IF(AND($A26&lt;&gt;"",AU$3&gt;=$J26,AU$3&lt;=$M26),1,"")</f>
        <v/>
      </c>
      <c r="AV26">
        <f>IF(AND($A26&lt;&gt;"",AV$3&gt;=$J26,AV$3&lt;=$M26),1,"")</f>
        <v/>
      </c>
      <c r="AW26">
        <f>IF(AND($A26&lt;&gt;"",AW$3&gt;=$J26,AW$3&lt;=$M26),1,"")</f>
        <v/>
      </c>
      <c r="AX26">
        <f>IF(AND($A26&lt;&gt;"",AX$3&gt;=$J26,AX$3&lt;=$M26),1,"")</f>
        <v/>
      </c>
      <c r="AY26">
        <f>IF(AND($A26&lt;&gt;"",AY$3&gt;=$J26,AY$3&lt;=$M26),1,"")</f>
        <v/>
      </c>
      <c r="AZ26">
        <f>IF(AND($A26&lt;&gt;"",AZ$3&gt;=$J26,AZ$3&lt;=$M26),1,"")</f>
        <v/>
      </c>
      <c r="BA26">
        <f>IF(AND($A26&lt;&gt;"",BA$3&gt;=$J26,BA$3&lt;=$M26),1,"")</f>
        <v/>
      </c>
      <c r="BB26">
        <f>IF(AND($A26&lt;&gt;"",BB$3&gt;=$J26,BB$3&lt;=$M26),1,"")</f>
        <v/>
      </c>
      <c r="BC26">
        <f>IF(AND($A26&lt;&gt;"",BC$3&gt;=$J26,BC$3&lt;=$M26),1,"")</f>
        <v/>
      </c>
      <c r="BD26">
        <f>IF(AND($A26&lt;&gt;"",BD$3&gt;=$J26,BD$3&lt;=$M26),1,"")</f>
        <v/>
      </c>
      <c r="BE26">
        <f>IF(AND($A26&lt;&gt;"",BE$3&gt;=$J26,BE$3&lt;=$M26),1,"")</f>
        <v/>
      </c>
      <c r="BF26">
        <f>IF(AND($A26&lt;&gt;"",BF$3&gt;=$J26,BF$3&lt;=$M26),1,"")</f>
        <v/>
      </c>
      <c r="BG26">
        <f>IF(AND($A26&lt;&gt;"",BG$3&gt;=$J26,BG$3&lt;=$M26),1,"")</f>
        <v/>
      </c>
      <c r="BH26">
        <f>IF(AND($A26&lt;&gt;"",BH$3&gt;=$J26,BH$3&lt;=$M26),1,"")</f>
        <v/>
      </c>
      <c r="BI26">
        <f>IF(AND($A26&lt;&gt;"",BI$3&gt;=$J26,BI$3&lt;=$M26),1,"")</f>
        <v/>
      </c>
      <c r="BJ26">
        <f>IF(AND($A26&lt;&gt;"",BJ$3&gt;=$J26,BJ$3&lt;=$M26),1,"")</f>
        <v/>
      </c>
      <c r="BK26">
        <f>IF(AND($A26&lt;&gt;"",BK$3&gt;=$J26,BK$3&lt;=$M26),1,"")</f>
        <v/>
      </c>
      <c r="BL26">
        <f>IF(AND($A26&lt;&gt;"",BL$3&gt;=$J26,BL$3&lt;=$M26),1,"")</f>
        <v/>
      </c>
      <c r="BM26">
        <f>IF(AND($A26&lt;&gt;"",BM$3&gt;=$J26,BM$3&lt;=$M26),1,"")</f>
        <v/>
      </c>
      <c r="BN26">
        <f>IF(AND($A26&lt;&gt;"",BN$3&gt;=$J26,BN$3&lt;=$M26),1,"")</f>
        <v/>
      </c>
      <c r="BO26">
        <f>IF(AND($A26&lt;&gt;"",BO$3&gt;=$J26,BO$3&lt;=$M26),1,"")</f>
        <v/>
      </c>
      <c r="BP26">
        <f>IF(AND($A26&lt;&gt;"",BP$3&gt;=$J26,BP$3&lt;=$M26),1,"")</f>
        <v/>
      </c>
      <c r="BQ26">
        <f>IF(AND($A26&lt;&gt;"",BQ$3&gt;=$J26,BQ$3&lt;=$M26),1,"")</f>
        <v/>
      </c>
      <c r="BR26">
        <f>IF(AND($A26&lt;&gt;"",BR$3&gt;=$J26,BR$3&lt;=$M26),1,"")</f>
        <v/>
      </c>
      <c r="BS26">
        <f>IF(AND($A26&lt;&gt;"",BS$3&gt;=$J26,BS$3&lt;=$M26),1,"")</f>
        <v/>
      </c>
      <c r="BT26">
        <f>IF(AND($A26&lt;&gt;"",BT$3&gt;=$J26,BT$3&lt;=$M26),1,"")</f>
        <v/>
      </c>
      <c r="BU26">
        <f>IF(AND($A26&lt;&gt;"",BU$3&gt;=$J26,BU$3&lt;=$M26),1,"")</f>
        <v/>
      </c>
      <c r="BV26">
        <f>IF(AND($A26&lt;&gt;"",BV$3&gt;=$J26,BV$3&lt;=$M26),1,"")</f>
        <v/>
      </c>
    </row>
    <row r="27">
      <c r="A27">
        <f>IF(Job_Master_Ring!$A27="","",Job_Master_Ring!$A27)</f>
        <v/>
      </c>
      <c r="B27">
        <f>IF($A27="","",Job_Master_Ring!B27)</f>
        <v/>
      </c>
      <c r="C27">
        <f>IF($A27="","",Job_Master_Ring!C27)</f>
        <v/>
      </c>
      <c r="D27">
        <f>IF($A27="","",Job_Master_Ring!D27)</f>
        <v/>
      </c>
      <c r="E27">
        <f>IF($A27="","",IF($I27&lt;&gt;"",$I27,IFERROR(INDEX(Machine_List!$B$87:$B$94,MATCH(1,(Machine_List!$H$87:$H$94&lt;=IFERROR(VLOOKUP($B27,CHOOSE(MATCH($C27,Settings!$L$4:$L$10,0),OPR_BR1!$A$4:$K$18,OPR_BR2!$A$4:$K$18,OPR_CR2!$A$4:$K$18,OPR_CR3!$A$4:$K$18,OPR_CR4!$A$4:$K$18,OPR_RIM!$A$4:$K$18,OPR_BPR!$A$4:$K$18),10,0),0))*(Machine_List!$I$87:$I$94&gt;=IFERROR(VLOOKUP($B27,CHOOSE(MATCH($C27,Settings!$L$4:$L$10,0),OPR_BR1!$A$4:$K$18,OPR_BR2!$A$4:$K$18,OPR_CR2!$A$4:$K$18,OPR_CR3!$A$4:$K$18,OPR_CR4!$A$4:$K$18,OPR_RIM!$A$4:$K$18,OPR_BPR!$A$4:$K$18),11,0),9999)),0)),"NO COMPATIBLE MACHINE")))</f>
        <v/>
      </c>
      <c r="F27">
        <f>IF($E27="","",IFERROR(VLOOKUP($E27,Machine_List!$B:$G,6,0),""))</f>
        <v/>
      </c>
      <c r="G27" s="17">
        <f>IF($E27="","",IFERROR(VLOOKUP($E27,Machine_List!$B:$C,2,0),""))</f>
        <v/>
      </c>
      <c r="H27">
        <f>IF($E27="","",IFERROR(VLOOKUP($E27,Machine_List!$B:$D,3,0),""))</f>
        <v/>
      </c>
      <c r="J27" s="16">
        <f>IF($A27="","",IF($I27&lt;&gt;"",$I27,MAX(GlobalStartDate,IFERROR(LOOKUP(2,1/($E$3:INDIRECT("E"&amp;(ROW()-1))=$E27),$M$3:INDIRECT("M"&amp;(ROW()-1))),GlobalStartDate))))</f>
        <v/>
      </c>
      <c r="K27">
        <f>IF($A27="","",IFERROR(VLOOKUP(B27,CHOOSE(MATCH($C27,Settings!$L$4:$L$10,0),OPR_BR1!$A$4:$I$18,OPR_BR2!$A$4:$I$18,OPR_CR2!$A$4:$I$18,OPR_CR3!$A$4:$I$18,OPR_CR4!$A$4:$I$18,OPR_RIM!$A$4:$I$18,OPR_BPR!$A$4:$I$18),2,0),0))</f>
        <v/>
      </c>
      <c r="L27">
        <f>IF($A27="","",K27*D27)</f>
        <v/>
      </c>
      <c r="M27" s="16">
        <f>IF($A27="","",IF(AND(ISNUMBER(G27),G27&gt;=J27,G27&lt;=(J27+(L27/(IF(F27="Contract Workman",Settings!$K$5,Settings!$K$4))))),J27+(L27/(IF(F27="Contract Workman",Settings!$K$5,Settings!$K$4)))+(H27/(IF(F27="Contract Workman",Settings!$K$5,Settings!$K$4))),J27+(L27/(IF(F27="Contract Workman",Settings!$K$5,Settings!$K$4)))))</f>
        <v/>
      </c>
      <c r="N27">
        <f>IF($A27="","",IF(F27="Contract Workman",IF(AND(MOD(M27,1)&gt;=8/24,MOD(M27,1)&lt;20/24),"Shift S1","Shift S2"),IF(AND(MOD(M27,1)&gt;=7/24,MOD(M27,1)&lt;15/24),"Shift A",IF(AND(MOD(M27,1)&gt;=15/24,MOD(M27,1)&lt;23/24),"Shift B","Shift C"))))</f>
        <v/>
      </c>
      <c r="O27">
        <f>IF(B27="","",IF(IFERROR(ISNUMBER(SEARCH(TEXT(B27,"0"),VLOOKUP(E27,Machine_List!$B:$J,9,0))),FALSE),"✅ "&amp;E27,"❌ ?"))</f>
        <v/>
      </c>
      <c r="P27">
        <f>IF(AND($A27&lt;&gt;"",P$3&gt;=$J27,P$3&lt;=$M27),1,"")</f>
        <v/>
      </c>
      <c r="Q27">
        <f>IF(AND($A27&lt;&gt;"",Q$3&gt;=$J27,Q$3&lt;=$M27),1,"")</f>
        <v/>
      </c>
      <c r="R27">
        <f>IF(AND($A27&lt;&gt;"",R$3&gt;=$J27,R$3&lt;=$M27),1,"")</f>
        <v/>
      </c>
      <c r="S27">
        <f>IF(AND($A27&lt;&gt;"",S$3&gt;=$J27,S$3&lt;=$M27),1,"")</f>
        <v/>
      </c>
      <c r="T27">
        <f>IF(AND($A27&lt;&gt;"",T$3&gt;=$J27,T$3&lt;=$M27),1,"")</f>
        <v/>
      </c>
      <c r="U27">
        <f>IF(AND($A27&lt;&gt;"",U$3&gt;=$J27,U$3&lt;=$M27),1,"")</f>
        <v/>
      </c>
      <c r="V27">
        <f>IF(AND($A27&lt;&gt;"",V$3&gt;=$J27,V$3&lt;=$M27),1,"")</f>
        <v/>
      </c>
      <c r="W27">
        <f>IF(AND($A27&lt;&gt;"",W$3&gt;=$J27,W$3&lt;=$M27),1,"")</f>
        <v/>
      </c>
      <c r="X27">
        <f>IF(AND($A27&lt;&gt;"",X$3&gt;=$J27,X$3&lt;=$M27),1,"")</f>
        <v/>
      </c>
      <c r="Y27">
        <f>IF(AND($A27&lt;&gt;"",Y$3&gt;=$J27,Y$3&lt;=$M27),1,"")</f>
        <v/>
      </c>
      <c r="Z27">
        <f>IF(AND($A27&lt;&gt;"",Z$3&gt;=$J27,Z$3&lt;=$M27),1,"")</f>
        <v/>
      </c>
      <c r="AA27">
        <f>IF(AND($A27&lt;&gt;"",AA$3&gt;=$J27,AA$3&lt;=$M27),1,"")</f>
        <v/>
      </c>
      <c r="AB27">
        <f>IF(AND($A27&lt;&gt;"",AB$3&gt;=$J27,AB$3&lt;=$M27),1,"")</f>
        <v/>
      </c>
      <c r="AC27">
        <f>IF(AND($A27&lt;&gt;"",AC$3&gt;=$J27,AC$3&lt;=$M27),1,"")</f>
        <v/>
      </c>
      <c r="AD27">
        <f>IF(AND($A27&lt;&gt;"",AD$3&gt;=$J27,AD$3&lt;=$M27),1,"")</f>
        <v/>
      </c>
      <c r="AE27">
        <f>IF(AND($A27&lt;&gt;"",AE$3&gt;=$J27,AE$3&lt;=$M27),1,"")</f>
        <v/>
      </c>
      <c r="AF27">
        <f>IF(AND($A27&lt;&gt;"",AF$3&gt;=$J27,AF$3&lt;=$M27),1,"")</f>
        <v/>
      </c>
      <c r="AG27">
        <f>IF(AND($A27&lt;&gt;"",AG$3&gt;=$J27,AG$3&lt;=$M27),1,"")</f>
        <v/>
      </c>
      <c r="AH27">
        <f>IF(AND($A27&lt;&gt;"",AH$3&gt;=$J27,AH$3&lt;=$M27),1,"")</f>
        <v/>
      </c>
      <c r="AI27">
        <f>IF(AND($A27&lt;&gt;"",AI$3&gt;=$J27,AI$3&lt;=$M27),1,"")</f>
        <v/>
      </c>
      <c r="AJ27">
        <f>IF(AND($A27&lt;&gt;"",AJ$3&gt;=$J27,AJ$3&lt;=$M27),1,"")</f>
        <v/>
      </c>
      <c r="AK27">
        <f>IF(AND($A27&lt;&gt;"",AK$3&gt;=$J27,AK$3&lt;=$M27),1,"")</f>
        <v/>
      </c>
      <c r="AL27">
        <f>IF(AND($A27&lt;&gt;"",AL$3&gt;=$J27,AL$3&lt;=$M27),1,"")</f>
        <v/>
      </c>
      <c r="AM27">
        <f>IF(AND($A27&lt;&gt;"",AM$3&gt;=$J27,AM$3&lt;=$M27),1,"")</f>
        <v/>
      </c>
      <c r="AN27">
        <f>IF(AND($A27&lt;&gt;"",AN$3&gt;=$J27,AN$3&lt;=$M27),1,"")</f>
        <v/>
      </c>
      <c r="AO27">
        <f>IF(AND($A27&lt;&gt;"",AO$3&gt;=$J27,AO$3&lt;=$M27),1,"")</f>
        <v/>
      </c>
      <c r="AP27">
        <f>IF(AND($A27&lt;&gt;"",AP$3&gt;=$J27,AP$3&lt;=$M27),1,"")</f>
        <v/>
      </c>
      <c r="AQ27">
        <f>IF(AND($A27&lt;&gt;"",AQ$3&gt;=$J27,AQ$3&lt;=$M27),1,"")</f>
        <v/>
      </c>
      <c r="AR27">
        <f>IF(AND($A27&lt;&gt;"",AR$3&gt;=$J27,AR$3&lt;=$M27),1,"")</f>
        <v/>
      </c>
      <c r="AS27">
        <f>IF(AND($A27&lt;&gt;"",AS$3&gt;=$J27,AS$3&lt;=$M27),1,"")</f>
        <v/>
      </c>
      <c r="AT27">
        <f>IF(AND($A27&lt;&gt;"",AT$3&gt;=$J27,AT$3&lt;=$M27),1,"")</f>
        <v/>
      </c>
      <c r="AU27">
        <f>IF(AND($A27&lt;&gt;"",AU$3&gt;=$J27,AU$3&lt;=$M27),1,"")</f>
        <v/>
      </c>
      <c r="AV27">
        <f>IF(AND($A27&lt;&gt;"",AV$3&gt;=$J27,AV$3&lt;=$M27),1,"")</f>
        <v/>
      </c>
      <c r="AW27">
        <f>IF(AND($A27&lt;&gt;"",AW$3&gt;=$J27,AW$3&lt;=$M27),1,"")</f>
        <v/>
      </c>
      <c r="AX27">
        <f>IF(AND($A27&lt;&gt;"",AX$3&gt;=$J27,AX$3&lt;=$M27),1,"")</f>
        <v/>
      </c>
      <c r="AY27">
        <f>IF(AND($A27&lt;&gt;"",AY$3&gt;=$J27,AY$3&lt;=$M27),1,"")</f>
        <v/>
      </c>
      <c r="AZ27">
        <f>IF(AND($A27&lt;&gt;"",AZ$3&gt;=$J27,AZ$3&lt;=$M27),1,"")</f>
        <v/>
      </c>
      <c r="BA27">
        <f>IF(AND($A27&lt;&gt;"",BA$3&gt;=$J27,BA$3&lt;=$M27),1,"")</f>
        <v/>
      </c>
      <c r="BB27">
        <f>IF(AND($A27&lt;&gt;"",BB$3&gt;=$J27,BB$3&lt;=$M27),1,"")</f>
        <v/>
      </c>
      <c r="BC27">
        <f>IF(AND($A27&lt;&gt;"",BC$3&gt;=$J27,BC$3&lt;=$M27),1,"")</f>
        <v/>
      </c>
      <c r="BD27">
        <f>IF(AND($A27&lt;&gt;"",BD$3&gt;=$J27,BD$3&lt;=$M27),1,"")</f>
        <v/>
      </c>
      <c r="BE27">
        <f>IF(AND($A27&lt;&gt;"",BE$3&gt;=$J27,BE$3&lt;=$M27),1,"")</f>
        <v/>
      </c>
      <c r="BF27">
        <f>IF(AND($A27&lt;&gt;"",BF$3&gt;=$J27,BF$3&lt;=$M27),1,"")</f>
        <v/>
      </c>
      <c r="BG27">
        <f>IF(AND($A27&lt;&gt;"",BG$3&gt;=$J27,BG$3&lt;=$M27),1,"")</f>
        <v/>
      </c>
      <c r="BH27">
        <f>IF(AND($A27&lt;&gt;"",BH$3&gt;=$J27,BH$3&lt;=$M27),1,"")</f>
        <v/>
      </c>
      <c r="BI27">
        <f>IF(AND($A27&lt;&gt;"",BI$3&gt;=$J27,BI$3&lt;=$M27),1,"")</f>
        <v/>
      </c>
      <c r="BJ27">
        <f>IF(AND($A27&lt;&gt;"",BJ$3&gt;=$J27,BJ$3&lt;=$M27),1,"")</f>
        <v/>
      </c>
      <c r="BK27">
        <f>IF(AND($A27&lt;&gt;"",BK$3&gt;=$J27,BK$3&lt;=$M27),1,"")</f>
        <v/>
      </c>
      <c r="BL27">
        <f>IF(AND($A27&lt;&gt;"",BL$3&gt;=$J27,BL$3&lt;=$M27),1,"")</f>
        <v/>
      </c>
      <c r="BM27">
        <f>IF(AND($A27&lt;&gt;"",BM$3&gt;=$J27,BM$3&lt;=$M27),1,"")</f>
        <v/>
      </c>
      <c r="BN27">
        <f>IF(AND($A27&lt;&gt;"",BN$3&gt;=$J27,BN$3&lt;=$M27),1,"")</f>
        <v/>
      </c>
      <c r="BO27">
        <f>IF(AND($A27&lt;&gt;"",BO$3&gt;=$J27,BO$3&lt;=$M27),1,"")</f>
        <v/>
      </c>
      <c r="BP27">
        <f>IF(AND($A27&lt;&gt;"",BP$3&gt;=$J27,BP$3&lt;=$M27),1,"")</f>
        <v/>
      </c>
      <c r="BQ27">
        <f>IF(AND($A27&lt;&gt;"",BQ$3&gt;=$J27,BQ$3&lt;=$M27),1,"")</f>
        <v/>
      </c>
      <c r="BR27">
        <f>IF(AND($A27&lt;&gt;"",BR$3&gt;=$J27,BR$3&lt;=$M27),1,"")</f>
        <v/>
      </c>
      <c r="BS27">
        <f>IF(AND($A27&lt;&gt;"",BS$3&gt;=$J27,BS$3&lt;=$M27),1,"")</f>
        <v/>
      </c>
      <c r="BT27">
        <f>IF(AND($A27&lt;&gt;"",BT$3&gt;=$J27,BT$3&lt;=$M27),1,"")</f>
        <v/>
      </c>
      <c r="BU27">
        <f>IF(AND($A27&lt;&gt;"",BU$3&gt;=$J27,BU$3&lt;=$M27),1,"")</f>
        <v/>
      </c>
      <c r="BV27">
        <f>IF(AND($A27&lt;&gt;"",BV$3&gt;=$J27,BV$3&lt;=$M27),1,"")</f>
        <v/>
      </c>
    </row>
    <row r="28">
      <c r="A28">
        <f>IF(Job_Master_Ring!$A28="","",Job_Master_Ring!$A28)</f>
        <v/>
      </c>
      <c r="B28">
        <f>IF($A28="","",Job_Master_Ring!B28)</f>
        <v/>
      </c>
      <c r="C28">
        <f>IF($A28="","",Job_Master_Ring!C28)</f>
        <v/>
      </c>
      <c r="D28">
        <f>IF($A28="","",Job_Master_Ring!D28)</f>
        <v/>
      </c>
      <c r="E28">
        <f>IF($A28="","",IF($I28&lt;&gt;"",$I28,IFERROR(INDEX(Machine_List!$B$87:$B$94,MATCH(1,(Machine_List!$H$87:$H$94&lt;=IFERROR(VLOOKUP($B28,CHOOSE(MATCH($C28,Settings!$L$4:$L$10,0),OPR_BR1!$A$4:$K$18,OPR_BR2!$A$4:$K$18,OPR_CR2!$A$4:$K$18,OPR_CR3!$A$4:$K$18,OPR_CR4!$A$4:$K$18,OPR_RIM!$A$4:$K$18,OPR_BPR!$A$4:$K$18),10,0),0))*(Machine_List!$I$87:$I$94&gt;=IFERROR(VLOOKUP($B28,CHOOSE(MATCH($C28,Settings!$L$4:$L$10,0),OPR_BR1!$A$4:$K$18,OPR_BR2!$A$4:$K$18,OPR_CR2!$A$4:$K$18,OPR_CR3!$A$4:$K$18,OPR_CR4!$A$4:$K$18,OPR_RIM!$A$4:$K$18,OPR_BPR!$A$4:$K$18),11,0),9999)),0)),"NO COMPATIBLE MACHINE")))</f>
        <v/>
      </c>
      <c r="F28">
        <f>IF($E28="","",IFERROR(VLOOKUP($E28,Machine_List!$B:$G,6,0),""))</f>
        <v/>
      </c>
      <c r="G28" s="17">
        <f>IF($E28="","",IFERROR(VLOOKUP($E28,Machine_List!$B:$C,2,0),""))</f>
        <v/>
      </c>
      <c r="H28">
        <f>IF($E28="","",IFERROR(VLOOKUP($E28,Machine_List!$B:$D,3,0),""))</f>
        <v/>
      </c>
      <c r="J28" s="16">
        <f>IF($A28="","",IF($I28&lt;&gt;"",$I28,MAX(GlobalStartDate,IFERROR(LOOKUP(2,1/($E$3:INDIRECT("E"&amp;(ROW()-1))=$E28),$M$3:INDIRECT("M"&amp;(ROW()-1))),GlobalStartDate))))</f>
        <v/>
      </c>
      <c r="K28">
        <f>IF($A28="","",IFERROR(VLOOKUP(B28,CHOOSE(MATCH($C28,Settings!$L$4:$L$10,0),OPR_BR1!$A$4:$I$18,OPR_BR2!$A$4:$I$18,OPR_CR2!$A$4:$I$18,OPR_CR3!$A$4:$I$18,OPR_CR4!$A$4:$I$18,OPR_RIM!$A$4:$I$18,OPR_BPR!$A$4:$I$18),2,0),0))</f>
        <v/>
      </c>
      <c r="L28">
        <f>IF($A28="","",K28*D28)</f>
        <v/>
      </c>
      <c r="M28" s="16">
        <f>IF($A28="","",IF(AND(ISNUMBER(G28),G28&gt;=J28,G28&lt;=(J28+(L28/(IF(F28="Contract Workman",Settings!$K$5,Settings!$K$4))))),J28+(L28/(IF(F28="Contract Workman",Settings!$K$5,Settings!$K$4)))+(H28/(IF(F28="Contract Workman",Settings!$K$5,Settings!$K$4))),J28+(L28/(IF(F28="Contract Workman",Settings!$K$5,Settings!$K$4)))))</f>
        <v/>
      </c>
      <c r="N28">
        <f>IF($A28="","",IF(F28="Contract Workman",IF(AND(MOD(M28,1)&gt;=8/24,MOD(M28,1)&lt;20/24),"Shift S1","Shift S2"),IF(AND(MOD(M28,1)&gt;=7/24,MOD(M28,1)&lt;15/24),"Shift A",IF(AND(MOD(M28,1)&gt;=15/24,MOD(M28,1)&lt;23/24),"Shift B","Shift C"))))</f>
        <v/>
      </c>
      <c r="O28">
        <f>IF(B28="","",IF(IFERROR(ISNUMBER(SEARCH(TEXT(B28,"0"),VLOOKUP(E28,Machine_List!$B:$J,9,0))),FALSE),"✅ "&amp;E28,"❌ ?"))</f>
        <v/>
      </c>
      <c r="P28">
        <f>IF(AND($A28&lt;&gt;"",P$3&gt;=$J28,P$3&lt;=$M28),1,"")</f>
        <v/>
      </c>
      <c r="Q28">
        <f>IF(AND($A28&lt;&gt;"",Q$3&gt;=$J28,Q$3&lt;=$M28),1,"")</f>
        <v/>
      </c>
      <c r="R28">
        <f>IF(AND($A28&lt;&gt;"",R$3&gt;=$J28,R$3&lt;=$M28),1,"")</f>
        <v/>
      </c>
      <c r="S28">
        <f>IF(AND($A28&lt;&gt;"",S$3&gt;=$J28,S$3&lt;=$M28),1,"")</f>
        <v/>
      </c>
      <c r="T28">
        <f>IF(AND($A28&lt;&gt;"",T$3&gt;=$J28,T$3&lt;=$M28),1,"")</f>
        <v/>
      </c>
      <c r="U28">
        <f>IF(AND($A28&lt;&gt;"",U$3&gt;=$J28,U$3&lt;=$M28),1,"")</f>
        <v/>
      </c>
      <c r="V28">
        <f>IF(AND($A28&lt;&gt;"",V$3&gt;=$J28,V$3&lt;=$M28),1,"")</f>
        <v/>
      </c>
      <c r="W28">
        <f>IF(AND($A28&lt;&gt;"",W$3&gt;=$J28,W$3&lt;=$M28),1,"")</f>
        <v/>
      </c>
      <c r="X28">
        <f>IF(AND($A28&lt;&gt;"",X$3&gt;=$J28,X$3&lt;=$M28),1,"")</f>
        <v/>
      </c>
      <c r="Y28">
        <f>IF(AND($A28&lt;&gt;"",Y$3&gt;=$J28,Y$3&lt;=$M28),1,"")</f>
        <v/>
      </c>
      <c r="Z28">
        <f>IF(AND($A28&lt;&gt;"",Z$3&gt;=$J28,Z$3&lt;=$M28),1,"")</f>
        <v/>
      </c>
      <c r="AA28">
        <f>IF(AND($A28&lt;&gt;"",AA$3&gt;=$J28,AA$3&lt;=$M28),1,"")</f>
        <v/>
      </c>
      <c r="AB28">
        <f>IF(AND($A28&lt;&gt;"",AB$3&gt;=$J28,AB$3&lt;=$M28),1,"")</f>
        <v/>
      </c>
      <c r="AC28">
        <f>IF(AND($A28&lt;&gt;"",AC$3&gt;=$J28,AC$3&lt;=$M28),1,"")</f>
        <v/>
      </c>
      <c r="AD28">
        <f>IF(AND($A28&lt;&gt;"",AD$3&gt;=$J28,AD$3&lt;=$M28),1,"")</f>
        <v/>
      </c>
      <c r="AE28">
        <f>IF(AND($A28&lt;&gt;"",AE$3&gt;=$J28,AE$3&lt;=$M28),1,"")</f>
        <v/>
      </c>
      <c r="AF28">
        <f>IF(AND($A28&lt;&gt;"",AF$3&gt;=$J28,AF$3&lt;=$M28),1,"")</f>
        <v/>
      </c>
      <c r="AG28">
        <f>IF(AND($A28&lt;&gt;"",AG$3&gt;=$J28,AG$3&lt;=$M28),1,"")</f>
        <v/>
      </c>
      <c r="AH28">
        <f>IF(AND($A28&lt;&gt;"",AH$3&gt;=$J28,AH$3&lt;=$M28),1,"")</f>
        <v/>
      </c>
      <c r="AI28">
        <f>IF(AND($A28&lt;&gt;"",AI$3&gt;=$J28,AI$3&lt;=$M28),1,"")</f>
        <v/>
      </c>
      <c r="AJ28">
        <f>IF(AND($A28&lt;&gt;"",AJ$3&gt;=$J28,AJ$3&lt;=$M28),1,"")</f>
        <v/>
      </c>
      <c r="AK28">
        <f>IF(AND($A28&lt;&gt;"",AK$3&gt;=$J28,AK$3&lt;=$M28),1,"")</f>
        <v/>
      </c>
      <c r="AL28">
        <f>IF(AND($A28&lt;&gt;"",AL$3&gt;=$J28,AL$3&lt;=$M28),1,"")</f>
        <v/>
      </c>
      <c r="AM28">
        <f>IF(AND($A28&lt;&gt;"",AM$3&gt;=$J28,AM$3&lt;=$M28),1,"")</f>
        <v/>
      </c>
      <c r="AN28">
        <f>IF(AND($A28&lt;&gt;"",AN$3&gt;=$J28,AN$3&lt;=$M28),1,"")</f>
        <v/>
      </c>
      <c r="AO28">
        <f>IF(AND($A28&lt;&gt;"",AO$3&gt;=$J28,AO$3&lt;=$M28),1,"")</f>
        <v/>
      </c>
      <c r="AP28">
        <f>IF(AND($A28&lt;&gt;"",AP$3&gt;=$J28,AP$3&lt;=$M28),1,"")</f>
        <v/>
      </c>
      <c r="AQ28">
        <f>IF(AND($A28&lt;&gt;"",AQ$3&gt;=$J28,AQ$3&lt;=$M28),1,"")</f>
        <v/>
      </c>
      <c r="AR28">
        <f>IF(AND($A28&lt;&gt;"",AR$3&gt;=$J28,AR$3&lt;=$M28),1,"")</f>
        <v/>
      </c>
      <c r="AS28">
        <f>IF(AND($A28&lt;&gt;"",AS$3&gt;=$J28,AS$3&lt;=$M28),1,"")</f>
        <v/>
      </c>
      <c r="AT28">
        <f>IF(AND($A28&lt;&gt;"",AT$3&gt;=$J28,AT$3&lt;=$M28),1,"")</f>
        <v/>
      </c>
      <c r="AU28">
        <f>IF(AND($A28&lt;&gt;"",AU$3&gt;=$J28,AU$3&lt;=$M28),1,"")</f>
        <v/>
      </c>
      <c r="AV28">
        <f>IF(AND($A28&lt;&gt;"",AV$3&gt;=$J28,AV$3&lt;=$M28),1,"")</f>
        <v/>
      </c>
      <c r="AW28">
        <f>IF(AND($A28&lt;&gt;"",AW$3&gt;=$J28,AW$3&lt;=$M28),1,"")</f>
        <v/>
      </c>
      <c r="AX28">
        <f>IF(AND($A28&lt;&gt;"",AX$3&gt;=$J28,AX$3&lt;=$M28),1,"")</f>
        <v/>
      </c>
      <c r="AY28">
        <f>IF(AND($A28&lt;&gt;"",AY$3&gt;=$J28,AY$3&lt;=$M28),1,"")</f>
        <v/>
      </c>
      <c r="AZ28">
        <f>IF(AND($A28&lt;&gt;"",AZ$3&gt;=$J28,AZ$3&lt;=$M28),1,"")</f>
        <v/>
      </c>
      <c r="BA28">
        <f>IF(AND($A28&lt;&gt;"",BA$3&gt;=$J28,BA$3&lt;=$M28),1,"")</f>
        <v/>
      </c>
      <c r="BB28">
        <f>IF(AND($A28&lt;&gt;"",BB$3&gt;=$J28,BB$3&lt;=$M28),1,"")</f>
        <v/>
      </c>
      <c r="BC28">
        <f>IF(AND($A28&lt;&gt;"",BC$3&gt;=$J28,BC$3&lt;=$M28),1,"")</f>
        <v/>
      </c>
      <c r="BD28">
        <f>IF(AND($A28&lt;&gt;"",BD$3&gt;=$J28,BD$3&lt;=$M28),1,"")</f>
        <v/>
      </c>
      <c r="BE28">
        <f>IF(AND($A28&lt;&gt;"",BE$3&gt;=$J28,BE$3&lt;=$M28),1,"")</f>
        <v/>
      </c>
      <c r="BF28">
        <f>IF(AND($A28&lt;&gt;"",BF$3&gt;=$J28,BF$3&lt;=$M28),1,"")</f>
        <v/>
      </c>
      <c r="BG28">
        <f>IF(AND($A28&lt;&gt;"",BG$3&gt;=$J28,BG$3&lt;=$M28),1,"")</f>
        <v/>
      </c>
      <c r="BH28">
        <f>IF(AND($A28&lt;&gt;"",BH$3&gt;=$J28,BH$3&lt;=$M28),1,"")</f>
        <v/>
      </c>
      <c r="BI28">
        <f>IF(AND($A28&lt;&gt;"",BI$3&gt;=$J28,BI$3&lt;=$M28),1,"")</f>
        <v/>
      </c>
      <c r="BJ28">
        <f>IF(AND($A28&lt;&gt;"",BJ$3&gt;=$J28,BJ$3&lt;=$M28),1,"")</f>
        <v/>
      </c>
      <c r="BK28">
        <f>IF(AND($A28&lt;&gt;"",BK$3&gt;=$J28,BK$3&lt;=$M28),1,"")</f>
        <v/>
      </c>
      <c r="BL28">
        <f>IF(AND($A28&lt;&gt;"",BL$3&gt;=$J28,BL$3&lt;=$M28),1,"")</f>
        <v/>
      </c>
      <c r="BM28">
        <f>IF(AND($A28&lt;&gt;"",BM$3&gt;=$J28,BM$3&lt;=$M28),1,"")</f>
        <v/>
      </c>
      <c r="BN28">
        <f>IF(AND($A28&lt;&gt;"",BN$3&gt;=$J28,BN$3&lt;=$M28),1,"")</f>
        <v/>
      </c>
      <c r="BO28">
        <f>IF(AND($A28&lt;&gt;"",BO$3&gt;=$J28,BO$3&lt;=$M28),1,"")</f>
        <v/>
      </c>
      <c r="BP28">
        <f>IF(AND($A28&lt;&gt;"",BP$3&gt;=$J28,BP$3&lt;=$M28),1,"")</f>
        <v/>
      </c>
      <c r="BQ28">
        <f>IF(AND($A28&lt;&gt;"",BQ$3&gt;=$J28,BQ$3&lt;=$M28),1,"")</f>
        <v/>
      </c>
      <c r="BR28">
        <f>IF(AND($A28&lt;&gt;"",BR$3&gt;=$J28,BR$3&lt;=$M28),1,"")</f>
        <v/>
      </c>
      <c r="BS28">
        <f>IF(AND($A28&lt;&gt;"",BS$3&gt;=$J28,BS$3&lt;=$M28),1,"")</f>
        <v/>
      </c>
      <c r="BT28">
        <f>IF(AND($A28&lt;&gt;"",BT$3&gt;=$J28,BT$3&lt;=$M28),1,"")</f>
        <v/>
      </c>
      <c r="BU28">
        <f>IF(AND($A28&lt;&gt;"",BU$3&gt;=$J28,BU$3&lt;=$M28),1,"")</f>
        <v/>
      </c>
      <c r="BV28">
        <f>IF(AND($A28&lt;&gt;"",BV$3&gt;=$J28,BV$3&lt;=$M28),1,"")</f>
        <v/>
      </c>
    </row>
    <row r="29">
      <c r="A29">
        <f>IF(Job_Master_Ring!$A29="","",Job_Master_Ring!$A29)</f>
        <v/>
      </c>
      <c r="B29">
        <f>IF($A29="","",Job_Master_Ring!B29)</f>
        <v/>
      </c>
      <c r="C29">
        <f>IF($A29="","",Job_Master_Ring!C29)</f>
        <v/>
      </c>
      <c r="D29">
        <f>IF($A29="","",Job_Master_Ring!D29)</f>
        <v/>
      </c>
      <c r="E29">
        <f>IF($A29="","",IF($I29&lt;&gt;"",$I29,IFERROR(INDEX(Machine_List!$B$87:$B$94,MATCH(1,(Machine_List!$H$87:$H$94&lt;=IFERROR(VLOOKUP($B29,CHOOSE(MATCH($C29,Settings!$L$4:$L$10,0),OPR_BR1!$A$4:$K$18,OPR_BR2!$A$4:$K$18,OPR_CR2!$A$4:$K$18,OPR_CR3!$A$4:$K$18,OPR_CR4!$A$4:$K$18,OPR_RIM!$A$4:$K$18,OPR_BPR!$A$4:$K$18),10,0),0))*(Machine_List!$I$87:$I$94&gt;=IFERROR(VLOOKUP($B29,CHOOSE(MATCH($C29,Settings!$L$4:$L$10,0),OPR_BR1!$A$4:$K$18,OPR_BR2!$A$4:$K$18,OPR_CR2!$A$4:$K$18,OPR_CR3!$A$4:$K$18,OPR_CR4!$A$4:$K$18,OPR_RIM!$A$4:$K$18,OPR_BPR!$A$4:$K$18),11,0),9999)),0)),"NO COMPATIBLE MACHINE")))</f>
        <v/>
      </c>
      <c r="F29">
        <f>IF($E29="","",IFERROR(VLOOKUP($E29,Machine_List!$B:$G,6,0),""))</f>
        <v/>
      </c>
      <c r="G29" s="17">
        <f>IF($E29="","",IFERROR(VLOOKUP($E29,Machine_List!$B:$C,2,0),""))</f>
        <v/>
      </c>
      <c r="H29">
        <f>IF($E29="","",IFERROR(VLOOKUP($E29,Machine_List!$B:$D,3,0),""))</f>
        <v/>
      </c>
      <c r="J29" s="16">
        <f>IF($A29="","",IF($I29&lt;&gt;"",$I29,MAX(GlobalStartDate,IFERROR(LOOKUP(2,1/($E$3:INDIRECT("E"&amp;(ROW()-1))=$E29),$M$3:INDIRECT("M"&amp;(ROW()-1))),GlobalStartDate))))</f>
        <v/>
      </c>
      <c r="K29">
        <f>IF($A29="","",IFERROR(VLOOKUP(B29,CHOOSE(MATCH($C29,Settings!$L$4:$L$10,0),OPR_BR1!$A$4:$I$18,OPR_BR2!$A$4:$I$18,OPR_CR2!$A$4:$I$18,OPR_CR3!$A$4:$I$18,OPR_CR4!$A$4:$I$18,OPR_RIM!$A$4:$I$18,OPR_BPR!$A$4:$I$18),2,0),0))</f>
        <v/>
      </c>
      <c r="L29">
        <f>IF($A29="","",K29*D29)</f>
        <v/>
      </c>
      <c r="M29" s="16">
        <f>IF($A29="","",IF(AND(ISNUMBER(G29),G29&gt;=J29,G29&lt;=(J29+(L29/(IF(F29="Contract Workman",Settings!$K$5,Settings!$K$4))))),J29+(L29/(IF(F29="Contract Workman",Settings!$K$5,Settings!$K$4)))+(H29/(IF(F29="Contract Workman",Settings!$K$5,Settings!$K$4))),J29+(L29/(IF(F29="Contract Workman",Settings!$K$5,Settings!$K$4)))))</f>
        <v/>
      </c>
      <c r="N29">
        <f>IF($A29="","",IF(F29="Contract Workman",IF(AND(MOD(M29,1)&gt;=8/24,MOD(M29,1)&lt;20/24),"Shift S1","Shift S2"),IF(AND(MOD(M29,1)&gt;=7/24,MOD(M29,1)&lt;15/24),"Shift A",IF(AND(MOD(M29,1)&gt;=15/24,MOD(M29,1)&lt;23/24),"Shift B","Shift C"))))</f>
        <v/>
      </c>
      <c r="O29">
        <f>IF(B29="","",IF(IFERROR(ISNUMBER(SEARCH(TEXT(B29,"0"),VLOOKUP(E29,Machine_List!$B:$J,9,0))),FALSE),"✅ "&amp;E29,"❌ ?"))</f>
        <v/>
      </c>
      <c r="P29">
        <f>IF(AND($A29&lt;&gt;"",P$3&gt;=$J29,P$3&lt;=$M29),1,"")</f>
        <v/>
      </c>
      <c r="Q29">
        <f>IF(AND($A29&lt;&gt;"",Q$3&gt;=$J29,Q$3&lt;=$M29),1,"")</f>
        <v/>
      </c>
      <c r="R29">
        <f>IF(AND($A29&lt;&gt;"",R$3&gt;=$J29,R$3&lt;=$M29),1,"")</f>
        <v/>
      </c>
      <c r="S29">
        <f>IF(AND($A29&lt;&gt;"",S$3&gt;=$J29,S$3&lt;=$M29),1,"")</f>
        <v/>
      </c>
      <c r="T29">
        <f>IF(AND($A29&lt;&gt;"",T$3&gt;=$J29,T$3&lt;=$M29),1,"")</f>
        <v/>
      </c>
      <c r="U29">
        <f>IF(AND($A29&lt;&gt;"",U$3&gt;=$J29,U$3&lt;=$M29),1,"")</f>
        <v/>
      </c>
      <c r="V29">
        <f>IF(AND($A29&lt;&gt;"",V$3&gt;=$J29,V$3&lt;=$M29),1,"")</f>
        <v/>
      </c>
      <c r="W29">
        <f>IF(AND($A29&lt;&gt;"",W$3&gt;=$J29,W$3&lt;=$M29),1,"")</f>
        <v/>
      </c>
      <c r="X29">
        <f>IF(AND($A29&lt;&gt;"",X$3&gt;=$J29,X$3&lt;=$M29),1,"")</f>
        <v/>
      </c>
      <c r="Y29">
        <f>IF(AND($A29&lt;&gt;"",Y$3&gt;=$J29,Y$3&lt;=$M29),1,"")</f>
        <v/>
      </c>
      <c r="Z29">
        <f>IF(AND($A29&lt;&gt;"",Z$3&gt;=$J29,Z$3&lt;=$M29),1,"")</f>
        <v/>
      </c>
      <c r="AA29">
        <f>IF(AND($A29&lt;&gt;"",AA$3&gt;=$J29,AA$3&lt;=$M29),1,"")</f>
        <v/>
      </c>
      <c r="AB29">
        <f>IF(AND($A29&lt;&gt;"",AB$3&gt;=$J29,AB$3&lt;=$M29),1,"")</f>
        <v/>
      </c>
      <c r="AC29">
        <f>IF(AND($A29&lt;&gt;"",AC$3&gt;=$J29,AC$3&lt;=$M29),1,"")</f>
        <v/>
      </c>
      <c r="AD29">
        <f>IF(AND($A29&lt;&gt;"",AD$3&gt;=$J29,AD$3&lt;=$M29),1,"")</f>
        <v/>
      </c>
      <c r="AE29">
        <f>IF(AND($A29&lt;&gt;"",AE$3&gt;=$J29,AE$3&lt;=$M29),1,"")</f>
        <v/>
      </c>
      <c r="AF29">
        <f>IF(AND($A29&lt;&gt;"",AF$3&gt;=$J29,AF$3&lt;=$M29),1,"")</f>
        <v/>
      </c>
      <c r="AG29">
        <f>IF(AND($A29&lt;&gt;"",AG$3&gt;=$J29,AG$3&lt;=$M29),1,"")</f>
        <v/>
      </c>
      <c r="AH29">
        <f>IF(AND($A29&lt;&gt;"",AH$3&gt;=$J29,AH$3&lt;=$M29),1,"")</f>
        <v/>
      </c>
      <c r="AI29">
        <f>IF(AND($A29&lt;&gt;"",AI$3&gt;=$J29,AI$3&lt;=$M29),1,"")</f>
        <v/>
      </c>
      <c r="AJ29">
        <f>IF(AND($A29&lt;&gt;"",AJ$3&gt;=$J29,AJ$3&lt;=$M29),1,"")</f>
        <v/>
      </c>
      <c r="AK29">
        <f>IF(AND($A29&lt;&gt;"",AK$3&gt;=$J29,AK$3&lt;=$M29),1,"")</f>
        <v/>
      </c>
      <c r="AL29">
        <f>IF(AND($A29&lt;&gt;"",AL$3&gt;=$J29,AL$3&lt;=$M29),1,"")</f>
        <v/>
      </c>
      <c r="AM29">
        <f>IF(AND($A29&lt;&gt;"",AM$3&gt;=$J29,AM$3&lt;=$M29),1,"")</f>
        <v/>
      </c>
      <c r="AN29">
        <f>IF(AND($A29&lt;&gt;"",AN$3&gt;=$J29,AN$3&lt;=$M29),1,"")</f>
        <v/>
      </c>
      <c r="AO29">
        <f>IF(AND($A29&lt;&gt;"",AO$3&gt;=$J29,AO$3&lt;=$M29),1,"")</f>
        <v/>
      </c>
      <c r="AP29">
        <f>IF(AND($A29&lt;&gt;"",AP$3&gt;=$J29,AP$3&lt;=$M29),1,"")</f>
        <v/>
      </c>
      <c r="AQ29">
        <f>IF(AND($A29&lt;&gt;"",AQ$3&gt;=$J29,AQ$3&lt;=$M29),1,"")</f>
        <v/>
      </c>
      <c r="AR29">
        <f>IF(AND($A29&lt;&gt;"",AR$3&gt;=$J29,AR$3&lt;=$M29),1,"")</f>
        <v/>
      </c>
      <c r="AS29">
        <f>IF(AND($A29&lt;&gt;"",AS$3&gt;=$J29,AS$3&lt;=$M29),1,"")</f>
        <v/>
      </c>
      <c r="AT29">
        <f>IF(AND($A29&lt;&gt;"",AT$3&gt;=$J29,AT$3&lt;=$M29),1,"")</f>
        <v/>
      </c>
      <c r="AU29">
        <f>IF(AND($A29&lt;&gt;"",AU$3&gt;=$J29,AU$3&lt;=$M29),1,"")</f>
        <v/>
      </c>
      <c r="AV29">
        <f>IF(AND($A29&lt;&gt;"",AV$3&gt;=$J29,AV$3&lt;=$M29),1,"")</f>
        <v/>
      </c>
      <c r="AW29">
        <f>IF(AND($A29&lt;&gt;"",AW$3&gt;=$J29,AW$3&lt;=$M29),1,"")</f>
        <v/>
      </c>
      <c r="AX29">
        <f>IF(AND($A29&lt;&gt;"",AX$3&gt;=$J29,AX$3&lt;=$M29),1,"")</f>
        <v/>
      </c>
      <c r="AY29">
        <f>IF(AND($A29&lt;&gt;"",AY$3&gt;=$J29,AY$3&lt;=$M29),1,"")</f>
        <v/>
      </c>
      <c r="AZ29">
        <f>IF(AND($A29&lt;&gt;"",AZ$3&gt;=$J29,AZ$3&lt;=$M29),1,"")</f>
        <v/>
      </c>
      <c r="BA29">
        <f>IF(AND($A29&lt;&gt;"",BA$3&gt;=$J29,BA$3&lt;=$M29),1,"")</f>
        <v/>
      </c>
      <c r="BB29">
        <f>IF(AND($A29&lt;&gt;"",BB$3&gt;=$J29,BB$3&lt;=$M29),1,"")</f>
        <v/>
      </c>
      <c r="BC29">
        <f>IF(AND($A29&lt;&gt;"",BC$3&gt;=$J29,BC$3&lt;=$M29),1,"")</f>
        <v/>
      </c>
      <c r="BD29">
        <f>IF(AND($A29&lt;&gt;"",BD$3&gt;=$J29,BD$3&lt;=$M29),1,"")</f>
        <v/>
      </c>
      <c r="BE29">
        <f>IF(AND($A29&lt;&gt;"",BE$3&gt;=$J29,BE$3&lt;=$M29),1,"")</f>
        <v/>
      </c>
      <c r="BF29">
        <f>IF(AND($A29&lt;&gt;"",BF$3&gt;=$J29,BF$3&lt;=$M29),1,"")</f>
        <v/>
      </c>
      <c r="BG29">
        <f>IF(AND($A29&lt;&gt;"",BG$3&gt;=$J29,BG$3&lt;=$M29),1,"")</f>
        <v/>
      </c>
      <c r="BH29">
        <f>IF(AND($A29&lt;&gt;"",BH$3&gt;=$J29,BH$3&lt;=$M29),1,"")</f>
        <v/>
      </c>
      <c r="BI29">
        <f>IF(AND($A29&lt;&gt;"",BI$3&gt;=$J29,BI$3&lt;=$M29),1,"")</f>
        <v/>
      </c>
      <c r="BJ29">
        <f>IF(AND($A29&lt;&gt;"",BJ$3&gt;=$J29,BJ$3&lt;=$M29),1,"")</f>
        <v/>
      </c>
      <c r="BK29">
        <f>IF(AND($A29&lt;&gt;"",BK$3&gt;=$J29,BK$3&lt;=$M29),1,"")</f>
        <v/>
      </c>
      <c r="BL29">
        <f>IF(AND($A29&lt;&gt;"",BL$3&gt;=$J29,BL$3&lt;=$M29),1,"")</f>
        <v/>
      </c>
      <c r="BM29">
        <f>IF(AND($A29&lt;&gt;"",BM$3&gt;=$J29,BM$3&lt;=$M29),1,"")</f>
        <v/>
      </c>
      <c r="BN29">
        <f>IF(AND($A29&lt;&gt;"",BN$3&gt;=$J29,BN$3&lt;=$M29),1,"")</f>
        <v/>
      </c>
      <c r="BO29">
        <f>IF(AND($A29&lt;&gt;"",BO$3&gt;=$J29,BO$3&lt;=$M29),1,"")</f>
        <v/>
      </c>
      <c r="BP29">
        <f>IF(AND($A29&lt;&gt;"",BP$3&gt;=$J29,BP$3&lt;=$M29),1,"")</f>
        <v/>
      </c>
      <c r="BQ29">
        <f>IF(AND($A29&lt;&gt;"",BQ$3&gt;=$J29,BQ$3&lt;=$M29),1,"")</f>
        <v/>
      </c>
      <c r="BR29">
        <f>IF(AND($A29&lt;&gt;"",BR$3&gt;=$J29,BR$3&lt;=$M29),1,"")</f>
        <v/>
      </c>
      <c r="BS29">
        <f>IF(AND($A29&lt;&gt;"",BS$3&gt;=$J29,BS$3&lt;=$M29),1,"")</f>
        <v/>
      </c>
      <c r="BT29">
        <f>IF(AND($A29&lt;&gt;"",BT$3&gt;=$J29,BT$3&lt;=$M29),1,"")</f>
        <v/>
      </c>
      <c r="BU29">
        <f>IF(AND($A29&lt;&gt;"",BU$3&gt;=$J29,BU$3&lt;=$M29),1,"")</f>
        <v/>
      </c>
      <c r="BV29">
        <f>IF(AND($A29&lt;&gt;"",BV$3&gt;=$J29,BV$3&lt;=$M29),1,"")</f>
        <v/>
      </c>
    </row>
    <row r="30">
      <c r="A30">
        <f>IF(Job_Master_Ring!$A30="","",Job_Master_Ring!$A30)</f>
        <v/>
      </c>
      <c r="B30">
        <f>IF($A30="","",Job_Master_Ring!B30)</f>
        <v/>
      </c>
      <c r="C30">
        <f>IF($A30="","",Job_Master_Ring!C30)</f>
        <v/>
      </c>
      <c r="D30">
        <f>IF($A30="","",Job_Master_Ring!D30)</f>
        <v/>
      </c>
      <c r="E30">
        <f>IF($A30="","",IF($I30&lt;&gt;"",$I30,IFERROR(INDEX(Machine_List!$B$87:$B$94,MATCH(1,(Machine_List!$H$87:$H$94&lt;=IFERROR(VLOOKUP($B30,CHOOSE(MATCH($C30,Settings!$L$4:$L$10,0),OPR_BR1!$A$4:$K$18,OPR_BR2!$A$4:$K$18,OPR_CR2!$A$4:$K$18,OPR_CR3!$A$4:$K$18,OPR_CR4!$A$4:$K$18,OPR_RIM!$A$4:$K$18,OPR_BPR!$A$4:$K$18),10,0),0))*(Machine_List!$I$87:$I$94&gt;=IFERROR(VLOOKUP($B30,CHOOSE(MATCH($C30,Settings!$L$4:$L$10,0),OPR_BR1!$A$4:$K$18,OPR_BR2!$A$4:$K$18,OPR_CR2!$A$4:$K$18,OPR_CR3!$A$4:$K$18,OPR_CR4!$A$4:$K$18,OPR_RIM!$A$4:$K$18,OPR_BPR!$A$4:$K$18),11,0),9999)),0)),"NO COMPATIBLE MACHINE")))</f>
        <v/>
      </c>
      <c r="F30">
        <f>IF($E30="","",IFERROR(VLOOKUP($E30,Machine_List!$B:$G,6,0),""))</f>
        <v/>
      </c>
      <c r="G30" s="17">
        <f>IF($E30="","",IFERROR(VLOOKUP($E30,Machine_List!$B:$C,2,0),""))</f>
        <v/>
      </c>
      <c r="H30">
        <f>IF($E30="","",IFERROR(VLOOKUP($E30,Machine_List!$B:$D,3,0),""))</f>
        <v/>
      </c>
      <c r="J30" s="16">
        <f>IF($A30="","",IF($I30&lt;&gt;"",$I30,MAX(GlobalStartDate,IFERROR(LOOKUP(2,1/($E$3:INDIRECT("E"&amp;(ROW()-1))=$E30),$M$3:INDIRECT("M"&amp;(ROW()-1))),GlobalStartDate))))</f>
        <v/>
      </c>
      <c r="K30">
        <f>IF($A30="","",IFERROR(VLOOKUP(B30,CHOOSE(MATCH($C30,Settings!$L$4:$L$10,0),OPR_BR1!$A$4:$I$18,OPR_BR2!$A$4:$I$18,OPR_CR2!$A$4:$I$18,OPR_CR3!$A$4:$I$18,OPR_CR4!$A$4:$I$18,OPR_RIM!$A$4:$I$18,OPR_BPR!$A$4:$I$18),2,0),0))</f>
        <v/>
      </c>
      <c r="L30">
        <f>IF($A30="","",K30*D30)</f>
        <v/>
      </c>
      <c r="M30" s="16">
        <f>IF($A30="","",IF(AND(ISNUMBER(G30),G30&gt;=J30,G30&lt;=(J30+(L30/(IF(F30="Contract Workman",Settings!$K$5,Settings!$K$4))))),J30+(L30/(IF(F30="Contract Workman",Settings!$K$5,Settings!$K$4)))+(H30/(IF(F30="Contract Workman",Settings!$K$5,Settings!$K$4))),J30+(L30/(IF(F30="Contract Workman",Settings!$K$5,Settings!$K$4)))))</f>
        <v/>
      </c>
      <c r="N30">
        <f>IF($A30="","",IF(F30="Contract Workman",IF(AND(MOD(M30,1)&gt;=8/24,MOD(M30,1)&lt;20/24),"Shift S1","Shift S2"),IF(AND(MOD(M30,1)&gt;=7/24,MOD(M30,1)&lt;15/24),"Shift A",IF(AND(MOD(M30,1)&gt;=15/24,MOD(M30,1)&lt;23/24),"Shift B","Shift C"))))</f>
        <v/>
      </c>
      <c r="O30">
        <f>IF(B30="","",IF(IFERROR(ISNUMBER(SEARCH(TEXT(B30,"0"),VLOOKUP(E30,Machine_List!$B:$J,9,0))),FALSE),"✅ "&amp;E30,"❌ ?"))</f>
        <v/>
      </c>
      <c r="P30">
        <f>IF(AND($A30&lt;&gt;"",P$3&gt;=$J30,P$3&lt;=$M30),1,"")</f>
        <v/>
      </c>
      <c r="Q30">
        <f>IF(AND($A30&lt;&gt;"",Q$3&gt;=$J30,Q$3&lt;=$M30),1,"")</f>
        <v/>
      </c>
      <c r="R30">
        <f>IF(AND($A30&lt;&gt;"",R$3&gt;=$J30,R$3&lt;=$M30),1,"")</f>
        <v/>
      </c>
      <c r="S30">
        <f>IF(AND($A30&lt;&gt;"",S$3&gt;=$J30,S$3&lt;=$M30),1,"")</f>
        <v/>
      </c>
      <c r="T30">
        <f>IF(AND($A30&lt;&gt;"",T$3&gt;=$J30,T$3&lt;=$M30),1,"")</f>
        <v/>
      </c>
      <c r="U30">
        <f>IF(AND($A30&lt;&gt;"",U$3&gt;=$J30,U$3&lt;=$M30),1,"")</f>
        <v/>
      </c>
      <c r="V30">
        <f>IF(AND($A30&lt;&gt;"",V$3&gt;=$J30,V$3&lt;=$M30),1,"")</f>
        <v/>
      </c>
      <c r="W30">
        <f>IF(AND($A30&lt;&gt;"",W$3&gt;=$J30,W$3&lt;=$M30),1,"")</f>
        <v/>
      </c>
      <c r="X30">
        <f>IF(AND($A30&lt;&gt;"",X$3&gt;=$J30,X$3&lt;=$M30),1,"")</f>
        <v/>
      </c>
      <c r="Y30">
        <f>IF(AND($A30&lt;&gt;"",Y$3&gt;=$J30,Y$3&lt;=$M30),1,"")</f>
        <v/>
      </c>
      <c r="Z30">
        <f>IF(AND($A30&lt;&gt;"",Z$3&gt;=$J30,Z$3&lt;=$M30),1,"")</f>
        <v/>
      </c>
      <c r="AA30">
        <f>IF(AND($A30&lt;&gt;"",AA$3&gt;=$J30,AA$3&lt;=$M30),1,"")</f>
        <v/>
      </c>
      <c r="AB30">
        <f>IF(AND($A30&lt;&gt;"",AB$3&gt;=$J30,AB$3&lt;=$M30),1,"")</f>
        <v/>
      </c>
      <c r="AC30">
        <f>IF(AND($A30&lt;&gt;"",AC$3&gt;=$J30,AC$3&lt;=$M30),1,"")</f>
        <v/>
      </c>
      <c r="AD30">
        <f>IF(AND($A30&lt;&gt;"",AD$3&gt;=$J30,AD$3&lt;=$M30),1,"")</f>
        <v/>
      </c>
      <c r="AE30">
        <f>IF(AND($A30&lt;&gt;"",AE$3&gt;=$J30,AE$3&lt;=$M30),1,"")</f>
        <v/>
      </c>
      <c r="AF30">
        <f>IF(AND($A30&lt;&gt;"",AF$3&gt;=$J30,AF$3&lt;=$M30),1,"")</f>
        <v/>
      </c>
      <c r="AG30">
        <f>IF(AND($A30&lt;&gt;"",AG$3&gt;=$J30,AG$3&lt;=$M30),1,"")</f>
        <v/>
      </c>
      <c r="AH30">
        <f>IF(AND($A30&lt;&gt;"",AH$3&gt;=$J30,AH$3&lt;=$M30),1,"")</f>
        <v/>
      </c>
      <c r="AI30">
        <f>IF(AND($A30&lt;&gt;"",AI$3&gt;=$J30,AI$3&lt;=$M30),1,"")</f>
        <v/>
      </c>
      <c r="AJ30">
        <f>IF(AND($A30&lt;&gt;"",AJ$3&gt;=$J30,AJ$3&lt;=$M30),1,"")</f>
        <v/>
      </c>
      <c r="AK30">
        <f>IF(AND($A30&lt;&gt;"",AK$3&gt;=$J30,AK$3&lt;=$M30),1,"")</f>
        <v/>
      </c>
      <c r="AL30">
        <f>IF(AND($A30&lt;&gt;"",AL$3&gt;=$J30,AL$3&lt;=$M30),1,"")</f>
        <v/>
      </c>
      <c r="AM30">
        <f>IF(AND($A30&lt;&gt;"",AM$3&gt;=$J30,AM$3&lt;=$M30),1,"")</f>
        <v/>
      </c>
      <c r="AN30">
        <f>IF(AND($A30&lt;&gt;"",AN$3&gt;=$J30,AN$3&lt;=$M30),1,"")</f>
        <v/>
      </c>
      <c r="AO30">
        <f>IF(AND($A30&lt;&gt;"",AO$3&gt;=$J30,AO$3&lt;=$M30),1,"")</f>
        <v/>
      </c>
      <c r="AP30">
        <f>IF(AND($A30&lt;&gt;"",AP$3&gt;=$J30,AP$3&lt;=$M30),1,"")</f>
        <v/>
      </c>
      <c r="AQ30">
        <f>IF(AND($A30&lt;&gt;"",AQ$3&gt;=$J30,AQ$3&lt;=$M30),1,"")</f>
        <v/>
      </c>
      <c r="AR30">
        <f>IF(AND($A30&lt;&gt;"",AR$3&gt;=$J30,AR$3&lt;=$M30),1,"")</f>
        <v/>
      </c>
      <c r="AS30">
        <f>IF(AND($A30&lt;&gt;"",AS$3&gt;=$J30,AS$3&lt;=$M30),1,"")</f>
        <v/>
      </c>
      <c r="AT30">
        <f>IF(AND($A30&lt;&gt;"",AT$3&gt;=$J30,AT$3&lt;=$M30),1,"")</f>
        <v/>
      </c>
      <c r="AU30">
        <f>IF(AND($A30&lt;&gt;"",AU$3&gt;=$J30,AU$3&lt;=$M30),1,"")</f>
        <v/>
      </c>
      <c r="AV30">
        <f>IF(AND($A30&lt;&gt;"",AV$3&gt;=$J30,AV$3&lt;=$M30),1,"")</f>
        <v/>
      </c>
      <c r="AW30">
        <f>IF(AND($A30&lt;&gt;"",AW$3&gt;=$J30,AW$3&lt;=$M30),1,"")</f>
        <v/>
      </c>
      <c r="AX30">
        <f>IF(AND($A30&lt;&gt;"",AX$3&gt;=$J30,AX$3&lt;=$M30),1,"")</f>
        <v/>
      </c>
      <c r="AY30">
        <f>IF(AND($A30&lt;&gt;"",AY$3&gt;=$J30,AY$3&lt;=$M30),1,"")</f>
        <v/>
      </c>
      <c r="AZ30">
        <f>IF(AND($A30&lt;&gt;"",AZ$3&gt;=$J30,AZ$3&lt;=$M30),1,"")</f>
        <v/>
      </c>
      <c r="BA30">
        <f>IF(AND($A30&lt;&gt;"",BA$3&gt;=$J30,BA$3&lt;=$M30),1,"")</f>
        <v/>
      </c>
      <c r="BB30">
        <f>IF(AND($A30&lt;&gt;"",BB$3&gt;=$J30,BB$3&lt;=$M30),1,"")</f>
        <v/>
      </c>
      <c r="BC30">
        <f>IF(AND($A30&lt;&gt;"",BC$3&gt;=$J30,BC$3&lt;=$M30),1,"")</f>
        <v/>
      </c>
      <c r="BD30">
        <f>IF(AND($A30&lt;&gt;"",BD$3&gt;=$J30,BD$3&lt;=$M30),1,"")</f>
        <v/>
      </c>
      <c r="BE30">
        <f>IF(AND($A30&lt;&gt;"",BE$3&gt;=$J30,BE$3&lt;=$M30),1,"")</f>
        <v/>
      </c>
      <c r="BF30">
        <f>IF(AND($A30&lt;&gt;"",BF$3&gt;=$J30,BF$3&lt;=$M30),1,"")</f>
        <v/>
      </c>
      <c r="BG30">
        <f>IF(AND($A30&lt;&gt;"",BG$3&gt;=$J30,BG$3&lt;=$M30),1,"")</f>
        <v/>
      </c>
      <c r="BH30">
        <f>IF(AND($A30&lt;&gt;"",BH$3&gt;=$J30,BH$3&lt;=$M30),1,"")</f>
        <v/>
      </c>
      <c r="BI30">
        <f>IF(AND($A30&lt;&gt;"",BI$3&gt;=$J30,BI$3&lt;=$M30),1,"")</f>
        <v/>
      </c>
      <c r="BJ30">
        <f>IF(AND($A30&lt;&gt;"",BJ$3&gt;=$J30,BJ$3&lt;=$M30),1,"")</f>
        <v/>
      </c>
      <c r="BK30">
        <f>IF(AND($A30&lt;&gt;"",BK$3&gt;=$J30,BK$3&lt;=$M30),1,"")</f>
        <v/>
      </c>
      <c r="BL30">
        <f>IF(AND($A30&lt;&gt;"",BL$3&gt;=$J30,BL$3&lt;=$M30),1,"")</f>
        <v/>
      </c>
      <c r="BM30">
        <f>IF(AND($A30&lt;&gt;"",BM$3&gt;=$J30,BM$3&lt;=$M30),1,"")</f>
        <v/>
      </c>
      <c r="BN30">
        <f>IF(AND($A30&lt;&gt;"",BN$3&gt;=$J30,BN$3&lt;=$M30),1,"")</f>
        <v/>
      </c>
      <c r="BO30">
        <f>IF(AND($A30&lt;&gt;"",BO$3&gt;=$J30,BO$3&lt;=$M30),1,"")</f>
        <v/>
      </c>
      <c r="BP30">
        <f>IF(AND($A30&lt;&gt;"",BP$3&gt;=$J30,BP$3&lt;=$M30),1,"")</f>
        <v/>
      </c>
      <c r="BQ30">
        <f>IF(AND($A30&lt;&gt;"",BQ$3&gt;=$J30,BQ$3&lt;=$M30),1,"")</f>
        <v/>
      </c>
      <c r="BR30">
        <f>IF(AND($A30&lt;&gt;"",BR$3&gt;=$J30,BR$3&lt;=$M30),1,"")</f>
        <v/>
      </c>
      <c r="BS30">
        <f>IF(AND($A30&lt;&gt;"",BS$3&gt;=$J30,BS$3&lt;=$M30),1,"")</f>
        <v/>
      </c>
      <c r="BT30">
        <f>IF(AND($A30&lt;&gt;"",BT$3&gt;=$J30,BT$3&lt;=$M30),1,"")</f>
        <v/>
      </c>
      <c r="BU30">
        <f>IF(AND($A30&lt;&gt;"",BU$3&gt;=$J30,BU$3&lt;=$M30),1,"")</f>
        <v/>
      </c>
      <c r="BV30">
        <f>IF(AND($A30&lt;&gt;"",BV$3&gt;=$J30,BV$3&lt;=$M30),1,"")</f>
        <v/>
      </c>
    </row>
    <row r="31">
      <c r="A31">
        <f>IF(Job_Master_Ring!$A31="","",Job_Master_Ring!$A31)</f>
        <v/>
      </c>
      <c r="B31">
        <f>IF($A31="","",Job_Master_Ring!B31)</f>
        <v/>
      </c>
      <c r="C31">
        <f>IF($A31="","",Job_Master_Ring!C31)</f>
        <v/>
      </c>
      <c r="D31">
        <f>IF($A31="","",Job_Master_Ring!D31)</f>
        <v/>
      </c>
      <c r="E31">
        <f>IF($A31="","",IF($I31&lt;&gt;"",$I31,IFERROR(INDEX(Machine_List!$B$87:$B$94,MATCH(1,(Machine_List!$H$87:$H$94&lt;=IFERROR(VLOOKUP($B31,CHOOSE(MATCH($C31,Settings!$L$4:$L$10,0),OPR_BR1!$A$4:$K$18,OPR_BR2!$A$4:$K$18,OPR_CR2!$A$4:$K$18,OPR_CR3!$A$4:$K$18,OPR_CR4!$A$4:$K$18,OPR_RIM!$A$4:$K$18,OPR_BPR!$A$4:$K$18),10,0),0))*(Machine_List!$I$87:$I$94&gt;=IFERROR(VLOOKUP($B31,CHOOSE(MATCH($C31,Settings!$L$4:$L$10,0),OPR_BR1!$A$4:$K$18,OPR_BR2!$A$4:$K$18,OPR_CR2!$A$4:$K$18,OPR_CR3!$A$4:$K$18,OPR_CR4!$A$4:$K$18,OPR_RIM!$A$4:$K$18,OPR_BPR!$A$4:$K$18),11,0),9999)),0)),"NO COMPATIBLE MACHINE")))</f>
        <v/>
      </c>
      <c r="F31">
        <f>IF($E31="","",IFERROR(VLOOKUP($E31,Machine_List!$B:$G,6,0),""))</f>
        <v/>
      </c>
      <c r="G31" s="17">
        <f>IF($E31="","",IFERROR(VLOOKUP($E31,Machine_List!$B:$C,2,0),""))</f>
        <v/>
      </c>
      <c r="H31">
        <f>IF($E31="","",IFERROR(VLOOKUP($E31,Machine_List!$B:$D,3,0),""))</f>
        <v/>
      </c>
      <c r="J31" s="16">
        <f>IF($A31="","",IF($I31&lt;&gt;"",$I31,MAX(GlobalStartDate,IFERROR(LOOKUP(2,1/($E$3:INDIRECT("E"&amp;(ROW()-1))=$E31),$M$3:INDIRECT("M"&amp;(ROW()-1))),GlobalStartDate))))</f>
        <v/>
      </c>
      <c r="K31">
        <f>IF($A31="","",IFERROR(VLOOKUP(B31,CHOOSE(MATCH($C31,Settings!$L$4:$L$10,0),OPR_BR1!$A$4:$I$18,OPR_BR2!$A$4:$I$18,OPR_CR2!$A$4:$I$18,OPR_CR3!$A$4:$I$18,OPR_CR4!$A$4:$I$18,OPR_RIM!$A$4:$I$18,OPR_BPR!$A$4:$I$18),2,0),0))</f>
        <v/>
      </c>
      <c r="L31">
        <f>IF($A31="","",K31*D31)</f>
        <v/>
      </c>
      <c r="M31" s="16">
        <f>IF($A31="","",IF(AND(ISNUMBER(G31),G31&gt;=J31,G31&lt;=(J31+(L31/(IF(F31="Contract Workman",Settings!$K$5,Settings!$K$4))))),J31+(L31/(IF(F31="Contract Workman",Settings!$K$5,Settings!$K$4)))+(H31/(IF(F31="Contract Workman",Settings!$K$5,Settings!$K$4))),J31+(L31/(IF(F31="Contract Workman",Settings!$K$5,Settings!$K$4)))))</f>
        <v/>
      </c>
      <c r="N31">
        <f>IF($A31="","",IF(F31="Contract Workman",IF(AND(MOD(M31,1)&gt;=8/24,MOD(M31,1)&lt;20/24),"Shift S1","Shift S2"),IF(AND(MOD(M31,1)&gt;=7/24,MOD(M31,1)&lt;15/24),"Shift A",IF(AND(MOD(M31,1)&gt;=15/24,MOD(M31,1)&lt;23/24),"Shift B","Shift C"))))</f>
        <v/>
      </c>
      <c r="O31">
        <f>IF(B31="","",IF(IFERROR(ISNUMBER(SEARCH(TEXT(B31,"0"),VLOOKUP(E31,Machine_List!$B:$J,9,0))),FALSE),"✅ "&amp;E31,"❌ ?"))</f>
        <v/>
      </c>
      <c r="P31">
        <f>IF(AND($A31&lt;&gt;"",P$3&gt;=$J31,P$3&lt;=$M31),1,"")</f>
        <v/>
      </c>
      <c r="Q31">
        <f>IF(AND($A31&lt;&gt;"",Q$3&gt;=$J31,Q$3&lt;=$M31),1,"")</f>
        <v/>
      </c>
      <c r="R31">
        <f>IF(AND($A31&lt;&gt;"",R$3&gt;=$J31,R$3&lt;=$M31),1,"")</f>
        <v/>
      </c>
      <c r="S31">
        <f>IF(AND($A31&lt;&gt;"",S$3&gt;=$J31,S$3&lt;=$M31),1,"")</f>
        <v/>
      </c>
      <c r="T31">
        <f>IF(AND($A31&lt;&gt;"",T$3&gt;=$J31,T$3&lt;=$M31),1,"")</f>
        <v/>
      </c>
      <c r="U31">
        <f>IF(AND($A31&lt;&gt;"",U$3&gt;=$J31,U$3&lt;=$M31),1,"")</f>
        <v/>
      </c>
      <c r="V31">
        <f>IF(AND($A31&lt;&gt;"",V$3&gt;=$J31,V$3&lt;=$M31),1,"")</f>
        <v/>
      </c>
      <c r="W31">
        <f>IF(AND($A31&lt;&gt;"",W$3&gt;=$J31,W$3&lt;=$M31),1,"")</f>
        <v/>
      </c>
      <c r="X31">
        <f>IF(AND($A31&lt;&gt;"",X$3&gt;=$J31,X$3&lt;=$M31),1,"")</f>
        <v/>
      </c>
      <c r="Y31">
        <f>IF(AND($A31&lt;&gt;"",Y$3&gt;=$J31,Y$3&lt;=$M31),1,"")</f>
        <v/>
      </c>
      <c r="Z31">
        <f>IF(AND($A31&lt;&gt;"",Z$3&gt;=$J31,Z$3&lt;=$M31),1,"")</f>
        <v/>
      </c>
      <c r="AA31">
        <f>IF(AND($A31&lt;&gt;"",AA$3&gt;=$J31,AA$3&lt;=$M31),1,"")</f>
        <v/>
      </c>
      <c r="AB31">
        <f>IF(AND($A31&lt;&gt;"",AB$3&gt;=$J31,AB$3&lt;=$M31),1,"")</f>
        <v/>
      </c>
      <c r="AC31">
        <f>IF(AND($A31&lt;&gt;"",AC$3&gt;=$J31,AC$3&lt;=$M31),1,"")</f>
        <v/>
      </c>
      <c r="AD31">
        <f>IF(AND($A31&lt;&gt;"",AD$3&gt;=$J31,AD$3&lt;=$M31),1,"")</f>
        <v/>
      </c>
      <c r="AE31">
        <f>IF(AND($A31&lt;&gt;"",AE$3&gt;=$J31,AE$3&lt;=$M31),1,"")</f>
        <v/>
      </c>
      <c r="AF31">
        <f>IF(AND($A31&lt;&gt;"",AF$3&gt;=$J31,AF$3&lt;=$M31),1,"")</f>
        <v/>
      </c>
      <c r="AG31">
        <f>IF(AND($A31&lt;&gt;"",AG$3&gt;=$J31,AG$3&lt;=$M31),1,"")</f>
        <v/>
      </c>
      <c r="AH31">
        <f>IF(AND($A31&lt;&gt;"",AH$3&gt;=$J31,AH$3&lt;=$M31),1,"")</f>
        <v/>
      </c>
      <c r="AI31">
        <f>IF(AND($A31&lt;&gt;"",AI$3&gt;=$J31,AI$3&lt;=$M31),1,"")</f>
        <v/>
      </c>
      <c r="AJ31">
        <f>IF(AND($A31&lt;&gt;"",AJ$3&gt;=$J31,AJ$3&lt;=$M31),1,"")</f>
        <v/>
      </c>
      <c r="AK31">
        <f>IF(AND($A31&lt;&gt;"",AK$3&gt;=$J31,AK$3&lt;=$M31),1,"")</f>
        <v/>
      </c>
      <c r="AL31">
        <f>IF(AND($A31&lt;&gt;"",AL$3&gt;=$J31,AL$3&lt;=$M31),1,"")</f>
        <v/>
      </c>
      <c r="AM31">
        <f>IF(AND($A31&lt;&gt;"",AM$3&gt;=$J31,AM$3&lt;=$M31),1,"")</f>
        <v/>
      </c>
      <c r="AN31">
        <f>IF(AND($A31&lt;&gt;"",AN$3&gt;=$J31,AN$3&lt;=$M31),1,"")</f>
        <v/>
      </c>
      <c r="AO31">
        <f>IF(AND($A31&lt;&gt;"",AO$3&gt;=$J31,AO$3&lt;=$M31),1,"")</f>
        <v/>
      </c>
      <c r="AP31">
        <f>IF(AND($A31&lt;&gt;"",AP$3&gt;=$J31,AP$3&lt;=$M31),1,"")</f>
        <v/>
      </c>
      <c r="AQ31">
        <f>IF(AND($A31&lt;&gt;"",AQ$3&gt;=$J31,AQ$3&lt;=$M31),1,"")</f>
        <v/>
      </c>
      <c r="AR31">
        <f>IF(AND($A31&lt;&gt;"",AR$3&gt;=$J31,AR$3&lt;=$M31),1,"")</f>
        <v/>
      </c>
      <c r="AS31">
        <f>IF(AND($A31&lt;&gt;"",AS$3&gt;=$J31,AS$3&lt;=$M31),1,"")</f>
        <v/>
      </c>
      <c r="AT31">
        <f>IF(AND($A31&lt;&gt;"",AT$3&gt;=$J31,AT$3&lt;=$M31),1,"")</f>
        <v/>
      </c>
      <c r="AU31">
        <f>IF(AND($A31&lt;&gt;"",AU$3&gt;=$J31,AU$3&lt;=$M31),1,"")</f>
        <v/>
      </c>
      <c r="AV31">
        <f>IF(AND($A31&lt;&gt;"",AV$3&gt;=$J31,AV$3&lt;=$M31),1,"")</f>
        <v/>
      </c>
      <c r="AW31">
        <f>IF(AND($A31&lt;&gt;"",AW$3&gt;=$J31,AW$3&lt;=$M31),1,"")</f>
        <v/>
      </c>
      <c r="AX31">
        <f>IF(AND($A31&lt;&gt;"",AX$3&gt;=$J31,AX$3&lt;=$M31),1,"")</f>
        <v/>
      </c>
      <c r="AY31">
        <f>IF(AND($A31&lt;&gt;"",AY$3&gt;=$J31,AY$3&lt;=$M31),1,"")</f>
        <v/>
      </c>
      <c r="AZ31">
        <f>IF(AND($A31&lt;&gt;"",AZ$3&gt;=$J31,AZ$3&lt;=$M31),1,"")</f>
        <v/>
      </c>
      <c r="BA31">
        <f>IF(AND($A31&lt;&gt;"",BA$3&gt;=$J31,BA$3&lt;=$M31),1,"")</f>
        <v/>
      </c>
      <c r="BB31">
        <f>IF(AND($A31&lt;&gt;"",BB$3&gt;=$J31,BB$3&lt;=$M31),1,"")</f>
        <v/>
      </c>
      <c r="BC31">
        <f>IF(AND($A31&lt;&gt;"",BC$3&gt;=$J31,BC$3&lt;=$M31),1,"")</f>
        <v/>
      </c>
      <c r="BD31">
        <f>IF(AND($A31&lt;&gt;"",BD$3&gt;=$J31,BD$3&lt;=$M31),1,"")</f>
        <v/>
      </c>
      <c r="BE31">
        <f>IF(AND($A31&lt;&gt;"",BE$3&gt;=$J31,BE$3&lt;=$M31),1,"")</f>
        <v/>
      </c>
      <c r="BF31">
        <f>IF(AND($A31&lt;&gt;"",BF$3&gt;=$J31,BF$3&lt;=$M31),1,"")</f>
        <v/>
      </c>
      <c r="BG31">
        <f>IF(AND($A31&lt;&gt;"",BG$3&gt;=$J31,BG$3&lt;=$M31),1,"")</f>
        <v/>
      </c>
      <c r="BH31">
        <f>IF(AND($A31&lt;&gt;"",BH$3&gt;=$J31,BH$3&lt;=$M31),1,"")</f>
        <v/>
      </c>
      <c r="BI31">
        <f>IF(AND($A31&lt;&gt;"",BI$3&gt;=$J31,BI$3&lt;=$M31),1,"")</f>
        <v/>
      </c>
      <c r="BJ31">
        <f>IF(AND($A31&lt;&gt;"",BJ$3&gt;=$J31,BJ$3&lt;=$M31),1,"")</f>
        <v/>
      </c>
      <c r="BK31">
        <f>IF(AND($A31&lt;&gt;"",BK$3&gt;=$J31,BK$3&lt;=$M31),1,"")</f>
        <v/>
      </c>
      <c r="BL31">
        <f>IF(AND($A31&lt;&gt;"",BL$3&gt;=$J31,BL$3&lt;=$M31),1,"")</f>
        <v/>
      </c>
      <c r="BM31">
        <f>IF(AND($A31&lt;&gt;"",BM$3&gt;=$J31,BM$3&lt;=$M31),1,"")</f>
        <v/>
      </c>
      <c r="BN31">
        <f>IF(AND($A31&lt;&gt;"",BN$3&gt;=$J31,BN$3&lt;=$M31),1,"")</f>
        <v/>
      </c>
      <c r="BO31">
        <f>IF(AND($A31&lt;&gt;"",BO$3&gt;=$J31,BO$3&lt;=$M31),1,"")</f>
        <v/>
      </c>
      <c r="BP31">
        <f>IF(AND($A31&lt;&gt;"",BP$3&gt;=$J31,BP$3&lt;=$M31),1,"")</f>
        <v/>
      </c>
      <c r="BQ31">
        <f>IF(AND($A31&lt;&gt;"",BQ$3&gt;=$J31,BQ$3&lt;=$M31),1,"")</f>
        <v/>
      </c>
      <c r="BR31">
        <f>IF(AND($A31&lt;&gt;"",BR$3&gt;=$J31,BR$3&lt;=$M31),1,"")</f>
        <v/>
      </c>
      <c r="BS31">
        <f>IF(AND($A31&lt;&gt;"",BS$3&gt;=$J31,BS$3&lt;=$M31),1,"")</f>
        <v/>
      </c>
      <c r="BT31">
        <f>IF(AND($A31&lt;&gt;"",BT$3&gt;=$J31,BT$3&lt;=$M31),1,"")</f>
        <v/>
      </c>
      <c r="BU31">
        <f>IF(AND($A31&lt;&gt;"",BU$3&gt;=$J31,BU$3&lt;=$M31),1,"")</f>
        <v/>
      </c>
      <c r="BV31">
        <f>IF(AND($A31&lt;&gt;"",BV$3&gt;=$J31,BV$3&lt;=$M31),1,"")</f>
        <v/>
      </c>
    </row>
    <row r="32">
      <c r="A32">
        <f>IF(Job_Master_Ring!$A32="","",Job_Master_Ring!$A32)</f>
        <v/>
      </c>
      <c r="B32">
        <f>IF($A32="","",Job_Master_Ring!B32)</f>
        <v/>
      </c>
      <c r="C32">
        <f>IF($A32="","",Job_Master_Ring!C32)</f>
        <v/>
      </c>
      <c r="D32">
        <f>IF($A32="","",Job_Master_Ring!D32)</f>
        <v/>
      </c>
      <c r="E32">
        <f>IF($A32="","",IF($I32&lt;&gt;"",$I32,IFERROR(INDEX(Machine_List!$B$87:$B$94,MATCH(1,(Machine_List!$H$87:$H$94&lt;=IFERROR(VLOOKUP($B32,CHOOSE(MATCH($C32,Settings!$L$4:$L$10,0),OPR_BR1!$A$4:$K$18,OPR_BR2!$A$4:$K$18,OPR_CR2!$A$4:$K$18,OPR_CR3!$A$4:$K$18,OPR_CR4!$A$4:$K$18,OPR_RIM!$A$4:$K$18,OPR_BPR!$A$4:$K$18),10,0),0))*(Machine_List!$I$87:$I$94&gt;=IFERROR(VLOOKUP($B32,CHOOSE(MATCH($C32,Settings!$L$4:$L$10,0),OPR_BR1!$A$4:$K$18,OPR_BR2!$A$4:$K$18,OPR_CR2!$A$4:$K$18,OPR_CR3!$A$4:$K$18,OPR_CR4!$A$4:$K$18,OPR_RIM!$A$4:$K$18,OPR_BPR!$A$4:$K$18),11,0),9999)),0)),"NO COMPATIBLE MACHINE")))</f>
        <v/>
      </c>
      <c r="F32">
        <f>IF($E32="","",IFERROR(VLOOKUP($E32,Machine_List!$B:$G,6,0),""))</f>
        <v/>
      </c>
      <c r="G32" s="17">
        <f>IF($E32="","",IFERROR(VLOOKUP($E32,Machine_List!$B:$C,2,0),""))</f>
        <v/>
      </c>
      <c r="H32">
        <f>IF($E32="","",IFERROR(VLOOKUP($E32,Machine_List!$B:$D,3,0),""))</f>
        <v/>
      </c>
      <c r="J32" s="16">
        <f>IF($A32="","",IF($I32&lt;&gt;"",$I32,MAX(GlobalStartDate,IFERROR(LOOKUP(2,1/($E$3:INDIRECT("E"&amp;(ROW()-1))=$E32),$M$3:INDIRECT("M"&amp;(ROW()-1))),GlobalStartDate))))</f>
        <v/>
      </c>
      <c r="K32">
        <f>IF($A32="","",IFERROR(VLOOKUP(B32,CHOOSE(MATCH($C32,Settings!$L$4:$L$10,0),OPR_BR1!$A$4:$I$18,OPR_BR2!$A$4:$I$18,OPR_CR2!$A$4:$I$18,OPR_CR3!$A$4:$I$18,OPR_CR4!$A$4:$I$18,OPR_RIM!$A$4:$I$18,OPR_BPR!$A$4:$I$18),2,0),0))</f>
        <v/>
      </c>
      <c r="L32">
        <f>IF($A32="","",K32*D32)</f>
        <v/>
      </c>
      <c r="M32" s="16">
        <f>IF($A32="","",IF(AND(ISNUMBER(G32),G32&gt;=J32,G32&lt;=(J32+(L32/(IF(F32="Contract Workman",Settings!$K$5,Settings!$K$4))))),J32+(L32/(IF(F32="Contract Workman",Settings!$K$5,Settings!$K$4)))+(H32/(IF(F32="Contract Workman",Settings!$K$5,Settings!$K$4))),J32+(L32/(IF(F32="Contract Workman",Settings!$K$5,Settings!$K$4)))))</f>
        <v/>
      </c>
      <c r="N32">
        <f>IF($A32="","",IF(F32="Contract Workman",IF(AND(MOD(M32,1)&gt;=8/24,MOD(M32,1)&lt;20/24),"Shift S1","Shift S2"),IF(AND(MOD(M32,1)&gt;=7/24,MOD(M32,1)&lt;15/24),"Shift A",IF(AND(MOD(M32,1)&gt;=15/24,MOD(M32,1)&lt;23/24),"Shift B","Shift C"))))</f>
        <v/>
      </c>
      <c r="O32">
        <f>IF(B32="","",IF(IFERROR(ISNUMBER(SEARCH(TEXT(B32,"0"),VLOOKUP(E32,Machine_List!$B:$J,9,0))),FALSE),"✅ "&amp;E32,"❌ ?"))</f>
        <v/>
      </c>
      <c r="P32">
        <f>IF(AND($A32&lt;&gt;"",P$3&gt;=$J32,P$3&lt;=$M32),1,"")</f>
        <v/>
      </c>
      <c r="Q32">
        <f>IF(AND($A32&lt;&gt;"",Q$3&gt;=$J32,Q$3&lt;=$M32),1,"")</f>
        <v/>
      </c>
      <c r="R32">
        <f>IF(AND($A32&lt;&gt;"",R$3&gt;=$J32,R$3&lt;=$M32),1,"")</f>
        <v/>
      </c>
      <c r="S32">
        <f>IF(AND($A32&lt;&gt;"",S$3&gt;=$J32,S$3&lt;=$M32),1,"")</f>
        <v/>
      </c>
      <c r="T32">
        <f>IF(AND($A32&lt;&gt;"",T$3&gt;=$J32,T$3&lt;=$M32),1,"")</f>
        <v/>
      </c>
      <c r="U32">
        <f>IF(AND($A32&lt;&gt;"",U$3&gt;=$J32,U$3&lt;=$M32),1,"")</f>
        <v/>
      </c>
      <c r="V32">
        <f>IF(AND($A32&lt;&gt;"",V$3&gt;=$J32,V$3&lt;=$M32),1,"")</f>
        <v/>
      </c>
      <c r="W32">
        <f>IF(AND($A32&lt;&gt;"",W$3&gt;=$J32,W$3&lt;=$M32),1,"")</f>
        <v/>
      </c>
      <c r="X32">
        <f>IF(AND($A32&lt;&gt;"",X$3&gt;=$J32,X$3&lt;=$M32),1,"")</f>
        <v/>
      </c>
      <c r="Y32">
        <f>IF(AND($A32&lt;&gt;"",Y$3&gt;=$J32,Y$3&lt;=$M32),1,"")</f>
        <v/>
      </c>
      <c r="Z32">
        <f>IF(AND($A32&lt;&gt;"",Z$3&gt;=$J32,Z$3&lt;=$M32),1,"")</f>
        <v/>
      </c>
      <c r="AA32">
        <f>IF(AND($A32&lt;&gt;"",AA$3&gt;=$J32,AA$3&lt;=$M32),1,"")</f>
        <v/>
      </c>
      <c r="AB32">
        <f>IF(AND($A32&lt;&gt;"",AB$3&gt;=$J32,AB$3&lt;=$M32),1,"")</f>
        <v/>
      </c>
      <c r="AC32">
        <f>IF(AND($A32&lt;&gt;"",AC$3&gt;=$J32,AC$3&lt;=$M32),1,"")</f>
        <v/>
      </c>
      <c r="AD32">
        <f>IF(AND($A32&lt;&gt;"",AD$3&gt;=$J32,AD$3&lt;=$M32),1,"")</f>
        <v/>
      </c>
      <c r="AE32">
        <f>IF(AND($A32&lt;&gt;"",AE$3&gt;=$J32,AE$3&lt;=$M32),1,"")</f>
        <v/>
      </c>
      <c r="AF32">
        <f>IF(AND($A32&lt;&gt;"",AF$3&gt;=$J32,AF$3&lt;=$M32),1,"")</f>
        <v/>
      </c>
      <c r="AG32">
        <f>IF(AND($A32&lt;&gt;"",AG$3&gt;=$J32,AG$3&lt;=$M32),1,"")</f>
        <v/>
      </c>
      <c r="AH32">
        <f>IF(AND($A32&lt;&gt;"",AH$3&gt;=$J32,AH$3&lt;=$M32),1,"")</f>
        <v/>
      </c>
      <c r="AI32">
        <f>IF(AND($A32&lt;&gt;"",AI$3&gt;=$J32,AI$3&lt;=$M32),1,"")</f>
        <v/>
      </c>
      <c r="AJ32">
        <f>IF(AND($A32&lt;&gt;"",AJ$3&gt;=$J32,AJ$3&lt;=$M32),1,"")</f>
        <v/>
      </c>
      <c r="AK32">
        <f>IF(AND($A32&lt;&gt;"",AK$3&gt;=$J32,AK$3&lt;=$M32),1,"")</f>
        <v/>
      </c>
      <c r="AL32">
        <f>IF(AND($A32&lt;&gt;"",AL$3&gt;=$J32,AL$3&lt;=$M32),1,"")</f>
        <v/>
      </c>
      <c r="AM32">
        <f>IF(AND($A32&lt;&gt;"",AM$3&gt;=$J32,AM$3&lt;=$M32),1,"")</f>
        <v/>
      </c>
      <c r="AN32">
        <f>IF(AND($A32&lt;&gt;"",AN$3&gt;=$J32,AN$3&lt;=$M32),1,"")</f>
        <v/>
      </c>
      <c r="AO32">
        <f>IF(AND($A32&lt;&gt;"",AO$3&gt;=$J32,AO$3&lt;=$M32),1,"")</f>
        <v/>
      </c>
      <c r="AP32">
        <f>IF(AND($A32&lt;&gt;"",AP$3&gt;=$J32,AP$3&lt;=$M32),1,"")</f>
        <v/>
      </c>
      <c r="AQ32">
        <f>IF(AND($A32&lt;&gt;"",AQ$3&gt;=$J32,AQ$3&lt;=$M32),1,"")</f>
        <v/>
      </c>
      <c r="AR32">
        <f>IF(AND($A32&lt;&gt;"",AR$3&gt;=$J32,AR$3&lt;=$M32),1,"")</f>
        <v/>
      </c>
      <c r="AS32">
        <f>IF(AND($A32&lt;&gt;"",AS$3&gt;=$J32,AS$3&lt;=$M32),1,"")</f>
        <v/>
      </c>
      <c r="AT32">
        <f>IF(AND($A32&lt;&gt;"",AT$3&gt;=$J32,AT$3&lt;=$M32),1,"")</f>
        <v/>
      </c>
      <c r="AU32">
        <f>IF(AND($A32&lt;&gt;"",AU$3&gt;=$J32,AU$3&lt;=$M32),1,"")</f>
        <v/>
      </c>
      <c r="AV32">
        <f>IF(AND($A32&lt;&gt;"",AV$3&gt;=$J32,AV$3&lt;=$M32),1,"")</f>
        <v/>
      </c>
      <c r="AW32">
        <f>IF(AND($A32&lt;&gt;"",AW$3&gt;=$J32,AW$3&lt;=$M32),1,"")</f>
        <v/>
      </c>
      <c r="AX32">
        <f>IF(AND($A32&lt;&gt;"",AX$3&gt;=$J32,AX$3&lt;=$M32),1,"")</f>
        <v/>
      </c>
      <c r="AY32">
        <f>IF(AND($A32&lt;&gt;"",AY$3&gt;=$J32,AY$3&lt;=$M32),1,"")</f>
        <v/>
      </c>
      <c r="AZ32">
        <f>IF(AND($A32&lt;&gt;"",AZ$3&gt;=$J32,AZ$3&lt;=$M32),1,"")</f>
        <v/>
      </c>
      <c r="BA32">
        <f>IF(AND($A32&lt;&gt;"",BA$3&gt;=$J32,BA$3&lt;=$M32),1,"")</f>
        <v/>
      </c>
      <c r="BB32">
        <f>IF(AND($A32&lt;&gt;"",BB$3&gt;=$J32,BB$3&lt;=$M32),1,"")</f>
        <v/>
      </c>
      <c r="BC32">
        <f>IF(AND($A32&lt;&gt;"",BC$3&gt;=$J32,BC$3&lt;=$M32),1,"")</f>
        <v/>
      </c>
      <c r="BD32">
        <f>IF(AND($A32&lt;&gt;"",BD$3&gt;=$J32,BD$3&lt;=$M32),1,"")</f>
        <v/>
      </c>
      <c r="BE32">
        <f>IF(AND($A32&lt;&gt;"",BE$3&gt;=$J32,BE$3&lt;=$M32),1,"")</f>
        <v/>
      </c>
      <c r="BF32">
        <f>IF(AND($A32&lt;&gt;"",BF$3&gt;=$J32,BF$3&lt;=$M32),1,"")</f>
        <v/>
      </c>
      <c r="BG32">
        <f>IF(AND($A32&lt;&gt;"",BG$3&gt;=$J32,BG$3&lt;=$M32),1,"")</f>
        <v/>
      </c>
      <c r="BH32">
        <f>IF(AND($A32&lt;&gt;"",BH$3&gt;=$J32,BH$3&lt;=$M32),1,"")</f>
        <v/>
      </c>
      <c r="BI32">
        <f>IF(AND($A32&lt;&gt;"",BI$3&gt;=$J32,BI$3&lt;=$M32),1,"")</f>
        <v/>
      </c>
      <c r="BJ32">
        <f>IF(AND($A32&lt;&gt;"",BJ$3&gt;=$J32,BJ$3&lt;=$M32),1,"")</f>
        <v/>
      </c>
      <c r="BK32">
        <f>IF(AND($A32&lt;&gt;"",BK$3&gt;=$J32,BK$3&lt;=$M32),1,"")</f>
        <v/>
      </c>
      <c r="BL32">
        <f>IF(AND($A32&lt;&gt;"",BL$3&gt;=$J32,BL$3&lt;=$M32),1,"")</f>
        <v/>
      </c>
      <c r="BM32">
        <f>IF(AND($A32&lt;&gt;"",BM$3&gt;=$J32,BM$3&lt;=$M32),1,"")</f>
        <v/>
      </c>
      <c r="BN32">
        <f>IF(AND($A32&lt;&gt;"",BN$3&gt;=$J32,BN$3&lt;=$M32),1,"")</f>
        <v/>
      </c>
      <c r="BO32">
        <f>IF(AND($A32&lt;&gt;"",BO$3&gt;=$J32,BO$3&lt;=$M32),1,"")</f>
        <v/>
      </c>
      <c r="BP32">
        <f>IF(AND($A32&lt;&gt;"",BP$3&gt;=$J32,BP$3&lt;=$M32),1,"")</f>
        <v/>
      </c>
      <c r="BQ32">
        <f>IF(AND($A32&lt;&gt;"",BQ$3&gt;=$J32,BQ$3&lt;=$M32),1,"")</f>
        <v/>
      </c>
      <c r="BR32">
        <f>IF(AND($A32&lt;&gt;"",BR$3&gt;=$J32,BR$3&lt;=$M32),1,"")</f>
        <v/>
      </c>
      <c r="BS32">
        <f>IF(AND($A32&lt;&gt;"",BS$3&gt;=$J32,BS$3&lt;=$M32),1,"")</f>
        <v/>
      </c>
      <c r="BT32">
        <f>IF(AND($A32&lt;&gt;"",BT$3&gt;=$J32,BT$3&lt;=$M32),1,"")</f>
        <v/>
      </c>
      <c r="BU32">
        <f>IF(AND($A32&lt;&gt;"",BU$3&gt;=$J32,BU$3&lt;=$M32),1,"")</f>
        <v/>
      </c>
      <c r="BV32">
        <f>IF(AND($A32&lt;&gt;"",BV$3&gt;=$J32,BV$3&lt;=$M32),1,"")</f>
        <v/>
      </c>
    </row>
    <row r="33">
      <c r="A33">
        <f>IF(Job_Master_Ring!$A33="","",Job_Master_Ring!$A33)</f>
        <v/>
      </c>
      <c r="B33">
        <f>IF($A33="","",Job_Master_Ring!B33)</f>
        <v/>
      </c>
      <c r="C33">
        <f>IF($A33="","",Job_Master_Ring!C33)</f>
        <v/>
      </c>
      <c r="D33">
        <f>IF($A33="","",Job_Master_Ring!D33)</f>
        <v/>
      </c>
      <c r="E33">
        <f>IF($A33="","",IF($I33&lt;&gt;"",$I33,IFERROR(INDEX(Machine_List!$B$87:$B$94,MATCH(1,(Machine_List!$H$87:$H$94&lt;=IFERROR(VLOOKUP($B33,CHOOSE(MATCH($C33,Settings!$L$4:$L$10,0),OPR_BR1!$A$4:$K$18,OPR_BR2!$A$4:$K$18,OPR_CR2!$A$4:$K$18,OPR_CR3!$A$4:$K$18,OPR_CR4!$A$4:$K$18,OPR_RIM!$A$4:$K$18,OPR_BPR!$A$4:$K$18),10,0),0))*(Machine_List!$I$87:$I$94&gt;=IFERROR(VLOOKUP($B33,CHOOSE(MATCH($C33,Settings!$L$4:$L$10,0),OPR_BR1!$A$4:$K$18,OPR_BR2!$A$4:$K$18,OPR_CR2!$A$4:$K$18,OPR_CR3!$A$4:$K$18,OPR_CR4!$A$4:$K$18,OPR_RIM!$A$4:$K$18,OPR_BPR!$A$4:$K$18),11,0),9999)),0)),"NO COMPATIBLE MACHINE")))</f>
        <v/>
      </c>
      <c r="F33">
        <f>IF($E33="","",IFERROR(VLOOKUP($E33,Machine_List!$B:$G,6,0),""))</f>
        <v/>
      </c>
      <c r="G33" s="17">
        <f>IF($E33="","",IFERROR(VLOOKUP($E33,Machine_List!$B:$C,2,0),""))</f>
        <v/>
      </c>
      <c r="H33">
        <f>IF($E33="","",IFERROR(VLOOKUP($E33,Machine_List!$B:$D,3,0),""))</f>
        <v/>
      </c>
      <c r="J33" s="16">
        <f>IF($A33="","",IF($I33&lt;&gt;"",$I33,MAX(GlobalStartDate,IFERROR(LOOKUP(2,1/($E$3:INDIRECT("E"&amp;(ROW()-1))=$E33),$M$3:INDIRECT("M"&amp;(ROW()-1))),GlobalStartDate))))</f>
        <v/>
      </c>
      <c r="K33">
        <f>IF($A33="","",IFERROR(VLOOKUP(B33,CHOOSE(MATCH($C33,Settings!$L$4:$L$10,0),OPR_BR1!$A$4:$I$18,OPR_BR2!$A$4:$I$18,OPR_CR2!$A$4:$I$18,OPR_CR3!$A$4:$I$18,OPR_CR4!$A$4:$I$18,OPR_RIM!$A$4:$I$18,OPR_BPR!$A$4:$I$18),2,0),0))</f>
        <v/>
      </c>
      <c r="L33">
        <f>IF($A33="","",K33*D33)</f>
        <v/>
      </c>
      <c r="M33" s="16">
        <f>IF($A33="","",IF(AND(ISNUMBER(G33),G33&gt;=J33,G33&lt;=(J33+(L33/(IF(F33="Contract Workman",Settings!$K$5,Settings!$K$4))))),J33+(L33/(IF(F33="Contract Workman",Settings!$K$5,Settings!$K$4)))+(H33/(IF(F33="Contract Workman",Settings!$K$5,Settings!$K$4))),J33+(L33/(IF(F33="Contract Workman",Settings!$K$5,Settings!$K$4)))))</f>
        <v/>
      </c>
      <c r="N33">
        <f>IF($A33="","",IF(F33="Contract Workman",IF(AND(MOD(M33,1)&gt;=8/24,MOD(M33,1)&lt;20/24),"Shift S1","Shift S2"),IF(AND(MOD(M33,1)&gt;=7/24,MOD(M33,1)&lt;15/24),"Shift A",IF(AND(MOD(M33,1)&gt;=15/24,MOD(M33,1)&lt;23/24),"Shift B","Shift C"))))</f>
        <v/>
      </c>
      <c r="O33">
        <f>IF(B33="","",IF(IFERROR(ISNUMBER(SEARCH(TEXT(B33,"0"),VLOOKUP(E33,Machine_List!$B:$J,9,0))),FALSE),"✅ "&amp;E33,"❌ ?"))</f>
        <v/>
      </c>
      <c r="P33">
        <f>IF(AND($A33&lt;&gt;"",P$3&gt;=$J33,P$3&lt;=$M33),1,"")</f>
        <v/>
      </c>
      <c r="Q33">
        <f>IF(AND($A33&lt;&gt;"",Q$3&gt;=$J33,Q$3&lt;=$M33),1,"")</f>
        <v/>
      </c>
      <c r="R33">
        <f>IF(AND($A33&lt;&gt;"",R$3&gt;=$J33,R$3&lt;=$M33),1,"")</f>
        <v/>
      </c>
      <c r="S33">
        <f>IF(AND($A33&lt;&gt;"",S$3&gt;=$J33,S$3&lt;=$M33),1,"")</f>
        <v/>
      </c>
      <c r="T33">
        <f>IF(AND($A33&lt;&gt;"",T$3&gt;=$J33,T$3&lt;=$M33),1,"")</f>
        <v/>
      </c>
      <c r="U33">
        <f>IF(AND($A33&lt;&gt;"",U$3&gt;=$J33,U$3&lt;=$M33),1,"")</f>
        <v/>
      </c>
      <c r="V33">
        <f>IF(AND($A33&lt;&gt;"",V$3&gt;=$J33,V$3&lt;=$M33),1,"")</f>
        <v/>
      </c>
      <c r="W33">
        <f>IF(AND($A33&lt;&gt;"",W$3&gt;=$J33,W$3&lt;=$M33),1,"")</f>
        <v/>
      </c>
      <c r="X33">
        <f>IF(AND($A33&lt;&gt;"",X$3&gt;=$J33,X$3&lt;=$M33),1,"")</f>
        <v/>
      </c>
      <c r="Y33">
        <f>IF(AND($A33&lt;&gt;"",Y$3&gt;=$J33,Y$3&lt;=$M33),1,"")</f>
        <v/>
      </c>
      <c r="Z33">
        <f>IF(AND($A33&lt;&gt;"",Z$3&gt;=$J33,Z$3&lt;=$M33),1,"")</f>
        <v/>
      </c>
      <c r="AA33">
        <f>IF(AND($A33&lt;&gt;"",AA$3&gt;=$J33,AA$3&lt;=$M33),1,"")</f>
        <v/>
      </c>
      <c r="AB33">
        <f>IF(AND($A33&lt;&gt;"",AB$3&gt;=$J33,AB$3&lt;=$M33),1,"")</f>
        <v/>
      </c>
      <c r="AC33">
        <f>IF(AND($A33&lt;&gt;"",AC$3&gt;=$J33,AC$3&lt;=$M33),1,"")</f>
        <v/>
      </c>
      <c r="AD33">
        <f>IF(AND($A33&lt;&gt;"",AD$3&gt;=$J33,AD$3&lt;=$M33),1,"")</f>
        <v/>
      </c>
      <c r="AE33">
        <f>IF(AND($A33&lt;&gt;"",AE$3&gt;=$J33,AE$3&lt;=$M33),1,"")</f>
        <v/>
      </c>
      <c r="AF33">
        <f>IF(AND($A33&lt;&gt;"",AF$3&gt;=$J33,AF$3&lt;=$M33),1,"")</f>
        <v/>
      </c>
      <c r="AG33">
        <f>IF(AND($A33&lt;&gt;"",AG$3&gt;=$J33,AG$3&lt;=$M33),1,"")</f>
        <v/>
      </c>
      <c r="AH33">
        <f>IF(AND($A33&lt;&gt;"",AH$3&gt;=$J33,AH$3&lt;=$M33),1,"")</f>
        <v/>
      </c>
      <c r="AI33">
        <f>IF(AND($A33&lt;&gt;"",AI$3&gt;=$J33,AI$3&lt;=$M33),1,"")</f>
        <v/>
      </c>
      <c r="AJ33">
        <f>IF(AND($A33&lt;&gt;"",AJ$3&gt;=$J33,AJ$3&lt;=$M33),1,"")</f>
        <v/>
      </c>
      <c r="AK33">
        <f>IF(AND($A33&lt;&gt;"",AK$3&gt;=$J33,AK$3&lt;=$M33),1,"")</f>
        <v/>
      </c>
      <c r="AL33">
        <f>IF(AND($A33&lt;&gt;"",AL$3&gt;=$J33,AL$3&lt;=$M33),1,"")</f>
        <v/>
      </c>
      <c r="AM33">
        <f>IF(AND($A33&lt;&gt;"",AM$3&gt;=$J33,AM$3&lt;=$M33),1,"")</f>
        <v/>
      </c>
      <c r="AN33">
        <f>IF(AND($A33&lt;&gt;"",AN$3&gt;=$J33,AN$3&lt;=$M33),1,"")</f>
        <v/>
      </c>
      <c r="AO33">
        <f>IF(AND($A33&lt;&gt;"",AO$3&gt;=$J33,AO$3&lt;=$M33),1,"")</f>
        <v/>
      </c>
      <c r="AP33">
        <f>IF(AND($A33&lt;&gt;"",AP$3&gt;=$J33,AP$3&lt;=$M33),1,"")</f>
        <v/>
      </c>
      <c r="AQ33">
        <f>IF(AND($A33&lt;&gt;"",AQ$3&gt;=$J33,AQ$3&lt;=$M33),1,"")</f>
        <v/>
      </c>
      <c r="AR33">
        <f>IF(AND($A33&lt;&gt;"",AR$3&gt;=$J33,AR$3&lt;=$M33),1,"")</f>
        <v/>
      </c>
      <c r="AS33">
        <f>IF(AND($A33&lt;&gt;"",AS$3&gt;=$J33,AS$3&lt;=$M33),1,"")</f>
        <v/>
      </c>
      <c r="AT33">
        <f>IF(AND($A33&lt;&gt;"",AT$3&gt;=$J33,AT$3&lt;=$M33),1,"")</f>
        <v/>
      </c>
      <c r="AU33">
        <f>IF(AND($A33&lt;&gt;"",AU$3&gt;=$J33,AU$3&lt;=$M33),1,"")</f>
        <v/>
      </c>
      <c r="AV33">
        <f>IF(AND($A33&lt;&gt;"",AV$3&gt;=$J33,AV$3&lt;=$M33),1,"")</f>
        <v/>
      </c>
      <c r="AW33">
        <f>IF(AND($A33&lt;&gt;"",AW$3&gt;=$J33,AW$3&lt;=$M33),1,"")</f>
        <v/>
      </c>
      <c r="AX33">
        <f>IF(AND($A33&lt;&gt;"",AX$3&gt;=$J33,AX$3&lt;=$M33),1,"")</f>
        <v/>
      </c>
      <c r="AY33">
        <f>IF(AND($A33&lt;&gt;"",AY$3&gt;=$J33,AY$3&lt;=$M33),1,"")</f>
        <v/>
      </c>
      <c r="AZ33">
        <f>IF(AND($A33&lt;&gt;"",AZ$3&gt;=$J33,AZ$3&lt;=$M33),1,"")</f>
        <v/>
      </c>
      <c r="BA33">
        <f>IF(AND($A33&lt;&gt;"",BA$3&gt;=$J33,BA$3&lt;=$M33),1,"")</f>
        <v/>
      </c>
      <c r="BB33">
        <f>IF(AND($A33&lt;&gt;"",BB$3&gt;=$J33,BB$3&lt;=$M33),1,"")</f>
        <v/>
      </c>
      <c r="BC33">
        <f>IF(AND($A33&lt;&gt;"",BC$3&gt;=$J33,BC$3&lt;=$M33),1,"")</f>
        <v/>
      </c>
      <c r="BD33">
        <f>IF(AND($A33&lt;&gt;"",BD$3&gt;=$J33,BD$3&lt;=$M33),1,"")</f>
        <v/>
      </c>
      <c r="BE33">
        <f>IF(AND($A33&lt;&gt;"",BE$3&gt;=$J33,BE$3&lt;=$M33),1,"")</f>
        <v/>
      </c>
      <c r="BF33">
        <f>IF(AND($A33&lt;&gt;"",BF$3&gt;=$J33,BF$3&lt;=$M33),1,"")</f>
        <v/>
      </c>
      <c r="BG33">
        <f>IF(AND($A33&lt;&gt;"",BG$3&gt;=$J33,BG$3&lt;=$M33),1,"")</f>
        <v/>
      </c>
      <c r="BH33">
        <f>IF(AND($A33&lt;&gt;"",BH$3&gt;=$J33,BH$3&lt;=$M33),1,"")</f>
        <v/>
      </c>
      <c r="BI33">
        <f>IF(AND($A33&lt;&gt;"",BI$3&gt;=$J33,BI$3&lt;=$M33),1,"")</f>
        <v/>
      </c>
      <c r="BJ33">
        <f>IF(AND($A33&lt;&gt;"",BJ$3&gt;=$J33,BJ$3&lt;=$M33),1,"")</f>
        <v/>
      </c>
      <c r="BK33">
        <f>IF(AND($A33&lt;&gt;"",BK$3&gt;=$J33,BK$3&lt;=$M33),1,"")</f>
        <v/>
      </c>
      <c r="BL33">
        <f>IF(AND($A33&lt;&gt;"",BL$3&gt;=$J33,BL$3&lt;=$M33),1,"")</f>
        <v/>
      </c>
      <c r="BM33">
        <f>IF(AND($A33&lt;&gt;"",BM$3&gt;=$J33,BM$3&lt;=$M33),1,"")</f>
        <v/>
      </c>
      <c r="BN33">
        <f>IF(AND($A33&lt;&gt;"",BN$3&gt;=$J33,BN$3&lt;=$M33),1,"")</f>
        <v/>
      </c>
      <c r="BO33">
        <f>IF(AND($A33&lt;&gt;"",BO$3&gt;=$J33,BO$3&lt;=$M33),1,"")</f>
        <v/>
      </c>
      <c r="BP33">
        <f>IF(AND($A33&lt;&gt;"",BP$3&gt;=$J33,BP$3&lt;=$M33),1,"")</f>
        <v/>
      </c>
      <c r="BQ33">
        <f>IF(AND($A33&lt;&gt;"",BQ$3&gt;=$J33,BQ$3&lt;=$M33),1,"")</f>
        <v/>
      </c>
      <c r="BR33">
        <f>IF(AND($A33&lt;&gt;"",BR$3&gt;=$J33,BR$3&lt;=$M33),1,"")</f>
        <v/>
      </c>
      <c r="BS33">
        <f>IF(AND($A33&lt;&gt;"",BS$3&gt;=$J33,BS$3&lt;=$M33),1,"")</f>
        <v/>
      </c>
      <c r="BT33">
        <f>IF(AND($A33&lt;&gt;"",BT$3&gt;=$J33,BT$3&lt;=$M33),1,"")</f>
        <v/>
      </c>
      <c r="BU33">
        <f>IF(AND($A33&lt;&gt;"",BU$3&gt;=$J33,BU$3&lt;=$M33),1,"")</f>
        <v/>
      </c>
      <c r="BV33">
        <f>IF(AND($A33&lt;&gt;"",BV$3&gt;=$J33,BV$3&lt;=$M33),1,"")</f>
        <v/>
      </c>
    </row>
    <row r="34">
      <c r="A34">
        <f>IF(Job_Master_Ring!$A34="","",Job_Master_Ring!$A34)</f>
        <v/>
      </c>
      <c r="B34">
        <f>IF($A34="","",Job_Master_Ring!B34)</f>
        <v/>
      </c>
      <c r="C34">
        <f>IF($A34="","",Job_Master_Ring!C34)</f>
        <v/>
      </c>
      <c r="D34">
        <f>IF($A34="","",Job_Master_Ring!D34)</f>
        <v/>
      </c>
      <c r="E34">
        <f>IF($A34="","",IF($I34&lt;&gt;"",$I34,IFERROR(INDEX(Machine_List!$B$87:$B$94,MATCH(1,(Machine_List!$H$87:$H$94&lt;=IFERROR(VLOOKUP($B34,CHOOSE(MATCH($C34,Settings!$L$4:$L$10,0),OPR_BR1!$A$4:$K$18,OPR_BR2!$A$4:$K$18,OPR_CR2!$A$4:$K$18,OPR_CR3!$A$4:$K$18,OPR_CR4!$A$4:$K$18,OPR_RIM!$A$4:$K$18,OPR_BPR!$A$4:$K$18),10,0),0))*(Machine_List!$I$87:$I$94&gt;=IFERROR(VLOOKUP($B34,CHOOSE(MATCH($C34,Settings!$L$4:$L$10,0),OPR_BR1!$A$4:$K$18,OPR_BR2!$A$4:$K$18,OPR_CR2!$A$4:$K$18,OPR_CR3!$A$4:$K$18,OPR_CR4!$A$4:$K$18,OPR_RIM!$A$4:$K$18,OPR_BPR!$A$4:$K$18),11,0),9999)),0)),"NO COMPATIBLE MACHINE")))</f>
        <v/>
      </c>
      <c r="F34">
        <f>IF($E34="","",IFERROR(VLOOKUP($E34,Machine_List!$B:$G,6,0),""))</f>
        <v/>
      </c>
      <c r="G34" s="17">
        <f>IF($E34="","",IFERROR(VLOOKUP($E34,Machine_List!$B:$C,2,0),""))</f>
        <v/>
      </c>
      <c r="H34">
        <f>IF($E34="","",IFERROR(VLOOKUP($E34,Machine_List!$B:$D,3,0),""))</f>
        <v/>
      </c>
      <c r="J34" s="16">
        <f>IF($A34="","",IF($I34&lt;&gt;"",$I34,MAX(GlobalStartDate,IFERROR(LOOKUP(2,1/($E$3:INDIRECT("E"&amp;(ROW()-1))=$E34),$M$3:INDIRECT("M"&amp;(ROW()-1))),GlobalStartDate))))</f>
        <v/>
      </c>
      <c r="K34">
        <f>IF($A34="","",IFERROR(VLOOKUP(B34,CHOOSE(MATCH($C34,Settings!$L$4:$L$10,0),OPR_BR1!$A$4:$I$18,OPR_BR2!$A$4:$I$18,OPR_CR2!$A$4:$I$18,OPR_CR3!$A$4:$I$18,OPR_CR4!$A$4:$I$18,OPR_RIM!$A$4:$I$18,OPR_BPR!$A$4:$I$18),2,0),0))</f>
        <v/>
      </c>
      <c r="L34">
        <f>IF($A34="","",K34*D34)</f>
        <v/>
      </c>
      <c r="M34" s="16">
        <f>IF($A34="","",IF(AND(ISNUMBER(G34),G34&gt;=J34,G34&lt;=(J34+(L34/(IF(F34="Contract Workman",Settings!$K$5,Settings!$K$4))))),J34+(L34/(IF(F34="Contract Workman",Settings!$K$5,Settings!$K$4)))+(H34/(IF(F34="Contract Workman",Settings!$K$5,Settings!$K$4))),J34+(L34/(IF(F34="Contract Workman",Settings!$K$5,Settings!$K$4)))))</f>
        <v/>
      </c>
      <c r="N34">
        <f>IF($A34="","",IF(F34="Contract Workman",IF(AND(MOD(M34,1)&gt;=8/24,MOD(M34,1)&lt;20/24),"Shift S1","Shift S2"),IF(AND(MOD(M34,1)&gt;=7/24,MOD(M34,1)&lt;15/24),"Shift A",IF(AND(MOD(M34,1)&gt;=15/24,MOD(M34,1)&lt;23/24),"Shift B","Shift C"))))</f>
        <v/>
      </c>
      <c r="O34">
        <f>IF(B34="","",IF(IFERROR(ISNUMBER(SEARCH(TEXT(B34,"0"),VLOOKUP(E34,Machine_List!$B:$J,9,0))),FALSE),"✅ "&amp;E34,"❌ ?"))</f>
        <v/>
      </c>
      <c r="P34">
        <f>IF(AND($A34&lt;&gt;"",P$3&gt;=$J34,P$3&lt;=$M34),1,"")</f>
        <v/>
      </c>
      <c r="Q34">
        <f>IF(AND($A34&lt;&gt;"",Q$3&gt;=$J34,Q$3&lt;=$M34),1,"")</f>
        <v/>
      </c>
      <c r="R34">
        <f>IF(AND($A34&lt;&gt;"",R$3&gt;=$J34,R$3&lt;=$M34),1,"")</f>
        <v/>
      </c>
      <c r="S34">
        <f>IF(AND($A34&lt;&gt;"",S$3&gt;=$J34,S$3&lt;=$M34),1,"")</f>
        <v/>
      </c>
      <c r="T34">
        <f>IF(AND($A34&lt;&gt;"",T$3&gt;=$J34,T$3&lt;=$M34),1,"")</f>
        <v/>
      </c>
      <c r="U34">
        <f>IF(AND($A34&lt;&gt;"",U$3&gt;=$J34,U$3&lt;=$M34),1,"")</f>
        <v/>
      </c>
      <c r="V34">
        <f>IF(AND($A34&lt;&gt;"",V$3&gt;=$J34,V$3&lt;=$M34),1,"")</f>
        <v/>
      </c>
      <c r="W34">
        <f>IF(AND($A34&lt;&gt;"",W$3&gt;=$J34,W$3&lt;=$M34),1,"")</f>
        <v/>
      </c>
      <c r="X34">
        <f>IF(AND($A34&lt;&gt;"",X$3&gt;=$J34,X$3&lt;=$M34),1,"")</f>
        <v/>
      </c>
      <c r="Y34">
        <f>IF(AND($A34&lt;&gt;"",Y$3&gt;=$J34,Y$3&lt;=$M34),1,"")</f>
        <v/>
      </c>
      <c r="Z34">
        <f>IF(AND($A34&lt;&gt;"",Z$3&gt;=$J34,Z$3&lt;=$M34),1,"")</f>
        <v/>
      </c>
      <c r="AA34">
        <f>IF(AND($A34&lt;&gt;"",AA$3&gt;=$J34,AA$3&lt;=$M34),1,"")</f>
        <v/>
      </c>
      <c r="AB34">
        <f>IF(AND($A34&lt;&gt;"",AB$3&gt;=$J34,AB$3&lt;=$M34),1,"")</f>
        <v/>
      </c>
      <c r="AC34">
        <f>IF(AND($A34&lt;&gt;"",AC$3&gt;=$J34,AC$3&lt;=$M34),1,"")</f>
        <v/>
      </c>
      <c r="AD34">
        <f>IF(AND($A34&lt;&gt;"",AD$3&gt;=$J34,AD$3&lt;=$M34),1,"")</f>
        <v/>
      </c>
      <c r="AE34">
        <f>IF(AND($A34&lt;&gt;"",AE$3&gt;=$J34,AE$3&lt;=$M34),1,"")</f>
        <v/>
      </c>
      <c r="AF34">
        <f>IF(AND($A34&lt;&gt;"",AF$3&gt;=$J34,AF$3&lt;=$M34),1,"")</f>
        <v/>
      </c>
      <c r="AG34">
        <f>IF(AND($A34&lt;&gt;"",AG$3&gt;=$J34,AG$3&lt;=$M34),1,"")</f>
        <v/>
      </c>
      <c r="AH34">
        <f>IF(AND($A34&lt;&gt;"",AH$3&gt;=$J34,AH$3&lt;=$M34),1,"")</f>
        <v/>
      </c>
      <c r="AI34">
        <f>IF(AND($A34&lt;&gt;"",AI$3&gt;=$J34,AI$3&lt;=$M34),1,"")</f>
        <v/>
      </c>
      <c r="AJ34">
        <f>IF(AND($A34&lt;&gt;"",AJ$3&gt;=$J34,AJ$3&lt;=$M34),1,"")</f>
        <v/>
      </c>
      <c r="AK34">
        <f>IF(AND($A34&lt;&gt;"",AK$3&gt;=$J34,AK$3&lt;=$M34),1,"")</f>
        <v/>
      </c>
      <c r="AL34">
        <f>IF(AND($A34&lt;&gt;"",AL$3&gt;=$J34,AL$3&lt;=$M34),1,"")</f>
        <v/>
      </c>
      <c r="AM34">
        <f>IF(AND($A34&lt;&gt;"",AM$3&gt;=$J34,AM$3&lt;=$M34),1,"")</f>
        <v/>
      </c>
      <c r="AN34">
        <f>IF(AND($A34&lt;&gt;"",AN$3&gt;=$J34,AN$3&lt;=$M34),1,"")</f>
        <v/>
      </c>
      <c r="AO34">
        <f>IF(AND($A34&lt;&gt;"",AO$3&gt;=$J34,AO$3&lt;=$M34),1,"")</f>
        <v/>
      </c>
      <c r="AP34">
        <f>IF(AND($A34&lt;&gt;"",AP$3&gt;=$J34,AP$3&lt;=$M34),1,"")</f>
        <v/>
      </c>
      <c r="AQ34">
        <f>IF(AND($A34&lt;&gt;"",AQ$3&gt;=$J34,AQ$3&lt;=$M34),1,"")</f>
        <v/>
      </c>
      <c r="AR34">
        <f>IF(AND($A34&lt;&gt;"",AR$3&gt;=$J34,AR$3&lt;=$M34),1,"")</f>
        <v/>
      </c>
      <c r="AS34">
        <f>IF(AND($A34&lt;&gt;"",AS$3&gt;=$J34,AS$3&lt;=$M34),1,"")</f>
        <v/>
      </c>
      <c r="AT34">
        <f>IF(AND($A34&lt;&gt;"",AT$3&gt;=$J34,AT$3&lt;=$M34),1,"")</f>
        <v/>
      </c>
      <c r="AU34">
        <f>IF(AND($A34&lt;&gt;"",AU$3&gt;=$J34,AU$3&lt;=$M34),1,"")</f>
        <v/>
      </c>
      <c r="AV34">
        <f>IF(AND($A34&lt;&gt;"",AV$3&gt;=$J34,AV$3&lt;=$M34),1,"")</f>
        <v/>
      </c>
      <c r="AW34">
        <f>IF(AND($A34&lt;&gt;"",AW$3&gt;=$J34,AW$3&lt;=$M34),1,"")</f>
        <v/>
      </c>
      <c r="AX34">
        <f>IF(AND($A34&lt;&gt;"",AX$3&gt;=$J34,AX$3&lt;=$M34),1,"")</f>
        <v/>
      </c>
      <c r="AY34">
        <f>IF(AND($A34&lt;&gt;"",AY$3&gt;=$J34,AY$3&lt;=$M34),1,"")</f>
        <v/>
      </c>
      <c r="AZ34">
        <f>IF(AND($A34&lt;&gt;"",AZ$3&gt;=$J34,AZ$3&lt;=$M34),1,"")</f>
        <v/>
      </c>
      <c r="BA34">
        <f>IF(AND($A34&lt;&gt;"",BA$3&gt;=$J34,BA$3&lt;=$M34),1,"")</f>
        <v/>
      </c>
      <c r="BB34">
        <f>IF(AND($A34&lt;&gt;"",BB$3&gt;=$J34,BB$3&lt;=$M34),1,"")</f>
        <v/>
      </c>
      <c r="BC34">
        <f>IF(AND($A34&lt;&gt;"",BC$3&gt;=$J34,BC$3&lt;=$M34),1,"")</f>
        <v/>
      </c>
      <c r="BD34">
        <f>IF(AND($A34&lt;&gt;"",BD$3&gt;=$J34,BD$3&lt;=$M34),1,"")</f>
        <v/>
      </c>
      <c r="BE34">
        <f>IF(AND($A34&lt;&gt;"",BE$3&gt;=$J34,BE$3&lt;=$M34),1,"")</f>
        <v/>
      </c>
      <c r="BF34">
        <f>IF(AND($A34&lt;&gt;"",BF$3&gt;=$J34,BF$3&lt;=$M34),1,"")</f>
        <v/>
      </c>
      <c r="BG34">
        <f>IF(AND($A34&lt;&gt;"",BG$3&gt;=$J34,BG$3&lt;=$M34),1,"")</f>
        <v/>
      </c>
      <c r="BH34">
        <f>IF(AND($A34&lt;&gt;"",BH$3&gt;=$J34,BH$3&lt;=$M34),1,"")</f>
        <v/>
      </c>
      <c r="BI34">
        <f>IF(AND($A34&lt;&gt;"",BI$3&gt;=$J34,BI$3&lt;=$M34),1,"")</f>
        <v/>
      </c>
      <c r="BJ34">
        <f>IF(AND($A34&lt;&gt;"",BJ$3&gt;=$J34,BJ$3&lt;=$M34),1,"")</f>
        <v/>
      </c>
      <c r="BK34">
        <f>IF(AND($A34&lt;&gt;"",BK$3&gt;=$J34,BK$3&lt;=$M34),1,"")</f>
        <v/>
      </c>
      <c r="BL34">
        <f>IF(AND($A34&lt;&gt;"",BL$3&gt;=$J34,BL$3&lt;=$M34),1,"")</f>
        <v/>
      </c>
      <c r="BM34">
        <f>IF(AND($A34&lt;&gt;"",BM$3&gt;=$J34,BM$3&lt;=$M34),1,"")</f>
        <v/>
      </c>
      <c r="BN34">
        <f>IF(AND($A34&lt;&gt;"",BN$3&gt;=$J34,BN$3&lt;=$M34),1,"")</f>
        <v/>
      </c>
      <c r="BO34">
        <f>IF(AND($A34&lt;&gt;"",BO$3&gt;=$J34,BO$3&lt;=$M34),1,"")</f>
        <v/>
      </c>
      <c r="BP34">
        <f>IF(AND($A34&lt;&gt;"",BP$3&gt;=$J34,BP$3&lt;=$M34),1,"")</f>
        <v/>
      </c>
      <c r="BQ34">
        <f>IF(AND($A34&lt;&gt;"",BQ$3&gt;=$J34,BQ$3&lt;=$M34),1,"")</f>
        <v/>
      </c>
      <c r="BR34">
        <f>IF(AND($A34&lt;&gt;"",BR$3&gt;=$J34,BR$3&lt;=$M34),1,"")</f>
        <v/>
      </c>
      <c r="BS34">
        <f>IF(AND($A34&lt;&gt;"",BS$3&gt;=$J34,BS$3&lt;=$M34),1,"")</f>
        <v/>
      </c>
      <c r="BT34">
        <f>IF(AND($A34&lt;&gt;"",BT$3&gt;=$J34,BT$3&lt;=$M34),1,"")</f>
        <v/>
      </c>
      <c r="BU34">
        <f>IF(AND($A34&lt;&gt;"",BU$3&gt;=$J34,BU$3&lt;=$M34),1,"")</f>
        <v/>
      </c>
      <c r="BV34">
        <f>IF(AND($A34&lt;&gt;"",BV$3&gt;=$J34,BV$3&lt;=$M34),1,"")</f>
        <v/>
      </c>
    </row>
    <row r="35">
      <c r="A35">
        <f>IF(Job_Master_Ring!$A35="","",Job_Master_Ring!$A35)</f>
        <v/>
      </c>
      <c r="B35">
        <f>IF($A35="","",Job_Master_Ring!B35)</f>
        <v/>
      </c>
      <c r="C35">
        <f>IF($A35="","",Job_Master_Ring!C35)</f>
        <v/>
      </c>
      <c r="D35">
        <f>IF($A35="","",Job_Master_Ring!D35)</f>
        <v/>
      </c>
      <c r="E35">
        <f>IF($A35="","",IF($I35&lt;&gt;"",$I35,IFERROR(INDEX(Machine_List!$B$87:$B$94,MATCH(1,(Machine_List!$H$87:$H$94&lt;=IFERROR(VLOOKUP($B35,CHOOSE(MATCH($C35,Settings!$L$4:$L$10,0),OPR_BR1!$A$4:$K$18,OPR_BR2!$A$4:$K$18,OPR_CR2!$A$4:$K$18,OPR_CR3!$A$4:$K$18,OPR_CR4!$A$4:$K$18,OPR_RIM!$A$4:$K$18,OPR_BPR!$A$4:$K$18),10,0),0))*(Machine_List!$I$87:$I$94&gt;=IFERROR(VLOOKUP($B35,CHOOSE(MATCH($C35,Settings!$L$4:$L$10,0),OPR_BR1!$A$4:$K$18,OPR_BR2!$A$4:$K$18,OPR_CR2!$A$4:$K$18,OPR_CR3!$A$4:$K$18,OPR_CR4!$A$4:$K$18,OPR_RIM!$A$4:$K$18,OPR_BPR!$A$4:$K$18),11,0),9999)),0)),"NO COMPATIBLE MACHINE")))</f>
        <v/>
      </c>
      <c r="F35">
        <f>IF($E35="","",IFERROR(VLOOKUP($E35,Machine_List!$B:$G,6,0),""))</f>
        <v/>
      </c>
      <c r="G35" s="17">
        <f>IF($E35="","",IFERROR(VLOOKUP($E35,Machine_List!$B:$C,2,0),""))</f>
        <v/>
      </c>
      <c r="H35">
        <f>IF($E35="","",IFERROR(VLOOKUP($E35,Machine_List!$B:$D,3,0),""))</f>
        <v/>
      </c>
      <c r="J35" s="16">
        <f>IF($A35="","",IF($I35&lt;&gt;"",$I35,MAX(GlobalStartDate,IFERROR(LOOKUP(2,1/($E$3:INDIRECT("E"&amp;(ROW()-1))=$E35),$M$3:INDIRECT("M"&amp;(ROW()-1))),GlobalStartDate))))</f>
        <v/>
      </c>
      <c r="K35">
        <f>IF($A35="","",IFERROR(VLOOKUP(B35,CHOOSE(MATCH($C35,Settings!$L$4:$L$10,0),OPR_BR1!$A$4:$I$18,OPR_BR2!$A$4:$I$18,OPR_CR2!$A$4:$I$18,OPR_CR3!$A$4:$I$18,OPR_CR4!$A$4:$I$18,OPR_RIM!$A$4:$I$18,OPR_BPR!$A$4:$I$18),2,0),0))</f>
        <v/>
      </c>
      <c r="L35">
        <f>IF($A35="","",K35*D35)</f>
        <v/>
      </c>
      <c r="M35" s="16">
        <f>IF($A35="","",IF(AND(ISNUMBER(G35),G35&gt;=J35,G35&lt;=(J35+(L35/(IF(F35="Contract Workman",Settings!$K$5,Settings!$K$4))))),J35+(L35/(IF(F35="Contract Workman",Settings!$K$5,Settings!$K$4)))+(H35/(IF(F35="Contract Workman",Settings!$K$5,Settings!$K$4))),J35+(L35/(IF(F35="Contract Workman",Settings!$K$5,Settings!$K$4)))))</f>
        <v/>
      </c>
      <c r="N35">
        <f>IF($A35="","",IF(F35="Contract Workman",IF(AND(MOD(M35,1)&gt;=8/24,MOD(M35,1)&lt;20/24),"Shift S1","Shift S2"),IF(AND(MOD(M35,1)&gt;=7/24,MOD(M35,1)&lt;15/24),"Shift A",IF(AND(MOD(M35,1)&gt;=15/24,MOD(M35,1)&lt;23/24),"Shift B","Shift C"))))</f>
        <v/>
      </c>
      <c r="O35">
        <f>IF(B35="","",IF(IFERROR(ISNUMBER(SEARCH(TEXT(B35,"0"),VLOOKUP(E35,Machine_List!$B:$J,9,0))),FALSE),"✅ "&amp;E35,"❌ ?"))</f>
        <v/>
      </c>
      <c r="P35">
        <f>IF(AND($A35&lt;&gt;"",P$3&gt;=$J35,P$3&lt;=$M35),1,"")</f>
        <v/>
      </c>
      <c r="Q35">
        <f>IF(AND($A35&lt;&gt;"",Q$3&gt;=$J35,Q$3&lt;=$M35),1,"")</f>
        <v/>
      </c>
      <c r="R35">
        <f>IF(AND($A35&lt;&gt;"",R$3&gt;=$J35,R$3&lt;=$M35),1,"")</f>
        <v/>
      </c>
      <c r="S35">
        <f>IF(AND($A35&lt;&gt;"",S$3&gt;=$J35,S$3&lt;=$M35),1,"")</f>
        <v/>
      </c>
      <c r="T35">
        <f>IF(AND($A35&lt;&gt;"",T$3&gt;=$J35,T$3&lt;=$M35),1,"")</f>
        <v/>
      </c>
      <c r="U35">
        <f>IF(AND($A35&lt;&gt;"",U$3&gt;=$J35,U$3&lt;=$M35),1,"")</f>
        <v/>
      </c>
      <c r="V35">
        <f>IF(AND($A35&lt;&gt;"",V$3&gt;=$J35,V$3&lt;=$M35),1,"")</f>
        <v/>
      </c>
      <c r="W35">
        <f>IF(AND($A35&lt;&gt;"",W$3&gt;=$J35,W$3&lt;=$M35),1,"")</f>
        <v/>
      </c>
      <c r="X35">
        <f>IF(AND($A35&lt;&gt;"",X$3&gt;=$J35,X$3&lt;=$M35),1,"")</f>
        <v/>
      </c>
      <c r="Y35">
        <f>IF(AND($A35&lt;&gt;"",Y$3&gt;=$J35,Y$3&lt;=$M35),1,"")</f>
        <v/>
      </c>
      <c r="Z35">
        <f>IF(AND($A35&lt;&gt;"",Z$3&gt;=$J35,Z$3&lt;=$M35),1,"")</f>
        <v/>
      </c>
      <c r="AA35">
        <f>IF(AND($A35&lt;&gt;"",AA$3&gt;=$J35,AA$3&lt;=$M35),1,"")</f>
        <v/>
      </c>
      <c r="AB35">
        <f>IF(AND($A35&lt;&gt;"",AB$3&gt;=$J35,AB$3&lt;=$M35),1,"")</f>
        <v/>
      </c>
      <c r="AC35">
        <f>IF(AND($A35&lt;&gt;"",AC$3&gt;=$J35,AC$3&lt;=$M35),1,"")</f>
        <v/>
      </c>
      <c r="AD35">
        <f>IF(AND($A35&lt;&gt;"",AD$3&gt;=$J35,AD$3&lt;=$M35),1,"")</f>
        <v/>
      </c>
      <c r="AE35">
        <f>IF(AND($A35&lt;&gt;"",AE$3&gt;=$J35,AE$3&lt;=$M35),1,"")</f>
        <v/>
      </c>
      <c r="AF35">
        <f>IF(AND($A35&lt;&gt;"",AF$3&gt;=$J35,AF$3&lt;=$M35),1,"")</f>
        <v/>
      </c>
      <c r="AG35">
        <f>IF(AND($A35&lt;&gt;"",AG$3&gt;=$J35,AG$3&lt;=$M35),1,"")</f>
        <v/>
      </c>
      <c r="AH35">
        <f>IF(AND($A35&lt;&gt;"",AH$3&gt;=$J35,AH$3&lt;=$M35),1,"")</f>
        <v/>
      </c>
      <c r="AI35">
        <f>IF(AND($A35&lt;&gt;"",AI$3&gt;=$J35,AI$3&lt;=$M35),1,"")</f>
        <v/>
      </c>
      <c r="AJ35">
        <f>IF(AND($A35&lt;&gt;"",AJ$3&gt;=$J35,AJ$3&lt;=$M35),1,"")</f>
        <v/>
      </c>
      <c r="AK35">
        <f>IF(AND($A35&lt;&gt;"",AK$3&gt;=$J35,AK$3&lt;=$M35),1,"")</f>
        <v/>
      </c>
      <c r="AL35">
        <f>IF(AND($A35&lt;&gt;"",AL$3&gt;=$J35,AL$3&lt;=$M35),1,"")</f>
        <v/>
      </c>
      <c r="AM35">
        <f>IF(AND($A35&lt;&gt;"",AM$3&gt;=$J35,AM$3&lt;=$M35),1,"")</f>
        <v/>
      </c>
      <c r="AN35">
        <f>IF(AND($A35&lt;&gt;"",AN$3&gt;=$J35,AN$3&lt;=$M35),1,"")</f>
        <v/>
      </c>
      <c r="AO35">
        <f>IF(AND($A35&lt;&gt;"",AO$3&gt;=$J35,AO$3&lt;=$M35),1,"")</f>
        <v/>
      </c>
      <c r="AP35">
        <f>IF(AND($A35&lt;&gt;"",AP$3&gt;=$J35,AP$3&lt;=$M35),1,"")</f>
        <v/>
      </c>
      <c r="AQ35">
        <f>IF(AND($A35&lt;&gt;"",AQ$3&gt;=$J35,AQ$3&lt;=$M35),1,"")</f>
        <v/>
      </c>
      <c r="AR35">
        <f>IF(AND($A35&lt;&gt;"",AR$3&gt;=$J35,AR$3&lt;=$M35),1,"")</f>
        <v/>
      </c>
      <c r="AS35">
        <f>IF(AND($A35&lt;&gt;"",AS$3&gt;=$J35,AS$3&lt;=$M35),1,"")</f>
        <v/>
      </c>
      <c r="AT35">
        <f>IF(AND($A35&lt;&gt;"",AT$3&gt;=$J35,AT$3&lt;=$M35),1,"")</f>
        <v/>
      </c>
      <c r="AU35">
        <f>IF(AND($A35&lt;&gt;"",AU$3&gt;=$J35,AU$3&lt;=$M35),1,"")</f>
        <v/>
      </c>
      <c r="AV35">
        <f>IF(AND($A35&lt;&gt;"",AV$3&gt;=$J35,AV$3&lt;=$M35),1,"")</f>
        <v/>
      </c>
      <c r="AW35">
        <f>IF(AND($A35&lt;&gt;"",AW$3&gt;=$J35,AW$3&lt;=$M35),1,"")</f>
        <v/>
      </c>
      <c r="AX35">
        <f>IF(AND($A35&lt;&gt;"",AX$3&gt;=$J35,AX$3&lt;=$M35),1,"")</f>
        <v/>
      </c>
      <c r="AY35">
        <f>IF(AND($A35&lt;&gt;"",AY$3&gt;=$J35,AY$3&lt;=$M35),1,"")</f>
        <v/>
      </c>
      <c r="AZ35">
        <f>IF(AND($A35&lt;&gt;"",AZ$3&gt;=$J35,AZ$3&lt;=$M35),1,"")</f>
        <v/>
      </c>
      <c r="BA35">
        <f>IF(AND($A35&lt;&gt;"",BA$3&gt;=$J35,BA$3&lt;=$M35),1,"")</f>
        <v/>
      </c>
      <c r="BB35">
        <f>IF(AND($A35&lt;&gt;"",BB$3&gt;=$J35,BB$3&lt;=$M35),1,"")</f>
        <v/>
      </c>
      <c r="BC35">
        <f>IF(AND($A35&lt;&gt;"",BC$3&gt;=$J35,BC$3&lt;=$M35),1,"")</f>
        <v/>
      </c>
      <c r="BD35">
        <f>IF(AND($A35&lt;&gt;"",BD$3&gt;=$J35,BD$3&lt;=$M35),1,"")</f>
        <v/>
      </c>
      <c r="BE35">
        <f>IF(AND($A35&lt;&gt;"",BE$3&gt;=$J35,BE$3&lt;=$M35),1,"")</f>
        <v/>
      </c>
      <c r="BF35">
        <f>IF(AND($A35&lt;&gt;"",BF$3&gt;=$J35,BF$3&lt;=$M35),1,"")</f>
        <v/>
      </c>
      <c r="BG35">
        <f>IF(AND($A35&lt;&gt;"",BG$3&gt;=$J35,BG$3&lt;=$M35),1,"")</f>
        <v/>
      </c>
      <c r="BH35">
        <f>IF(AND($A35&lt;&gt;"",BH$3&gt;=$J35,BH$3&lt;=$M35),1,"")</f>
        <v/>
      </c>
      <c r="BI35">
        <f>IF(AND($A35&lt;&gt;"",BI$3&gt;=$J35,BI$3&lt;=$M35),1,"")</f>
        <v/>
      </c>
      <c r="BJ35">
        <f>IF(AND($A35&lt;&gt;"",BJ$3&gt;=$J35,BJ$3&lt;=$M35),1,"")</f>
        <v/>
      </c>
      <c r="BK35">
        <f>IF(AND($A35&lt;&gt;"",BK$3&gt;=$J35,BK$3&lt;=$M35),1,"")</f>
        <v/>
      </c>
      <c r="BL35">
        <f>IF(AND($A35&lt;&gt;"",BL$3&gt;=$J35,BL$3&lt;=$M35),1,"")</f>
        <v/>
      </c>
      <c r="BM35">
        <f>IF(AND($A35&lt;&gt;"",BM$3&gt;=$J35,BM$3&lt;=$M35),1,"")</f>
        <v/>
      </c>
      <c r="BN35">
        <f>IF(AND($A35&lt;&gt;"",BN$3&gt;=$J35,BN$3&lt;=$M35),1,"")</f>
        <v/>
      </c>
      <c r="BO35">
        <f>IF(AND($A35&lt;&gt;"",BO$3&gt;=$J35,BO$3&lt;=$M35),1,"")</f>
        <v/>
      </c>
      <c r="BP35">
        <f>IF(AND($A35&lt;&gt;"",BP$3&gt;=$J35,BP$3&lt;=$M35),1,"")</f>
        <v/>
      </c>
      <c r="BQ35">
        <f>IF(AND($A35&lt;&gt;"",BQ$3&gt;=$J35,BQ$3&lt;=$M35),1,"")</f>
        <v/>
      </c>
      <c r="BR35">
        <f>IF(AND($A35&lt;&gt;"",BR$3&gt;=$J35,BR$3&lt;=$M35),1,"")</f>
        <v/>
      </c>
      <c r="BS35">
        <f>IF(AND($A35&lt;&gt;"",BS$3&gt;=$J35,BS$3&lt;=$M35),1,"")</f>
        <v/>
      </c>
      <c r="BT35">
        <f>IF(AND($A35&lt;&gt;"",BT$3&gt;=$J35,BT$3&lt;=$M35),1,"")</f>
        <v/>
      </c>
      <c r="BU35">
        <f>IF(AND($A35&lt;&gt;"",BU$3&gt;=$J35,BU$3&lt;=$M35),1,"")</f>
        <v/>
      </c>
      <c r="BV35">
        <f>IF(AND($A35&lt;&gt;"",BV$3&gt;=$J35,BV$3&lt;=$M35),1,"")</f>
        <v/>
      </c>
    </row>
    <row r="36">
      <c r="A36">
        <f>IF(Job_Master_Ring!$A36="","",Job_Master_Ring!$A36)</f>
        <v/>
      </c>
      <c r="B36">
        <f>IF($A36="","",Job_Master_Ring!B36)</f>
        <v/>
      </c>
      <c r="C36">
        <f>IF($A36="","",Job_Master_Ring!C36)</f>
        <v/>
      </c>
      <c r="D36">
        <f>IF($A36="","",Job_Master_Ring!D36)</f>
        <v/>
      </c>
      <c r="E36">
        <f>IF($A36="","",IF($I36&lt;&gt;"",$I36,IFERROR(INDEX(Machine_List!$B$87:$B$94,MATCH(1,(Machine_List!$H$87:$H$94&lt;=IFERROR(VLOOKUP($B36,CHOOSE(MATCH($C36,Settings!$L$4:$L$10,0),OPR_BR1!$A$4:$K$18,OPR_BR2!$A$4:$K$18,OPR_CR2!$A$4:$K$18,OPR_CR3!$A$4:$K$18,OPR_CR4!$A$4:$K$18,OPR_RIM!$A$4:$K$18,OPR_BPR!$A$4:$K$18),10,0),0))*(Machine_List!$I$87:$I$94&gt;=IFERROR(VLOOKUP($B36,CHOOSE(MATCH($C36,Settings!$L$4:$L$10,0),OPR_BR1!$A$4:$K$18,OPR_BR2!$A$4:$K$18,OPR_CR2!$A$4:$K$18,OPR_CR3!$A$4:$K$18,OPR_CR4!$A$4:$K$18,OPR_RIM!$A$4:$K$18,OPR_BPR!$A$4:$K$18),11,0),9999)),0)),"NO COMPATIBLE MACHINE")))</f>
        <v/>
      </c>
      <c r="F36">
        <f>IF($E36="","",IFERROR(VLOOKUP($E36,Machine_List!$B:$G,6,0),""))</f>
        <v/>
      </c>
      <c r="G36" s="17">
        <f>IF($E36="","",IFERROR(VLOOKUP($E36,Machine_List!$B:$C,2,0),""))</f>
        <v/>
      </c>
      <c r="H36">
        <f>IF($E36="","",IFERROR(VLOOKUP($E36,Machine_List!$B:$D,3,0),""))</f>
        <v/>
      </c>
      <c r="J36" s="16">
        <f>IF($A36="","",IF($I36&lt;&gt;"",$I36,MAX(GlobalStartDate,IFERROR(LOOKUP(2,1/($E$3:INDIRECT("E"&amp;(ROW()-1))=$E36),$M$3:INDIRECT("M"&amp;(ROW()-1))),GlobalStartDate))))</f>
        <v/>
      </c>
      <c r="K36">
        <f>IF($A36="","",IFERROR(VLOOKUP(B36,CHOOSE(MATCH($C36,Settings!$L$4:$L$10,0),OPR_BR1!$A$4:$I$18,OPR_BR2!$A$4:$I$18,OPR_CR2!$A$4:$I$18,OPR_CR3!$A$4:$I$18,OPR_CR4!$A$4:$I$18,OPR_RIM!$A$4:$I$18,OPR_BPR!$A$4:$I$18),2,0),0))</f>
        <v/>
      </c>
      <c r="L36">
        <f>IF($A36="","",K36*D36)</f>
        <v/>
      </c>
      <c r="M36" s="16">
        <f>IF($A36="","",IF(AND(ISNUMBER(G36),G36&gt;=J36,G36&lt;=(J36+(L36/(IF(F36="Contract Workman",Settings!$K$5,Settings!$K$4))))),J36+(L36/(IF(F36="Contract Workman",Settings!$K$5,Settings!$K$4)))+(H36/(IF(F36="Contract Workman",Settings!$K$5,Settings!$K$4))),J36+(L36/(IF(F36="Contract Workman",Settings!$K$5,Settings!$K$4)))))</f>
        <v/>
      </c>
      <c r="N36">
        <f>IF($A36="","",IF(F36="Contract Workman",IF(AND(MOD(M36,1)&gt;=8/24,MOD(M36,1)&lt;20/24),"Shift S1","Shift S2"),IF(AND(MOD(M36,1)&gt;=7/24,MOD(M36,1)&lt;15/24),"Shift A",IF(AND(MOD(M36,1)&gt;=15/24,MOD(M36,1)&lt;23/24),"Shift B","Shift C"))))</f>
        <v/>
      </c>
      <c r="O36">
        <f>IF(B36="","",IF(IFERROR(ISNUMBER(SEARCH(TEXT(B36,"0"),VLOOKUP(E36,Machine_List!$B:$J,9,0))),FALSE),"✅ "&amp;E36,"❌ ?"))</f>
        <v/>
      </c>
      <c r="P36">
        <f>IF(AND($A36&lt;&gt;"",P$3&gt;=$J36,P$3&lt;=$M36),1,"")</f>
        <v/>
      </c>
      <c r="Q36">
        <f>IF(AND($A36&lt;&gt;"",Q$3&gt;=$J36,Q$3&lt;=$M36),1,"")</f>
        <v/>
      </c>
      <c r="R36">
        <f>IF(AND($A36&lt;&gt;"",R$3&gt;=$J36,R$3&lt;=$M36),1,"")</f>
        <v/>
      </c>
      <c r="S36">
        <f>IF(AND($A36&lt;&gt;"",S$3&gt;=$J36,S$3&lt;=$M36),1,"")</f>
        <v/>
      </c>
      <c r="T36">
        <f>IF(AND($A36&lt;&gt;"",T$3&gt;=$J36,T$3&lt;=$M36),1,"")</f>
        <v/>
      </c>
      <c r="U36">
        <f>IF(AND($A36&lt;&gt;"",U$3&gt;=$J36,U$3&lt;=$M36),1,"")</f>
        <v/>
      </c>
      <c r="V36">
        <f>IF(AND($A36&lt;&gt;"",V$3&gt;=$J36,V$3&lt;=$M36),1,"")</f>
        <v/>
      </c>
      <c r="W36">
        <f>IF(AND($A36&lt;&gt;"",W$3&gt;=$J36,W$3&lt;=$M36),1,"")</f>
        <v/>
      </c>
      <c r="X36">
        <f>IF(AND($A36&lt;&gt;"",X$3&gt;=$J36,X$3&lt;=$M36),1,"")</f>
        <v/>
      </c>
      <c r="Y36">
        <f>IF(AND($A36&lt;&gt;"",Y$3&gt;=$J36,Y$3&lt;=$M36),1,"")</f>
        <v/>
      </c>
      <c r="Z36">
        <f>IF(AND($A36&lt;&gt;"",Z$3&gt;=$J36,Z$3&lt;=$M36),1,"")</f>
        <v/>
      </c>
      <c r="AA36">
        <f>IF(AND($A36&lt;&gt;"",AA$3&gt;=$J36,AA$3&lt;=$M36),1,"")</f>
        <v/>
      </c>
      <c r="AB36">
        <f>IF(AND($A36&lt;&gt;"",AB$3&gt;=$J36,AB$3&lt;=$M36),1,"")</f>
        <v/>
      </c>
      <c r="AC36">
        <f>IF(AND($A36&lt;&gt;"",AC$3&gt;=$J36,AC$3&lt;=$M36),1,"")</f>
        <v/>
      </c>
      <c r="AD36">
        <f>IF(AND($A36&lt;&gt;"",AD$3&gt;=$J36,AD$3&lt;=$M36),1,"")</f>
        <v/>
      </c>
      <c r="AE36">
        <f>IF(AND($A36&lt;&gt;"",AE$3&gt;=$J36,AE$3&lt;=$M36),1,"")</f>
        <v/>
      </c>
      <c r="AF36">
        <f>IF(AND($A36&lt;&gt;"",AF$3&gt;=$J36,AF$3&lt;=$M36),1,"")</f>
        <v/>
      </c>
      <c r="AG36">
        <f>IF(AND($A36&lt;&gt;"",AG$3&gt;=$J36,AG$3&lt;=$M36),1,"")</f>
        <v/>
      </c>
      <c r="AH36">
        <f>IF(AND($A36&lt;&gt;"",AH$3&gt;=$J36,AH$3&lt;=$M36),1,"")</f>
        <v/>
      </c>
      <c r="AI36">
        <f>IF(AND($A36&lt;&gt;"",AI$3&gt;=$J36,AI$3&lt;=$M36),1,"")</f>
        <v/>
      </c>
      <c r="AJ36">
        <f>IF(AND($A36&lt;&gt;"",AJ$3&gt;=$J36,AJ$3&lt;=$M36),1,"")</f>
        <v/>
      </c>
      <c r="AK36">
        <f>IF(AND($A36&lt;&gt;"",AK$3&gt;=$J36,AK$3&lt;=$M36),1,"")</f>
        <v/>
      </c>
      <c r="AL36">
        <f>IF(AND($A36&lt;&gt;"",AL$3&gt;=$J36,AL$3&lt;=$M36),1,"")</f>
        <v/>
      </c>
      <c r="AM36">
        <f>IF(AND($A36&lt;&gt;"",AM$3&gt;=$J36,AM$3&lt;=$M36),1,"")</f>
        <v/>
      </c>
      <c r="AN36">
        <f>IF(AND($A36&lt;&gt;"",AN$3&gt;=$J36,AN$3&lt;=$M36),1,"")</f>
        <v/>
      </c>
      <c r="AO36">
        <f>IF(AND($A36&lt;&gt;"",AO$3&gt;=$J36,AO$3&lt;=$M36),1,"")</f>
        <v/>
      </c>
      <c r="AP36">
        <f>IF(AND($A36&lt;&gt;"",AP$3&gt;=$J36,AP$3&lt;=$M36),1,"")</f>
        <v/>
      </c>
      <c r="AQ36">
        <f>IF(AND($A36&lt;&gt;"",AQ$3&gt;=$J36,AQ$3&lt;=$M36),1,"")</f>
        <v/>
      </c>
      <c r="AR36">
        <f>IF(AND($A36&lt;&gt;"",AR$3&gt;=$J36,AR$3&lt;=$M36),1,"")</f>
        <v/>
      </c>
      <c r="AS36">
        <f>IF(AND($A36&lt;&gt;"",AS$3&gt;=$J36,AS$3&lt;=$M36),1,"")</f>
        <v/>
      </c>
      <c r="AT36">
        <f>IF(AND($A36&lt;&gt;"",AT$3&gt;=$J36,AT$3&lt;=$M36),1,"")</f>
        <v/>
      </c>
      <c r="AU36">
        <f>IF(AND($A36&lt;&gt;"",AU$3&gt;=$J36,AU$3&lt;=$M36),1,"")</f>
        <v/>
      </c>
      <c r="AV36">
        <f>IF(AND($A36&lt;&gt;"",AV$3&gt;=$J36,AV$3&lt;=$M36),1,"")</f>
        <v/>
      </c>
      <c r="AW36">
        <f>IF(AND($A36&lt;&gt;"",AW$3&gt;=$J36,AW$3&lt;=$M36),1,"")</f>
        <v/>
      </c>
      <c r="AX36">
        <f>IF(AND($A36&lt;&gt;"",AX$3&gt;=$J36,AX$3&lt;=$M36),1,"")</f>
        <v/>
      </c>
      <c r="AY36">
        <f>IF(AND($A36&lt;&gt;"",AY$3&gt;=$J36,AY$3&lt;=$M36),1,"")</f>
        <v/>
      </c>
      <c r="AZ36">
        <f>IF(AND($A36&lt;&gt;"",AZ$3&gt;=$J36,AZ$3&lt;=$M36),1,"")</f>
        <v/>
      </c>
      <c r="BA36">
        <f>IF(AND($A36&lt;&gt;"",BA$3&gt;=$J36,BA$3&lt;=$M36),1,"")</f>
        <v/>
      </c>
      <c r="BB36">
        <f>IF(AND($A36&lt;&gt;"",BB$3&gt;=$J36,BB$3&lt;=$M36),1,"")</f>
        <v/>
      </c>
      <c r="BC36">
        <f>IF(AND($A36&lt;&gt;"",BC$3&gt;=$J36,BC$3&lt;=$M36),1,"")</f>
        <v/>
      </c>
      <c r="BD36">
        <f>IF(AND($A36&lt;&gt;"",BD$3&gt;=$J36,BD$3&lt;=$M36),1,"")</f>
        <v/>
      </c>
      <c r="BE36">
        <f>IF(AND($A36&lt;&gt;"",BE$3&gt;=$J36,BE$3&lt;=$M36),1,"")</f>
        <v/>
      </c>
      <c r="BF36">
        <f>IF(AND($A36&lt;&gt;"",BF$3&gt;=$J36,BF$3&lt;=$M36),1,"")</f>
        <v/>
      </c>
      <c r="BG36">
        <f>IF(AND($A36&lt;&gt;"",BG$3&gt;=$J36,BG$3&lt;=$M36),1,"")</f>
        <v/>
      </c>
      <c r="BH36">
        <f>IF(AND($A36&lt;&gt;"",BH$3&gt;=$J36,BH$3&lt;=$M36),1,"")</f>
        <v/>
      </c>
      <c r="BI36">
        <f>IF(AND($A36&lt;&gt;"",BI$3&gt;=$J36,BI$3&lt;=$M36),1,"")</f>
        <v/>
      </c>
      <c r="BJ36">
        <f>IF(AND($A36&lt;&gt;"",BJ$3&gt;=$J36,BJ$3&lt;=$M36),1,"")</f>
        <v/>
      </c>
      <c r="BK36">
        <f>IF(AND($A36&lt;&gt;"",BK$3&gt;=$J36,BK$3&lt;=$M36),1,"")</f>
        <v/>
      </c>
      <c r="BL36">
        <f>IF(AND($A36&lt;&gt;"",BL$3&gt;=$J36,BL$3&lt;=$M36),1,"")</f>
        <v/>
      </c>
      <c r="BM36">
        <f>IF(AND($A36&lt;&gt;"",BM$3&gt;=$J36,BM$3&lt;=$M36),1,"")</f>
        <v/>
      </c>
      <c r="BN36">
        <f>IF(AND($A36&lt;&gt;"",BN$3&gt;=$J36,BN$3&lt;=$M36),1,"")</f>
        <v/>
      </c>
      <c r="BO36">
        <f>IF(AND($A36&lt;&gt;"",BO$3&gt;=$J36,BO$3&lt;=$M36),1,"")</f>
        <v/>
      </c>
      <c r="BP36">
        <f>IF(AND($A36&lt;&gt;"",BP$3&gt;=$J36,BP$3&lt;=$M36),1,"")</f>
        <v/>
      </c>
      <c r="BQ36">
        <f>IF(AND($A36&lt;&gt;"",BQ$3&gt;=$J36,BQ$3&lt;=$M36),1,"")</f>
        <v/>
      </c>
      <c r="BR36">
        <f>IF(AND($A36&lt;&gt;"",BR$3&gt;=$J36,BR$3&lt;=$M36),1,"")</f>
        <v/>
      </c>
      <c r="BS36">
        <f>IF(AND($A36&lt;&gt;"",BS$3&gt;=$J36,BS$3&lt;=$M36),1,"")</f>
        <v/>
      </c>
      <c r="BT36">
        <f>IF(AND($A36&lt;&gt;"",BT$3&gt;=$J36,BT$3&lt;=$M36),1,"")</f>
        <v/>
      </c>
      <c r="BU36">
        <f>IF(AND($A36&lt;&gt;"",BU$3&gt;=$J36,BU$3&lt;=$M36),1,"")</f>
        <v/>
      </c>
      <c r="BV36">
        <f>IF(AND($A36&lt;&gt;"",BV$3&gt;=$J36,BV$3&lt;=$M36),1,"")</f>
        <v/>
      </c>
    </row>
    <row r="37">
      <c r="A37">
        <f>IF(Job_Master_Ring!$A37="","",Job_Master_Ring!$A37)</f>
        <v/>
      </c>
      <c r="B37">
        <f>IF($A37="","",Job_Master_Ring!B37)</f>
        <v/>
      </c>
      <c r="C37">
        <f>IF($A37="","",Job_Master_Ring!C37)</f>
        <v/>
      </c>
      <c r="D37">
        <f>IF($A37="","",Job_Master_Ring!D37)</f>
        <v/>
      </c>
      <c r="E37">
        <f>IF($A37="","",IF($I37&lt;&gt;"",$I37,IFERROR(INDEX(Machine_List!$B$87:$B$94,MATCH(1,(Machine_List!$H$87:$H$94&lt;=IFERROR(VLOOKUP($B37,CHOOSE(MATCH($C37,Settings!$L$4:$L$10,0),OPR_BR1!$A$4:$K$18,OPR_BR2!$A$4:$K$18,OPR_CR2!$A$4:$K$18,OPR_CR3!$A$4:$K$18,OPR_CR4!$A$4:$K$18,OPR_RIM!$A$4:$K$18,OPR_BPR!$A$4:$K$18),10,0),0))*(Machine_List!$I$87:$I$94&gt;=IFERROR(VLOOKUP($B37,CHOOSE(MATCH($C37,Settings!$L$4:$L$10,0),OPR_BR1!$A$4:$K$18,OPR_BR2!$A$4:$K$18,OPR_CR2!$A$4:$K$18,OPR_CR3!$A$4:$K$18,OPR_CR4!$A$4:$K$18,OPR_RIM!$A$4:$K$18,OPR_BPR!$A$4:$K$18),11,0),9999)),0)),"NO COMPATIBLE MACHINE")))</f>
        <v/>
      </c>
      <c r="F37">
        <f>IF($E37="","",IFERROR(VLOOKUP($E37,Machine_List!$B:$G,6,0),""))</f>
        <v/>
      </c>
      <c r="G37" s="17">
        <f>IF($E37="","",IFERROR(VLOOKUP($E37,Machine_List!$B:$C,2,0),""))</f>
        <v/>
      </c>
      <c r="H37">
        <f>IF($E37="","",IFERROR(VLOOKUP($E37,Machine_List!$B:$D,3,0),""))</f>
        <v/>
      </c>
      <c r="J37" s="16">
        <f>IF($A37="","",IF($I37&lt;&gt;"",$I37,MAX(GlobalStartDate,IFERROR(LOOKUP(2,1/($E$3:INDIRECT("E"&amp;(ROW()-1))=$E37),$M$3:INDIRECT("M"&amp;(ROW()-1))),GlobalStartDate))))</f>
        <v/>
      </c>
      <c r="K37">
        <f>IF($A37="","",IFERROR(VLOOKUP(B37,CHOOSE(MATCH($C37,Settings!$L$4:$L$10,0),OPR_BR1!$A$4:$I$18,OPR_BR2!$A$4:$I$18,OPR_CR2!$A$4:$I$18,OPR_CR3!$A$4:$I$18,OPR_CR4!$A$4:$I$18,OPR_RIM!$A$4:$I$18,OPR_BPR!$A$4:$I$18),2,0),0))</f>
        <v/>
      </c>
      <c r="L37">
        <f>IF($A37="","",K37*D37)</f>
        <v/>
      </c>
      <c r="M37" s="16">
        <f>IF($A37="","",IF(AND(ISNUMBER(G37),G37&gt;=J37,G37&lt;=(J37+(L37/(IF(F37="Contract Workman",Settings!$K$5,Settings!$K$4))))),J37+(L37/(IF(F37="Contract Workman",Settings!$K$5,Settings!$K$4)))+(H37/(IF(F37="Contract Workman",Settings!$K$5,Settings!$K$4))),J37+(L37/(IF(F37="Contract Workman",Settings!$K$5,Settings!$K$4)))))</f>
        <v/>
      </c>
      <c r="N37">
        <f>IF($A37="","",IF(F37="Contract Workman",IF(AND(MOD(M37,1)&gt;=8/24,MOD(M37,1)&lt;20/24),"Shift S1","Shift S2"),IF(AND(MOD(M37,1)&gt;=7/24,MOD(M37,1)&lt;15/24),"Shift A",IF(AND(MOD(M37,1)&gt;=15/24,MOD(M37,1)&lt;23/24),"Shift B","Shift C"))))</f>
        <v/>
      </c>
      <c r="O37">
        <f>IF(B37="","",IF(IFERROR(ISNUMBER(SEARCH(TEXT(B37,"0"),VLOOKUP(E37,Machine_List!$B:$J,9,0))),FALSE),"✅ "&amp;E37,"❌ ?"))</f>
        <v/>
      </c>
      <c r="P37">
        <f>IF(AND($A37&lt;&gt;"",P$3&gt;=$J37,P$3&lt;=$M37),1,"")</f>
        <v/>
      </c>
      <c r="Q37">
        <f>IF(AND($A37&lt;&gt;"",Q$3&gt;=$J37,Q$3&lt;=$M37),1,"")</f>
        <v/>
      </c>
      <c r="R37">
        <f>IF(AND($A37&lt;&gt;"",R$3&gt;=$J37,R$3&lt;=$M37),1,"")</f>
        <v/>
      </c>
      <c r="S37">
        <f>IF(AND($A37&lt;&gt;"",S$3&gt;=$J37,S$3&lt;=$M37),1,"")</f>
        <v/>
      </c>
      <c r="T37">
        <f>IF(AND($A37&lt;&gt;"",T$3&gt;=$J37,T$3&lt;=$M37),1,"")</f>
        <v/>
      </c>
      <c r="U37">
        <f>IF(AND($A37&lt;&gt;"",U$3&gt;=$J37,U$3&lt;=$M37),1,"")</f>
        <v/>
      </c>
      <c r="V37">
        <f>IF(AND($A37&lt;&gt;"",V$3&gt;=$J37,V$3&lt;=$M37),1,"")</f>
        <v/>
      </c>
      <c r="W37">
        <f>IF(AND($A37&lt;&gt;"",W$3&gt;=$J37,W$3&lt;=$M37),1,"")</f>
        <v/>
      </c>
      <c r="X37">
        <f>IF(AND($A37&lt;&gt;"",X$3&gt;=$J37,X$3&lt;=$M37),1,"")</f>
        <v/>
      </c>
      <c r="Y37">
        <f>IF(AND($A37&lt;&gt;"",Y$3&gt;=$J37,Y$3&lt;=$M37),1,"")</f>
        <v/>
      </c>
      <c r="Z37">
        <f>IF(AND($A37&lt;&gt;"",Z$3&gt;=$J37,Z$3&lt;=$M37),1,"")</f>
        <v/>
      </c>
      <c r="AA37">
        <f>IF(AND($A37&lt;&gt;"",AA$3&gt;=$J37,AA$3&lt;=$M37),1,"")</f>
        <v/>
      </c>
      <c r="AB37">
        <f>IF(AND($A37&lt;&gt;"",AB$3&gt;=$J37,AB$3&lt;=$M37),1,"")</f>
        <v/>
      </c>
      <c r="AC37">
        <f>IF(AND($A37&lt;&gt;"",AC$3&gt;=$J37,AC$3&lt;=$M37),1,"")</f>
        <v/>
      </c>
      <c r="AD37">
        <f>IF(AND($A37&lt;&gt;"",AD$3&gt;=$J37,AD$3&lt;=$M37),1,"")</f>
        <v/>
      </c>
      <c r="AE37">
        <f>IF(AND($A37&lt;&gt;"",AE$3&gt;=$J37,AE$3&lt;=$M37),1,"")</f>
        <v/>
      </c>
      <c r="AF37">
        <f>IF(AND($A37&lt;&gt;"",AF$3&gt;=$J37,AF$3&lt;=$M37),1,"")</f>
        <v/>
      </c>
      <c r="AG37">
        <f>IF(AND($A37&lt;&gt;"",AG$3&gt;=$J37,AG$3&lt;=$M37),1,"")</f>
        <v/>
      </c>
      <c r="AH37">
        <f>IF(AND($A37&lt;&gt;"",AH$3&gt;=$J37,AH$3&lt;=$M37),1,"")</f>
        <v/>
      </c>
      <c r="AI37">
        <f>IF(AND($A37&lt;&gt;"",AI$3&gt;=$J37,AI$3&lt;=$M37),1,"")</f>
        <v/>
      </c>
      <c r="AJ37">
        <f>IF(AND($A37&lt;&gt;"",AJ$3&gt;=$J37,AJ$3&lt;=$M37),1,"")</f>
        <v/>
      </c>
      <c r="AK37">
        <f>IF(AND($A37&lt;&gt;"",AK$3&gt;=$J37,AK$3&lt;=$M37),1,"")</f>
        <v/>
      </c>
      <c r="AL37">
        <f>IF(AND($A37&lt;&gt;"",AL$3&gt;=$J37,AL$3&lt;=$M37),1,"")</f>
        <v/>
      </c>
      <c r="AM37">
        <f>IF(AND($A37&lt;&gt;"",AM$3&gt;=$J37,AM$3&lt;=$M37),1,"")</f>
        <v/>
      </c>
      <c r="AN37">
        <f>IF(AND($A37&lt;&gt;"",AN$3&gt;=$J37,AN$3&lt;=$M37),1,"")</f>
        <v/>
      </c>
      <c r="AO37">
        <f>IF(AND($A37&lt;&gt;"",AO$3&gt;=$J37,AO$3&lt;=$M37),1,"")</f>
        <v/>
      </c>
      <c r="AP37">
        <f>IF(AND($A37&lt;&gt;"",AP$3&gt;=$J37,AP$3&lt;=$M37),1,"")</f>
        <v/>
      </c>
      <c r="AQ37">
        <f>IF(AND($A37&lt;&gt;"",AQ$3&gt;=$J37,AQ$3&lt;=$M37),1,"")</f>
        <v/>
      </c>
      <c r="AR37">
        <f>IF(AND($A37&lt;&gt;"",AR$3&gt;=$J37,AR$3&lt;=$M37),1,"")</f>
        <v/>
      </c>
      <c r="AS37">
        <f>IF(AND($A37&lt;&gt;"",AS$3&gt;=$J37,AS$3&lt;=$M37),1,"")</f>
        <v/>
      </c>
      <c r="AT37">
        <f>IF(AND($A37&lt;&gt;"",AT$3&gt;=$J37,AT$3&lt;=$M37),1,"")</f>
        <v/>
      </c>
      <c r="AU37">
        <f>IF(AND($A37&lt;&gt;"",AU$3&gt;=$J37,AU$3&lt;=$M37),1,"")</f>
        <v/>
      </c>
      <c r="AV37">
        <f>IF(AND($A37&lt;&gt;"",AV$3&gt;=$J37,AV$3&lt;=$M37),1,"")</f>
        <v/>
      </c>
      <c r="AW37">
        <f>IF(AND($A37&lt;&gt;"",AW$3&gt;=$J37,AW$3&lt;=$M37),1,"")</f>
        <v/>
      </c>
      <c r="AX37">
        <f>IF(AND($A37&lt;&gt;"",AX$3&gt;=$J37,AX$3&lt;=$M37),1,"")</f>
        <v/>
      </c>
      <c r="AY37">
        <f>IF(AND($A37&lt;&gt;"",AY$3&gt;=$J37,AY$3&lt;=$M37),1,"")</f>
        <v/>
      </c>
      <c r="AZ37">
        <f>IF(AND($A37&lt;&gt;"",AZ$3&gt;=$J37,AZ$3&lt;=$M37),1,"")</f>
        <v/>
      </c>
      <c r="BA37">
        <f>IF(AND($A37&lt;&gt;"",BA$3&gt;=$J37,BA$3&lt;=$M37),1,"")</f>
        <v/>
      </c>
      <c r="BB37">
        <f>IF(AND($A37&lt;&gt;"",BB$3&gt;=$J37,BB$3&lt;=$M37),1,"")</f>
        <v/>
      </c>
      <c r="BC37">
        <f>IF(AND($A37&lt;&gt;"",BC$3&gt;=$J37,BC$3&lt;=$M37),1,"")</f>
        <v/>
      </c>
      <c r="BD37">
        <f>IF(AND($A37&lt;&gt;"",BD$3&gt;=$J37,BD$3&lt;=$M37),1,"")</f>
        <v/>
      </c>
      <c r="BE37">
        <f>IF(AND($A37&lt;&gt;"",BE$3&gt;=$J37,BE$3&lt;=$M37),1,"")</f>
        <v/>
      </c>
      <c r="BF37">
        <f>IF(AND($A37&lt;&gt;"",BF$3&gt;=$J37,BF$3&lt;=$M37),1,"")</f>
        <v/>
      </c>
      <c r="BG37">
        <f>IF(AND($A37&lt;&gt;"",BG$3&gt;=$J37,BG$3&lt;=$M37),1,"")</f>
        <v/>
      </c>
      <c r="BH37">
        <f>IF(AND($A37&lt;&gt;"",BH$3&gt;=$J37,BH$3&lt;=$M37),1,"")</f>
        <v/>
      </c>
      <c r="BI37">
        <f>IF(AND($A37&lt;&gt;"",BI$3&gt;=$J37,BI$3&lt;=$M37),1,"")</f>
        <v/>
      </c>
      <c r="BJ37">
        <f>IF(AND($A37&lt;&gt;"",BJ$3&gt;=$J37,BJ$3&lt;=$M37),1,"")</f>
        <v/>
      </c>
      <c r="BK37">
        <f>IF(AND($A37&lt;&gt;"",BK$3&gt;=$J37,BK$3&lt;=$M37),1,"")</f>
        <v/>
      </c>
      <c r="BL37">
        <f>IF(AND($A37&lt;&gt;"",BL$3&gt;=$J37,BL$3&lt;=$M37),1,"")</f>
        <v/>
      </c>
      <c r="BM37">
        <f>IF(AND($A37&lt;&gt;"",BM$3&gt;=$J37,BM$3&lt;=$M37),1,"")</f>
        <v/>
      </c>
      <c r="BN37">
        <f>IF(AND($A37&lt;&gt;"",BN$3&gt;=$J37,BN$3&lt;=$M37),1,"")</f>
        <v/>
      </c>
      <c r="BO37">
        <f>IF(AND($A37&lt;&gt;"",BO$3&gt;=$J37,BO$3&lt;=$M37),1,"")</f>
        <v/>
      </c>
      <c r="BP37">
        <f>IF(AND($A37&lt;&gt;"",BP$3&gt;=$J37,BP$3&lt;=$M37),1,"")</f>
        <v/>
      </c>
      <c r="BQ37">
        <f>IF(AND($A37&lt;&gt;"",BQ$3&gt;=$J37,BQ$3&lt;=$M37),1,"")</f>
        <v/>
      </c>
      <c r="BR37">
        <f>IF(AND($A37&lt;&gt;"",BR$3&gt;=$J37,BR$3&lt;=$M37),1,"")</f>
        <v/>
      </c>
      <c r="BS37">
        <f>IF(AND($A37&lt;&gt;"",BS$3&gt;=$J37,BS$3&lt;=$M37),1,"")</f>
        <v/>
      </c>
      <c r="BT37">
        <f>IF(AND($A37&lt;&gt;"",BT$3&gt;=$J37,BT$3&lt;=$M37),1,"")</f>
        <v/>
      </c>
      <c r="BU37">
        <f>IF(AND($A37&lt;&gt;"",BU$3&gt;=$J37,BU$3&lt;=$M37),1,"")</f>
        <v/>
      </c>
      <c r="BV37">
        <f>IF(AND($A37&lt;&gt;"",BV$3&gt;=$J37,BV$3&lt;=$M37),1,"")</f>
        <v/>
      </c>
    </row>
    <row r="38">
      <c r="A38">
        <f>IF(Job_Master_Ring!$A38="","",Job_Master_Ring!$A38)</f>
        <v/>
      </c>
      <c r="B38">
        <f>IF($A38="","",Job_Master_Ring!B38)</f>
        <v/>
      </c>
      <c r="C38">
        <f>IF($A38="","",Job_Master_Ring!C38)</f>
        <v/>
      </c>
      <c r="D38">
        <f>IF($A38="","",Job_Master_Ring!D38)</f>
        <v/>
      </c>
      <c r="E38">
        <f>IF($A38="","",IF($I38&lt;&gt;"",$I38,IFERROR(INDEX(Machine_List!$B$87:$B$94,MATCH(1,(Machine_List!$H$87:$H$94&lt;=IFERROR(VLOOKUP($B38,CHOOSE(MATCH($C38,Settings!$L$4:$L$10,0),OPR_BR1!$A$4:$K$18,OPR_BR2!$A$4:$K$18,OPR_CR2!$A$4:$K$18,OPR_CR3!$A$4:$K$18,OPR_CR4!$A$4:$K$18,OPR_RIM!$A$4:$K$18,OPR_BPR!$A$4:$K$18),10,0),0))*(Machine_List!$I$87:$I$94&gt;=IFERROR(VLOOKUP($B38,CHOOSE(MATCH($C38,Settings!$L$4:$L$10,0),OPR_BR1!$A$4:$K$18,OPR_BR2!$A$4:$K$18,OPR_CR2!$A$4:$K$18,OPR_CR3!$A$4:$K$18,OPR_CR4!$A$4:$K$18,OPR_RIM!$A$4:$K$18,OPR_BPR!$A$4:$K$18),11,0),9999)),0)),"NO COMPATIBLE MACHINE")))</f>
        <v/>
      </c>
      <c r="F38">
        <f>IF($E38="","",IFERROR(VLOOKUP($E38,Machine_List!$B:$G,6,0),""))</f>
        <v/>
      </c>
      <c r="G38" s="17">
        <f>IF($E38="","",IFERROR(VLOOKUP($E38,Machine_List!$B:$C,2,0),""))</f>
        <v/>
      </c>
      <c r="H38">
        <f>IF($E38="","",IFERROR(VLOOKUP($E38,Machine_List!$B:$D,3,0),""))</f>
        <v/>
      </c>
      <c r="J38" s="16">
        <f>IF($A38="","",IF($I38&lt;&gt;"",$I38,MAX(GlobalStartDate,IFERROR(LOOKUP(2,1/($E$3:INDIRECT("E"&amp;(ROW()-1))=$E38),$M$3:INDIRECT("M"&amp;(ROW()-1))),GlobalStartDate))))</f>
        <v/>
      </c>
      <c r="K38">
        <f>IF($A38="","",IFERROR(VLOOKUP(B38,CHOOSE(MATCH($C38,Settings!$L$4:$L$10,0),OPR_BR1!$A$4:$I$18,OPR_BR2!$A$4:$I$18,OPR_CR2!$A$4:$I$18,OPR_CR3!$A$4:$I$18,OPR_CR4!$A$4:$I$18,OPR_RIM!$A$4:$I$18,OPR_BPR!$A$4:$I$18),2,0),0))</f>
        <v/>
      </c>
      <c r="L38">
        <f>IF($A38="","",K38*D38)</f>
        <v/>
      </c>
      <c r="M38" s="16">
        <f>IF($A38="","",IF(AND(ISNUMBER(G38),G38&gt;=J38,G38&lt;=(J38+(L38/(IF(F38="Contract Workman",Settings!$K$5,Settings!$K$4))))),J38+(L38/(IF(F38="Contract Workman",Settings!$K$5,Settings!$K$4)))+(H38/(IF(F38="Contract Workman",Settings!$K$5,Settings!$K$4))),J38+(L38/(IF(F38="Contract Workman",Settings!$K$5,Settings!$K$4)))))</f>
        <v/>
      </c>
      <c r="N38">
        <f>IF($A38="","",IF(F38="Contract Workman",IF(AND(MOD(M38,1)&gt;=8/24,MOD(M38,1)&lt;20/24),"Shift S1","Shift S2"),IF(AND(MOD(M38,1)&gt;=7/24,MOD(M38,1)&lt;15/24),"Shift A",IF(AND(MOD(M38,1)&gt;=15/24,MOD(M38,1)&lt;23/24),"Shift B","Shift C"))))</f>
        <v/>
      </c>
      <c r="O38">
        <f>IF(B38="","",IF(IFERROR(ISNUMBER(SEARCH(TEXT(B38,"0"),VLOOKUP(E38,Machine_List!$B:$J,9,0))),FALSE),"✅ "&amp;E38,"❌ ?"))</f>
        <v/>
      </c>
      <c r="P38">
        <f>IF(AND($A38&lt;&gt;"",P$3&gt;=$J38,P$3&lt;=$M38),1,"")</f>
        <v/>
      </c>
      <c r="Q38">
        <f>IF(AND($A38&lt;&gt;"",Q$3&gt;=$J38,Q$3&lt;=$M38),1,"")</f>
        <v/>
      </c>
      <c r="R38">
        <f>IF(AND($A38&lt;&gt;"",R$3&gt;=$J38,R$3&lt;=$M38),1,"")</f>
        <v/>
      </c>
      <c r="S38">
        <f>IF(AND($A38&lt;&gt;"",S$3&gt;=$J38,S$3&lt;=$M38),1,"")</f>
        <v/>
      </c>
      <c r="T38">
        <f>IF(AND($A38&lt;&gt;"",T$3&gt;=$J38,T$3&lt;=$M38),1,"")</f>
        <v/>
      </c>
      <c r="U38">
        <f>IF(AND($A38&lt;&gt;"",U$3&gt;=$J38,U$3&lt;=$M38),1,"")</f>
        <v/>
      </c>
      <c r="V38">
        <f>IF(AND($A38&lt;&gt;"",V$3&gt;=$J38,V$3&lt;=$M38),1,"")</f>
        <v/>
      </c>
      <c r="W38">
        <f>IF(AND($A38&lt;&gt;"",W$3&gt;=$J38,W$3&lt;=$M38),1,"")</f>
        <v/>
      </c>
      <c r="X38">
        <f>IF(AND($A38&lt;&gt;"",X$3&gt;=$J38,X$3&lt;=$M38),1,"")</f>
        <v/>
      </c>
      <c r="Y38">
        <f>IF(AND($A38&lt;&gt;"",Y$3&gt;=$J38,Y$3&lt;=$M38),1,"")</f>
        <v/>
      </c>
      <c r="Z38">
        <f>IF(AND($A38&lt;&gt;"",Z$3&gt;=$J38,Z$3&lt;=$M38),1,"")</f>
        <v/>
      </c>
      <c r="AA38">
        <f>IF(AND($A38&lt;&gt;"",AA$3&gt;=$J38,AA$3&lt;=$M38),1,"")</f>
        <v/>
      </c>
      <c r="AB38">
        <f>IF(AND($A38&lt;&gt;"",AB$3&gt;=$J38,AB$3&lt;=$M38),1,"")</f>
        <v/>
      </c>
      <c r="AC38">
        <f>IF(AND($A38&lt;&gt;"",AC$3&gt;=$J38,AC$3&lt;=$M38),1,"")</f>
        <v/>
      </c>
      <c r="AD38">
        <f>IF(AND($A38&lt;&gt;"",AD$3&gt;=$J38,AD$3&lt;=$M38),1,"")</f>
        <v/>
      </c>
      <c r="AE38">
        <f>IF(AND($A38&lt;&gt;"",AE$3&gt;=$J38,AE$3&lt;=$M38),1,"")</f>
        <v/>
      </c>
      <c r="AF38">
        <f>IF(AND($A38&lt;&gt;"",AF$3&gt;=$J38,AF$3&lt;=$M38),1,"")</f>
        <v/>
      </c>
      <c r="AG38">
        <f>IF(AND($A38&lt;&gt;"",AG$3&gt;=$J38,AG$3&lt;=$M38),1,"")</f>
        <v/>
      </c>
      <c r="AH38">
        <f>IF(AND($A38&lt;&gt;"",AH$3&gt;=$J38,AH$3&lt;=$M38),1,"")</f>
        <v/>
      </c>
      <c r="AI38">
        <f>IF(AND($A38&lt;&gt;"",AI$3&gt;=$J38,AI$3&lt;=$M38),1,"")</f>
        <v/>
      </c>
      <c r="AJ38">
        <f>IF(AND($A38&lt;&gt;"",AJ$3&gt;=$J38,AJ$3&lt;=$M38),1,"")</f>
        <v/>
      </c>
      <c r="AK38">
        <f>IF(AND($A38&lt;&gt;"",AK$3&gt;=$J38,AK$3&lt;=$M38),1,"")</f>
        <v/>
      </c>
      <c r="AL38">
        <f>IF(AND($A38&lt;&gt;"",AL$3&gt;=$J38,AL$3&lt;=$M38),1,"")</f>
        <v/>
      </c>
      <c r="AM38">
        <f>IF(AND($A38&lt;&gt;"",AM$3&gt;=$J38,AM$3&lt;=$M38),1,"")</f>
        <v/>
      </c>
      <c r="AN38">
        <f>IF(AND($A38&lt;&gt;"",AN$3&gt;=$J38,AN$3&lt;=$M38),1,"")</f>
        <v/>
      </c>
      <c r="AO38">
        <f>IF(AND($A38&lt;&gt;"",AO$3&gt;=$J38,AO$3&lt;=$M38),1,"")</f>
        <v/>
      </c>
      <c r="AP38">
        <f>IF(AND($A38&lt;&gt;"",AP$3&gt;=$J38,AP$3&lt;=$M38),1,"")</f>
        <v/>
      </c>
      <c r="AQ38">
        <f>IF(AND($A38&lt;&gt;"",AQ$3&gt;=$J38,AQ$3&lt;=$M38),1,"")</f>
        <v/>
      </c>
      <c r="AR38">
        <f>IF(AND($A38&lt;&gt;"",AR$3&gt;=$J38,AR$3&lt;=$M38),1,"")</f>
        <v/>
      </c>
      <c r="AS38">
        <f>IF(AND($A38&lt;&gt;"",AS$3&gt;=$J38,AS$3&lt;=$M38),1,"")</f>
        <v/>
      </c>
      <c r="AT38">
        <f>IF(AND($A38&lt;&gt;"",AT$3&gt;=$J38,AT$3&lt;=$M38),1,"")</f>
        <v/>
      </c>
      <c r="AU38">
        <f>IF(AND($A38&lt;&gt;"",AU$3&gt;=$J38,AU$3&lt;=$M38),1,"")</f>
        <v/>
      </c>
      <c r="AV38">
        <f>IF(AND($A38&lt;&gt;"",AV$3&gt;=$J38,AV$3&lt;=$M38),1,"")</f>
        <v/>
      </c>
      <c r="AW38">
        <f>IF(AND($A38&lt;&gt;"",AW$3&gt;=$J38,AW$3&lt;=$M38),1,"")</f>
        <v/>
      </c>
      <c r="AX38">
        <f>IF(AND($A38&lt;&gt;"",AX$3&gt;=$J38,AX$3&lt;=$M38),1,"")</f>
        <v/>
      </c>
      <c r="AY38">
        <f>IF(AND($A38&lt;&gt;"",AY$3&gt;=$J38,AY$3&lt;=$M38),1,"")</f>
        <v/>
      </c>
      <c r="AZ38">
        <f>IF(AND($A38&lt;&gt;"",AZ$3&gt;=$J38,AZ$3&lt;=$M38),1,"")</f>
        <v/>
      </c>
      <c r="BA38">
        <f>IF(AND($A38&lt;&gt;"",BA$3&gt;=$J38,BA$3&lt;=$M38),1,"")</f>
        <v/>
      </c>
      <c r="BB38">
        <f>IF(AND($A38&lt;&gt;"",BB$3&gt;=$J38,BB$3&lt;=$M38),1,"")</f>
        <v/>
      </c>
      <c r="BC38">
        <f>IF(AND($A38&lt;&gt;"",BC$3&gt;=$J38,BC$3&lt;=$M38),1,"")</f>
        <v/>
      </c>
      <c r="BD38">
        <f>IF(AND($A38&lt;&gt;"",BD$3&gt;=$J38,BD$3&lt;=$M38),1,"")</f>
        <v/>
      </c>
      <c r="BE38">
        <f>IF(AND($A38&lt;&gt;"",BE$3&gt;=$J38,BE$3&lt;=$M38),1,"")</f>
        <v/>
      </c>
      <c r="BF38">
        <f>IF(AND($A38&lt;&gt;"",BF$3&gt;=$J38,BF$3&lt;=$M38),1,"")</f>
        <v/>
      </c>
      <c r="BG38">
        <f>IF(AND($A38&lt;&gt;"",BG$3&gt;=$J38,BG$3&lt;=$M38),1,"")</f>
        <v/>
      </c>
      <c r="BH38">
        <f>IF(AND($A38&lt;&gt;"",BH$3&gt;=$J38,BH$3&lt;=$M38),1,"")</f>
        <v/>
      </c>
      <c r="BI38">
        <f>IF(AND($A38&lt;&gt;"",BI$3&gt;=$J38,BI$3&lt;=$M38),1,"")</f>
        <v/>
      </c>
      <c r="BJ38">
        <f>IF(AND($A38&lt;&gt;"",BJ$3&gt;=$J38,BJ$3&lt;=$M38),1,"")</f>
        <v/>
      </c>
      <c r="BK38">
        <f>IF(AND($A38&lt;&gt;"",BK$3&gt;=$J38,BK$3&lt;=$M38),1,"")</f>
        <v/>
      </c>
      <c r="BL38">
        <f>IF(AND($A38&lt;&gt;"",BL$3&gt;=$J38,BL$3&lt;=$M38),1,"")</f>
        <v/>
      </c>
      <c r="BM38">
        <f>IF(AND($A38&lt;&gt;"",BM$3&gt;=$J38,BM$3&lt;=$M38),1,"")</f>
        <v/>
      </c>
      <c r="BN38">
        <f>IF(AND($A38&lt;&gt;"",BN$3&gt;=$J38,BN$3&lt;=$M38),1,"")</f>
        <v/>
      </c>
      <c r="BO38">
        <f>IF(AND($A38&lt;&gt;"",BO$3&gt;=$J38,BO$3&lt;=$M38),1,"")</f>
        <v/>
      </c>
      <c r="BP38">
        <f>IF(AND($A38&lt;&gt;"",BP$3&gt;=$J38,BP$3&lt;=$M38),1,"")</f>
        <v/>
      </c>
      <c r="BQ38">
        <f>IF(AND($A38&lt;&gt;"",BQ$3&gt;=$J38,BQ$3&lt;=$M38),1,"")</f>
        <v/>
      </c>
      <c r="BR38">
        <f>IF(AND($A38&lt;&gt;"",BR$3&gt;=$J38,BR$3&lt;=$M38),1,"")</f>
        <v/>
      </c>
      <c r="BS38">
        <f>IF(AND($A38&lt;&gt;"",BS$3&gt;=$J38,BS$3&lt;=$M38),1,"")</f>
        <v/>
      </c>
      <c r="BT38">
        <f>IF(AND($A38&lt;&gt;"",BT$3&gt;=$J38,BT$3&lt;=$M38),1,"")</f>
        <v/>
      </c>
      <c r="BU38">
        <f>IF(AND($A38&lt;&gt;"",BU$3&gt;=$J38,BU$3&lt;=$M38),1,"")</f>
        <v/>
      </c>
      <c r="BV38">
        <f>IF(AND($A38&lt;&gt;"",BV$3&gt;=$J38,BV$3&lt;=$M38),1,"")</f>
        <v/>
      </c>
    </row>
    <row r="39">
      <c r="A39">
        <f>IF(Job_Master_Ring!$A39="","",Job_Master_Ring!$A39)</f>
        <v/>
      </c>
      <c r="B39">
        <f>IF($A39="","",Job_Master_Ring!B39)</f>
        <v/>
      </c>
      <c r="C39">
        <f>IF($A39="","",Job_Master_Ring!C39)</f>
        <v/>
      </c>
      <c r="D39">
        <f>IF($A39="","",Job_Master_Ring!D39)</f>
        <v/>
      </c>
      <c r="E39">
        <f>IF($A39="","",IF($I39&lt;&gt;"",$I39,IFERROR(INDEX(Machine_List!$B$87:$B$94,MATCH(1,(Machine_List!$H$87:$H$94&lt;=IFERROR(VLOOKUP($B39,CHOOSE(MATCH($C39,Settings!$L$4:$L$10,0),OPR_BR1!$A$4:$K$18,OPR_BR2!$A$4:$K$18,OPR_CR2!$A$4:$K$18,OPR_CR3!$A$4:$K$18,OPR_CR4!$A$4:$K$18,OPR_RIM!$A$4:$K$18,OPR_BPR!$A$4:$K$18),10,0),0))*(Machine_List!$I$87:$I$94&gt;=IFERROR(VLOOKUP($B39,CHOOSE(MATCH($C39,Settings!$L$4:$L$10,0),OPR_BR1!$A$4:$K$18,OPR_BR2!$A$4:$K$18,OPR_CR2!$A$4:$K$18,OPR_CR3!$A$4:$K$18,OPR_CR4!$A$4:$K$18,OPR_RIM!$A$4:$K$18,OPR_BPR!$A$4:$K$18),11,0),9999)),0)),"NO COMPATIBLE MACHINE")))</f>
        <v/>
      </c>
      <c r="F39">
        <f>IF($E39="","",IFERROR(VLOOKUP($E39,Machine_List!$B:$G,6,0),""))</f>
        <v/>
      </c>
      <c r="G39" s="17">
        <f>IF($E39="","",IFERROR(VLOOKUP($E39,Machine_List!$B:$C,2,0),""))</f>
        <v/>
      </c>
      <c r="H39">
        <f>IF($E39="","",IFERROR(VLOOKUP($E39,Machine_List!$B:$D,3,0),""))</f>
        <v/>
      </c>
      <c r="J39" s="16">
        <f>IF($A39="","",IF($I39&lt;&gt;"",$I39,MAX(GlobalStartDate,IFERROR(LOOKUP(2,1/($E$3:INDIRECT("E"&amp;(ROW()-1))=$E39),$M$3:INDIRECT("M"&amp;(ROW()-1))),GlobalStartDate))))</f>
        <v/>
      </c>
      <c r="K39">
        <f>IF($A39="","",IFERROR(VLOOKUP(B39,CHOOSE(MATCH($C39,Settings!$L$4:$L$10,0),OPR_BR1!$A$4:$I$18,OPR_BR2!$A$4:$I$18,OPR_CR2!$A$4:$I$18,OPR_CR3!$A$4:$I$18,OPR_CR4!$A$4:$I$18,OPR_RIM!$A$4:$I$18,OPR_BPR!$A$4:$I$18),2,0),0))</f>
        <v/>
      </c>
      <c r="L39">
        <f>IF($A39="","",K39*D39)</f>
        <v/>
      </c>
      <c r="M39" s="16">
        <f>IF($A39="","",IF(AND(ISNUMBER(G39),G39&gt;=J39,G39&lt;=(J39+(L39/(IF(F39="Contract Workman",Settings!$K$5,Settings!$K$4))))),J39+(L39/(IF(F39="Contract Workman",Settings!$K$5,Settings!$K$4)))+(H39/(IF(F39="Contract Workman",Settings!$K$5,Settings!$K$4))),J39+(L39/(IF(F39="Contract Workman",Settings!$K$5,Settings!$K$4)))))</f>
        <v/>
      </c>
      <c r="N39">
        <f>IF($A39="","",IF(F39="Contract Workman",IF(AND(MOD(M39,1)&gt;=8/24,MOD(M39,1)&lt;20/24),"Shift S1","Shift S2"),IF(AND(MOD(M39,1)&gt;=7/24,MOD(M39,1)&lt;15/24),"Shift A",IF(AND(MOD(M39,1)&gt;=15/24,MOD(M39,1)&lt;23/24),"Shift B","Shift C"))))</f>
        <v/>
      </c>
      <c r="O39">
        <f>IF(B39="","",IF(IFERROR(ISNUMBER(SEARCH(TEXT(B39,"0"),VLOOKUP(E39,Machine_List!$B:$J,9,0))),FALSE),"✅ "&amp;E39,"❌ ?"))</f>
        <v/>
      </c>
      <c r="P39">
        <f>IF(AND($A39&lt;&gt;"",P$3&gt;=$J39,P$3&lt;=$M39),1,"")</f>
        <v/>
      </c>
      <c r="Q39">
        <f>IF(AND($A39&lt;&gt;"",Q$3&gt;=$J39,Q$3&lt;=$M39),1,"")</f>
        <v/>
      </c>
      <c r="R39">
        <f>IF(AND($A39&lt;&gt;"",R$3&gt;=$J39,R$3&lt;=$M39),1,"")</f>
        <v/>
      </c>
      <c r="S39">
        <f>IF(AND($A39&lt;&gt;"",S$3&gt;=$J39,S$3&lt;=$M39),1,"")</f>
        <v/>
      </c>
      <c r="T39">
        <f>IF(AND($A39&lt;&gt;"",T$3&gt;=$J39,T$3&lt;=$M39),1,"")</f>
        <v/>
      </c>
      <c r="U39">
        <f>IF(AND($A39&lt;&gt;"",U$3&gt;=$J39,U$3&lt;=$M39),1,"")</f>
        <v/>
      </c>
      <c r="V39">
        <f>IF(AND($A39&lt;&gt;"",V$3&gt;=$J39,V$3&lt;=$M39),1,"")</f>
        <v/>
      </c>
      <c r="W39">
        <f>IF(AND($A39&lt;&gt;"",W$3&gt;=$J39,W$3&lt;=$M39),1,"")</f>
        <v/>
      </c>
      <c r="X39">
        <f>IF(AND($A39&lt;&gt;"",X$3&gt;=$J39,X$3&lt;=$M39),1,"")</f>
        <v/>
      </c>
      <c r="Y39">
        <f>IF(AND($A39&lt;&gt;"",Y$3&gt;=$J39,Y$3&lt;=$M39),1,"")</f>
        <v/>
      </c>
      <c r="Z39">
        <f>IF(AND($A39&lt;&gt;"",Z$3&gt;=$J39,Z$3&lt;=$M39),1,"")</f>
        <v/>
      </c>
      <c r="AA39">
        <f>IF(AND($A39&lt;&gt;"",AA$3&gt;=$J39,AA$3&lt;=$M39),1,"")</f>
        <v/>
      </c>
      <c r="AB39">
        <f>IF(AND($A39&lt;&gt;"",AB$3&gt;=$J39,AB$3&lt;=$M39),1,"")</f>
        <v/>
      </c>
      <c r="AC39">
        <f>IF(AND($A39&lt;&gt;"",AC$3&gt;=$J39,AC$3&lt;=$M39),1,"")</f>
        <v/>
      </c>
      <c r="AD39">
        <f>IF(AND($A39&lt;&gt;"",AD$3&gt;=$J39,AD$3&lt;=$M39),1,"")</f>
        <v/>
      </c>
      <c r="AE39">
        <f>IF(AND($A39&lt;&gt;"",AE$3&gt;=$J39,AE$3&lt;=$M39),1,"")</f>
        <v/>
      </c>
      <c r="AF39">
        <f>IF(AND($A39&lt;&gt;"",AF$3&gt;=$J39,AF$3&lt;=$M39),1,"")</f>
        <v/>
      </c>
      <c r="AG39">
        <f>IF(AND($A39&lt;&gt;"",AG$3&gt;=$J39,AG$3&lt;=$M39),1,"")</f>
        <v/>
      </c>
      <c r="AH39">
        <f>IF(AND($A39&lt;&gt;"",AH$3&gt;=$J39,AH$3&lt;=$M39),1,"")</f>
        <v/>
      </c>
      <c r="AI39">
        <f>IF(AND($A39&lt;&gt;"",AI$3&gt;=$J39,AI$3&lt;=$M39),1,"")</f>
        <v/>
      </c>
      <c r="AJ39">
        <f>IF(AND($A39&lt;&gt;"",AJ$3&gt;=$J39,AJ$3&lt;=$M39),1,"")</f>
        <v/>
      </c>
      <c r="AK39">
        <f>IF(AND($A39&lt;&gt;"",AK$3&gt;=$J39,AK$3&lt;=$M39),1,"")</f>
        <v/>
      </c>
      <c r="AL39">
        <f>IF(AND($A39&lt;&gt;"",AL$3&gt;=$J39,AL$3&lt;=$M39),1,"")</f>
        <v/>
      </c>
      <c r="AM39">
        <f>IF(AND($A39&lt;&gt;"",AM$3&gt;=$J39,AM$3&lt;=$M39),1,"")</f>
        <v/>
      </c>
      <c r="AN39">
        <f>IF(AND($A39&lt;&gt;"",AN$3&gt;=$J39,AN$3&lt;=$M39),1,"")</f>
        <v/>
      </c>
      <c r="AO39">
        <f>IF(AND($A39&lt;&gt;"",AO$3&gt;=$J39,AO$3&lt;=$M39),1,"")</f>
        <v/>
      </c>
      <c r="AP39">
        <f>IF(AND($A39&lt;&gt;"",AP$3&gt;=$J39,AP$3&lt;=$M39),1,"")</f>
        <v/>
      </c>
      <c r="AQ39">
        <f>IF(AND($A39&lt;&gt;"",AQ$3&gt;=$J39,AQ$3&lt;=$M39),1,"")</f>
        <v/>
      </c>
      <c r="AR39">
        <f>IF(AND($A39&lt;&gt;"",AR$3&gt;=$J39,AR$3&lt;=$M39),1,"")</f>
        <v/>
      </c>
      <c r="AS39">
        <f>IF(AND($A39&lt;&gt;"",AS$3&gt;=$J39,AS$3&lt;=$M39),1,"")</f>
        <v/>
      </c>
      <c r="AT39">
        <f>IF(AND($A39&lt;&gt;"",AT$3&gt;=$J39,AT$3&lt;=$M39),1,"")</f>
        <v/>
      </c>
      <c r="AU39">
        <f>IF(AND($A39&lt;&gt;"",AU$3&gt;=$J39,AU$3&lt;=$M39),1,"")</f>
        <v/>
      </c>
      <c r="AV39">
        <f>IF(AND($A39&lt;&gt;"",AV$3&gt;=$J39,AV$3&lt;=$M39),1,"")</f>
        <v/>
      </c>
      <c r="AW39">
        <f>IF(AND($A39&lt;&gt;"",AW$3&gt;=$J39,AW$3&lt;=$M39),1,"")</f>
        <v/>
      </c>
      <c r="AX39">
        <f>IF(AND($A39&lt;&gt;"",AX$3&gt;=$J39,AX$3&lt;=$M39),1,"")</f>
        <v/>
      </c>
      <c r="AY39">
        <f>IF(AND($A39&lt;&gt;"",AY$3&gt;=$J39,AY$3&lt;=$M39),1,"")</f>
        <v/>
      </c>
      <c r="AZ39">
        <f>IF(AND($A39&lt;&gt;"",AZ$3&gt;=$J39,AZ$3&lt;=$M39),1,"")</f>
        <v/>
      </c>
      <c r="BA39">
        <f>IF(AND($A39&lt;&gt;"",BA$3&gt;=$J39,BA$3&lt;=$M39),1,"")</f>
        <v/>
      </c>
      <c r="BB39">
        <f>IF(AND($A39&lt;&gt;"",BB$3&gt;=$J39,BB$3&lt;=$M39),1,"")</f>
        <v/>
      </c>
      <c r="BC39">
        <f>IF(AND($A39&lt;&gt;"",BC$3&gt;=$J39,BC$3&lt;=$M39),1,"")</f>
        <v/>
      </c>
      <c r="BD39">
        <f>IF(AND($A39&lt;&gt;"",BD$3&gt;=$J39,BD$3&lt;=$M39),1,"")</f>
        <v/>
      </c>
      <c r="BE39">
        <f>IF(AND($A39&lt;&gt;"",BE$3&gt;=$J39,BE$3&lt;=$M39),1,"")</f>
        <v/>
      </c>
      <c r="BF39">
        <f>IF(AND($A39&lt;&gt;"",BF$3&gt;=$J39,BF$3&lt;=$M39),1,"")</f>
        <v/>
      </c>
      <c r="BG39">
        <f>IF(AND($A39&lt;&gt;"",BG$3&gt;=$J39,BG$3&lt;=$M39),1,"")</f>
        <v/>
      </c>
      <c r="BH39">
        <f>IF(AND($A39&lt;&gt;"",BH$3&gt;=$J39,BH$3&lt;=$M39),1,"")</f>
        <v/>
      </c>
      <c r="BI39">
        <f>IF(AND($A39&lt;&gt;"",BI$3&gt;=$J39,BI$3&lt;=$M39),1,"")</f>
        <v/>
      </c>
      <c r="BJ39">
        <f>IF(AND($A39&lt;&gt;"",BJ$3&gt;=$J39,BJ$3&lt;=$M39),1,"")</f>
        <v/>
      </c>
      <c r="BK39">
        <f>IF(AND($A39&lt;&gt;"",BK$3&gt;=$J39,BK$3&lt;=$M39),1,"")</f>
        <v/>
      </c>
      <c r="BL39">
        <f>IF(AND($A39&lt;&gt;"",BL$3&gt;=$J39,BL$3&lt;=$M39),1,"")</f>
        <v/>
      </c>
      <c r="BM39">
        <f>IF(AND($A39&lt;&gt;"",BM$3&gt;=$J39,BM$3&lt;=$M39),1,"")</f>
        <v/>
      </c>
      <c r="BN39">
        <f>IF(AND($A39&lt;&gt;"",BN$3&gt;=$J39,BN$3&lt;=$M39),1,"")</f>
        <v/>
      </c>
      <c r="BO39">
        <f>IF(AND($A39&lt;&gt;"",BO$3&gt;=$J39,BO$3&lt;=$M39),1,"")</f>
        <v/>
      </c>
      <c r="BP39">
        <f>IF(AND($A39&lt;&gt;"",BP$3&gt;=$J39,BP$3&lt;=$M39),1,"")</f>
        <v/>
      </c>
      <c r="BQ39">
        <f>IF(AND($A39&lt;&gt;"",BQ$3&gt;=$J39,BQ$3&lt;=$M39),1,"")</f>
        <v/>
      </c>
      <c r="BR39">
        <f>IF(AND($A39&lt;&gt;"",BR$3&gt;=$J39,BR$3&lt;=$M39),1,"")</f>
        <v/>
      </c>
      <c r="BS39">
        <f>IF(AND($A39&lt;&gt;"",BS$3&gt;=$J39,BS$3&lt;=$M39),1,"")</f>
        <v/>
      </c>
      <c r="BT39">
        <f>IF(AND($A39&lt;&gt;"",BT$3&gt;=$J39,BT$3&lt;=$M39),1,"")</f>
        <v/>
      </c>
      <c r="BU39">
        <f>IF(AND($A39&lt;&gt;"",BU$3&gt;=$J39,BU$3&lt;=$M39),1,"")</f>
        <v/>
      </c>
      <c r="BV39">
        <f>IF(AND($A39&lt;&gt;"",BV$3&gt;=$J39,BV$3&lt;=$M39),1,"")</f>
        <v/>
      </c>
    </row>
    <row r="40">
      <c r="A40">
        <f>IF(Job_Master_Ring!$A40="","",Job_Master_Ring!$A40)</f>
        <v/>
      </c>
      <c r="B40">
        <f>IF($A40="","",Job_Master_Ring!B40)</f>
        <v/>
      </c>
      <c r="C40">
        <f>IF($A40="","",Job_Master_Ring!C40)</f>
        <v/>
      </c>
      <c r="D40">
        <f>IF($A40="","",Job_Master_Ring!D40)</f>
        <v/>
      </c>
      <c r="E40">
        <f>IF($A40="","",IF($I40&lt;&gt;"",$I40,IFERROR(INDEX(Machine_List!$B$87:$B$94,MATCH(1,(Machine_List!$H$87:$H$94&lt;=IFERROR(VLOOKUP($B40,CHOOSE(MATCH($C40,Settings!$L$4:$L$10,0),OPR_BR1!$A$4:$K$18,OPR_BR2!$A$4:$K$18,OPR_CR2!$A$4:$K$18,OPR_CR3!$A$4:$K$18,OPR_CR4!$A$4:$K$18,OPR_RIM!$A$4:$K$18,OPR_BPR!$A$4:$K$18),10,0),0))*(Machine_List!$I$87:$I$94&gt;=IFERROR(VLOOKUP($B40,CHOOSE(MATCH($C40,Settings!$L$4:$L$10,0),OPR_BR1!$A$4:$K$18,OPR_BR2!$A$4:$K$18,OPR_CR2!$A$4:$K$18,OPR_CR3!$A$4:$K$18,OPR_CR4!$A$4:$K$18,OPR_RIM!$A$4:$K$18,OPR_BPR!$A$4:$K$18),11,0),9999)),0)),"NO COMPATIBLE MACHINE")))</f>
        <v/>
      </c>
      <c r="F40">
        <f>IF($E40="","",IFERROR(VLOOKUP($E40,Machine_List!$B:$G,6,0),""))</f>
        <v/>
      </c>
      <c r="G40" s="17">
        <f>IF($E40="","",IFERROR(VLOOKUP($E40,Machine_List!$B:$C,2,0),""))</f>
        <v/>
      </c>
      <c r="H40">
        <f>IF($E40="","",IFERROR(VLOOKUP($E40,Machine_List!$B:$D,3,0),""))</f>
        <v/>
      </c>
      <c r="J40" s="16">
        <f>IF($A40="","",IF($I40&lt;&gt;"",$I40,MAX(GlobalStartDate,IFERROR(LOOKUP(2,1/($E$3:INDIRECT("E"&amp;(ROW()-1))=$E40),$M$3:INDIRECT("M"&amp;(ROW()-1))),GlobalStartDate))))</f>
        <v/>
      </c>
      <c r="K40">
        <f>IF($A40="","",IFERROR(VLOOKUP(B40,CHOOSE(MATCH($C40,Settings!$L$4:$L$10,0),OPR_BR1!$A$4:$I$18,OPR_BR2!$A$4:$I$18,OPR_CR2!$A$4:$I$18,OPR_CR3!$A$4:$I$18,OPR_CR4!$A$4:$I$18,OPR_RIM!$A$4:$I$18,OPR_BPR!$A$4:$I$18),2,0),0))</f>
        <v/>
      </c>
      <c r="L40">
        <f>IF($A40="","",K40*D40)</f>
        <v/>
      </c>
      <c r="M40" s="16">
        <f>IF($A40="","",IF(AND(ISNUMBER(G40),G40&gt;=J40,G40&lt;=(J40+(L40/(IF(F40="Contract Workman",Settings!$K$5,Settings!$K$4))))),J40+(L40/(IF(F40="Contract Workman",Settings!$K$5,Settings!$K$4)))+(H40/(IF(F40="Contract Workman",Settings!$K$5,Settings!$K$4))),J40+(L40/(IF(F40="Contract Workman",Settings!$K$5,Settings!$K$4)))))</f>
        <v/>
      </c>
      <c r="N40">
        <f>IF($A40="","",IF(F40="Contract Workman",IF(AND(MOD(M40,1)&gt;=8/24,MOD(M40,1)&lt;20/24),"Shift S1","Shift S2"),IF(AND(MOD(M40,1)&gt;=7/24,MOD(M40,1)&lt;15/24),"Shift A",IF(AND(MOD(M40,1)&gt;=15/24,MOD(M40,1)&lt;23/24),"Shift B","Shift C"))))</f>
        <v/>
      </c>
      <c r="O40">
        <f>IF(B40="","",IF(IFERROR(ISNUMBER(SEARCH(TEXT(B40,"0"),VLOOKUP(E40,Machine_List!$B:$J,9,0))),FALSE),"✅ "&amp;E40,"❌ ?"))</f>
        <v/>
      </c>
      <c r="P40">
        <f>IF(AND($A40&lt;&gt;"",P$3&gt;=$J40,P$3&lt;=$M40),1,"")</f>
        <v/>
      </c>
      <c r="Q40">
        <f>IF(AND($A40&lt;&gt;"",Q$3&gt;=$J40,Q$3&lt;=$M40),1,"")</f>
        <v/>
      </c>
      <c r="R40">
        <f>IF(AND($A40&lt;&gt;"",R$3&gt;=$J40,R$3&lt;=$M40),1,"")</f>
        <v/>
      </c>
      <c r="S40">
        <f>IF(AND($A40&lt;&gt;"",S$3&gt;=$J40,S$3&lt;=$M40),1,"")</f>
        <v/>
      </c>
      <c r="T40">
        <f>IF(AND($A40&lt;&gt;"",T$3&gt;=$J40,T$3&lt;=$M40),1,"")</f>
        <v/>
      </c>
      <c r="U40">
        <f>IF(AND($A40&lt;&gt;"",U$3&gt;=$J40,U$3&lt;=$M40),1,"")</f>
        <v/>
      </c>
      <c r="V40">
        <f>IF(AND($A40&lt;&gt;"",V$3&gt;=$J40,V$3&lt;=$M40),1,"")</f>
        <v/>
      </c>
      <c r="W40">
        <f>IF(AND($A40&lt;&gt;"",W$3&gt;=$J40,W$3&lt;=$M40),1,"")</f>
        <v/>
      </c>
      <c r="X40">
        <f>IF(AND($A40&lt;&gt;"",X$3&gt;=$J40,X$3&lt;=$M40),1,"")</f>
        <v/>
      </c>
      <c r="Y40">
        <f>IF(AND($A40&lt;&gt;"",Y$3&gt;=$J40,Y$3&lt;=$M40),1,"")</f>
        <v/>
      </c>
      <c r="Z40">
        <f>IF(AND($A40&lt;&gt;"",Z$3&gt;=$J40,Z$3&lt;=$M40),1,"")</f>
        <v/>
      </c>
      <c r="AA40">
        <f>IF(AND($A40&lt;&gt;"",AA$3&gt;=$J40,AA$3&lt;=$M40),1,"")</f>
        <v/>
      </c>
      <c r="AB40">
        <f>IF(AND($A40&lt;&gt;"",AB$3&gt;=$J40,AB$3&lt;=$M40),1,"")</f>
        <v/>
      </c>
      <c r="AC40">
        <f>IF(AND($A40&lt;&gt;"",AC$3&gt;=$J40,AC$3&lt;=$M40),1,"")</f>
        <v/>
      </c>
      <c r="AD40">
        <f>IF(AND($A40&lt;&gt;"",AD$3&gt;=$J40,AD$3&lt;=$M40),1,"")</f>
        <v/>
      </c>
      <c r="AE40">
        <f>IF(AND($A40&lt;&gt;"",AE$3&gt;=$J40,AE$3&lt;=$M40),1,"")</f>
        <v/>
      </c>
      <c r="AF40">
        <f>IF(AND($A40&lt;&gt;"",AF$3&gt;=$J40,AF$3&lt;=$M40),1,"")</f>
        <v/>
      </c>
      <c r="AG40">
        <f>IF(AND($A40&lt;&gt;"",AG$3&gt;=$J40,AG$3&lt;=$M40),1,"")</f>
        <v/>
      </c>
      <c r="AH40">
        <f>IF(AND($A40&lt;&gt;"",AH$3&gt;=$J40,AH$3&lt;=$M40),1,"")</f>
        <v/>
      </c>
      <c r="AI40">
        <f>IF(AND($A40&lt;&gt;"",AI$3&gt;=$J40,AI$3&lt;=$M40),1,"")</f>
        <v/>
      </c>
      <c r="AJ40">
        <f>IF(AND($A40&lt;&gt;"",AJ$3&gt;=$J40,AJ$3&lt;=$M40),1,"")</f>
        <v/>
      </c>
      <c r="AK40">
        <f>IF(AND($A40&lt;&gt;"",AK$3&gt;=$J40,AK$3&lt;=$M40),1,"")</f>
        <v/>
      </c>
      <c r="AL40">
        <f>IF(AND($A40&lt;&gt;"",AL$3&gt;=$J40,AL$3&lt;=$M40),1,"")</f>
        <v/>
      </c>
      <c r="AM40">
        <f>IF(AND($A40&lt;&gt;"",AM$3&gt;=$J40,AM$3&lt;=$M40),1,"")</f>
        <v/>
      </c>
      <c r="AN40">
        <f>IF(AND($A40&lt;&gt;"",AN$3&gt;=$J40,AN$3&lt;=$M40),1,"")</f>
        <v/>
      </c>
      <c r="AO40">
        <f>IF(AND($A40&lt;&gt;"",AO$3&gt;=$J40,AO$3&lt;=$M40),1,"")</f>
        <v/>
      </c>
      <c r="AP40">
        <f>IF(AND($A40&lt;&gt;"",AP$3&gt;=$J40,AP$3&lt;=$M40),1,"")</f>
        <v/>
      </c>
      <c r="AQ40">
        <f>IF(AND($A40&lt;&gt;"",AQ$3&gt;=$J40,AQ$3&lt;=$M40),1,"")</f>
        <v/>
      </c>
      <c r="AR40">
        <f>IF(AND($A40&lt;&gt;"",AR$3&gt;=$J40,AR$3&lt;=$M40),1,"")</f>
        <v/>
      </c>
      <c r="AS40">
        <f>IF(AND($A40&lt;&gt;"",AS$3&gt;=$J40,AS$3&lt;=$M40),1,"")</f>
        <v/>
      </c>
      <c r="AT40">
        <f>IF(AND($A40&lt;&gt;"",AT$3&gt;=$J40,AT$3&lt;=$M40),1,"")</f>
        <v/>
      </c>
      <c r="AU40">
        <f>IF(AND($A40&lt;&gt;"",AU$3&gt;=$J40,AU$3&lt;=$M40),1,"")</f>
        <v/>
      </c>
      <c r="AV40">
        <f>IF(AND($A40&lt;&gt;"",AV$3&gt;=$J40,AV$3&lt;=$M40),1,"")</f>
        <v/>
      </c>
      <c r="AW40">
        <f>IF(AND($A40&lt;&gt;"",AW$3&gt;=$J40,AW$3&lt;=$M40),1,"")</f>
        <v/>
      </c>
      <c r="AX40">
        <f>IF(AND($A40&lt;&gt;"",AX$3&gt;=$J40,AX$3&lt;=$M40),1,"")</f>
        <v/>
      </c>
      <c r="AY40">
        <f>IF(AND($A40&lt;&gt;"",AY$3&gt;=$J40,AY$3&lt;=$M40),1,"")</f>
        <v/>
      </c>
      <c r="AZ40">
        <f>IF(AND($A40&lt;&gt;"",AZ$3&gt;=$J40,AZ$3&lt;=$M40),1,"")</f>
        <v/>
      </c>
      <c r="BA40">
        <f>IF(AND($A40&lt;&gt;"",BA$3&gt;=$J40,BA$3&lt;=$M40),1,"")</f>
        <v/>
      </c>
      <c r="BB40">
        <f>IF(AND($A40&lt;&gt;"",BB$3&gt;=$J40,BB$3&lt;=$M40),1,"")</f>
        <v/>
      </c>
      <c r="BC40">
        <f>IF(AND($A40&lt;&gt;"",BC$3&gt;=$J40,BC$3&lt;=$M40),1,"")</f>
        <v/>
      </c>
      <c r="BD40">
        <f>IF(AND($A40&lt;&gt;"",BD$3&gt;=$J40,BD$3&lt;=$M40),1,"")</f>
        <v/>
      </c>
      <c r="BE40">
        <f>IF(AND($A40&lt;&gt;"",BE$3&gt;=$J40,BE$3&lt;=$M40),1,"")</f>
        <v/>
      </c>
      <c r="BF40">
        <f>IF(AND($A40&lt;&gt;"",BF$3&gt;=$J40,BF$3&lt;=$M40),1,"")</f>
        <v/>
      </c>
      <c r="BG40">
        <f>IF(AND($A40&lt;&gt;"",BG$3&gt;=$J40,BG$3&lt;=$M40),1,"")</f>
        <v/>
      </c>
      <c r="BH40">
        <f>IF(AND($A40&lt;&gt;"",BH$3&gt;=$J40,BH$3&lt;=$M40),1,"")</f>
        <v/>
      </c>
      <c r="BI40">
        <f>IF(AND($A40&lt;&gt;"",BI$3&gt;=$J40,BI$3&lt;=$M40),1,"")</f>
        <v/>
      </c>
      <c r="BJ40">
        <f>IF(AND($A40&lt;&gt;"",BJ$3&gt;=$J40,BJ$3&lt;=$M40),1,"")</f>
        <v/>
      </c>
      <c r="BK40">
        <f>IF(AND($A40&lt;&gt;"",BK$3&gt;=$J40,BK$3&lt;=$M40),1,"")</f>
        <v/>
      </c>
      <c r="BL40">
        <f>IF(AND($A40&lt;&gt;"",BL$3&gt;=$J40,BL$3&lt;=$M40),1,"")</f>
        <v/>
      </c>
      <c r="BM40">
        <f>IF(AND($A40&lt;&gt;"",BM$3&gt;=$J40,BM$3&lt;=$M40),1,"")</f>
        <v/>
      </c>
      <c r="BN40">
        <f>IF(AND($A40&lt;&gt;"",BN$3&gt;=$J40,BN$3&lt;=$M40),1,"")</f>
        <v/>
      </c>
      <c r="BO40">
        <f>IF(AND($A40&lt;&gt;"",BO$3&gt;=$J40,BO$3&lt;=$M40),1,"")</f>
        <v/>
      </c>
      <c r="BP40">
        <f>IF(AND($A40&lt;&gt;"",BP$3&gt;=$J40,BP$3&lt;=$M40),1,"")</f>
        <v/>
      </c>
      <c r="BQ40">
        <f>IF(AND($A40&lt;&gt;"",BQ$3&gt;=$J40,BQ$3&lt;=$M40),1,"")</f>
        <v/>
      </c>
      <c r="BR40">
        <f>IF(AND($A40&lt;&gt;"",BR$3&gt;=$J40,BR$3&lt;=$M40),1,"")</f>
        <v/>
      </c>
      <c r="BS40">
        <f>IF(AND($A40&lt;&gt;"",BS$3&gt;=$J40,BS$3&lt;=$M40),1,"")</f>
        <v/>
      </c>
      <c r="BT40">
        <f>IF(AND($A40&lt;&gt;"",BT$3&gt;=$J40,BT$3&lt;=$M40),1,"")</f>
        <v/>
      </c>
      <c r="BU40">
        <f>IF(AND($A40&lt;&gt;"",BU$3&gt;=$J40,BU$3&lt;=$M40),1,"")</f>
        <v/>
      </c>
      <c r="BV40">
        <f>IF(AND($A40&lt;&gt;"",BV$3&gt;=$J40,BV$3&lt;=$M40),1,"")</f>
        <v/>
      </c>
    </row>
    <row r="41">
      <c r="A41">
        <f>IF(Job_Master_Ring!$A41="","",Job_Master_Ring!$A41)</f>
        <v/>
      </c>
      <c r="B41">
        <f>IF($A41="","",Job_Master_Ring!B41)</f>
        <v/>
      </c>
      <c r="C41">
        <f>IF($A41="","",Job_Master_Ring!C41)</f>
        <v/>
      </c>
      <c r="D41">
        <f>IF($A41="","",Job_Master_Ring!D41)</f>
        <v/>
      </c>
      <c r="E41">
        <f>IF($A41="","",IF($I41&lt;&gt;"",$I41,IFERROR(INDEX(Machine_List!$B$87:$B$94,MATCH(1,(Machine_List!$H$87:$H$94&lt;=IFERROR(VLOOKUP($B41,CHOOSE(MATCH($C41,Settings!$L$4:$L$10,0),OPR_BR1!$A$4:$K$18,OPR_BR2!$A$4:$K$18,OPR_CR2!$A$4:$K$18,OPR_CR3!$A$4:$K$18,OPR_CR4!$A$4:$K$18,OPR_RIM!$A$4:$K$18,OPR_BPR!$A$4:$K$18),10,0),0))*(Machine_List!$I$87:$I$94&gt;=IFERROR(VLOOKUP($B41,CHOOSE(MATCH($C41,Settings!$L$4:$L$10,0),OPR_BR1!$A$4:$K$18,OPR_BR2!$A$4:$K$18,OPR_CR2!$A$4:$K$18,OPR_CR3!$A$4:$K$18,OPR_CR4!$A$4:$K$18,OPR_RIM!$A$4:$K$18,OPR_BPR!$A$4:$K$18),11,0),9999)),0)),"NO COMPATIBLE MACHINE")))</f>
        <v/>
      </c>
      <c r="F41">
        <f>IF($E41="","",IFERROR(VLOOKUP($E41,Machine_List!$B:$G,6,0),""))</f>
        <v/>
      </c>
      <c r="G41" s="17">
        <f>IF($E41="","",IFERROR(VLOOKUP($E41,Machine_List!$B:$C,2,0),""))</f>
        <v/>
      </c>
      <c r="H41">
        <f>IF($E41="","",IFERROR(VLOOKUP($E41,Machine_List!$B:$D,3,0),""))</f>
        <v/>
      </c>
      <c r="J41" s="16">
        <f>IF($A41="","",IF($I41&lt;&gt;"",$I41,MAX(GlobalStartDate,IFERROR(LOOKUP(2,1/($E$3:INDIRECT("E"&amp;(ROW()-1))=$E41),$M$3:INDIRECT("M"&amp;(ROW()-1))),GlobalStartDate))))</f>
        <v/>
      </c>
      <c r="K41">
        <f>IF($A41="","",IFERROR(VLOOKUP(B41,CHOOSE(MATCH($C41,Settings!$L$4:$L$10,0),OPR_BR1!$A$4:$I$18,OPR_BR2!$A$4:$I$18,OPR_CR2!$A$4:$I$18,OPR_CR3!$A$4:$I$18,OPR_CR4!$A$4:$I$18,OPR_RIM!$A$4:$I$18,OPR_BPR!$A$4:$I$18),2,0),0))</f>
        <v/>
      </c>
      <c r="L41">
        <f>IF($A41="","",K41*D41)</f>
        <v/>
      </c>
      <c r="M41" s="16">
        <f>IF($A41="","",IF(AND(ISNUMBER(G41),G41&gt;=J41,G41&lt;=(J41+(L41/(IF(F41="Contract Workman",Settings!$K$5,Settings!$K$4))))),J41+(L41/(IF(F41="Contract Workman",Settings!$K$5,Settings!$K$4)))+(H41/(IF(F41="Contract Workman",Settings!$K$5,Settings!$K$4))),J41+(L41/(IF(F41="Contract Workman",Settings!$K$5,Settings!$K$4)))))</f>
        <v/>
      </c>
      <c r="N41">
        <f>IF($A41="","",IF(F41="Contract Workman",IF(AND(MOD(M41,1)&gt;=8/24,MOD(M41,1)&lt;20/24),"Shift S1","Shift S2"),IF(AND(MOD(M41,1)&gt;=7/24,MOD(M41,1)&lt;15/24),"Shift A",IF(AND(MOD(M41,1)&gt;=15/24,MOD(M41,1)&lt;23/24),"Shift B","Shift C"))))</f>
        <v/>
      </c>
      <c r="O41">
        <f>IF(B41="","",IF(IFERROR(ISNUMBER(SEARCH(TEXT(B41,"0"),VLOOKUP(E41,Machine_List!$B:$J,9,0))),FALSE),"✅ "&amp;E41,"❌ ?"))</f>
        <v/>
      </c>
      <c r="P41">
        <f>IF(AND($A41&lt;&gt;"",P$3&gt;=$J41,P$3&lt;=$M41),1,"")</f>
        <v/>
      </c>
      <c r="Q41">
        <f>IF(AND($A41&lt;&gt;"",Q$3&gt;=$J41,Q$3&lt;=$M41),1,"")</f>
        <v/>
      </c>
      <c r="R41">
        <f>IF(AND($A41&lt;&gt;"",R$3&gt;=$J41,R$3&lt;=$M41),1,"")</f>
        <v/>
      </c>
      <c r="S41">
        <f>IF(AND($A41&lt;&gt;"",S$3&gt;=$J41,S$3&lt;=$M41),1,"")</f>
        <v/>
      </c>
      <c r="T41">
        <f>IF(AND($A41&lt;&gt;"",T$3&gt;=$J41,T$3&lt;=$M41),1,"")</f>
        <v/>
      </c>
      <c r="U41">
        <f>IF(AND($A41&lt;&gt;"",U$3&gt;=$J41,U$3&lt;=$M41),1,"")</f>
        <v/>
      </c>
      <c r="V41">
        <f>IF(AND($A41&lt;&gt;"",V$3&gt;=$J41,V$3&lt;=$M41),1,"")</f>
        <v/>
      </c>
      <c r="W41">
        <f>IF(AND($A41&lt;&gt;"",W$3&gt;=$J41,W$3&lt;=$M41),1,"")</f>
        <v/>
      </c>
      <c r="X41">
        <f>IF(AND($A41&lt;&gt;"",X$3&gt;=$J41,X$3&lt;=$M41),1,"")</f>
        <v/>
      </c>
      <c r="Y41">
        <f>IF(AND($A41&lt;&gt;"",Y$3&gt;=$J41,Y$3&lt;=$M41),1,"")</f>
        <v/>
      </c>
      <c r="Z41">
        <f>IF(AND($A41&lt;&gt;"",Z$3&gt;=$J41,Z$3&lt;=$M41),1,"")</f>
        <v/>
      </c>
      <c r="AA41">
        <f>IF(AND($A41&lt;&gt;"",AA$3&gt;=$J41,AA$3&lt;=$M41),1,"")</f>
        <v/>
      </c>
      <c r="AB41">
        <f>IF(AND($A41&lt;&gt;"",AB$3&gt;=$J41,AB$3&lt;=$M41),1,"")</f>
        <v/>
      </c>
      <c r="AC41">
        <f>IF(AND($A41&lt;&gt;"",AC$3&gt;=$J41,AC$3&lt;=$M41),1,"")</f>
        <v/>
      </c>
      <c r="AD41">
        <f>IF(AND($A41&lt;&gt;"",AD$3&gt;=$J41,AD$3&lt;=$M41),1,"")</f>
        <v/>
      </c>
      <c r="AE41">
        <f>IF(AND($A41&lt;&gt;"",AE$3&gt;=$J41,AE$3&lt;=$M41),1,"")</f>
        <v/>
      </c>
      <c r="AF41">
        <f>IF(AND($A41&lt;&gt;"",AF$3&gt;=$J41,AF$3&lt;=$M41),1,"")</f>
        <v/>
      </c>
      <c r="AG41">
        <f>IF(AND($A41&lt;&gt;"",AG$3&gt;=$J41,AG$3&lt;=$M41),1,"")</f>
        <v/>
      </c>
      <c r="AH41">
        <f>IF(AND($A41&lt;&gt;"",AH$3&gt;=$J41,AH$3&lt;=$M41),1,"")</f>
        <v/>
      </c>
      <c r="AI41">
        <f>IF(AND($A41&lt;&gt;"",AI$3&gt;=$J41,AI$3&lt;=$M41),1,"")</f>
        <v/>
      </c>
      <c r="AJ41">
        <f>IF(AND($A41&lt;&gt;"",AJ$3&gt;=$J41,AJ$3&lt;=$M41),1,"")</f>
        <v/>
      </c>
      <c r="AK41">
        <f>IF(AND($A41&lt;&gt;"",AK$3&gt;=$J41,AK$3&lt;=$M41),1,"")</f>
        <v/>
      </c>
      <c r="AL41">
        <f>IF(AND($A41&lt;&gt;"",AL$3&gt;=$J41,AL$3&lt;=$M41),1,"")</f>
        <v/>
      </c>
      <c r="AM41">
        <f>IF(AND($A41&lt;&gt;"",AM$3&gt;=$J41,AM$3&lt;=$M41),1,"")</f>
        <v/>
      </c>
      <c r="AN41">
        <f>IF(AND($A41&lt;&gt;"",AN$3&gt;=$J41,AN$3&lt;=$M41),1,"")</f>
        <v/>
      </c>
      <c r="AO41">
        <f>IF(AND($A41&lt;&gt;"",AO$3&gt;=$J41,AO$3&lt;=$M41),1,"")</f>
        <v/>
      </c>
      <c r="AP41">
        <f>IF(AND($A41&lt;&gt;"",AP$3&gt;=$J41,AP$3&lt;=$M41),1,"")</f>
        <v/>
      </c>
      <c r="AQ41">
        <f>IF(AND($A41&lt;&gt;"",AQ$3&gt;=$J41,AQ$3&lt;=$M41),1,"")</f>
        <v/>
      </c>
      <c r="AR41">
        <f>IF(AND($A41&lt;&gt;"",AR$3&gt;=$J41,AR$3&lt;=$M41),1,"")</f>
        <v/>
      </c>
      <c r="AS41">
        <f>IF(AND($A41&lt;&gt;"",AS$3&gt;=$J41,AS$3&lt;=$M41),1,"")</f>
        <v/>
      </c>
      <c r="AT41">
        <f>IF(AND($A41&lt;&gt;"",AT$3&gt;=$J41,AT$3&lt;=$M41),1,"")</f>
        <v/>
      </c>
      <c r="AU41">
        <f>IF(AND($A41&lt;&gt;"",AU$3&gt;=$J41,AU$3&lt;=$M41),1,"")</f>
        <v/>
      </c>
      <c r="AV41">
        <f>IF(AND($A41&lt;&gt;"",AV$3&gt;=$J41,AV$3&lt;=$M41),1,"")</f>
        <v/>
      </c>
      <c r="AW41">
        <f>IF(AND($A41&lt;&gt;"",AW$3&gt;=$J41,AW$3&lt;=$M41),1,"")</f>
        <v/>
      </c>
      <c r="AX41">
        <f>IF(AND($A41&lt;&gt;"",AX$3&gt;=$J41,AX$3&lt;=$M41),1,"")</f>
        <v/>
      </c>
      <c r="AY41">
        <f>IF(AND($A41&lt;&gt;"",AY$3&gt;=$J41,AY$3&lt;=$M41),1,"")</f>
        <v/>
      </c>
      <c r="AZ41">
        <f>IF(AND($A41&lt;&gt;"",AZ$3&gt;=$J41,AZ$3&lt;=$M41),1,"")</f>
        <v/>
      </c>
      <c r="BA41">
        <f>IF(AND($A41&lt;&gt;"",BA$3&gt;=$J41,BA$3&lt;=$M41),1,"")</f>
        <v/>
      </c>
      <c r="BB41">
        <f>IF(AND($A41&lt;&gt;"",BB$3&gt;=$J41,BB$3&lt;=$M41),1,"")</f>
        <v/>
      </c>
      <c r="BC41">
        <f>IF(AND($A41&lt;&gt;"",BC$3&gt;=$J41,BC$3&lt;=$M41),1,"")</f>
        <v/>
      </c>
      <c r="BD41">
        <f>IF(AND($A41&lt;&gt;"",BD$3&gt;=$J41,BD$3&lt;=$M41),1,"")</f>
        <v/>
      </c>
      <c r="BE41">
        <f>IF(AND($A41&lt;&gt;"",BE$3&gt;=$J41,BE$3&lt;=$M41),1,"")</f>
        <v/>
      </c>
      <c r="BF41">
        <f>IF(AND($A41&lt;&gt;"",BF$3&gt;=$J41,BF$3&lt;=$M41),1,"")</f>
        <v/>
      </c>
      <c r="BG41">
        <f>IF(AND($A41&lt;&gt;"",BG$3&gt;=$J41,BG$3&lt;=$M41),1,"")</f>
        <v/>
      </c>
      <c r="BH41">
        <f>IF(AND($A41&lt;&gt;"",BH$3&gt;=$J41,BH$3&lt;=$M41),1,"")</f>
        <v/>
      </c>
      <c r="BI41">
        <f>IF(AND($A41&lt;&gt;"",BI$3&gt;=$J41,BI$3&lt;=$M41),1,"")</f>
        <v/>
      </c>
      <c r="BJ41">
        <f>IF(AND($A41&lt;&gt;"",BJ$3&gt;=$J41,BJ$3&lt;=$M41),1,"")</f>
        <v/>
      </c>
      <c r="BK41">
        <f>IF(AND($A41&lt;&gt;"",BK$3&gt;=$J41,BK$3&lt;=$M41),1,"")</f>
        <v/>
      </c>
      <c r="BL41">
        <f>IF(AND($A41&lt;&gt;"",BL$3&gt;=$J41,BL$3&lt;=$M41),1,"")</f>
        <v/>
      </c>
      <c r="BM41">
        <f>IF(AND($A41&lt;&gt;"",BM$3&gt;=$J41,BM$3&lt;=$M41),1,"")</f>
        <v/>
      </c>
      <c r="BN41">
        <f>IF(AND($A41&lt;&gt;"",BN$3&gt;=$J41,BN$3&lt;=$M41),1,"")</f>
        <v/>
      </c>
      <c r="BO41">
        <f>IF(AND($A41&lt;&gt;"",BO$3&gt;=$J41,BO$3&lt;=$M41),1,"")</f>
        <v/>
      </c>
      <c r="BP41">
        <f>IF(AND($A41&lt;&gt;"",BP$3&gt;=$J41,BP$3&lt;=$M41),1,"")</f>
        <v/>
      </c>
      <c r="BQ41">
        <f>IF(AND($A41&lt;&gt;"",BQ$3&gt;=$J41,BQ$3&lt;=$M41),1,"")</f>
        <v/>
      </c>
      <c r="BR41">
        <f>IF(AND($A41&lt;&gt;"",BR$3&gt;=$J41,BR$3&lt;=$M41),1,"")</f>
        <v/>
      </c>
      <c r="BS41">
        <f>IF(AND($A41&lt;&gt;"",BS$3&gt;=$J41,BS$3&lt;=$M41),1,"")</f>
        <v/>
      </c>
      <c r="BT41">
        <f>IF(AND($A41&lt;&gt;"",BT$3&gt;=$J41,BT$3&lt;=$M41),1,"")</f>
        <v/>
      </c>
      <c r="BU41">
        <f>IF(AND($A41&lt;&gt;"",BU$3&gt;=$J41,BU$3&lt;=$M41),1,"")</f>
        <v/>
      </c>
      <c r="BV41">
        <f>IF(AND($A41&lt;&gt;"",BV$3&gt;=$J41,BV$3&lt;=$M41),1,"")</f>
        <v/>
      </c>
    </row>
    <row r="42">
      <c r="A42">
        <f>IF(Job_Master_Ring!$A42="","",Job_Master_Ring!$A42)</f>
        <v/>
      </c>
      <c r="B42">
        <f>IF($A42="","",Job_Master_Ring!B42)</f>
        <v/>
      </c>
      <c r="C42">
        <f>IF($A42="","",Job_Master_Ring!C42)</f>
        <v/>
      </c>
      <c r="D42">
        <f>IF($A42="","",Job_Master_Ring!D42)</f>
        <v/>
      </c>
      <c r="E42">
        <f>IF($A42="","",IF($I42&lt;&gt;"",$I42,IFERROR(INDEX(Machine_List!$B$87:$B$94,MATCH(1,(Machine_List!$H$87:$H$94&lt;=IFERROR(VLOOKUP($B42,CHOOSE(MATCH($C42,Settings!$L$4:$L$10,0),OPR_BR1!$A$4:$K$18,OPR_BR2!$A$4:$K$18,OPR_CR2!$A$4:$K$18,OPR_CR3!$A$4:$K$18,OPR_CR4!$A$4:$K$18,OPR_RIM!$A$4:$K$18,OPR_BPR!$A$4:$K$18),10,0),0))*(Machine_List!$I$87:$I$94&gt;=IFERROR(VLOOKUP($B42,CHOOSE(MATCH($C42,Settings!$L$4:$L$10,0),OPR_BR1!$A$4:$K$18,OPR_BR2!$A$4:$K$18,OPR_CR2!$A$4:$K$18,OPR_CR3!$A$4:$K$18,OPR_CR4!$A$4:$K$18,OPR_RIM!$A$4:$K$18,OPR_BPR!$A$4:$K$18),11,0),9999)),0)),"NO COMPATIBLE MACHINE")))</f>
        <v/>
      </c>
      <c r="F42">
        <f>IF($E42="","",IFERROR(VLOOKUP($E42,Machine_List!$B:$G,6,0),""))</f>
        <v/>
      </c>
      <c r="G42" s="17">
        <f>IF($E42="","",IFERROR(VLOOKUP($E42,Machine_List!$B:$C,2,0),""))</f>
        <v/>
      </c>
      <c r="H42">
        <f>IF($E42="","",IFERROR(VLOOKUP($E42,Machine_List!$B:$D,3,0),""))</f>
        <v/>
      </c>
      <c r="J42" s="16">
        <f>IF($A42="","",IF($I42&lt;&gt;"",$I42,MAX(GlobalStartDate,IFERROR(LOOKUP(2,1/($E$3:INDIRECT("E"&amp;(ROW()-1))=$E42),$M$3:INDIRECT("M"&amp;(ROW()-1))),GlobalStartDate))))</f>
        <v/>
      </c>
      <c r="K42">
        <f>IF($A42="","",IFERROR(VLOOKUP(B42,CHOOSE(MATCH($C42,Settings!$L$4:$L$10,0),OPR_BR1!$A$4:$I$18,OPR_BR2!$A$4:$I$18,OPR_CR2!$A$4:$I$18,OPR_CR3!$A$4:$I$18,OPR_CR4!$A$4:$I$18,OPR_RIM!$A$4:$I$18,OPR_BPR!$A$4:$I$18),2,0),0))</f>
        <v/>
      </c>
      <c r="L42">
        <f>IF($A42="","",K42*D42)</f>
        <v/>
      </c>
      <c r="M42" s="16">
        <f>IF($A42="","",IF(AND(ISNUMBER(G42),G42&gt;=J42,G42&lt;=(J42+(L42/(IF(F42="Contract Workman",Settings!$K$5,Settings!$K$4))))),J42+(L42/(IF(F42="Contract Workman",Settings!$K$5,Settings!$K$4)))+(H42/(IF(F42="Contract Workman",Settings!$K$5,Settings!$K$4))),J42+(L42/(IF(F42="Contract Workman",Settings!$K$5,Settings!$K$4)))))</f>
        <v/>
      </c>
      <c r="N42">
        <f>IF($A42="","",IF(F42="Contract Workman",IF(AND(MOD(M42,1)&gt;=8/24,MOD(M42,1)&lt;20/24),"Shift S1","Shift S2"),IF(AND(MOD(M42,1)&gt;=7/24,MOD(M42,1)&lt;15/24),"Shift A",IF(AND(MOD(M42,1)&gt;=15/24,MOD(M42,1)&lt;23/24),"Shift B","Shift C"))))</f>
        <v/>
      </c>
      <c r="O42">
        <f>IF(B42="","",IF(IFERROR(ISNUMBER(SEARCH(TEXT(B42,"0"),VLOOKUP(E42,Machine_List!$B:$J,9,0))),FALSE),"✅ "&amp;E42,"❌ ?"))</f>
        <v/>
      </c>
      <c r="P42">
        <f>IF(AND($A42&lt;&gt;"",P$3&gt;=$J42,P$3&lt;=$M42),1,"")</f>
        <v/>
      </c>
      <c r="Q42">
        <f>IF(AND($A42&lt;&gt;"",Q$3&gt;=$J42,Q$3&lt;=$M42),1,"")</f>
        <v/>
      </c>
      <c r="R42">
        <f>IF(AND($A42&lt;&gt;"",R$3&gt;=$J42,R$3&lt;=$M42),1,"")</f>
        <v/>
      </c>
      <c r="S42">
        <f>IF(AND($A42&lt;&gt;"",S$3&gt;=$J42,S$3&lt;=$M42),1,"")</f>
        <v/>
      </c>
      <c r="T42">
        <f>IF(AND($A42&lt;&gt;"",T$3&gt;=$J42,T$3&lt;=$M42),1,"")</f>
        <v/>
      </c>
      <c r="U42">
        <f>IF(AND($A42&lt;&gt;"",U$3&gt;=$J42,U$3&lt;=$M42),1,"")</f>
        <v/>
      </c>
      <c r="V42">
        <f>IF(AND($A42&lt;&gt;"",V$3&gt;=$J42,V$3&lt;=$M42),1,"")</f>
        <v/>
      </c>
      <c r="W42">
        <f>IF(AND($A42&lt;&gt;"",W$3&gt;=$J42,W$3&lt;=$M42),1,"")</f>
        <v/>
      </c>
      <c r="X42">
        <f>IF(AND($A42&lt;&gt;"",X$3&gt;=$J42,X$3&lt;=$M42),1,"")</f>
        <v/>
      </c>
      <c r="Y42">
        <f>IF(AND($A42&lt;&gt;"",Y$3&gt;=$J42,Y$3&lt;=$M42),1,"")</f>
        <v/>
      </c>
      <c r="Z42">
        <f>IF(AND($A42&lt;&gt;"",Z$3&gt;=$J42,Z$3&lt;=$M42),1,"")</f>
        <v/>
      </c>
      <c r="AA42">
        <f>IF(AND($A42&lt;&gt;"",AA$3&gt;=$J42,AA$3&lt;=$M42),1,"")</f>
        <v/>
      </c>
      <c r="AB42">
        <f>IF(AND($A42&lt;&gt;"",AB$3&gt;=$J42,AB$3&lt;=$M42),1,"")</f>
        <v/>
      </c>
      <c r="AC42">
        <f>IF(AND($A42&lt;&gt;"",AC$3&gt;=$J42,AC$3&lt;=$M42),1,"")</f>
        <v/>
      </c>
      <c r="AD42">
        <f>IF(AND($A42&lt;&gt;"",AD$3&gt;=$J42,AD$3&lt;=$M42),1,"")</f>
        <v/>
      </c>
      <c r="AE42">
        <f>IF(AND($A42&lt;&gt;"",AE$3&gt;=$J42,AE$3&lt;=$M42),1,"")</f>
        <v/>
      </c>
      <c r="AF42">
        <f>IF(AND($A42&lt;&gt;"",AF$3&gt;=$J42,AF$3&lt;=$M42),1,"")</f>
        <v/>
      </c>
      <c r="AG42">
        <f>IF(AND($A42&lt;&gt;"",AG$3&gt;=$J42,AG$3&lt;=$M42),1,"")</f>
        <v/>
      </c>
      <c r="AH42">
        <f>IF(AND($A42&lt;&gt;"",AH$3&gt;=$J42,AH$3&lt;=$M42),1,"")</f>
        <v/>
      </c>
      <c r="AI42">
        <f>IF(AND($A42&lt;&gt;"",AI$3&gt;=$J42,AI$3&lt;=$M42),1,"")</f>
        <v/>
      </c>
      <c r="AJ42">
        <f>IF(AND($A42&lt;&gt;"",AJ$3&gt;=$J42,AJ$3&lt;=$M42),1,"")</f>
        <v/>
      </c>
      <c r="AK42">
        <f>IF(AND($A42&lt;&gt;"",AK$3&gt;=$J42,AK$3&lt;=$M42),1,"")</f>
        <v/>
      </c>
      <c r="AL42">
        <f>IF(AND($A42&lt;&gt;"",AL$3&gt;=$J42,AL$3&lt;=$M42),1,"")</f>
        <v/>
      </c>
      <c r="AM42">
        <f>IF(AND($A42&lt;&gt;"",AM$3&gt;=$J42,AM$3&lt;=$M42),1,"")</f>
        <v/>
      </c>
      <c r="AN42">
        <f>IF(AND($A42&lt;&gt;"",AN$3&gt;=$J42,AN$3&lt;=$M42),1,"")</f>
        <v/>
      </c>
      <c r="AO42">
        <f>IF(AND($A42&lt;&gt;"",AO$3&gt;=$J42,AO$3&lt;=$M42),1,"")</f>
        <v/>
      </c>
      <c r="AP42">
        <f>IF(AND($A42&lt;&gt;"",AP$3&gt;=$J42,AP$3&lt;=$M42),1,"")</f>
        <v/>
      </c>
      <c r="AQ42">
        <f>IF(AND($A42&lt;&gt;"",AQ$3&gt;=$J42,AQ$3&lt;=$M42),1,"")</f>
        <v/>
      </c>
      <c r="AR42">
        <f>IF(AND($A42&lt;&gt;"",AR$3&gt;=$J42,AR$3&lt;=$M42),1,"")</f>
        <v/>
      </c>
      <c r="AS42">
        <f>IF(AND($A42&lt;&gt;"",AS$3&gt;=$J42,AS$3&lt;=$M42),1,"")</f>
        <v/>
      </c>
      <c r="AT42">
        <f>IF(AND($A42&lt;&gt;"",AT$3&gt;=$J42,AT$3&lt;=$M42),1,"")</f>
        <v/>
      </c>
      <c r="AU42">
        <f>IF(AND($A42&lt;&gt;"",AU$3&gt;=$J42,AU$3&lt;=$M42),1,"")</f>
        <v/>
      </c>
      <c r="AV42">
        <f>IF(AND($A42&lt;&gt;"",AV$3&gt;=$J42,AV$3&lt;=$M42),1,"")</f>
        <v/>
      </c>
      <c r="AW42">
        <f>IF(AND($A42&lt;&gt;"",AW$3&gt;=$J42,AW$3&lt;=$M42),1,"")</f>
        <v/>
      </c>
      <c r="AX42">
        <f>IF(AND($A42&lt;&gt;"",AX$3&gt;=$J42,AX$3&lt;=$M42),1,"")</f>
        <v/>
      </c>
      <c r="AY42">
        <f>IF(AND($A42&lt;&gt;"",AY$3&gt;=$J42,AY$3&lt;=$M42),1,"")</f>
        <v/>
      </c>
      <c r="AZ42">
        <f>IF(AND($A42&lt;&gt;"",AZ$3&gt;=$J42,AZ$3&lt;=$M42),1,"")</f>
        <v/>
      </c>
      <c r="BA42">
        <f>IF(AND($A42&lt;&gt;"",BA$3&gt;=$J42,BA$3&lt;=$M42),1,"")</f>
        <v/>
      </c>
      <c r="BB42">
        <f>IF(AND($A42&lt;&gt;"",BB$3&gt;=$J42,BB$3&lt;=$M42),1,"")</f>
        <v/>
      </c>
      <c r="BC42">
        <f>IF(AND($A42&lt;&gt;"",BC$3&gt;=$J42,BC$3&lt;=$M42),1,"")</f>
        <v/>
      </c>
      <c r="BD42">
        <f>IF(AND($A42&lt;&gt;"",BD$3&gt;=$J42,BD$3&lt;=$M42),1,"")</f>
        <v/>
      </c>
      <c r="BE42">
        <f>IF(AND($A42&lt;&gt;"",BE$3&gt;=$J42,BE$3&lt;=$M42),1,"")</f>
        <v/>
      </c>
      <c r="BF42">
        <f>IF(AND($A42&lt;&gt;"",BF$3&gt;=$J42,BF$3&lt;=$M42),1,"")</f>
        <v/>
      </c>
      <c r="BG42">
        <f>IF(AND($A42&lt;&gt;"",BG$3&gt;=$J42,BG$3&lt;=$M42),1,"")</f>
        <v/>
      </c>
      <c r="BH42">
        <f>IF(AND($A42&lt;&gt;"",BH$3&gt;=$J42,BH$3&lt;=$M42),1,"")</f>
        <v/>
      </c>
      <c r="BI42">
        <f>IF(AND($A42&lt;&gt;"",BI$3&gt;=$J42,BI$3&lt;=$M42),1,"")</f>
        <v/>
      </c>
      <c r="BJ42">
        <f>IF(AND($A42&lt;&gt;"",BJ$3&gt;=$J42,BJ$3&lt;=$M42),1,"")</f>
        <v/>
      </c>
      <c r="BK42">
        <f>IF(AND($A42&lt;&gt;"",BK$3&gt;=$J42,BK$3&lt;=$M42),1,"")</f>
        <v/>
      </c>
      <c r="BL42">
        <f>IF(AND($A42&lt;&gt;"",BL$3&gt;=$J42,BL$3&lt;=$M42),1,"")</f>
        <v/>
      </c>
      <c r="BM42">
        <f>IF(AND($A42&lt;&gt;"",BM$3&gt;=$J42,BM$3&lt;=$M42),1,"")</f>
        <v/>
      </c>
      <c r="BN42">
        <f>IF(AND($A42&lt;&gt;"",BN$3&gt;=$J42,BN$3&lt;=$M42),1,"")</f>
        <v/>
      </c>
      <c r="BO42">
        <f>IF(AND($A42&lt;&gt;"",BO$3&gt;=$J42,BO$3&lt;=$M42),1,"")</f>
        <v/>
      </c>
      <c r="BP42">
        <f>IF(AND($A42&lt;&gt;"",BP$3&gt;=$J42,BP$3&lt;=$M42),1,"")</f>
        <v/>
      </c>
      <c r="BQ42">
        <f>IF(AND($A42&lt;&gt;"",BQ$3&gt;=$J42,BQ$3&lt;=$M42),1,"")</f>
        <v/>
      </c>
      <c r="BR42">
        <f>IF(AND($A42&lt;&gt;"",BR$3&gt;=$J42,BR$3&lt;=$M42),1,"")</f>
        <v/>
      </c>
      <c r="BS42">
        <f>IF(AND($A42&lt;&gt;"",BS$3&gt;=$J42,BS$3&lt;=$M42),1,"")</f>
        <v/>
      </c>
      <c r="BT42">
        <f>IF(AND($A42&lt;&gt;"",BT$3&gt;=$J42,BT$3&lt;=$M42),1,"")</f>
        <v/>
      </c>
      <c r="BU42">
        <f>IF(AND($A42&lt;&gt;"",BU$3&gt;=$J42,BU$3&lt;=$M42),1,"")</f>
        <v/>
      </c>
      <c r="BV42">
        <f>IF(AND($A42&lt;&gt;"",BV$3&gt;=$J42,BV$3&lt;=$M42),1,"")</f>
        <v/>
      </c>
    </row>
    <row r="43">
      <c r="A43">
        <f>IF(Job_Master_Ring!$A43="","",Job_Master_Ring!$A43)</f>
        <v/>
      </c>
      <c r="B43">
        <f>IF($A43="","",Job_Master_Ring!B43)</f>
        <v/>
      </c>
      <c r="C43">
        <f>IF($A43="","",Job_Master_Ring!C43)</f>
        <v/>
      </c>
      <c r="D43">
        <f>IF($A43="","",Job_Master_Ring!D43)</f>
        <v/>
      </c>
      <c r="E43">
        <f>IF($A43="","",IF($I43&lt;&gt;"",$I43,IFERROR(INDEX(Machine_List!$B$87:$B$94,MATCH(1,(Machine_List!$H$87:$H$94&lt;=IFERROR(VLOOKUP($B43,CHOOSE(MATCH($C43,Settings!$L$4:$L$10,0),OPR_BR1!$A$4:$K$18,OPR_BR2!$A$4:$K$18,OPR_CR2!$A$4:$K$18,OPR_CR3!$A$4:$K$18,OPR_CR4!$A$4:$K$18,OPR_RIM!$A$4:$K$18,OPR_BPR!$A$4:$K$18),10,0),0))*(Machine_List!$I$87:$I$94&gt;=IFERROR(VLOOKUP($B43,CHOOSE(MATCH($C43,Settings!$L$4:$L$10,0),OPR_BR1!$A$4:$K$18,OPR_BR2!$A$4:$K$18,OPR_CR2!$A$4:$K$18,OPR_CR3!$A$4:$K$18,OPR_CR4!$A$4:$K$18,OPR_RIM!$A$4:$K$18,OPR_BPR!$A$4:$K$18),11,0),9999)),0)),"NO COMPATIBLE MACHINE")))</f>
        <v/>
      </c>
      <c r="F43">
        <f>IF($E43="","",IFERROR(VLOOKUP($E43,Machine_List!$B:$G,6,0),""))</f>
        <v/>
      </c>
      <c r="G43" s="17">
        <f>IF($E43="","",IFERROR(VLOOKUP($E43,Machine_List!$B:$C,2,0),""))</f>
        <v/>
      </c>
      <c r="H43">
        <f>IF($E43="","",IFERROR(VLOOKUP($E43,Machine_List!$B:$D,3,0),""))</f>
        <v/>
      </c>
      <c r="J43" s="16">
        <f>IF($A43="","",IF($I43&lt;&gt;"",$I43,MAX(GlobalStartDate,IFERROR(LOOKUP(2,1/($E$3:INDIRECT("E"&amp;(ROW()-1))=$E43),$M$3:INDIRECT("M"&amp;(ROW()-1))),GlobalStartDate))))</f>
        <v/>
      </c>
      <c r="K43">
        <f>IF($A43="","",IFERROR(VLOOKUP(B43,CHOOSE(MATCH($C43,Settings!$L$4:$L$10,0),OPR_BR1!$A$4:$I$18,OPR_BR2!$A$4:$I$18,OPR_CR2!$A$4:$I$18,OPR_CR3!$A$4:$I$18,OPR_CR4!$A$4:$I$18,OPR_RIM!$A$4:$I$18,OPR_BPR!$A$4:$I$18),2,0),0))</f>
        <v/>
      </c>
      <c r="L43">
        <f>IF($A43="","",K43*D43)</f>
        <v/>
      </c>
      <c r="M43" s="16">
        <f>IF($A43="","",IF(AND(ISNUMBER(G43),G43&gt;=J43,G43&lt;=(J43+(L43/(IF(F43="Contract Workman",Settings!$K$5,Settings!$K$4))))),J43+(L43/(IF(F43="Contract Workman",Settings!$K$5,Settings!$K$4)))+(H43/(IF(F43="Contract Workman",Settings!$K$5,Settings!$K$4))),J43+(L43/(IF(F43="Contract Workman",Settings!$K$5,Settings!$K$4)))))</f>
        <v/>
      </c>
      <c r="N43">
        <f>IF($A43="","",IF(F43="Contract Workman",IF(AND(MOD(M43,1)&gt;=8/24,MOD(M43,1)&lt;20/24),"Shift S1","Shift S2"),IF(AND(MOD(M43,1)&gt;=7/24,MOD(M43,1)&lt;15/24),"Shift A",IF(AND(MOD(M43,1)&gt;=15/24,MOD(M43,1)&lt;23/24),"Shift B","Shift C"))))</f>
        <v/>
      </c>
      <c r="O43">
        <f>IF(B43="","",IF(IFERROR(ISNUMBER(SEARCH(TEXT(B43,"0"),VLOOKUP(E43,Machine_List!$B:$J,9,0))),FALSE),"✅ "&amp;E43,"❌ ?"))</f>
        <v/>
      </c>
      <c r="P43">
        <f>IF(AND($A43&lt;&gt;"",P$3&gt;=$J43,P$3&lt;=$M43),1,"")</f>
        <v/>
      </c>
      <c r="Q43">
        <f>IF(AND($A43&lt;&gt;"",Q$3&gt;=$J43,Q$3&lt;=$M43),1,"")</f>
        <v/>
      </c>
      <c r="R43">
        <f>IF(AND($A43&lt;&gt;"",R$3&gt;=$J43,R$3&lt;=$M43),1,"")</f>
        <v/>
      </c>
      <c r="S43">
        <f>IF(AND($A43&lt;&gt;"",S$3&gt;=$J43,S$3&lt;=$M43),1,"")</f>
        <v/>
      </c>
      <c r="T43">
        <f>IF(AND($A43&lt;&gt;"",T$3&gt;=$J43,T$3&lt;=$M43),1,"")</f>
        <v/>
      </c>
      <c r="U43">
        <f>IF(AND($A43&lt;&gt;"",U$3&gt;=$J43,U$3&lt;=$M43),1,"")</f>
        <v/>
      </c>
      <c r="V43">
        <f>IF(AND($A43&lt;&gt;"",V$3&gt;=$J43,V$3&lt;=$M43),1,"")</f>
        <v/>
      </c>
      <c r="W43">
        <f>IF(AND($A43&lt;&gt;"",W$3&gt;=$J43,W$3&lt;=$M43),1,"")</f>
        <v/>
      </c>
      <c r="X43">
        <f>IF(AND($A43&lt;&gt;"",X$3&gt;=$J43,X$3&lt;=$M43),1,"")</f>
        <v/>
      </c>
      <c r="Y43">
        <f>IF(AND($A43&lt;&gt;"",Y$3&gt;=$J43,Y$3&lt;=$M43),1,"")</f>
        <v/>
      </c>
      <c r="Z43">
        <f>IF(AND($A43&lt;&gt;"",Z$3&gt;=$J43,Z$3&lt;=$M43),1,"")</f>
        <v/>
      </c>
      <c r="AA43">
        <f>IF(AND($A43&lt;&gt;"",AA$3&gt;=$J43,AA$3&lt;=$M43),1,"")</f>
        <v/>
      </c>
      <c r="AB43">
        <f>IF(AND($A43&lt;&gt;"",AB$3&gt;=$J43,AB$3&lt;=$M43),1,"")</f>
        <v/>
      </c>
      <c r="AC43">
        <f>IF(AND($A43&lt;&gt;"",AC$3&gt;=$J43,AC$3&lt;=$M43),1,"")</f>
        <v/>
      </c>
      <c r="AD43">
        <f>IF(AND($A43&lt;&gt;"",AD$3&gt;=$J43,AD$3&lt;=$M43),1,"")</f>
        <v/>
      </c>
      <c r="AE43">
        <f>IF(AND($A43&lt;&gt;"",AE$3&gt;=$J43,AE$3&lt;=$M43),1,"")</f>
        <v/>
      </c>
      <c r="AF43">
        <f>IF(AND($A43&lt;&gt;"",AF$3&gt;=$J43,AF$3&lt;=$M43),1,"")</f>
        <v/>
      </c>
      <c r="AG43">
        <f>IF(AND($A43&lt;&gt;"",AG$3&gt;=$J43,AG$3&lt;=$M43),1,"")</f>
        <v/>
      </c>
      <c r="AH43">
        <f>IF(AND($A43&lt;&gt;"",AH$3&gt;=$J43,AH$3&lt;=$M43),1,"")</f>
        <v/>
      </c>
      <c r="AI43">
        <f>IF(AND($A43&lt;&gt;"",AI$3&gt;=$J43,AI$3&lt;=$M43),1,"")</f>
        <v/>
      </c>
      <c r="AJ43">
        <f>IF(AND($A43&lt;&gt;"",AJ$3&gt;=$J43,AJ$3&lt;=$M43),1,"")</f>
        <v/>
      </c>
      <c r="AK43">
        <f>IF(AND($A43&lt;&gt;"",AK$3&gt;=$J43,AK$3&lt;=$M43),1,"")</f>
        <v/>
      </c>
      <c r="AL43">
        <f>IF(AND($A43&lt;&gt;"",AL$3&gt;=$J43,AL$3&lt;=$M43),1,"")</f>
        <v/>
      </c>
      <c r="AM43">
        <f>IF(AND($A43&lt;&gt;"",AM$3&gt;=$J43,AM$3&lt;=$M43),1,"")</f>
        <v/>
      </c>
      <c r="AN43">
        <f>IF(AND($A43&lt;&gt;"",AN$3&gt;=$J43,AN$3&lt;=$M43),1,"")</f>
        <v/>
      </c>
      <c r="AO43">
        <f>IF(AND($A43&lt;&gt;"",AO$3&gt;=$J43,AO$3&lt;=$M43),1,"")</f>
        <v/>
      </c>
      <c r="AP43">
        <f>IF(AND($A43&lt;&gt;"",AP$3&gt;=$J43,AP$3&lt;=$M43),1,"")</f>
        <v/>
      </c>
      <c r="AQ43">
        <f>IF(AND($A43&lt;&gt;"",AQ$3&gt;=$J43,AQ$3&lt;=$M43),1,"")</f>
        <v/>
      </c>
      <c r="AR43">
        <f>IF(AND($A43&lt;&gt;"",AR$3&gt;=$J43,AR$3&lt;=$M43),1,"")</f>
        <v/>
      </c>
      <c r="AS43">
        <f>IF(AND($A43&lt;&gt;"",AS$3&gt;=$J43,AS$3&lt;=$M43),1,"")</f>
        <v/>
      </c>
      <c r="AT43">
        <f>IF(AND($A43&lt;&gt;"",AT$3&gt;=$J43,AT$3&lt;=$M43),1,"")</f>
        <v/>
      </c>
      <c r="AU43">
        <f>IF(AND($A43&lt;&gt;"",AU$3&gt;=$J43,AU$3&lt;=$M43),1,"")</f>
        <v/>
      </c>
      <c r="AV43">
        <f>IF(AND($A43&lt;&gt;"",AV$3&gt;=$J43,AV$3&lt;=$M43),1,"")</f>
        <v/>
      </c>
      <c r="AW43">
        <f>IF(AND($A43&lt;&gt;"",AW$3&gt;=$J43,AW$3&lt;=$M43),1,"")</f>
        <v/>
      </c>
      <c r="AX43">
        <f>IF(AND($A43&lt;&gt;"",AX$3&gt;=$J43,AX$3&lt;=$M43),1,"")</f>
        <v/>
      </c>
      <c r="AY43">
        <f>IF(AND($A43&lt;&gt;"",AY$3&gt;=$J43,AY$3&lt;=$M43),1,"")</f>
        <v/>
      </c>
      <c r="AZ43">
        <f>IF(AND($A43&lt;&gt;"",AZ$3&gt;=$J43,AZ$3&lt;=$M43),1,"")</f>
        <v/>
      </c>
      <c r="BA43">
        <f>IF(AND($A43&lt;&gt;"",BA$3&gt;=$J43,BA$3&lt;=$M43),1,"")</f>
        <v/>
      </c>
      <c r="BB43">
        <f>IF(AND($A43&lt;&gt;"",BB$3&gt;=$J43,BB$3&lt;=$M43),1,"")</f>
        <v/>
      </c>
      <c r="BC43">
        <f>IF(AND($A43&lt;&gt;"",BC$3&gt;=$J43,BC$3&lt;=$M43),1,"")</f>
        <v/>
      </c>
      <c r="BD43">
        <f>IF(AND($A43&lt;&gt;"",BD$3&gt;=$J43,BD$3&lt;=$M43),1,"")</f>
        <v/>
      </c>
      <c r="BE43">
        <f>IF(AND($A43&lt;&gt;"",BE$3&gt;=$J43,BE$3&lt;=$M43),1,"")</f>
        <v/>
      </c>
      <c r="BF43">
        <f>IF(AND($A43&lt;&gt;"",BF$3&gt;=$J43,BF$3&lt;=$M43),1,"")</f>
        <v/>
      </c>
      <c r="BG43">
        <f>IF(AND($A43&lt;&gt;"",BG$3&gt;=$J43,BG$3&lt;=$M43),1,"")</f>
        <v/>
      </c>
      <c r="BH43">
        <f>IF(AND($A43&lt;&gt;"",BH$3&gt;=$J43,BH$3&lt;=$M43),1,"")</f>
        <v/>
      </c>
      <c r="BI43">
        <f>IF(AND($A43&lt;&gt;"",BI$3&gt;=$J43,BI$3&lt;=$M43),1,"")</f>
        <v/>
      </c>
      <c r="BJ43">
        <f>IF(AND($A43&lt;&gt;"",BJ$3&gt;=$J43,BJ$3&lt;=$M43),1,"")</f>
        <v/>
      </c>
      <c r="BK43">
        <f>IF(AND($A43&lt;&gt;"",BK$3&gt;=$J43,BK$3&lt;=$M43),1,"")</f>
        <v/>
      </c>
      <c r="BL43">
        <f>IF(AND($A43&lt;&gt;"",BL$3&gt;=$J43,BL$3&lt;=$M43),1,"")</f>
        <v/>
      </c>
      <c r="BM43">
        <f>IF(AND($A43&lt;&gt;"",BM$3&gt;=$J43,BM$3&lt;=$M43),1,"")</f>
        <v/>
      </c>
      <c r="BN43">
        <f>IF(AND($A43&lt;&gt;"",BN$3&gt;=$J43,BN$3&lt;=$M43),1,"")</f>
        <v/>
      </c>
      <c r="BO43">
        <f>IF(AND($A43&lt;&gt;"",BO$3&gt;=$J43,BO$3&lt;=$M43),1,"")</f>
        <v/>
      </c>
      <c r="BP43">
        <f>IF(AND($A43&lt;&gt;"",BP$3&gt;=$J43,BP$3&lt;=$M43),1,"")</f>
        <v/>
      </c>
      <c r="BQ43">
        <f>IF(AND($A43&lt;&gt;"",BQ$3&gt;=$J43,BQ$3&lt;=$M43),1,"")</f>
        <v/>
      </c>
      <c r="BR43">
        <f>IF(AND($A43&lt;&gt;"",BR$3&gt;=$J43,BR$3&lt;=$M43),1,"")</f>
        <v/>
      </c>
      <c r="BS43">
        <f>IF(AND($A43&lt;&gt;"",BS$3&gt;=$J43,BS$3&lt;=$M43),1,"")</f>
        <v/>
      </c>
      <c r="BT43">
        <f>IF(AND($A43&lt;&gt;"",BT$3&gt;=$J43,BT$3&lt;=$M43),1,"")</f>
        <v/>
      </c>
      <c r="BU43">
        <f>IF(AND($A43&lt;&gt;"",BU$3&gt;=$J43,BU$3&lt;=$M43),1,"")</f>
        <v/>
      </c>
      <c r="BV43">
        <f>IF(AND($A43&lt;&gt;"",BV$3&gt;=$J43,BV$3&lt;=$M43),1,"")</f>
        <v/>
      </c>
    </row>
    <row r="44">
      <c r="A44">
        <f>IF(Job_Master_Ring!$A44="","",Job_Master_Ring!$A44)</f>
        <v/>
      </c>
      <c r="B44">
        <f>IF($A44="","",Job_Master_Ring!B44)</f>
        <v/>
      </c>
      <c r="C44">
        <f>IF($A44="","",Job_Master_Ring!C44)</f>
        <v/>
      </c>
      <c r="D44">
        <f>IF($A44="","",Job_Master_Ring!D44)</f>
        <v/>
      </c>
      <c r="E44">
        <f>IF($A44="","",IF($I44&lt;&gt;"",$I44,IFERROR(INDEX(Machine_List!$B$87:$B$94,MATCH(1,(Machine_List!$H$87:$H$94&lt;=IFERROR(VLOOKUP($B44,CHOOSE(MATCH($C44,Settings!$L$4:$L$10,0),OPR_BR1!$A$4:$K$18,OPR_BR2!$A$4:$K$18,OPR_CR2!$A$4:$K$18,OPR_CR3!$A$4:$K$18,OPR_CR4!$A$4:$K$18,OPR_RIM!$A$4:$K$18,OPR_BPR!$A$4:$K$18),10,0),0))*(Machine_List!$I$87:$I$94&gt;=IFERROR(VLOOKUP($B44,CHOOSE(MATCH($C44,Settings!$L$4:$L$10,0),OPR_BR1!$A$4:$K$18,OPR_BR2!$A$4:$K$18,OPR_CR2!$A$4:$K$18,OPR_CR3!$A$4:$K$18,OPR_CR4!$A$4:$K$18,OPR_RIM!$A$4:$K$18,OPR_BPR!$A$4:$K$18),11,0),9999)),0)),"NO COMPATIBLE MACHINE")))</f>
        <v/>
      </c>
      <c r="F44">
        <f>IF($E44="","",IFERROR(VLOOKUP($E44,Machine_List!$B:$G,6,0),""))</f>
        <v/>
      </c>
      <c r="G44" s="17">
        <f>IF($E44="","",IFERROR(VLOOKUP($E44,Machine_List!$B:$C,2,0),""))</f>
        <v/>
      </c>
      <c r="H44">
        <f>IF($E44="","",IFERROR(VLOOKUP($E44,Machine_List!$B:$D,3,0),""))</f>
        <v/>
      </c>
      <c r="J44" s="16">
        <f>IF($A44="","",IF($I44&lt;&gt;"",$I44,MAX(GlobalStartDate,IFERROR(LOOKUP(2,1/($E$3:INDIRECT("E"&amp;(ROW()-1))=$E44),$M$3:INDIRECT("M"&amp;(ROW()-1))),GlobalStartDate))))</f>
        <v/>
      </c>
      <c r="K44">
        <f>IF($A44="","",IFERROR(VLOOKUP(B44,CHOOSE(MATCH($C44,Settings!$L$4:$L$10,0),OPR_BR1!$A$4:$I$18,OPR_BR2!$A$4:$I$18,OPR_CR2!$A$4:$I$18,OPR_CR3!$A$4:$I$18,OPR_CR4!$A$4:$I$18,OPR_RIM!$A$4:$I$18,OPR_BPR!$A$4:$I$18),2,0),0))</f>
        <v/>
      </c>
      <c r="L44">
        <f>IF($A44="","",K44*D44)</f>
        <v/>
      </c>
      <c r="M44" s="16">
        <f>IF($A44="","",IF(AND(ISNUMBER(G44),G44&gt;=J44,G44&lt;=(J44+(L44/(IF(F44="Contract Workman",Settings!$K$5,Settings!$K$4))))),J44+(L44/(IF(F44="Contract Workman",Settings!$K$5,Settings!$K$4)))+(H44/(IF(F44="Contract Workman",Settings!$K$5,Settings!$K$4))),J44+(L44/(IF(F44="Contract Workman",Settings!$K$5,Settings!$K$4)))))</f>
        <v/>
      </c>
      <c r="N44">
        <f>IF($A44="","",IF(F44="Contract Workman",IF(AND(MOD(M44,1)&gt;=8/24,MOD(M44,1)&lt;20/24),"Shift S1","Shift S2"),IF(AND(MOD(M44,1)&gt;=7/24,MOD(M44,1)&lt;15/24),"Shift A",IF(AND(MOD(M44,1)&gt;=15/24,MOD(M44,1)&lt;23/24),"Shift B","Shift C"))))</f>
        <v/>
      </c>
      <c r="O44">
        <f>IF(B44="","",IF(IFERROR(ISNUMBER(SEARCH(TEXT(B44,"0"),VLOOKUP(E44,Machine_List!$B:$J,9,0))),FALSE),"✅ "&amp;E44,"❌ ?"))</f>
        <v/>
      </c>
      <c r="P44">
        <f>IF(AND($A44&lt;&gt;"",P$3&gt;=$J44,P$3&lt;=$M44),1,"")</f>
        <v/>
      </c>
      <c r="Q44">
        <f>IF(AND($A44&lt;&gt;"",Q$3&gt;=$J44,Q$3&lt;=$M44),1,"")</f>
        <v/>
      </c>
      <c r="R44">
        <f>IF(AND($A44&lt;&gt;"",R$3&gt;=$J44,R$3&lt;=$M44),1,"")</f>
        <v/>
      </c>
      <c r="S44">
        <f>IF(AND($A44&lt;&gt;"",S$3&gt;=$J44,S$3&lt;=$M44),1,"")</f>
        <v/>
      </c>
      <c r="T44">
        <f>IF(AND($A44&lt;&gt;"",T$3&gt;=$J44,T$3&lt;=$M44),1,"")</f>
        <v/>
      </c>
      <c r="U44">
        <f>IF(AND($A44&lt;&gt;"",U$3&gt;=$J44,U$3&lt;=$M44),1,"")</f>
        <v/>
      </c>
      <c r="V44">
        <f>IF(AND($A44&lt;&gt;"",V$3&gt;=$J44,V$3&lt;=$M44),1,"")</f>
        <v/>
      </c>
      <c r="W44">
        <f>IF(AND($A44&lt;&gt;"",W$3&gt;=$J44,W$3&lt;=$M44),1,"")</f>
        <v/>
      </c>
      <c r="X44">
        <f>IF(AND($A44&lt;&gt;"",X$3&gt;=$J44,X$3&lt;=$M44),1,"")</f>
        <v/>
      </c>
      <c r="Y44">
        <f>IF(AND($A44&lt;&gt;"",Y$3&gt;=$J44,Y$3&lt;=$M44),1,"")</f>
        <v/>
      </c>
      <c r="Z44">
        <f>IF(AND($A44&lt;&gt;"",Z$3&gt;=$J44,Z$3&lt;=$M44),1,"")</f>
        <v/>
      </c>
      <c r="AA44">
        <f>IF(AND($A44&lt;&gt;"",AA$3&gt;=$J44,AA$3&lt;=$M44),1,"")</f>
        <v/>
      </c>
      <c r="AB44">
        <f>IF(AND($A44&lt;&gt;"",AB$3&gt;=$J44,AB$3&lt;=$M44),1,"")</f>
        <v/>
      </c>
      <c r="AC44">
        <f>IF(AND($A44&lt;&gt;"",AC$3&gt;=$J44,AC$3&lt;=$M44),1,"")</f>
        <v/>
      </c>
      <c r="AD44">
        <f>IF(AND($A44&lt;&gt;"",AD$3&gt;=$J44,AD$3&lt;=$M44),1,"")</f>
        <v/>
      </c>
      <c r="AE44">
        <f>IF(AND($A44&lt;&gt;"",AE$3&gt;=$J44,AE$3&lt;=$M44),1,"")</f>
        <v/>
      </c>
      <c r="AF44">
        <f>IF(AND($A44&lt;&gt;"",AF$3&gt;=$J44,AF$3&lt;=$M44),1,"")</f>
        <v/>
      </c>
      <c r="AG44">
        <f>IF(AND($A44&lt;&gt;"",AG$3&gt;=$J44,AG$3&lt;=$M44),1,"")</f>
        <v/>
      </c>
      <c r="AH44">
        <f>IF(AND($A44&lt;&gt;"",AH$3&gt;=$J44,AH$3&lt;=$M44),1,"")</f>
        <v/>
      </c>
      <c r="AI44">
        <f>IF(AND($A44&lt;&gt;"",AI$3&gt;=$J44,AI$3&lt;=$M44),1,"")</f>
        <v/>
      </c>
      <c r="AJ44">
        <f>IF(AND($A44&lt;&gt;"",AJ$3&gt;=$J44,AJ$3&lt;=$M44),1,"")</f>
        <v/>
      </c>
      <c r="AK44">
        <f>IF(AND($A44&lt;&gt;"",AK$3&gt;=$J44,AK$3&lt;=$M44),1,"")</f>
        <v/>
      </c>
      <c r="AL44">
        <f>IF(AND($A44&lt;&gt;"",AL$3&gt;=$J44,AL$3&lt;=$M44),1,"")</f>
        <v/>
      </c>
      <c r="AM44">
        <f>IF(AND($A44&lt;&gt;"",AM$3&gt;=$J44,AM$3&lt;=$M44),1,"")</f>
        <v/>
      </c>
      <c r="AN44">
        <f>IF(AND($A44&lt;&gt;"",AN$3&gt;=$J44,AN$3&lt;=$M44),1,"")</f>
        <v/>
      </c>
      <c r="AO44">
        <f>IF(AND($A44&lt;&gt;"",AO$3&gt;=$J44,AO$3&lt;=$M44),1,"")</f>
        <v/>
      </c>
      <c r="AP44">
        <f>IF(AND($A44&lt;&gt;"",AP$3&gt;=$J44,AP$3&lt;=$M44),1,"")</f>
        <v/>
      </c>
      <c r="AQ44">
        <f>IF(AND($A44&lt;&gt;"",AQ$3&gt;=$J44,AQ$3&lt;=$M44),1,"")</f>
        <v/>
      </c>
      <c r="AR44">
        <f>IF(AND($A44&lt;&gt;"",AR$3&gt;=$J44,AR$3&lt;=$M44),1,"")</f>
        <v/>
      </c>
      <c r="AS44">
        <f>IF(AND($A44&lt;&gt;"",AS$3&gt;=$J44,AS$3&lt;=$M44),1,"")</f>
        <v/>
      </c>
      <c r="AT44">
        <f>IF(AND($A44&lt;&gt;"",AT$3&gt;=$J44,AT$3&lt;=$M44),1,"")</f>
        <v/>
      </c>
      <c r="AU44">
        <f>IF(AND($A44&lt;&gt;"",AU$3&gt;=$J44,AU$3&lt;=$M44),1,"")</f>
        <v/>
      </c>
      <c r="AV44">
        <f>IF(AND($A44&lt;&gt;"",AV$3&gt;=$J44,AV$3&lt;=$M44),1,"")</f>
        <v/>
      </c>
      <c r="AW44">
        <f>IF(AND($A44&lt;&gt;"",AW$3&gt;=$J44,AW$3&lt;=$M44),1,"")</f>
        <v/>
      </c>
      <c r="AX44">
        <f>IF(AND($A44&lt;&gt;"",AX$3&gt;=$J44,AX$3&lt;=$M44),1,"")</f>
        <v/>
      </c>
      <c r="AY44">
        <f>IF(AND($A44&lt;&gt;"",AY$3&gt;=$J44,AY$3&lt;=$M44),1,"")</f>
        <v/>
      </c>
      <c r="AZ44">
        <f>IF(AND($A44&lt;&gt;"",AZ$3&gt;=$J44,AZ$3&lt;=$M44),1,"")</f>
        <v/>
      </c>
      <c r="BA44">
        <f>IF(AND($A44&lt;&gt;"",BA$3&gt;=$J44,BA$3&lt;=$M44),1,"")</f>
        <v/>
      </c>
      <c r="BB44">
        <f>IF(AND($A44&lt;&gt;"",BB$3&gt;=$J44,BB$3&lt;=$M44),1,"")</f>
        <v/>
      </c>
      <c r="BC44">
        <f>IF(AND($A44&lt;&gt;"",BC$3&gt;=$J44,BC$3&lt;=$M44),1,"")</f>
        <v/>
      </c>
      <c r="BD44">
        <f>IF(AND($A44&lt;&gt;"",BD$3&gt;=$J44,BD$3&lt;=$M44),1,"")</f>
        <v/>
      </c>
      <c r="BE44">
        <f>IF(AND($A44&lt;&gt;"",BE$3&gt;=$J44,BE$3&lt;=$M44),1,"")</f>
        <v/>
      </c>
      <c r="BF44">
        <f>IF(AND($A44&lt;&gt;"",BF$3&gt;=$J44,BF$3&lt;=$M44),1,"")</f>
        <v/>
      </c>
      <c r="BG44">
        <f>IF(AND($A44&lt;&gt;"",BG$3&gt;=$J44,BG$3&lt;=$M44),1,"")</f>
        <v/>
      </c>
      <c r="BH44">
        <f>IF(AND($A44&lt;&gt;"",BH$3&gt;=$J44,BH$3&lt;=$M44),1,"")</f>
        <v/>
      </c>
      <c r="BI44">
        <f>IF(AND($A44&lt;&gt;"",BI$3&gt;=$J44,BI$3&lt;=$M44),1,"")</f>
        <v/>
      </c>
      <c r="BJ44">
        <f>IF(AND($A44&lt;&gt;"",BJ$3&gt;=$J44,BJ$3&lt;=$M44),1,"")</f>
        <v/>
      </c>
      <c r="BK44">
        <f>IF(AND($A44&lt;&gt;"",BK$3&gt;=$J44,BK$3&lt;=$M44),1,"")</f>
        <v/>
      </c>
      <c r="BL44">
        <f>IF(AND($A44&lt;&gt;"",BL$3&gt;=$J44,BL$3&lt;=$M44),1,"")</f>
        <v/>
      </c>
      <c r="BM44">
        <f>IF(AND($A44&lt;&gt;"",BM$3&gt;=$J44,BM$3&lt;=$M44),1,"")</f>
        <v/>
      </c>
      <c r="BN44">
        <f>IF(AND($A44&lt;&gt;"",BN$3&gt;=$J44,BN$3&lt;=$M44),1,"")</f>
        <v/>
      </c>
      <c r="BO44">
        <f>IF(AND($A44&lt;&gt;"",BO$3&gt;=$J44,BO$3&lt;=$M44),1,"")</f>
        <v/>
      </c>
      <c r="BP44">
        <f>IF(AND($A44&lt;&gt;"",BP$3&gt;=$J44,BP$3&lt;=$M44),1,"")</f>
        <v/>
      </c>
      <c r="BQ44">
        <f>IF(AND($A44&lt;&gt;"",BQ$3&gt;=$J44,BQ$3&lt;=$M44),1,"")</f>
        <v/>
      </c>
      <c r="BR44">
        <f>IF(AND($A44&lt;&gt;"",BR$3&gt;=$J44,BR$3&lt;=$M44),1,"")</f>
        <v/>
      </c>
      <c r="BS44">
        <f>IF(AND($A44&lt;&gt;"",BS$3&gt;=$J44,BS$3&lt;=$M44),1,"")</f>
        <v/>
      </c>
      <c r="BT44">
        <f>IF(AND($A44&lt;&gt;"",BT$3&gt;=$J44,BT$3&lt;=$M44),1,"")</f>
        <v/>
      </c>
      <c r="BU44">
        <f>IF(AND($A44&lt;&gt;"",BU$3&gt;=$J44,BU$3&lt;=$M44),1,"")</f>
        <v/>
      </c>
      <c r="BV44">
        <f>IF(AND($A44&lt;&gt;"",BV$3&gt;=$J44,BV$3&lt;=$M44),1,"")</f>
        <v/>
      </c>
    </row>
    <row r="45">
      <c r="A45">
        <f>IF(Job_Master_Ring!$A45="","",Job_Master_Ring!$A45)</f>
        <v/>
      </c>
      <c r="B45">
        <f>IF($A45="","",Job_Master_Ring!B45)</f>
        <v/>
      </c>
      <c r="C45">
        <f>IF($A45="","",Job_Master_Ring!C45)</f>
        <v/>
      </c>
      <c r="D45">
        <f>IF($A45="","",Job_Master_Ring!D45)</f>
        <v/>
      </c>
      <c r="E45">
        <f>IF($A45="","",IF($I45&lt;&gt;"",$I45,IFERROR(INDEX(Machine_List!$B$87:$B$94,MATCH(1,(Machine_List!$H$87:$H$94&lt;=IFERROR(VLOOKUP($B45,CHOOSE(MATCH($C45,Settings!$L$4:$L$10,0),OPR_BR1!$A$4:$K$18,OPR_BR2!$A$4:$K$18,OPR_CR2!$A$4:$K$18,OPR_CR3!$A$4:$K$18,OPR_CR4!$A$4:$K$18,OPR_RIM!$A$4:$K$18,OPR_BPR!$A$4:$K$18),10,0),0))*(Machine_List!$I$87:$I$94&gt;=IFERROR(VLOOKUP($B45,CHOOSE(MATCH($C45,Settings!$L$4:$L$10,0),OPR_BR1!$A$4:$K$18,OPR_BR2!$A$4:$K$18,OPR_CR2!$A$4:$K$18,OPR_CR3!$A$4:$K$18,OPR_CR4!$A$4:$K$18,OPR_RIM!$A$4:$K$18,OPR_BPR!$A$4:$K$18),11,0),9999)),0)),"NO COMPATIBLE MACHINE")))</f>
        <v/>
      </c>
      <c r="F45">
        <f>IF($E45="","",IFERROR(VLOOKUP($E45,Machine_List!$B:$G,6,0),""))</f>
        <v/>
      </c>
      <c r="G45" s="17">
        <f>IF($E45="","",IFERROR(VLOOKUP($E45,Machine_List!$B:$C,2,0),""))</f>
        <v/>
      </c>
      <c r="H45">
        <f>IF($E45="","",IFERROR(VLOOKUP($E45,Machine_List!$B:$D,3,0),""))</f>
        <v/>
      </c>
      <c r="J45" s="16">
        <f>IF($A45="","",IF($I45&lt;&gt;"",$I45,MAX(GlobalStartDate,IFERROR(LOOKUP(2,1/($E$3:INDIRECT("E"&amp;(ROW()-1))=$E45),$M$3:INDIRECT("M"&amp;(ROW()-1))),GlobalStartDate))))</f>
        <v/>
      </c>
      <c r="K45">
        <f>IF($A45="","",IFERROR(VLOOKUP(B45,CHOOSE(MATCH($C45,Settings!$L$4:$L$10,0),OPR_BR1!$A$4:$I$18,OPR_BR2!$A$4:$I$18,OPR_CR2!$A$4:$I$18,OPR_CR3!$A$4:$I$18,OPR_CR4!$A$4:$I$18,OPR_RIM!$A$4:$I$18,OPR_BPR!$A$4:$I$18),2,0),0))</f>
        <v/>
      </c>
      <c r="L45">
        <f>IF($A45="","",K45*D45)</f>
        <v/>
      </c>
      <c r="M45" s="16">
        <f>IF($A45="","",IF(AND(ISNUMBER(G45),G45&gt;=J45,G45&lt;=(J45+(L45/(IF(F45="Contract Workman",Settings!$K$5,Settings!$K$4))))),J45+(L45/(IF(F45="Contract Workman",Settings!$K$5,Settings!$K$4)))+(H45/(IF(F45="Contract Workman",Settings!$K$5,Settings!$K$4))),J45+(L45/(IF(F45="Contract Workman",Settings!$K$5,Settings!$K$4)))))</f>
        <v/>
      </c>
      <c r="N45">
        <f>IF($A45="","",IF(F45="Contract Workman",IF(AND(MOD(M45,1)&gt;=8/24,MOD(M45,1)&lt;20/24),"Shift S1","Shift S2"),IF(AND(MOD(M45,1)&gt;=7/24,MOD(M45,1)&lt;15/24),"Shift A",IF(AND(MOD(M45,1)&gt;=15/24,MOD(M45,1)&lt;23/24),"Shift B","Shift C"))))</f>
        <v/>
      </c>
      <c r="O45">
        <f>IF(B45="","",IF(IFERROR(ISNUMBER(SEARCH(TEXT(B45,"0"),VLOOKUP(E45,Machine_List!$B:$J,9,0))),FALSE),"✅ "&amp;E45,"❌ ?"))</f>
        <v/>
      </c>
      <c r="P45">
        <f>IF(AND($A45&lt;&gt;"",P$3&gt;=$J45,P$3&lt;=$M45),1,"")</f>
        <v/>
      </c>
      <c r="Q45">
        <f>IF(AND($A45&lt;&gt;"",Q$3&gt;=$J45,Q$3&lt;=$M45),1,"")</f>
        <v/>
      </c>
      <c r="R45">
        <f>IF(AND($A45&lt;&gt;"",R$3&gt;=$J45,R$3&lt;=$M45),1,"")</f>
        <v/>
      </c>
      <c r="S45">
        <f>IF(AND($A45&lt;&gt;"",S$3&gt;=$J45,S$3&lt;=$M45),1,"")</f>
        <v/>
      </c>
      <c r="T45">
        <f>IF(AND($A45&lt;&gt;"",T$3&gt;=$J45,T$3&lt;=$M45),1,"")</f>
        <v/>
      </c>
      <c r="U45">
        <f>IF(AND($A45&lt;&gt;"",U$3&gt;=$J45,U$3&lt;=$M45),1,"")</f>
        <v/>
      </c>
      <c r="V45">
        <f>IF(AND($A45&lt;&gt;"",V$3&gt;=$J45,V$3&lt;=$M45),1,"")</f>
        <v/>
      </c>
      <c r="W45">
        <f>IF(AND($A45&lt;&gt;"",W$3&gt;=$J45,W$3&lt;=$M45),1,"")</f>
        <v/>
      </c>
      <c r="X45">
        <f>IF(AND($A45&lt;&gt;"",X$3&gt;=$J45,X$3&lt;=$M45),1,"")</f>
        <v/>
      </c>
      <c r="Y45">
        <f>IF(AND($A45&lt;&gt;"",Y$3&gt;=$J45,Y$3&lt;=$M45),1,"")</f>
        <v/>
      </c>
      <c r="Z45">
        <f>IF(AND($A45&lt;&gt;"",Z$3&gt;=$J45,Z$3&lt;=$M45),1,"")</f>
        <v/>
      </c>
      <c r="AA45">
        <f>IF(AND($A45&lt;&gt;"",AA$3&gt;=$J45,AA$3&lt;=$M45),1,"")</f>
        <v/>
      </c>
      <c r="AB45">
        <f>IF(AND($A45&lt;&gt;"",AB$3&gt;=$J45,AB$3&lt;=$M45),1,"")</f>
        <v/>
      </c>
      <c r="AC45">
        <f>IF(AND($A45&lt;&gt;"",AC$3&gt;=$J45,AC$3&lt;=$M45),1,"")</f>
        <v/>
      </c>
      <c r="AD45">
        <f>IF(AND($A45&lt;&gt;"",AD$3&gt;=$J45,AD$3&lt;=$M45),1,"")</f>
        <v/>
      </c>
      <c r="AE45">
        <f>IF(AND($A45&lt;&gt;"",AE$3&gt;=$J45,AE$3&lt;=$M45),1,"")</f>
        <v/>
      </c>
      <c r="AF45">
        <f>IF(AND($A45&lt;&gt;"",AF$3&gt;=$J45,AF$3&lt;=$M45),1,"")</f>
        <v/>
      </c>
      <c r="AG45">
        <f>IF(AND($A45&lt;&gt;"",AG$3&gt;=$J45,AG$3&lt;=$M45),1,"")</f>
        <v/>
      </c>
      <c r="AH45">
        <f>IF(AND($A45&lt;&gt;"",AH$3&gt;=$J45,AH$3&lt;=$M45),1,"")</f>
        <v/>
      </c>
      <c r="AI45">
        <f>IF(AND($A45&lt;&gt;"",AI$3&gt;=$J45,AI$3&lt;=$M45),1,"")</f>
        <v/>
      </c>
      <c r="AJ45">
        <f>IF(AND($A45&lt;&gt;"",AJ$3&gt;=$J45,AJ$3&lt;=$M45),1,"")</f>
        <v/>
      </c>
      <c r="AK45">
        <f>IF(AND($A45&lt;&gt;"",AK$3&gt;=$J45,AK$3&lt;=$M45),1,"")</f>
        <v/>
      </c>
      <c r="AL45">
        <f>IF(AND($A45&lt;&gt;"",AL$3&gt;=$J45,AL$3&lt;=$M45),1,"")</f>
        <v/>
      </c>
      <c r="AM45">
        <f>IF(AND($A45&lt;&gt;"",AM$3&gt;=$J45,AM$3&lt;=$M45),1,"")</f>
        <v/>
      </c>
      <c r="AN45">
        <f>IF(AND($A45&lt;&gt;"",AN$3&gt;=$J45,AN$3&lt;=$M45),1,"")</f>
        <v/>
      </c>
      <c r="AO45">
        <f>IF(AND($A45&lt;&gt;"",AO$3&gt;=$J45,AO$3&lt;=$M45),1,"")</f>
        <v/>
      </c>
      <c r="AP45">
        <f>IF(AND($A45&lt;&gt;"",AP$3&gt;=$J45,AP$3&lt;=$M45),1,"")</f>
        <v/>
      </c>
      <c r="AQ45">
        <f>IF(AND($A45&lt;&gt;"",AQ$3&gt;=$J45,AQ$3&lt;=$M45),1,"")</f>
        <v/>
      </c>
      <c r="AR45">
        <f>IF(AND($A45&lt;&gt;"",AR$3&gt;=$J45,AR$3&lt;=$M45),1,"")</f>
        <v/>
      </c>
      <c r="AS45">
        <f>IF(AND($A45&lt;&gt;"",AS$3&gt;=$J45,AS$3&lt;=$M45),1,"")</f>
        <v/>
      </c>
      <c r="AT45">
        <f>IF(AND($A45&lt;&gt;"",AT$3&gt;=$J45,AT$3&lt;=$M45),1,"")</f>
        <v/>
      </c>
      <c r="AU45">
        <f>IF(AND($A45&lt;&gt;"",AU$3&gt;=$J45,AU$3&lt;=$M45),1,"")</f>
        <v/>
      </c>
      <c r="AV45">
        <f>IF(AND($A45&lt;&gt;"",AV$3&gt;=$J45,AV$3&lt;=$M45),1,"")</f>
        <v/>
      </c>
      <c r="AW45">
        <f>IF(AND($A45&lt;&gt;"",AW$3&gt;=$J45,AW$3&lt;=$M45),1,"")</f>
        <v/>
      </c>
      <c r="AX45">
        <f>IF(AND($A45&lt;&gt;"",AX$3&gt;=$J45,AX$3&lt;=$M45),1,"")</f>
        <v/>
      </c>
      <c r="AY45">
        <f>IF(AND($A45&lt;&gt;"",AY$3&gt;=$J45,AY$3&lt;=$M45),1,"")</f>
        <v/>
      </c>
      <c r="AZ45">
        <f>IF(AND($A45&lt;&gt;"",AZ$3&gt;=$J45,AZ$3&lt;=$M45),1,"")</f>
        <v/>
      </c>
      <c r="BA45">
        <f>IF(AND($A45&lt;&gt;"",BA$3&gt;=$J45,BA$3&lt;=$M45),1,"")</f>
        <v/>
      </c>
      <c r="BB45">
        <f>IF(AND($A45&lt;&gt;"",BB$3&gt;=$J45,BB$3&lt;=$M45),1,"")</f>
        <v/>
      </c>
      <c r="BC45">
        <f>IF(AND($A45&lt;&gt;"",BC$3&gt;=$J45,BC$3&lt;=$M45),1,"")</f>
        <v/>
      </c>
      <c r="BD45">
        <f>IF(AND($A45&lt;&gt;"",BD$3&gt;=$J45,BD$3&lt;=$M45),1,"")</f>
        <v/>
      </c>
      <c r="BE45">
        <f>IF(AND($A45&lt;&gt;"",BE$3&gt;=$J45,BE$3&lt;=$M45),1,"")</f>
        <v/>
      </c>
      <c r="BF45">
        <f>IF(AND($A45&lt;&gt;"",BF$3&gt;=$J45,BF$3&lt;=$M45),1,"")</f>
        <v/>
      </c>
      <c r="BG45">
        <f>IF(AND($A45&lt;&gt;"",BG$3&gt;=$J45,BG$3&lt;=$M45),1,"")</f>
        <v/>
      </c>
      <c r="BH45">
        <f>IF(AND($A45&lt;&gt;"",BH$3&gt;=$J45,BH$3&lt;=$M45),1,"")</f>
        <v/>
      </c>
      <c r="BI45">
        <f>IF(AND($A45&lt;&gt;"",BI$3&gt;=$J45,BI$3&lt;=$M45),1,"")</f>
        <v/>
      </c>
      <c r="BJ45">
        <f>IF(AND($A45&lt;&gt;"",BJ$3&gt;=$J45,BJ$3&lt;=$M45),1,"")</f>
        <v/>
      </c>
      <c r="BK45">
        <f>IF(AND($A45&lt;&gt;"",BK$3&gt;=$J45,BK$3&lt;=$M45),1,"")</f>
        <v/>
      </c>
      <c r="BL45">
        <f>IF(AND($A45&lt;&gt;"",BL$3&gt;=$J45,BL$3&lt;=$M45),1,"")</f>
        <v/>
      </c>
      <c r="BM45">
        <f>IF(AND($A45&lt;&gt;"",BM$3&gt;=$J45,BM$3&lt;=$M45),1,"")</f>
        <v/>
      </c>
      <c r="BN45">
        <f>IF(AND($A45&lt;&gt;"",BN$3&gt;=$J45,BN$3&lt;=$M45),1,"")</f>
        <v/>
      </c>
      <c r="BO45">
        <f>IF(AND($A45&lt;&gt;"",BO$3&gt;=$J45,BO$3&lt;=$M45),1,"")</f>
        <v/>
      </c>
      <c r="BP45">
        <f>IF(AND($A45&lt;&gt;"",BP$3&gt;=$J45,BP$3&lt;=$M45),1,"")</f>
        <v/>
      </c>
      <c r="BQ45">
        <f>IF(AND($A45&lt;&gt;"",BQ$3&gt;=$J45,BQ$3&lt;=$M45),1,"")</f>
        <v/>
      </c>
      <c r="BR45">
        <f>IF(AND($A45&lt;&gt;"",BR$3&gt;=$J45,BR$3&lt;=$M45),1,"")</f>
        <v/>
      </c>
      <c r="BS45">
        <f>IF(AND($A45&lt;&gt;"",BS$3&gt;=$J45,BS$3&lt;=$M45),1,"")</f>
        <v/>
      </c>
      <c r="BT45">
        <f>IF(AND($A45&lt;&gt;"",BT$3&gt;=$J45,BT$3&lt;=$M45),1,"")</f>
        <v/>
      </c>
      <c r="BU45">
        <f>IF(AND($A45&lt;&gt;"",BU$3&gt;=$J45,BU$3&lt;=$M45),1,"")</f>
        <v/>
      </c>
      <c r="BV45">
        <f>IF(AND($A45&lt;&gt;"",BV$3&gt;=$J45,BV$3&lt;=$M45),1,"")</f>
        <v/>
      </c>
    </row>
    <row r="46">
      <c r="A46">
        <f>IF(Job_Master_Ring!$A46="","",Job_Master_Ring!$A46)</f>
        <v/>
      </c>
      <c r="B46">
        <f>IF($A46="","",Job_Master_Ring!B46)</f>
        <v/>
      </c>
      <c r="C46">
        <f>IF($A46="","",Job_Master_Ring!C46)</f>
        <v/>
      </c>
      <c r="D46">
        <f>IF($A46="","",Job_Master_Ring!D46)</f>
        <v/>
      </c>
      <c r="E46">
        <f>IF($A46="","",IF($I46&lt;&gt;"",$I46,IFERROR(INDEX(Machine_List!$B$87:$B$94,MATCH(1,(Machine_List!$H$87:$H$94&lt;=IFERROR(VLOOKUP($B46,CHOOSE(MATCH($C46,Settings!$L$4:$L$10,0),OPR_BR1!$A$4:$K$18,OPR_BR2!$A$4:$K$18,OPR_CR2!$A$4:$K$18,OPR_CR3!$A$4:$K$18,OPR_CR4!$A$4:$K$18,OPR_RIM!$A$4:$K$18,OPR_BPR!$A$4:$K$18),10,0),0))*(Machine_List!$I$87:$I$94&gt;=IFERROR(VLOOKUP($B46,CHOOSE(MATCH($C46,Settings!$L$4:$L$10,0),OPR_BR1!$A$4:$K$18,OPR_BR2!$A$4:$K$18,OPR_CR2!$A$4:$K$18,OPR_CR3!$A$4:$K$18,OPR_CR4!$A$4:$K$18,OPR_RIM!$A$4:$K$18,OPR_BPR!$A$4:$K$18),11,0),9999)),0)),"NO COMPATIBLE MACHINE")))</f>
        <v/>
      </c>
      <c r="F46">
        <f>IF($E46="","",IFERROR(VLOOKUP($E46,Machine_List!$B:$G,6,0),""))</f>
        <v/>
      </c>
      <c r="G46" s="17">
        <f>IF($E46="","",IFERROR(VLOOKUP($E46,Machine_List!$B:$C,2,0),""))</f>
        <v/>
      </c>
      <c r="H46">
        <f>IF($E46="","",IFERROR(VLOOKUP($E46,Machine_List!$B:$D,3,0),""))</f>
        <v/>
      </c>
      <c r="J46" s="16">
        <f>IF($A46="","",IF($I46&lt;&gt;"",$I46,MAX(GlobalStartDate,IFERROR(LOOKUP(2,1/($E$3:INDIRECT("E"&amp;(ROW()-1))=$E46),$M$3:INDIRECT("M"&amp;(ROW()-1))),GlobalStartDate))))</f>
        <v/>
      </c>
      <c r="K46">
        <f>IF($A46="","",IFERROR(VLOOKUP(B46,CHOOSE(MATCH($C46,Settings!$L$4:$L$10,0),OPR_BR1!$A$4:$I$18,OPR_BR2!$A$4:$I$18,OPR_CR2!$A$4:$I$18,OPR_CR3!$A$4:$I$18,OPR_CR4!$A$4:$I$18,OPR_RIM!$A$4:$I$18,OPR_BPR!$A$4:$I$18),2,0),0))</f>
        <v/>
      </c>
      <c r="L46">
        <f>IF($A46="","",K46*D46)</f>
        <v/>
      </c>
      <c r="M46" s="16">
        <f>IF($A46="","",IF(AND(ISNUMBER(G46),G46&gt;=J46,G46&lt;=(J46+(L46/(IF(F46="Contract Workman",Settings!$K$5,Settings!$K$4))))),J46+(L46/(IF(F46="Contract Workman",Settings!$K$5,Settings!$K$4)))+(H46/(IF(F46="Contract Workman",Settings!$K$5,Settings!$K$4))),J46+(L46/(IF(F46="Contract Workman",Settings!$K$5,Settings!$K$4)))))</f>
        <v/>
      </c>
      <c r="N46">
        <f>IF($A46="","",IF(F46="Contract Workman",IF(AND(MOD(M46,1)&gt;=8/24,MOD(M46,1)&lt;20/24),"Shift S1","Shift S2"),IF(AND(MOD(M46,1)&gt;=7/24,MOD(M46,1)&lt;15/24),"Shift A",IF(AND(MOD(M46,1)&gt;=15/24,MOD(M46,1)&lt;23/24),"Shift B","Shift C"))))</f>
        <v/>
      </c>
      <c r="O46">
        <f>IF(B46="","",IF(IFERROR(ISNUMBER(SEARCH(TEXT(B46,"0"),VLOOKUP(E46,Machine_List!$B:$J,9,0))),FALSE),"✅ "&amp;E46,"❌ ?"))</f>
        <v/>
      </c>
      <c r="P46">
        <f>IF(AND($A46&lt;&gt;"",P$3&gt;=$J46,P$3&lt;=$M46),1,"")</f>
        <v/>
      </c>
      <c r="Q46">
        <f>IF(AND($A46&lt;&gt;"",Q$3&gt;=$J46,Q$3&lt;=$M46),1,"")</f>
        <v/>
      </c>
      <c r="R46">
        <f>IF(AND($A46&lt;&gt;"",R$3&gt;=$J46,R$3&lt;=$M46),1,"")</f>
        <v/>
      </c>
      <c r="S46">
        <f>IF(AND($A46&lt;&gt;"",S$3&gt;=$J46,S$3&lt;=$M46),1,"")</f>
        <v/>
      </c>
      <c r="T46">
        <f>IF(AND($A46&lt;&gt;"",T$3&gt;=$J46,T$3&lt;=$M46),1,"")</f>
        <v/>
      </c>
      <c r="U46">
        <f>IF(AND($A46&lt;&gt;"",U$3&gt;=$J46,U$3&lt;=$M46),1,"")</f>
        <v/>
      </c>
      <c r="V46">
        <f>IF(AND($A46&lt;&gt;"",V$3&gt;=$J46,V$3&lt;=$M46),1,"")</f>
        <v/>
      </c>
      <c r="W46">
        <f>IF(AND($A46&lt;&gt;"",W$3&gt;=$J46,W$3&lt;=$M46),1,"")</f>
        <v/>
      </c>
      <c r="X46">
        <f>IF(AND($A46&lt;&gt;"",X$3&gt;=$J46,X$3&lt;=$M46),1,"")</f>
        <v/>
      </c>
      <c r="Y46">
        <f>IF(AND($A46&lt;&gt;"",Y$3&gt;=$J46,Y$3&lt;=$M46),1,"")</f>
        <v/>
      </c>
      <c r="Z46">
        <f>IF(AND($A46&lt;&gt;"",Z$3&gt;=$J46,Z$3&lt;=$M46),1,"")</f>
        <v/>
      </c>
      <c r="AA46">
        <f>IF(AND($A46&lt;&gt;"",AA$3&gt;=$J46,AA$3&lt;=$M46),1,"")</f>
        <v/>
      </c>
      <c r="AB46">
        <f>IF(AND($A46&lt;&gt;"",AB$3&gt;=$J46,AB$3&lt;=$M46),1,"")</f>
        <v/>
      </c>
      <c r="AC46">
        <f>IF(AND($A46&lt;&gt;"",AC$3&gt;=$J46,AC$3&lt;=$M46),1,"")</f>
        <v/>
      </c>
      <c r="AD46">
        <f>IF(AND($A46&lt;&gt;"",AD$3&gt;=$J46,AD$3&lt;=$M46),1,"")</f>
        <v/>
      </c>
      <c r="AE46">
        <f>IF(AND($A46&lt;&gt;"",AE$3&gt;=$J46,AE$3&lt;=$M46),1,"")</f>
        <v/>
      </c>
      <c r="AF46">
        <f>IF(AND($A46&lt;&gt;"",AF$3&gt;=$J46,AF$3&lt;=$M46),1,"")</f>
        <v/>
      </c>
      <c r="AG46">
        <f>IF(AND($A46&lt;&gt;"",AG$3&gt;=$J46,AG$3&lt;=$M46),1,"")</f>
        <v/>
      </c>
      <c r="AH46">
        <f>IF(AND($A46&lt;&gt;"",AH$3&gt;=$J46,AH$3&lt;=$M46),1,"")</f>
        <v/>
      </c>
      <c r="AI46">
        <f>IF(AND($A46&lt;&gt;"",AI$3&gt;=$J46,AI$3&lt;=$M46),1,"")</f>
        <v/>
      </c>
      <c r="AJ46">
        <f>IF(AND($A46&lt;&gt;"",AJ$3&gt;=$J46,AJ$3&lt;=$M46),1,"")</f>
        <v/>
      </c>
      <c r="AK46">
        <f>IF(AND($A46&lt;&gt;"",AK$3&gt;=$J46,AK$3&lt;=$M46),1,"")</f>
        <v/>
      </c>
      <c r="AL46">
        <f>IF(AND($A46&lt;&gt;"",AL$3&gt;=$J46,AL$3&lt;=$M46),1,"")</f>
        <v/>
      </c>
      <c r="AM46">
        <f>IF(AND($A46&lt;&gt;"",AM$3&gt;=$J46,AM$3&lt;=$M46),1,"")</f>
        <v/>
      </c>
      <c r="AN46">
        <f>IF(AND($A46&lt;&gt;"",AN$3&gt;=$J46,AN$3&lt;=$M46),1,"")</f>
        <v/>
      </c>
      <c r="AO46">
        <f>IF(AND($A46&lt;&gt;"",AO$3&gt;=$J46,AO$3&lt;=$M46),1,"")</f>
        <v/>
      </c>
      <c r="AP46">
        <f>IF(AND($A46&lt;&gt;"",AP$3&gt;=$J46,AP$3&lt;=$M46),1,"")</f>
        <v/>
      </c>
      <c r="AQ46">
        <f>IF(AND($A46&lt;&gt;"",AQ$3&gt;=$J46,AQ$3&lt;=$M46),1,"")</f>
        <v/>
      </c>
      <c r="AR46">
        <f>IF(AND($A46&lt;&gt;"",AR$3&gt;=$J46,AR$3&lt;=$M46),1,"")</f>
        <v/>
      </c>
      <c r="AS46">
        <f>IF(AND($A46&lt;&gt;"",AS$3&gt;=$J46,AS$3&lt;=$M46),1,"")</f>
        <v/>
      </c>
      <c r="AT46">
        <f>IF(AND($A46&lt;&gt;"",AT$3&gt;=$J46,AT$3&lt;=$M46),1,"")</f>
        <v/>
      </c>
      <c r="AU46">
        <f>IF(AND($A46&lt;&gt;"",AU$3&gt;=$J46,AU$3&lt;=$M46),1,"")</f>
        <v/>
      </c>
      <c r="AV46">
        <f>IF(AND($A46&lt;&gt;"",AV$3&gt;=$J46,AV$3&lt;=$M46),1,"")</f>
        <v/>
      </c>
      <c r="AW46">
        <f>IF(AND($A46&lt;&gt;"",AW$3&gt;=$J46,AW$3&lt;=$M46),1,"")</f>
        <v/>
      </c>
      <c r="AX46">
        <f>IF(AND($A46&lt;&gt;"",AX$3&gt;=$J46,AX$3&lt;=$M46),1,"")</f>
        <v/>
      </c>
      <c r="AY46">
        <f>IF(AND($A46&lt;&gt;"",AY$3&gt;=$J46,AY$3&lt;=$M46),1,"")</f>
        <v/>
      </c>
      <c r="AZ46">
        <f>IF(AND($A46&lt;&gt;"",AZ$3&gt;=$J46,AZ$3&lt;=$M46),1,"")</f>
        <v/>
      </c>
      <c r="BA46">
        <f>IF(AND($A46&lt;&gt;"",BA$3&gt;=$J46,BA$3&lt;=$M46),1,"")</f>
        <v/>
      </c>
      <c r="BB46">
        <f>IF(AND($A46&lt;&gt;"",BB$3&gt;=$J46,BB$3&lt;=$M46),1,"")</f>
        <v/>
      </c>
      <c r="BC46">
        <f>IF(AND($A46&lt;&gt;"",BC$3&gt;=$J46,BC$3&lt;=$M46),1,"")</f>
        <v/>
      </c>
      <c r="BD46">
        <f>IF(AND($A46&lt;&gt;"",BD$3&gt;=$J46,BD$3&lt;=$M46),1,"")</f>
        <v/>
      </c>
      <c r="BE46">
        <f>IF(AND($A46&lt;&gt;"",BE$3&gt;=$J46,BE$3&lt;=$M46),1,"")</f>
        <v/>
      </c>
      <c r="BF46">
        <f>IF(AND($A46&lt;&gt;"",BF$3&gt;=$J46,BF$3&lt;=$M46),1,"")</f>
        <v/>
      </c>
      <c r="BG46">
        <f>IF(AND($A46&lt;&gt;"",BG$3&gt;=$J46,BG$3&lt;=$M46),1,"")</f>
        <v/>
      </c>
      <c r="BH46">
        <f>IF(AND($A46&lt;&gt;"",BH$3&gt;=$J46,BH$3&lt;=$M46),1,"")</f>
        <v/>
      </c>
      <c r="BI46">
        <f>IF(AND($A46&lt;&gt;"",BI$3&gt;=$J46,BI$3&lt;=$M46),1,"")</f>
        <v/>
      </c>
      <c r="BJ46">
        <f>IF(AND($A46&lt;&gt;"",BJ$3&gt;=$J46,BJ$3&lt;=$M46),1,"")</f>
        <v/>
      </c>
      <c r="BK46">
        <f>IF(AND($A46&lt;&gt;"",BK$3&gt;=$J46,BK$3&lt;=$M46),1,"")</f>
        <v/>
      </c>
      <c r="BL46">
        <f>IF(AND($A46&lt;&gt;"",BL$3&gt;=$J46,BL$3&lt;=$M46),1,"")</f>
        <v/>
      </c>
      <c r="BM46">
        <f>IF(AND($A46&lt;&gt;"",BM$3&gt;=$J46,BM$3&lt;=$M46),1,"")</f>
        <v/>
      </c>
      <c r="BN46">
        <f>IF(AND($A46&lt;&gt;"",BN$3&gt;=$J46,BN$3&lt;=$M46),1,"")</f>
        <v/>
      </c>
      <c r="BO46">
        <f>IF(AND($A46&lt;&gt;"",BO$3&gt;=$J46,BO$3&lt;=$M46),1,"")</f>
        <v/>
      </c>
      <c r="BP46">
        <f>IF(AND($A46&lt;&gt;"",BP$3&gt;=$J46,BP$3&lt;=$M46),1,"")</f>
        <v/>
      </c>
      <c r="BQ46">
        <f>IF(AND($A46&lt;&gt;"",BQ$3&gt;=$J46,BQ$3&lt;=$M46),1,"")</f>
        <v/>
      </c>
      <c r="BR46">
        <f>IF(AND($A46&lt;&gt;"",BR$3&gt;=$J46,BR$3&lt;=$M46),1,"")</f>
        <v/>
      </c>
      <c r="BS46">
        <f>IF(AND($A46&lt;&gt;"",BS$3&gt;=$J46,BS$3&lt;=$M46),1,"")</f>
        <v/>
      </c>
      <c r="BT46">
        <f>IF(AND($A46&lt;&gt;"",BT$3&gt;=$J46,BT$3&lt;=$M46),1,"")</f>
        <v/>
      </c>
      <c r="BU46">
        <f>IF(AND($A46&lt;&gt;"",BU$3&gt;=$J46,BU$3&lt;=$M46),1,"")</f>
        <v/>
      </c>
      <c r="BV46">
        <f>IF(AND($A46&lt;&gt;"",BV$3&gt;=$J46,BV$3&lt;=$M46),1,"")</f>
        <v/>
      </c>
    </row>
    <row r="47">
      <c r="A47">
        <f>IF(Job_Master_Ring!$A47="","",Job_Master_Ring!$A47)</f>
        <v/>
      </c>
      <c r="B47">
        <f>IF($A47="","",Job_Master_Ring!B47)</f>
        <v/>
      </c>
      <c r="C47">
        <f>IF($A47="","",Job_Master_Ring!C47)</f>
        <v/>
      </c>
      <c r="D47">
        <f>IF($A47="","",Job_Master_Ring!D47)</f>
        <v/>
      </c>
      <c r="E47">
        <f>IF($A47="","",IF($I47&lt;&gt;"",$I47,IFERROR(INDEX(Machine_List!$B$87:$B$94,MATCH(1,(Machine_List!$H$87:$H$94&lt;=IFERROR(VLOOKUP($B47,CHOOSE(MATCH($C47,Settings!$L$4:$L$10,0),OPR_BR1!$A$4:$K$18,OPR_BR2!$A$4:$K$18,OPR_CR2!$A$4:$K$18,OPR_CR3!$A$4:$K$18,OPR_CR4!$A$4:$K$18,OPR_RIM!$A$4:$K$18,OPR_BPR!$A$4:$K$18),10,0),0))*(Machine_List!$I$87:$I$94&gt;=IFERROR(VLOOKUP($B47,CHOOSE(MATCH($C47,Settings!$L$4:$L$10,0),OPR_BR1!$A$4:$K$18,OPR_BR2!$A$4:$K$18,OPR_CR2!$A$4:$K$18,OPR_CR3!$A$4:$K$18,OPR_CR4!$A$4:$K$18,OPR_RIM!$A$4:$K$18,OPR_BPR!$A$4:$K$18),11,0),9999)),0)),"NO COMPATIBLE MACHINE")))</f>
        <v/>
      </c>
      <c r="F47">
        <f>IF($E47="","",IFERROR(VLOOKUP($E47,Machine_List!$B:$G,6,0),""))</f>
        <v/>
      </c>
      <c r="G47" s="17">
        <f>IF($E47="","",IFERROR(VLOOKUP($E47,Machine_List!$B:$C,2,0),""))</f>
        <v/>
      </c>
      <c r="H47">
        <f>IF($E47="","",IFERROR(VLOOKUP($E47,Machine_List!$B:$D,3,0),""))</f>
        <v/>
      </c>
      <c r="J47" s="16">
        <f>IF($A47="","",IF($I47&lt;&gt;"",$I47,MAX(GlobalStartDate,IFERROR(LOOKUP(2,1/($E$3:INDIRECT("E"&amp;(ROW()-1))=$E47),$M$3:INDIRECT("M"&amp;(ROW()-1))),GlobalStartDate))))</f>
        <v/>
      </c>
      <c r="K47">
        <f>IF($A47="","",IFERROR(VLOOKUP(B47,CHOOSE(MATCH($C47,Settings!$L$4:$L$10,0),OPR_BR1!$A$4:$I$18,OPR_BR2!$A$4:$I$18,OPR_CR2!$A$4:$I$18,OPR_CR3!$A$4:$I$18,OPR_CR4!$A$4:$I$18,OPR_RIM!$A$4:$I$18,OPR_BPR!$A$4:$I$18),2,0),0))</f>
        <v/>
      </c>
      <c r="L47">
        <f>IF($A47="","",K47*D47)</f>
        <v/>
      </c>
      <c r="M47" s="16">
        <f>IF($A47="","",IF(AND(ISNUMBER(G47),G47&gt;=J47,G47&lt;=(J47+(L47/(IF(F47="Contract Workman",Settings!$K$5,Settings!$K$4))))),J47+(L47/(IF(F47="Contract Workman",Settings!$K$5,Settings!$K$4)))+(H47/(IF(F47="Contract Workman",Settings!$K$5,Settings!$K$4))),J47+(L47/(IF(F47="Contract Workman",Settings!$K$5,Settings!$K$4)))))</f>
        <v/>
      </c>
      <c r="N47">
        <f>IF($A47="","",IF(F47="Contract Workman",IF(AND(MOD(M47,1)&gt;=8/24,MOD(M47,1)&lt;20/24),"Shift S1","Shift S2"),IF(AND(MOD(M47,1)&gt;=7/24,MOD(M47,1)&lt;15/24),"Shift A",IF(AND(MOD(M47,1)&gt;=15/24,MOD(M47,1)&lt;23/24),"Shift B","Shift C"))))</f>
        <v/>
      </c>
      <c r="O47">
        <f>IF(B47="","",IF(IFERROR(ISNUMBER(SEARCH(TEXT(B47,"0"),VLOOKUP(E47,Machine_List!$B:$J,9,0))),FALSE),"✅ "&amp;E47,"❌ ?"))</f>
        <v/>
      </c>
      <c r="P47">
        <f>IF(AND($A47&lt;&gt;"",P$3&gt;=$J47,P$3&lt;=$M47),1,"")</f>
        <v/>
      </c>
      <c r="Q47">
        <f>IF(AND($A47&lt;&gt;"",Q$3&gt;=$J47,Q$3&lt;=$M47),1,"")</f>
        <v/>
      </c>
      <c r="R47">
        <f>IF(AND($A47&lt;&gt;"",R$3&gt;=$J47,R$3&lt;=$M47),1,"")</f>
        <v/>
      </c>
      <c r="S47">
        <f>IF(AND($A47&lt;&gt;"",S$3&gt;=$J47,S$3&lt;=$M47),1,"")</f>
        <v/>
      </c>
      <c r="T47">
        <f>IF(AND($A47&lt;&gt;"",T$3&gt;=$J47,T$3&lt;=$M47),1,"")</f>
        <v/>
      </c>
      <c r="U47">
        <f>IF(AND($A47&lt;&gt;"",U$3&gt;=$J47,U$3&lt;=$M47),1,"")</f>
        <v/>
      </c>
      <c r="V47">
        <f>IF(AND($A47&lt;&gt;"",V$3&gt;=$J47,V$3&lt;=$M47),1,"")</f>
        <v/>
      </c>
      <c r="W47">
        <f>IF(AND($A47&lt;&gt;"",W$3&gt;=$J47,W$3&lt;=$M47),1,"")</f>
        <v/>
      </c>
      <c r="X47">
        <f>IF(AND($A47&lt;&gt;"",X$3&gt;=$J47,X$3&lt;=$M47),1,"")</f>
        <v/>
      </c>
      <c r="Y47">
        <f>IF(AND($A47&lt;&gt;"",Y$3&gt;=$J47,Y$3&lt;=$M47),1,"")</f>
        <v/>
      </c>
      <c r="Z47">
        <f>IF(AND($A47&lt;&gt;"",Z$3&gt;=$J47,Z$3&lt;=$M47),1,"")</f>
        <v/>
      </c>
      <c r="AA47">
        <f>IF(AND($A47&lt;&gt;"",AA$3&gt;=$J47,AA$3&lt;=$M47),1,"")</f>
        <v/>
      </c>
      <c r="AB47">
        <f>IF(AND($A47&lt;&gt;"",AB$3&gt;=$J47,AB$3&lt;=$M47),1,"")</f>
        <v/>
      </c>
      <c r="AC47">
        <f>IF(AND($A47&lt;&gt;"",AC$3&gt;=$J47,AC$3&lt;=$M47),1,"")</f>
        <v/>
      </c>
      <c r="AD47">
        <f>IF(AND($A47&lt;&gt;"",AD$3&gt;=$J47,AD$3&lt;=$M47),1,"")</f>
        <v/>
      </c>
      <c r="AE47">
        <f>IF(AND($A47&lt;&gt;"",AE$3&gt;=$J47,AE$3&lt;=$M47),1,"")</f>
        <v/>
      </c>
      <c r="AF47">
        <f>IF(AND($A47&lt;&gt;"",AF$3&gt;=$J47,AF$3&lt;=$M47),1,"")</f>
        <v/>
      </c>
      <c r="AG47">
        <f>IF(AND($A47&lt;&gt;"",AG$3&gt;=$J47,AG$3&lt;=$M47),1,"")</f>
        <v/>
      </c>
      <c r="AH47">
        <f>IF(AND($A47&lt;&gt;"",AH$3&gt;=$J47,AH$3&lt;=$M47),1,"")</f>
        <v/>
      </c>
      <c r="AI47">
        <f>IF(AND($A47&lt;&gt;"",AI$3&gt;=$J47,AI$3&lt;=$M47),1,"")</f>
        <v/>
      </c>
      <c r="AJ47">
        <f>IF(AND($A47&lt;&gt;"",AJ$3&gt;=$J47,AJ$3&lt;=$M47),1,"")</f>
        <v/>
      </c>
      <c r="AK47">
        <f>IF(AND($A47&lt;&gt;"",AK$3&gt;=$J47,AK$3&lt;=$M47),1,"")</f>
        <v/>
      </c>
      <c r="AL47">
        <f>IF(AND($A47&lt;&gt;"",AL$3&gt;=$J47,AL$3&lt;=$M47),1,"")</f>
        <v/>
      </c>
      <c r="AM47">
        <f>IF(AND($A47&lt;&gt;"",AM$3&gt;=$J47,AM$3&lt;=$M47),1,"")</f>
        <v/>
      </c>
      <c r="AN47">
        <f>IF(AND($A47&lt;&gt;"",AN$3&gt;=$J47,AN$3&lt;=$M47),1,"")</f>
        <v/>
      </c>
      <c r="AO47">
        <f>IF(AND($A47&lt;&gt;"",AO$3&gt;=$J47,AO$3&lt;=$M47),1,"")</f>
        <v/>
      </c>
      <c r="AP47">
        <f>IF(AND($A47&lt;&gt;"",AP$3&gt;=$J47,AP$3&lt;=$M47),1,"")</f>
        <v/>
      </c>
      <c r="AQ47">
        <f>IF(AND($A47&lt;&gt;"",AQ$3&gt;=$J47,AQ$3&lt;=$M47),1,"")</f>
        <v/>
      </c>
      <c r="AR47">
        <f>IF(AND($A47&lt;&gt;"",AR$3&gt;=$J47,AR$3&lt;=$M47),1,"")</f>
        <v/>
      </c>
      <c r="AS47">
        <f>IF(AND($A47&lt;&gt;"",AS$3&gt;=$J47,AS$3&lt;=$M47),1,"")</f>
        <v/>
      </c>
      <c r="AT47">
        <f>IF(AND($A47&lt;&gt;"",AT$3&gt;=$J47,AT$3&lt;=$M47),1,"")</f>
        <v/>
      </c>
      <c r="AU47">
        <f>IF(AND($A47&lt;&gt;"",AU$3&gt;=$J47,AU$3&lt;=$M47),1,"")</f>
        <v/>
      </c>
      <c r="AV47">
        <f>IF(AND($A47&lt;&gt;"",AV$3&gt;=$J47,AV$3&lt;=$M47),1,"")</f>
        <v/>
      </c>
      <c r="AW47">
        <f>IF(AND($A47&lt;&gt;"",AW$3&gt;=$J47,AW$3&lt;=$M47),1,"")</f>
        <v/>
      </c>
      <c r="AX47">
        <f>IF(AND($A47&lt;&gt;"",AX$3&gt;=$J47,AX$3&lt;=$M47),1,"")</f>
        <v/>
      </c>
      <c r="AY47">
        <f>IF(AND($A47&lt;&gt;"",AY$3&gt;=$J47,AY$3&lt;=$M47),1,"")</f>
        <v/>
      </c>
      <c r="AZ47">
        <f>IF(AND($A47&lt;&gt;"",AZ$3&gt;=$J47,AZ$3&lt;=$M47),1,"")</f>
        <v/>
      </c>
      <c r="BA47">
        <f>IF(AND($A47&lt;&gt;"",BA$3&gt;=$J47,BA$3&lt;=$M47),1,"")</f>
        <v/>
      </c>
      <c r="BB47">
        <f>IF(AND($A47&lt;&gt;"",BB$3&gt;=$J47,BB$3&lt;=$M47),1,"")</f>
        <v/>
      </c>
      <c r="BC47">
        <f>IF(AND($A47&lt;&gt;"",BC$3&gt;=$J47,BC$3&lt;=$M47),1,"")</f>
        <v/>
      </c>
      <c r="BD47">
        <f>IF(AND($A47&lt;&gt;"",BD$3&gt;=$J47,BD$3&lt;=$M47),1,"")</f>
        <v/>
      </c>
      <c r="BE47">
        <f>IF(AND($A47&lt;&gt;"",BE$3&gt;=$J47,BE$3&lt;=$M47),1,"")</f>
        <v/>
      </c>
      <c r="BF47">
        <f>IF(AND($A47&lt;&gt;"",BF$3&gt;=$J47,BF$3&lt;=$M47),1,"")</f>
        <v/>
      </c>
      <c r="BG47">
        <f>IF(AND($A47&lt;&gt;"",BG$3&gt;=$J47,BG$3&lt;=$M47),1,"")</f>
        <v/>
      </c>
      <c r="BH47">
        <f>IF(AND($A47&lt;&gt;"",BH$3&gt;=$J47,BH$3&lt;=$M47),1,"")</f>
        <v/>
      </c>
      <c r="BI47">
        <f>IF(AND($A47&lt;&gt;"",BI$3&gt;=$J47,BI$3&lt;=$M47),1,"")</f>
        <v/>
      </c>
      <c r="BJ47">
        <f>IF(AND($A47&lt;&gt;"",BJ$3&gt;=$J47,BJ$3&lt;=$M47),1,"")</f>
        <v/>
      </c>
      <c r="BK47">
        <f>IF(AND($A47&lt;&gt;"",BK$3&gt;=$J47,BK$3&lt;=$M47),1,"")</f>
        <v/>
      </c>
      <c r="BL47">
        <f>IF(AND($A47&lt;&gt;"",BL$3&gt;=$J47,BL$3&lt;=$M47),1,"")</f>
        <v/>
      </c>
      <c r="BM47">
        <f>IF(AND($A47&lt;&gt;"",BM$3&gt;=$J47,BM$3&lt;=$M47),1,"")</f>
        <v/>
      </c>
      <c r="BN47">
        <f>IF(AND($A47&lt;&gt;"",BN$3&gt;=$J47,BN$3&lt;=$M47),1,"")</f>
        <v/>
      </c>
      <c r="BO47">
        <f>IF(AND($A47&lt;&gt;"",BO$3&gt;=$J47,BO$3&lt;=$M47),1,"")</f>
        <v/>
      </c>
      <c r="BP47">
        <f>IF(AND($A47&lt;&gt;"",BP$3&gt;=$J47,BP$3&lt;=$M47),1,"")</f>
        <v/>
      </c>
      <c r="BQ47">
        <f>IF(AND($A47&lt;&gt;"",BQ$3&gt;=$J47,BQ$3&lt;=$M47),1,"")</f>
        <v/>
      </c>
      <c r="BR47">
        <f>IF(AND($A47&lt;&gt;"",BR$3&gt;=$J47,BR$3&lt;=$M47),1,"")</f>
        <v/>
      </c>
      <c r="BS47">
        <f>IF(AND($A47&lt;&gt;"",BS$3&gt;=$J47,BS$3&lt;=$M47),1,"")</f>
        <v/>
      </c>
      <c r="BT47">
        <f>IF(AND($A47&lt;&gt;"",BT$3&gt;=$J47,BT$3&lt;=$M47),1,"")</f>
        <v/>
      </c>
      <c r="BU47">
        <f>IF(AND($A47&lt;&gt;"",BU$3&gt;=$J47,BU$3&lt;=$M47),1,"")</f>
        <v/>
      </c>
      <c r="BV47">
        <f>IF(AND($A47&lt;&gt;"",BV$3&gt;=$J47,BV$3&lt;=$M47),1,"")</f>
        <v/>
      </c>
    </row>
    <row r="48">
      <c r="A48">
        <f>IF(Job_Master_Ring!$A48="","",Job_Master_Ring!$A48)</f>
        <v/>
      </c>
      <c r="B48">
        <f>IF($A48="","",Job_Master_Ring!B48)</f>
        <v/>
      </c>
      <c r="C48">
        <f>IF($A48="","",Job_Master_Ring!C48)</f>
        <v/>
      </c>
      <c r="D48">
        <f>IF($A48="","",Job_Master_Ring!D48)</f>
        <v/>
      </c>
      <c r="E48">
        <f>IF($A48="","",IF($I48&lt;&gt;"",$I48,IFERROR(INDEX(Machine_List!$B$87:$B$94,MATCH(1,(Machine_List!$H$87:$H$94&lt;=IFERROR(VLOOKUP($B48,CHOOSE(MATCH($C48,Settings!$L$4:$L$10,0),OPR_BR1!$A$4:$K$18,OPR_BR2!$A$4:$K$18,OPR_CR2!$A$4:$K$18,OPR_CR3!$A$4:$K$18,OPR_CR4!$A$4:$K$18,OPR_RIM!$A$4:$K$18,OPR_BPR!$A$4:$K$18),10,0),0))*(Machine_List!$I$87:$I$94&gt;=IFERROR(VLOOKUP($B48,CHOOSE(MATCH($C48,Settings!$L$4:$L$10,0),OPR_BR1!$A$4:$K$18,OPR_BR2!$A$4:$K$18,OPR_CR2!$A$4:$K$18,OPR_CR3!$A$4:$K$18,OPR_CR4!$A$4:$K$18,OPR_RIM!$A$4:$K$18,OPR_BPR!$A$4:$K$18),11,0),9999)),0)),"NO COMPATIBLE MACHINE")))</f>
        <v/>
      </c>
      <c r="F48">
        <f>IF($E48="","",IFERROR(VLOOKUP($E48,Machine_List!$B:$G,6,0),""))</f>
        <v/>
      </c>
      <c r="G48" s="17">
        <f>IF($E48="","",IFERROR(VLOOKUP($E48,Machine_List!$B:$C,2,0),""))</f>
        <v/>
      </c>
      <c r="H48">
        <f>IF($E48="","",IFERROR(VLOOKUP($E48,Machine_List!$B:$D,3,0),""))</f>
        <v/>
      </c>
      <c r="J48" s="16">
        <f>IF($A48="","",IF($I48&lt;&gt;"",$I48,MAX(GlobalStartDate,IFERROR(LOOKUP(2,1/($E$3:INDIRECT("E"&amp;(ROW()-1))=$E48),$M$3:INDIRECT("M"&amp;(ROW()-1))),GlobalStartDate))))</f>
        <v/>
      </c>
      <c r="K48">
        <f>IF($A48="","",IFERROR(VLOOKUP(B48,CHOOSE(MATCH($C48,Settings!$L$4:$L$10,0),OPR_BR1!$A$4:$I$18,OPR_BR2!$A$4:$I$18,OPR_CR2!$A$4:$I$18,OPR_CR3!$A$4:$I$18,OPR_CR4!$A$4:$I$18,OPR_RIM!$A$4:$I$18,OPR_BPR!$A$4:$I$18),2,0),0))</f>
        <v/>
      </c>
      <c r="L48">
        <f>IF($A48="","",K48*D48)</f>
        <v/>
      </c>
      <c r="M48" s="16">
        <f>IF($A48="","",IF(AND(ISNUMBER(G48),G48&gt;=J48,G48&lt;=(J48+(L48/(IF(F48="Contract Workman",Settings!$K$5,Settings!$K$4))))),J48+(L48/(IF(F48="Contract Workman",Settings!$K$5,Settings!$K$4)))+(H48/(IF(F48="Contract Workman",Settings!$K$5,Settings!$K$4))),J48+(L48/(IF(F48="Contract Workman",Settings!$K$5,Settings!$K$4)))))</f>
        <v/>
      </c>
      <c r="N48">
        <f>IF($A48="","",IF(F48="Contract Workman",IF(AND(MOD(M48,1)&gt;=8/24,MOD(M48,1)&lt;20/24),"Shift S1","Shift S2"),IF(AND(MOD(M48,1)&gt;=7/24,MOD(M48,1)&lt;15/24),"Shift A",IF(AND(MOD(M48,1)&gt;=15/24,MOD(M48,1)&lt;23/24),"Shift B","Shift C"))))</f>
        <v/>
      </c>
      <c r="O48">
        <f>IF(B48="","",IF(IFERROR(ISNUMBER(SEARCH(TEXT(B48,"0"),VLOOKUP(E48,Machine_List!$B:$J,9,0))),FALSE),"✅ "&amp;E48,"❌ ?"))</f>
        <v/>
      </c>
      <c r="P48">
        <f>IF(AND($A48&lt;&gt;"",P$3&gt;=$J48,P$3&lt;=$M48),1,"")</f>
        <v/>
      </c>
      <c r="Q48">
        <f>IF(AND($A48&lt;&gt;"",Q$3&gt;=$J48,Q$3&lt;=$M48),1,"")</f>
        <v/>
      </c>
      <c r="R48">
        <f>IF(AND($A48&lt;&gt;"",R$3&gt;=$J48,R$3&lt;=$M48),1,"")</f>
        <v/>
      </c>
      <c r="S48">
        <f>IF(AND($A48&lt;&gt;"",S$3&gt;=$J48,S$3&lt;=$M48),1,"")</f>
        <v/>
      </c>
      <c r="T48">
        <f>IF(AND($A48&lt;&gt;"",T$3&gt;=$J48,T$3&lt;=$M48),1,"")</f>
        <v/>
      </c>
      <c r="U48">
        <f>IF(AND($A48&lt;&gt;"",U$3&gt;=$J48,U$3&lt;=$M48),1,"")</f>
        <v/>
      </c>
      <c r="V48">
        <f>IF(AND($A48&lt;&gt;"",V$3&gt;=$J48,V$3&lt;=$M48),1,"")</f>
        <v/>
      </c>
      <c r="W48">
        <f>IF(AND($A48&lt;&gt;"",W$3&gt;=$J48,W$3&lt;=$M48),1,"")</f>
        <v/>
      </c>
      <c r="X48">
        <f>IF(AND($A48&lt;&gt;"",X$3&gt;=$J48,X$3&lt;=$M48),1,"")</f>
        <v/>
      </c>
      <c r="Y48">
        <f>IF(AND($A48&lt;&gt;"",Y$3&gt;=$J48,Y$3&lt;=$M48),1,"")</f>
        <v/>
      </c>
      <c r="Z48">
        <f>IF(AND($A48&lt;&gt;"",Z$3&gt;=$J48,Z$3&lt;=$M48),1,"")</f>
        <v/>
      </c>
      <c r="AA48">
        <f>IF(AND($A48&lt;&gt;"",AA$3&gt;=$J48,AA$3&lt;=$M48),1,"")</f>
        <v/>
      </c>
      <c r="AB48">
        <f>IF(AND($A48&lt;&gt;"",AB$3&gt;=$J48,AB$3&lt;=$M48),1,"")</f>
        <v/>
      </c>
      <c r="AC48">
        <f>IF(AND($A48&lt;&gt;"",AC$3&gt;=$J48,AC$3&lt;=$M48),1,"")</f>
        <v/>
      </c>
      <c r="AD48">
        <f>IF(AND($A48&lt;&gt;"",AD$3&gt;=$J48,AD$3&lt;=$M48),1,"")</f>
        <v/>
      </c>
      <c r="AE48">
        <f>IF(AND($A48&lt;&gt;"",AE$3&gt;=$J48,AE$3&lt;=$M48),1,"")</f>
        <v/>
      </c>
      <c r="AF48">
        <f>IF(AND($A48&lt;&gt;"",AF$3&gt;=$J48,AF$3&lt;=$M48),1,"")</f>
        <v/>
      </c>
      <c r="AG48">
        <f>IF(AND($A48&lt;&gt;"",AG$3&gt;=$J48,AG$3&lt;=$M48),1,"")</f>
        <v/>
      </c>
      <c r="AH48">
        <f>IF(AND($A48&lt;&gt;"",AH$3&gt;=$J48,AH$3&lt;=$M48),1,"")</f>
        <v/>
      </c>
      <c r="AI48">
        <f>IF(AND($A48&lt;&gt;"",AI$3&gt;=$J48,AI$3&lt;=$M48),1,"")</f>
        <v/>
      </c>
      <c r="AJ48">
        <f>IF(AND($A48&lt;&gt;"",AJ$3&gt;=$J48,AJ$3&lt;=$M48),1,"")</f>
        <v/>
      </c>
      <c r="AK48">
        <f>IF(AND($A48&lt;&gt;"",AK$3&gt;=$J48,AK$3&lt;=$M48),1,"")</f>
        <v/>
      </c>
      <c r="AL48">
        <f>IF(AND($A48&lt;&gt;"",AL$3&gt;=$J48,AL$3&lt;=$M48),1,"")</f>
        <v/>
      </c>
      <c r="AM48">
        <f>IF(AND($A48&lt;&gt;"",AM$3&gt;=$J48,AM$3&lt;=$M48),1,"")</f>
        <v/>
      </c>
      <c r="AN48">
        <f>IF(AND($A48&lt;&gt;"",AN$3&gt;=$J48,AN$3&lt;=$M48),1,"")</f>
        <v/>
      </c>
      <c r="AO48">
        <f>IF(AND($A48&lt;&gt;"",AO$3&gt;=$J48,AO$3&lt;=$M48),1,"")</f>
        <v/>
      </c>
      <c r="AP48">
        <f>IF(AND($A48&lt;&gt;"",AP$3&gt;=$J48,AP$3&lt;=$M48),1,"")</f>
        <v/>
      </c>
      <c r="AQ48">
        <f>IF(AND($A48&lt;&gt;"",AQ$3&gt;=$J48,AQ$3&lt;=$M48),1,"")</f>
        <v/>
      </c>
      <c r="AR48">
        <f>IF(AND($A48&lt;&gt;"",AR$3&gt;=$J48,AR$3&lt;=$M48),1,"")</f>
        <v/>
      </c>
      <c r="AS48">
        <f>IF(AND($A48&lt;&gt;"",AS$3&gt;=$J48,AS$3&lt;=$M48),1,"")</f>
        <v/>
      </c>
      <c r="AT48">
        <f>IF(AND($A48&lt;&gt;"",AT$3&gt;=$J48,AT$3&lt;=$M48),1,"")</f>
        <v/>
      </c>
      <c r="AU48">
        <f>IF(AND($A48&lt;&gt;"",AU$3&gt;=$J48,AU$3&lt;=$M48),1,"")</f>
        <v/>
      </c>
      <c r="AV48">
        <f>IF(AND($A48&lt;&gt;"",AV$3&gt;=$J48,AV$3&lt;=$M48),1,"")</f>
        <v/>
      </c>
      <c r="AW48">
        <f>IF(AND($A48&lt;&gt;"",AW$3&gt;=$J48,AW$3&lt;=$M48),1,"")</f>
        <v/>
      </c>
      <c r="AX48">
        <f>IF(AND($A48&lt;&gt;"",AX$3&gt;=$J48,AX$3&lt;=$M48),1,"")</f>
        <v/>
      </c>
      <c r="AY48">
        <f>IF(AND($A48&lt;&gt;"",AY$3&gt;=$J48,AY$3&lt;=$M48),1,"")</f>
        <v/>
      </c>
      <c r="AZ48">
        <f>IF(AND($A48&lt;&gt;"",AZ$3&gt;=$J48,AZ$3&lt;=$M48),1,"")</f>
        <v/>
      </c>
      <c r="BA48">
        <f>IF(AND($A48&lt;&gt;"",BA$3&gt;=$J48,BA$3&lt;=$M48),1,"")</f>
        <v/>
      </c>
      <c r="BB48">
        <f>IF(AND($A48&lt;&gt;"",BB$3&gt;=$J48,BB$3&lt;=$M48),1,"")</f>
        <v/>
      </c>
      <c r="BC48">
        <f>IF(AND($A48&lt;&gt;"",BC$3&gt;=$J48,BC$3&lt;=$M48),1,"")</f>
        <v/>
      </c>
      <c r="BD48">
        <f>IF(AND($A48&lt;&gt;"",BD$3&gt;=$J48,BD$3&lt;=$M48),1,"")</f>
        <v/>
      </c>
      <c r="BE48">
        <f>IF(AND($A48&lt;&gt;"",BE$3&gt;=$J48,BE$3&lt;=$M48),1,"")</f>
        <v/>
      </c>
      <c r="BF48">
        <f>IF(AND($A48&lt;&gt;"",BF$3&gt;=$J48,BF$3&lt;=$M48),1,"")</f>
        <v/>
      </c>
      <c r="BG48">
        <f>IF(AND($A48&lt;&gt;"",BG$3&gt;=$J48,BG$3&lt;=$M48),1,"")</f>
        <v/>
      </c>
      <c r="BH48">
        <f>IF(AND($A48&lt;&gt;"",BH$3&gt;=$J48,BH$3&lt;=$M48),1,"")</f>
        <v/>
      </c>
      <c r="BI48">
        <f>IF(AND($A48&lt;&gt;"",BI$3&gt;=$J48,BI$3&lt;=$M48),1,"")</f>
        <v/>
      </c>
      <c r="BJ48">
        <f>IF(AND($A48&lt;&gt;"",BJ$3&gt;=$J48,BJ$3&lt;=$M48),1,"")</f>
        <v/>
      </c>
      <c r="BK48">
        <f>IF(AND($A48&lt;&gt;"",BK$3&gt;=$J48,BK$3&lt;=$M48),1,"")</f>
        <v/>
      </c>
      <c r="BL48">
        <f>IF(AND($A48&lt;&gt;"",BL$3&gt;=$J48,BL$3&lt;=$M48),1,"")</f>
        <v/>
      </c>
      <c r="BM48">
        <f>IF(AND($A48&lt;&gt;"",BM$3&gt;=$J48,BM$3&lt;=$M48),1,"")</f>
        <v/>
      </c>
      <c r="BN48">
        <f>IF(AND($A48&lt;&gt;"",BN$3&gt;=$J48,BN$3&lt;=$M48),1,"")</f>
        <v/>
      </c>
      <c r="BO48">
        <f>IF(AND($A48&lt;&gt;"",BO$3&gt;=$J48,BO$3&lt;=$M48),1,"")</f>
        <v/>
      </c>
      <c r="BP48">
        <f>IF(AND($A48&lt;&gt;"",BP$3&gt;=$J48,BP$3&lt;=$M48),1,"")</f>
        <v/>
      </c>
      <c r="BQ48">
        <f>IF(AND($A48&lt;&gt;"",BQ$3&gt;=$J48,BQ$3&lt;=$M48),1,"")</f>
        <v/>
      </c>
      <c r="BR48">
        <f>IF(AND($A48&lt;&gt;"",BR$3&gt;=$J48,BR$3&lt;=$M48),1,"")</f>
        <v/>
      </c>
      <c r="BS48">
        <f>IF(AND($A48&lt;&gt;"",BS$3&gt;=$J48,BS$3&lt;=$M48),1,"")</f>
        <v/>
      </c>
      <c r="BT48">
        <f>IF(AND($A48&lt;&gt;"",BT$3&gt;=$J48,BT$3&lt;=$M48),1,"")</f>
        <v/>
      </c>
      <c r="BU48">
        <f>IF(AND($A48&lt;&gt;"",BU$3&gt;=$J48,BU$3&lt;=$M48),1,"")</f>
        <v/>
      </c>
      <c r="BV48">
        <f>IF(AND($A48&lt;&gt;"",BV$3&gt;=$J48,BV$3&lt;=$M48),1,"")</f>
        <v/>
      </c>
    </row>
    <row r="49">
      <c r="A49">
        <f>IF(Job_Master_Ring!$A49="","",Job_Master_Ring!$A49)</f>
        <v/>
      </c>
      <c r="B49">
        <f>IF($A49="","",Job_Master_Ring!B49)</f>
        <v/>
      </c>
      <c r="C49">
        <f>IF($A49="","",Job_Master_Ring!C49)</f>
        <v/>
      </c>
      <c r="D49">
        <f>IF($A49="","",Job_Master_Ring!D49)</f>
        <v/>
      </c>
      <c r="E49">
        <f>IF($A49="","",IF($I49&lt;&gt;"",$I49,IFERROR(INDEX(Machine_List!$B$87:$B$94,MATCH(1,(Machine_List!$H$87:$H$94&lt;=IFERROR(VLOOKUP($B49,CHOOSE(MATCH($C49,Settings!$L$4:$L$10,0),OPR_BR1!$A$4:$K$18,OPR_BR2!$A$4:$K$18,OPR_CR2!$A$4:$K$18,OPR_CR3!$A$4:$K$18,OPR_CR4!$A$4:$K$18,OPR_RIM!$A$4:$K$18,OPR_BPR!$A$4:$K$18),10,0),0))*(Machine_List!$I$87:$I$94&gt;=IFERROR(VLOOKUP($B49,CHOOSE(MATCH($C49,Settings!$L$4:$L$10,0),OPR_BR1!$A$4:$K$18,OPR_BR2!$A$4:$K$18,OPR_CR2!$A$4:$K$18,OPR_CR3!$A$4:$K$18,OPR_CR4!$A$4:$K$18,OPR_RIM!$A$4:$K$18,OPR_BPR!$A$4:$K$18),11,0),9999)),0)),"NO COMPATIBLE MACHINE")))</f>
        <v/>
      </c>
      <c r="F49">
        <f>IF($E49="","",IFERROR(VLOOKUP($E49,Machine_List!$B:$G,6,0),""))</f>
        <v/>
      </c>
      <c r="G49" s="17">
        <f>IF($E49="","",IFERROR(VLOOKUP($E49,Machine_List!$B:$C,2,0),""))</f>
        <v/>
      </c>
      <c r="H49">
        <f>IF($E49="","",IFERROR(VLOOKUP($E49,Machine_List!$B:$D,3,0),""))</f>
        <v/>
      </c>
      <c r="J49" s="16">
        <f>IF($A49="","",IF($I49&lt;&gt;"",$I49,MAX(GlobalStartDate,IFERROR(LOOKUP(2,1/($E$3:INDIRECT("E"&amp;(ROW()-1))=$E49),$M$3:INDIRECT("M"&amp;(ROW()-1))),GlobalStartDate))))</f>
        <v/>
      </c>
      <c r="K49">
        <f>IF($A49="","",IFERROR(VLOOKUP(B49,CHOOSE(MATCH($C49,Settings!$L$4:$L$10,0),OPR_BR1!$A$4:$I$18,OPR_BR2!$A$4:$I$18,OPR_CR2!$A$4:$I$18,OPR_CR3!$A$4:$I$18,OPR_CR4!$A$4:$I$18,OPR_RIM!$A$4:$I$18,OPR_BPR!$A$4:$I$18),2,0),0))</f>
        <v/>
      </c>
      <c r="L49">
        <f>IF($A49="","",K49*D49)</f>
        <v/>
      </c>
      <c r="M49" s="16">
        <f>IF($A49="","",IF(AND(ISNUMBER(G49),G49&gt;=J49,G49&lt;=(J49+(L49/(IF(F49="Contract Workman",Settings!$K$5,Settings!$K$4))))),J49+(L49/(IF(F49="Contract Workman",Settings!$K$5,Settings!$K$4)))+(H49/(IF(F49="Contract Workman",Settings!$K$5,Settings!$K$4))),J49+(L49/(IF(F49="Contract Workman",Settings!$K$5,Settings!$K$4)))))</f>
        <v/>
      </c>
      <c r="N49">
        <f>IF($A49="","",IF(F49="Contract Workman",IF(AND(MOD(M49,1)&gt;=8/24,MOD(M49,1)&lt;20/24),"Shift S1","Shift S2"),IF(AND(MOD(M49,1)&gt;=7/24,MOD(M49,1)&lt;15/24),"Shift A",IF(AND(MOD(M49,1)&gt;=15/24,MOD(M49,1)&lt;23/24),"Shift B","Shift C"))))</f>
        <v/>
      </c>
      <c r="O49">
        <f>IF(B49="","",IF(IFERROR(ISNUMBER(SEARCH(TEXT(B49,"0"),VLOOKUP(E49,Machine_List!$B:$J,9,0))),FALSE),"✅ "&amp;E49,"❌ ?"))</f>
        <v/>
      </c>
      <c r="P49">
        <f>IF(AND($A49&lt;&gt;"",P$3&gt;=$J49,P$3&lt;=$M49),1,"")</f>
        <v/>
      </c>
      <c r="Q49">
        <f>IF(AND($A49&lt;&gt;"",Q$3&gt;=$J49,Q$3&lt;=$M49),1,"")</f>
        <v/>
      </c>
      <c r="R49">
        <f>IF(AND($A49&lt;&gt;"",R$3&gt;=$J49,R$3&lt;=$M49),1,"")</f>
        <v/>
      </c>
      <c r="S49">
        <f>IF(AND($A49&lt;&gt;"",S$3&gt;=$J49,S$3&lt;=$M49),1,"")</f>
        <v/>
      </c>
      <c r="T49">
        <f>IF(AND($A49&lt;&gt;"",T$3&gt;=$J49,T$3&lt;=$M49),1,"")</f>
        <v/>
      </c>
      <c r="U49">
        <f>IF(AND($A49&lt;&gt;"",U$3&gt;=$J49,U$3&lt;=$M49),1,"")</f>
        <v/>
      </c>
      <c r="V49">
        <f>IF(AND($A49&lt;&gt;"",V$3&gt;=$J49,V$3&lt;=$M49),1,"")</f>
        <v/>
      </c>
      <c r="W49">
        <f>IF(AND($A49&lt;&gt;"",W$3&gt;=$J49,W$3&lt;=$M49),1,"")</f>
        <v/>
      </c>
      <c r="X49">
        <f>IF(AND($A49&lt;&gt;"",X$3&gt;=$J49,X$3&lt;=$M49),1,"")</f>
        <v/>
      </c>
      <c r="Y49">
        <f>IF(AND($A49&lt;&gt;"",Y$3&gt;=$J49,Y$3&lt;=$M49),1,"")</f>
        <v/>
      </c>
      <c r="Z49">
        <f>IF(AND($A49&lt;&gt;"",Z$3&gt;=$J49,Z$3&lt;=$M49),1,"")</f>
        <v/>
      </c>
      <c r="AA49">
        <f>IF(AND($A49&lt;&gt;"",AA$3&gt;=$J49,AA$3&lt;=$M49),1,"")</f>
        <v/>
      </c>
      <c r="AB49">
        <f>IF(AND($A49&lt;&gt;"",AB$3&gt;=$J49,AB$3&lt;=$M49),1,"")</f>
        <v/>
      </c>
      <c r="AC49">
        <f>IF(AND($A49&lt;&gt;"",AC$3&gt;=$J49,AC$3&lt;=$M49),1,"")</f>
        <v/>
      </c>
      <c r="AD49">
        <f>IF(AND($A49&lt;&gt;"",AD$3&gt;=$J49,AD$3&lt;=$M49),1,"")</f>
        <v/>
      </c>
      <c r="AE49">
        <f>IF(AND($A49&lt;&gt;"",AE$3&gt;=$J49,AE$3&lt;=$M49),1,"")</f>
        <v/>
      </c>
      <c r="AF49">
        <f>IF(AND($A49&lt;&gt;"",AF$3&gt;=$J49,AF$3&lt;=$M49),1,"")</f>
        <v/>
      </c>
      <c r="AG49">
        <f>IF(AND($A49&lt;&gt;"",AG$3&gt;=$J49,AG$3&lt;=$M49),1,"")</f>
        <v/>
      </c>
      <c r="AH49">
        <f>IF(AND($A49&lt;&gt;"",AH$3&gt;=$J49,AH$3&lt;=$M49),1,"")</f>
        <v/>
      </c>
      <c r="AI49">
        <f>IF(AND($A49&lt;&gt;"",AI$3&gt;=$J49,AI$3&lt;=$M49),1,"")</f>
        <v/>
      </c>
      <c r="AJ49">
        <f>IF(AND($A49&lt;&gt;"",AJ$3&gt;=$J49,AJ$3&lt;=$M49),1,"")</f>
        <v/>
      </c>
      <c r="AK49">
        <f>IF(AND($A49&lt;&gt;"",AK$3&gt;=$J49,AK$3&lt;=$M49),1,"")</f>
        <v/>
      </c>
      <c r="AL49">
        <f>IF(AND($A49&lt;&gt;"",AL$3&gt;=$J49,AL$3&lt;=$M49),1,"")</f>
        <v/>
      </c>
      <c r="AM49">
        <f>IF(AND($A49&lt;&gt;"",AM$3&gt;=$J49,AM$3&lt;=$M49),1,"")</f>
        <v/>
      </c>
      <c r="AN49">
        <f>IF(AND($A49&lt;&gt;"",AN$3&gt;=$J49,AN$3&lt;=$M49),1,"")</f>
        <v/>
      </c>
      <c r="AO49">
        <f>IF(AND($A49&lt;&gt;"",AO$3&gt;=$J49,AO$3&lt;=$M49),1,"")</f>
        <v/>
      </c>
      <c r="AP49">
        <f>IF(AND($A49&lt;&gt;"",AP$3&gt;=$J49,AP$3&lt;=$M49),1,"")</f>
        <v/>
      </c>
      <c r="AQ49">
        <f>IF(AND($A49&lt;&gt;"",AQ$3&gt;=$J49,AQ$3&lt;=$M49),1,"")</f>
        <v/>
      </c>
      <c r="AR49">
        <f>IF(AND($A49&lt;&gt;"",AR$3&gt;=$J49,AR$3&lt;=$M49),1,"")</f>
        <v/>
      </c>
      <c r="AS49">
        <f>IF(AND($A49&lt;&gt;"",AS$3&gt;=$J49,AS$3&lt;=$M49),1,"")</f>
        <v/>
      </c>
      <c r="AT49">
        <f>IF(AND($A49&lt;&gt;"",AT$3&gt;=$J49,AT$3&lt;=$M49),1,"")</f>
        <v/>
      </c>
      <c r="AU49">
        <f>IF(AND($A49&lt;&gt;"",AU$3&gt;=$J49,AU$3&lt;=$M49),1,"")</f>
        <v/>
      </c>
      <c r="AV49">
        <f>IF(AND($A49&lt;&gt;"",AV$3&gt;=$J49,AV$3&lt;=$M49),1,"")</f>
        <v/>
      </c>
      <c r="AW49">
        <f>IF(AND($A49&lt;&gt;"",AW$3&gt;=$J49,AW$3&lt;=$M49),1,"")</f>
        <v/>
      </c>
      <c r="AX49">
        <f>IF(AND($A49&lt;&gt;"",AX$3&gt;=$J49,AX$3&lt;=$M49),1,"")</f>
        <v/>
      </c>
      <c r="AY49">
        <f>IF(AND($A49&lt;&gt;"",AY$3&gt;=$J49,AY$3&lt;=$M49),1,"")</f>
        <v/>
      </c>
      <c r="AZ49">
        <f>IF(AND($A49&lt;&gt;"",AZ$3&gt;=$J49,AZ$3&lt;=$M49),1,"")</f>
        <v/>
      </c>
      <c r="BA49">
        <f>IF(AND($A49&lt;&gt;"",BA$3&gt;=$J49,BA$3&lt;=$M49),1,"")</f>
        <v/>
      </c>
      <c r="BB49">
        <f>IF(AND($A49&lt;&gt;"",BB$3&gt;=$J49,BB$3&lt;=$M49),1,"")</f>
        <v/>
      </c>
      <c r="BC49">
        <f>IF(AND($A49&lt;&gt;"",BC$3&gt;=$J49,BC$3&lt;=$M49),1,"")</f>
        <v/>
      </c>
      <c r="BD49">
        <f>IF(AND($A49&lt;&gt;"",BD$3&gt;=$J49,BD$3&lt;=$M49),1,"")</f>
        <v/>
      </c>
      <c r="BE49">
        <f>IF(AND($A49&lt;&gt;"",BE$3&gt;=$J49,BE$3&lt;=$M49),1,"")</f>
        <v/>
      </c>
      <c r="BF49">
        <f>IF(AND($A49&lt;&gt;"",BF$3&gt;=$J49,BF$3&lt;=$M49),1,"")</f>
        <v/>
      </c>
      <c r="BG49">
        <f>IF(AND($A49&lt;&gt;"",BG$3&gt;=$J49,BG$3&lt;=$M49),1,"")</f>
        <v/>
      </c>
      <c r="BH49">
        <f>IF(AND($A49&lt;&gt;"",BH$3&gt;=$J49,BH$3&lt;=$M49),1,"")</f>
        <v/>
      </c>
      <c r="BI49">
        <f>IF(AND($A49&lt;&gt;"",BI$3&gt;=$J49,BI$3&lt;=$M49),1,"")</f>
        <v/>
      </c>
      <c r="BJ49">
        <f>IF(AND($A49&lt;&gt;"",BJ$3&gt;=$J49,BJ$3&lt;=$M49),1,"")</f>
        <v/>
      </c>
      <c r="BK49">
        <f>IF(AND($A49&lt;&gt;"",BK$3&gt;=$J49,BK$3&lt;=$M49),1,"")</f>
        <v/>
      </c>
      <c r="BL49">
        <f>IF(AND($A49&lt;&gt;"",BL$3&gt;=$J49,BL$3&lt;=$M49),1,"")</f>
        <v/>
      </c>
      <c r="BM49">
        <f>IF(AND($A49&lt;&gt;"",BM$3&gt;=$J49,BM$3&lt;=$M49),1,"")</f>
        <v/>
      </c>
      <c r="BN49">
        <f>IF(AND($A49&lt;&gt;"",BN$3&gt;=$J49,BN$3&lt;=$M49),1,"")</f>
        <v/>
      </c>
      <c r="BO49">
        <f>IF(AND($A49&lt;&gt;"",BO$3&gt;=$J49,BO$3&lt;=$M49),1,"")</f>
        <v/>
      </c>
      <c r="BP49">
        <f>IF(AND($A49&lt;&gt;"",BP$3&gt;=$J49,BP$3&lt;=$M49),1,"")</f>
        <v/>
      </c>
      <c r="BQ49">
        <f>IF(AND($A49&lt;&gt;"",BQ$3&gt;=$J49,BQ$3&lt;=$M49),1,"")</f>
        <v/>
      </c>
      <c r="BR49">
        <f>IF(AND($A49&lt;&gt;"",BR$3&gt;=$J49,BR$3&lt;=$M49),1,"")</f>
        <v/>
      </c>
      <c r="BS49">
        <f>IF(AND($A49&lt;&gt;"",BS$3&gt;=$J49,BS$3&lt;=$M49),1,"")</f>
        <v/>
      </c>
      <c r="BT49">
        <f>IF(AND($A49&lt;&gt;"",BT$3&gt;=$J49,BT$3&lt;=$M49),1,"")</f>
        <v/>
      </c>
      <c r="BU49">
        <f>IF(AND($A49&lt;&gt;"",BU$3&gt;=$J49,BU$3&lt;=$M49),1,"")</f>
        <v/>
      </c>
      <c r="BV49">
        <f>IF(AND($A49&lt;&gt;"",BV$3&gt;=$J49,BV$3&lt;=$M49),1,"")</f>
        <v/>
      </c>
    </row>
    <row r="50">
      <c r="A50">
        <f>IF(Job_Master_Ring!$A50="","",Job_Master_Ring!$A50)</f>
        <v/>
      </c>
      <c r="B50">
        <f>IF($A50="","",Job_Master_Ring!B50)</f>
        <v/>
      </c>
      <c r="C50">
        <f>IF($A50="","",Job_Master_Ring!C50)</f>
        <v/>
      </c>
      <c r="D50">
        <f>IF($A50="","",Job_Master_Ring!D50)</f>
        <v/>
      </c>
      <c r="E50">
        <f>IF($A50="","",IF($I50&lt;&gt;"",$I50,IFERROR(INDEX(Machine_List!$B$87:$B$94,MATCH(1,(Machine_List!$H$87:$H$94&lt;=IFERROR(VLOOKUP($B50,CHOOSE(MATCH($C50,Settings!$L$4:$L$10,0),OPR_BR1!$A$4:$K$18,OPR_BR2!$A$4:$K$18,OPR_CR2!$A$4:$K$18,OPR_CR3!$A$4:$K$18,OPR_CR4!$A$4:$K$18,OPR_RIM!$A$4:$K$18,OPR_BPR!$A$4:$K$18),10,0),0))*(Machine_List!$I$87:$I$94&gt;=IFERROR(VLOOKUP($B50,CHOOSE(MATCH($C50,Settings!$L$4:$L$10,0),OPR_BR1!$A$4:$K$18,OPR_BR2!$A$4:$K$18,OPR_CR2!$A$4:$K$18,OPR_CR3!$A$4:$K$18,OPR_CR4!$A$4:$K$18,OPR_RIM!$A$4:$K$18,OPR_BPR!$A$4:$K$18),11,0),9999)),0)),"NO COMPATIBLE MACHINE")))</f>
        <v/>
      </c>
      <c r="F50">
        <f>IF($E50="","",IFERROR(VLOOKUP($E50,Machine_List!$B:$G,6,0),""))</f>
        <v/>
      </c>
      <c r="G50" s="17">
        <f>IF($E50="","",IFERROR(VLOOKUP($E50,Machine_List!$B:$C,2,0),""))</f>
        <v/>
      </c>
      <c r="H50">
        <f>IF($E50="","",IFERROR(VLOOKUP($E50,Machine_List!$B:$D,3,0),""))</f>
        <v/>
      </c>
      <c r="J50" s="16">
        <f>IF($A50="","",IF($I50&lt;&gt;"",$I50,MAX(GlobalStartDate,IFERROR(LOOKUP(2,1/($E$3:INDIRECT("E"&amp;(ROW()-1))=$E50),$M$3:INDIRECT("M"&amp;(ROW()-1))),GlobalStartDate))))</f>
        <v/>
      </c>
      <c r="K50">
        <f>IF($A50="","",IFERROR(VLOOKUP(B50,CHOOSE(MATCH($C50,Settings!$L$4:$L$10,0),OPR_BR1!$A$4:$I$18,OPR_BR2!$A$4:$I$18,OPR_CR2!$A$4:$I$18,OPR_CR3!$A$4:$I$18,OPR_CR4!$A$4:$I$18,OPR_RIM!$A$4:$I$18,OPR_BPR!$A$4:$I$18),2,0),0))</f>
        <v/>
      </c>
      <c r="L50">
        <f>IF($A50="","",K50*D50)</f>
        <v/>
      </c>
      <c r="M50" s="16">
        <f>IF($A50="","",IF(AND(ISNUMBER(G50),G50&gt;=J50,G50&lt;=(J50+(L50/(IF(F50="Contract Workman",Settings!$K$5,Settings!$K$4))))),J50+(L50/(IF(F50="Contract Workman",Settings!$K$5,Settings!$K$4)))+(H50/(IF(F50="Contract Workman",Settings!$K$5,Settings!$K$4))),J50+(L50/(IF(F50="Contract Workman",Settings!$K$5,Settings!$K$4)))))</f>
        <v/>
      </c>
      <c r="N50">
        <f>IF($A50="","",IF(F50="Contract Workman",IF(AND(MOD(M50,1)&gt;=8/24,MOD(M50,1)&lt;20/24),"Shift S1","Shift S2"),IF(AND(MOD(M50,1)&gt;=7/24,MOD(M50,1)&lt;15/24),"Shift A",IF(AND(MOD(M50,1)&gt;=15/24,MOD(M50,1)&lt;23/24),"Shift B","Shift C"))))</f>
        <v/>
      </c>
      <c r="O50">
        <f>IF(B50="","",IF(IFERROR(ISNUMBER(SEARCH(TEXT(B50,"0"),VLOOKUP(E50,Machine_List!$B:$J,9,0))),FALSE),"✅ "&amp;E50,"❌ ?"))</f>
        <v/>
      </c>
      <c r="P50">
        <f>IF(AND($A50&lt;&gt;"",P$3&gt;=$J50,P$3&lt;=$M50),1,"")</f>
        <v/>
      </c>
      <c r="Q50">
        <f>IF(AND($A50&lt;&gt;"",Q$3&gt;=$J50,Q$3&lt;=$M50),1,"")</f>
        <v/>
      </c>
      <c r="R50">
        <f>IF(AND($A50&lt;&gt;"",R$3&gt;=$J50,R$3&lt;=$M50),1,"")</f>
        <v/>
      </c>
      <c r="S50">
        <f>IF(AND($A50&lt;&gt;"",S$3&gt;=$J50,S$3&lt;=$M50),1,"")</f>
        <v/>
      </c>
      <c r="T50">
        <f>IF(AND($A50&lt;&gt;"",T$3&gt;=$J50,T$3&lt;=$M50),1,"")</f>
        <v/>
      </c>
      <c r="U50">
        <f>IF(AND($A50&lt;&gt;"",U$3&gt;=$J50,U$3&lt;=$M50),1,"")</f>
        <v/>
      </c>
      <c r="V50">
        <f>IF(AND($A50&lt;&gt;"",V$3&gt;=$J50,V$3&lt;=$M50),1,"")</f>
        <v/>
      </c>
      <c r="W50">
        <f>IF(AND($A50&lt;&gt;"",W$3&gt;=$J50,W$3&lt;=$M50),1,"")</f>
        <v/>
      </c>
      <c r="X50">
        <f>IF(AND($A50&lt;&gt;"",X$3&gt;=$J50,X$3&lt;=$M50),1,"")</f>
        <v/>
      </c>
      <c r="Y50">
        <f>IF(AND($A50&lt;&gt;"",Y$3&gt;=$J50,Y$3&lt;=$M50),1,"")</f>
        <v/>
      </c>
      <c r="Z50">
        <f>IF(AND($A50&lt;&gt;"",Z$3&gt;=$J50,Z$3&lt;=$M50),1,"")</f>
        <v/>
      </c>
      <c r="AA50">
        <f>IF(AND($A50&lt;&gt;"",AA$3&gt;=$J50,AA$3&lt;=$M50),1,"")</f>
        <v/>
      </c>
      <c r="AB50">
        <f>IF(AND($A50&lt;&gt;"",AB$3&gt;=$J50,AB$3&lt;=$M50),1,"")</f>
        <v/>
      </c>
      <c r="AC50">
        <f>IF(AND($A50&lt;&gt;"",AC$3&gt;=$J50,AC$3&lt;=$M50),1,"")</f>
        <v/>
      </c>
      <c r="AD50">
        <f>IF(AND($A50&lt;&gt;"",AD$3&gt;=$J50,AD$3&lt;=$M50),1,"")</f>
        <v/>
      </c>
      <c r="AE50">
        <f>IF(AND($A50&lt;&gt;"",AE$3&gt;=$J50,AE$3&lt;=$M50),1,"")</f>
        <v/>
      </c>
      <c r="AF50">
        <f>IF(AND($A50&lt;&gt;"",AF$3&gt;=$J50,AF$3&lt;=$M50),1,"")</f>
        <v/>
      </c>
      <c r="AG50">
        <f>IF(AND($A50&lt;&gt;"",AG$3&gt;=$J50,AG$3&lt;=$M50),1,"")</f>
        <v/>
      </c>
      <c r="AH50">
        <f>IF(AND($A50&lt;&gt;"",AH$3&gt;=$J50,AH$3&lt;=$M50),1,"")</f>
        <v/>
      </c>
      <c r="AI50">
        <f>IF(AND($A50&lt;&gt;"",AI$3&gt;=$J50,AI$3&lt;=$M50),1,"")</f>
        <v/>
      </c>
      <c r="AJ50">
        <f>IF(AND($A50&lt;&gt;"",AJ$3&gt;=$J50,AJ$3&lt;=$M50),1,"")</f>
        <v/>
      </c>
      <c r="AK50">
        <f>IF(AND($A50&lt;&gt;"",AK$3&gt;=$J50,AK$3&lt;=$M50),1,"")</f>
        <v/>
      </c>
      <c r="AL50">
        <f>IF(AND($A50&lt;&gt;"",AL$3&gt;=$J50,AL$3&lt;=$M50),1,"")</f>
        <v/>
      </c>
      <c r="AM50">
        <f>IF(AND($A50&lt;&gt;"",AM$3&gt;=$J50,AM$3&lt;=$M50),1,"")</f>
        <v/>
      </c>
      <c r="AN50">
        <f>IF(AND($A50&lt;&gt;"",AN$3&gt;=$J50,AN$3&lt;=$M50),1,"")</f>
        <v/>
      </c>
      <c r="AO50">
        <f>IF(AND($A50&lt;&gt;"",AO$3&gt;=$J50,AO$3&lt;=$M50),1,"")</f>
        <v/>
      </c>
      <c r="AP50">
        <f>IF(AND($A50&lt;&gt;"",AP$3&gt;=$J50,AP$3&lt;=$M50),1,"")</f>
        <v/>
      </c>
      <c r="AQ50">
        <f>IF(AND($A50&lt;&gt;"",AQ$3&gt;=$J50,AQ$3&lt;=$M50),1,"")</f>
        <v/>
      </c>
      <c r="AR50">
        <f>IF(AND($A50&lt;&gt;"",AR$3&gt;=$J50,AR$3&lt;=$M50),1,"")</f>
        <v/>
      </c>
      <c r="AS50">
        <f>IF(AND($A50&lt;&gt;"",AS$3&gt;=$J50,AS$3&lt;=$M50),1,"")</f>
        <v/>
      </c>
      <c r="AT50">
        <f>IF(AND($A50&lt;&gt;"",AT$3&gt;=$J50,AT$3&lt;=$M50),1,"")</f>
        <v/>
      </c>
      <c r="AU50">
        <f>IF(AND($A50&lt;&gt;"",AU$3&gt;=$J50,AU$3&lt;=$M50),1,"")</f>
        <v/>
      </c>
      <c r="AV50">
        <f>IF(AND($A50&lt;&gt;"",AV$3&gt;=$J50,AV$3&lt;=$M50),1,"")</f>
        <v/>
      </c>
      <c r="AW50">
        <f>IF(AND($A50&lt;&gt;"",AW$3&gt;=$J50,AW$3&lt;=$M50),1,"")</f>
        <v/>
      </c>
      <c r="AX50">
        <f>IF(AND($A50&lt;&gt;"",AX$3&gt;=$J50,AX$3&lt;=$M50),1,"")</f>
        <v/>
      </c>
      <c r="AY50">
        <f>IF(AND($A50&lt;&gt;"",AY$3&gt;=$J50,AY$3&lt;=$M50),1,"")</f>
        <v/>
      </c>
      <c r="AZ50">
        <f>IF(AND($A50&lt;&gt;"",AZ$3&gt;=$J50,AZ$3&lt;=$M50),1,"")</f>
        <v/>
      </c>
      <c r="BA50">
        <f>IF(AND($A50&lt;&gt;"",BA$3&gt;=$J50,BA$3&lt;=$M50),1,"")</f>
        <v/>
      </c>
      <c r="BB50">
        <f>IF(AND($A50&lt;&gt;"",BB$3&gt;=$J50,BB$3&lt;=$M50),1,"")</f>
        <v/>
      </c>
      <c r="BC50">
        <f>IF(AND($A50&lt;&gt;"",BC$3&gt;=$J50,BC$3&lt;=$M50),1,"")</f>
        <v/>
      </c>
      <c r="BD50">
        <f>IF(AND($A50&lt;&gt;"",BD$3&gt;=$J50,BD$3&lt;=$M50),1,"")</f>
        <v/>
      </c>
      <c r="BE50">
        <f>IF(AND($A50&lt;&gt;"",BE$3&gt;=$J50,BE$3&lt;=$M50),1,"")</f>
        <v/>
      </c>
      <c r="BF50">
        <f>IF(AND($A50&lt;&gt;"",BF$3&gt;=$J50,BF$3&lt;=$M50),1,"")</f>
        <v/>
      </c>
      <c r="BG50">
        <f>IF(AND($A50&lt;&gt;"",BG$3&gt;=$J50,BG$3&lt;=$M50),1,"")</f>
        <v/>
      </c>
      <c r="BH50">
        <f>IF(AND($A50&lt;&gt;"",BH$3&gt;=$J50,BH$3&lt;=$M50),1,"")</f>
        <v/>
      </c>
      <c r="BI50">
        <f>IF(AND($A50&lt;&gt;"",BI$3&gt;=$J50,BI$3&lt;=$M50),1,"")</f>
        <v/>
      </c>
      <c r="BJ50">
        <f>IF(AND($A50&lt;&gt;"",BJ$3&gt;=$J50,BJ$3&lt;=$M50),1,"")</f>
        <v/>
      </c>
      <c r="BK50">
        <f>IF(AND($A50&lt;&gt;"",BK$3&gt;=$J50,BK$3&lt;=$M50),1,"")</f>
        <v/>
      </c>
      <c r="BL50">
        <f>IF(AND($A50&lt;&gt;"",BL$3&gt;=$J50,BL$3&lt;=$M50),1,"")</f>
        <v/>
      </c>
      <c r="BM50">
        <f>IF(AND($A50&lt;&gt;"",BM$3&gt;=$J50,BM$3&lt;=$M50),1,"")</f>
        <v/>
      </c>
      <c r="BN50">
        <f>IF(AND($A50&lt;&gt;"",BN$3&gt;=$J50,BN$3&lt;=$M50),1,"")</f>
        <v/>
      </c>
      <c r="BO50">
        <f>IF(AND($A50&lt;&gt;"",BO$3&gt;=$J50,BO$3&lt;=$M50),1,"")</f>
        <v/>
      </c>
      <c r="BP50">
        <f>IF(AND($A50&lt;&gt;"",BP$3&gt;=$J50,BP$3&lt;=$M50),1,"")</f>
        <v/>
      </c>
      <c r="BQ50">
        <f>IF(AND($A50&lt;&gt;"",BQ$3&gt;=$J50,BQ$3&lt;=$M50),1,"")</f>
        <v/>
      </c>
      <c r="BR50">
        <f>IF(AND($A50&lt;&gt;"",BR$3&gt;=$J50,BR$3&lt;=$M50),1,"")</f>
        <v/>
      </c>
      <c r="BS50">
        <f>IF(AND($A50&lt;&gt;"",BS$3&gt;=$J50,BS$3&lt;=$M50),1,"")</f>
        <v/>
      </c>
      <c r="BT50">
        <f>IF(AND($A50&lt;&gt;"",BT$3&gt;=$J50,BT$3&lt;=$M50),1,"")</f>
        <v/>
      </c>
      <c r="BU50">
        <f>IF(AND($A50&lt;&gt;"",BU$3&gt;=$J50,BU$3&lt;=$M50),1,"")</f>
        <v/>
      </c>
      <c r="BV50">
        <f>IF(AND($A50&lt;&gt;"",BV$3&gt;=$J50,BV$3&lt;=$M50),1,"")</f>
        <v/>
      </c>
    </row>
    <row r="51">
      <c r="A51">
        <f>IF(Job_Master_Ring!$A51="","",Job_Master_Ring!$A51)</f>
        <v/>
      </c>
      <c r="B51">
        <f>IF($A51="","",Job_Master_Ring!B51)</f>
        <v/>
      </c>
      <c r="C51">
        <f>IF($A51="","",Job_Master_Ring!C51)</f>
        <v/>
      </c>
      <c r="D51">
        <f>IF($A51="","",Job_Master_Ring!D51)</f>
        <v/>
      </c>
      <c r="E51">
        <f>IF($A51="","",IF($I51&lt;&gt;"",$I51,IFERROR(INDEX(Machine_List!$B$87:$B$94,MATCH(1,(Machine_List!$H$87:$H$94&lt;=IFERROR(VLOOKUP($B51,CHOOSE(MATCH($C51,Settings!$L$4:$L$10,0),OPR_BR1!$A$4:$K$18,OPR_BR2!$A$4:$K$18,OPR_CR2!$A$4:$K$18,OPR_CR3!$A$4:$K$18,OPR_CR4!$A$4:$K$18,OPR_RIM!$A$4:$K$18,OPR_BPR!$A$4:$K$18),10,0),0))*(Machine_List!$I$87:$I$94&gt;=IFERROR(VLOOKUP($B51,CHOOSE(MATCH($C51,Settings!$L$4:$L$10,0),OPR_BR1!$A$4:$K$18,OPR_BR2!$A$4:$K$18,OPR_CR2!$A$4:$K$18,OPR_CR3!$A$4:$K$18,OPR_CR4!$A$4:$K$18,OPR_RIM!$A$4:$K$18,OPR_BPR!$A$4:$K$18),11,0),9999)),0)),"NO COMPATIBLE MACHINE")))</f>
        <v/>
      </c>
      <c r="F51">
        <f>IF($E51="","",IFERROR(VLOOKUP($E51,Machine_List!$B:$G,6,0),""))</f>
        <v/>
      </c>
      <c r="G51" s="17">
        <f>IF($E51="","",IFERROR(VLOOKUP($E51,Machine_List!$B:$C,2,0),""))</f>
        <v/>
      </c>
      <c r="H51">
        <f>IF($E51="","",IFERROR(VLOOKUP($E51,Machine_List!$B:$D,3,0),""))</f>
        <v/>
      </c>
      <c r="J51" s="16">
        <f>IF($A51="","",IF($I51&lt;&gt;"",$I51,MAX(GlobalStartDate,IFERROR(LOOKUP(2,1/($E$3:INDIRECT("E"&amp;(ROW()-1))=$E51),$M$3:INDIRECT("M"&amp;(ROW()-1))),GlobalStartDate))))</f>
        <v/>
      </c>
      <c r="K51">
        <f>IF($A51="","",IFERROR(VLOOKUP(B51,CHOOSE(MATCH($C51,Settings!$L$4:$L$10,0),OPR_BR1!$A$4:$I$18,OPR_BR2!$A$4:$I$18,OPR_CR2!$A$4:$I$18,OPR_CR3!$A$4:$I$18,OPR_CR4!$A$4:$I$18,OPR_RIM!$A$4:$I$18,OPR_BPR!$A$4:$I$18),2,0),0))</f>
        <v/>
      </c>
      <c r="L51">
        <f>IF($A51="","",K51*D51)</f>
        <v/>
      </c>
      <c r="M51" s="16">
        <f>IF($A51="","",IF(AND(ISNUMBER(G51),G51&gt;=J51,G51&lt;=(J51+(L51/(IF(F51="Contract Workman",Settings!$K$5,Settings!$K$4))))),J51+(L51/(IF(F51="Contract Workman",Settings!$K$5,Settings!$K$4)))+(H51/(IF(F51="Contract Workman",Settings!$K$5,Settings!$K$4))),J51+(L51/(IF(F51="Contract Workman",Settings!$K$5,Settings!$K$4)))))</f>
        <v/>
      </c>
      <c r="N51">
        <f>IF($A51="","",IF(F51="Contract Workman",IF(AND(MOD(M51,1)&gt;=8/24,MOD(M51,1)&lt;20/24),"Shift S1","Shift S2"),IF(AND(MOD(M51,1)&gt;=7/24,MOD(M51,1)&lt;15/24),"Shift A",IF(AND(MOD(M51,1)&gt;=15/24,MOD(M51,1)&lt;23/24),"Shift B","Shift C"))))</f>
        <v/>
      </c>
      <c r="O51">
        <f>IF(B51="","",IF(IFERROR(ISNUMBER(SEARCH(TEXT(B51,"0"),VLOOKUP(E51,Machine_List!$B:$J,9,0))),FALSE),"✅ "&amp;E51,"❌ ?"))</f>
        <v/>
      </c>
      <c r="P51">
        <f>IF(AND($A51&lt;&gt;"",P$3&gt;=$J51,P$3&lt;=$M51),1,"")</f>
        <v/>
      </c>
      <c r="Q51">
        <f>IF(AND($A51&lt;&gt;"",Q$3&gt;=$J51,Q$3&lt;=$M51),1,"")</f>
        <v/>
      </c>
      <c r="R51">
        <f>IF(AND($A51&lt;&gt;"",R$3&gt;=$J51,R$3&lt;=$M51),1,"")</f>
        <v/>
      </c>
      <c r="S51">
        <f>IF(AND($A51&lt;&gt;"",S$3&gt;=$J51,S$3&lt;=$M51),1,"")</f>
        <v/>
      </c>
      <c r="T51">
        <f>IF(AND($A51&lt;&gt;"",T$3&gt;=$J51,T$3&lt;=$M51),1,"")</f>
        <v/>
      </c>
      <c r="U51">
        <f>IF(AND($A51&lt;&gt;"",U$3&gt;=$J51,U$3&lt;=$M51),1,"")</f>
        <v/>
      </c>
      <c r="V51">
        <f>IF(AND($A51&lt;&gt;"",V$3&gt;=$J51,V$3&lt;=$M51),1,"")</f>
        <v/>
      </c>
      <c r="W51">
        <f>IF(AND($A51&lt;&gt;"",W$3&gt;=$J51,W$3&lt;=$M51),1,"")</f>
        <v/>
      </c>
      <c r="X51">
        <f>IF(AND($A51&lt;&gt;"",X$3&gt;=$J51,X$3&lt;=$M51),1,"")</f>
        <v/>
      </c>
      <c r="Y51">
        <f>IF(AND($A51&lt;&gt;"",Y$3&gt;=$J51,Y$3&lt;=$M51),1,"")</f>
        <v/>
      </c>
      <c r="Z51">
        <f>IF(AND($A51&lt;&gt;"",Z$3&gt;=$J51,Z$3&lt;=$M51),1,"")</f>
        <v/>
      </c>
      <c r="AA51">
        <f>IF(AND($A51&lt;&gt;"",AA$3&gt;=$J51,AA$3&lt;=$M51),1,"")</f>
        <v/>
      </c>
      <c r="AB51">
        <f>IF(AND($A51&lt;&gt;"",AB$3&gt;=$J51,AB$3&lt;=$M51),1,"")</f>
        <v/>
      </c>
      <c r="AC51">
        <f>IF(AND($A51&lt;&gt;"",AC$3&gt;=$J51,AC$3&lt;=$M51),1,"")</f>
        <v/>
      </c>
      <c r="AD51">
        <f>IF(AND($A51&lt;&gt;"",AD$3&gt;=$J51,AD$3&lt;=$M51),1,"")</f>
        <v/>
      </c>
      <c r="AE51">
        <f>IF(AND($A51&lt;&gt;"",AE$3&gt;=$J51,AE$3&lt;=$M51),1,"")</f>
        <v/>
      </c>
      <c r="AF51">
        <f>IF(AND($A51&lt;&gt;"",AF$3&gt;=$J51,AF$3&lt;=$M51),1,"")</f>
        <v/>
      </c>
      <c r="AG51">
        <f>IF(AND($A51&lt;&gt;"",AG$3&gt;=$J51,AG$3&lt;=$M51),1,"")</f>
        <v/>
      </c>
      <c r="AH51">
        <f>IF(AND($A51&lt;&gt;"",AH$3&gt;=$J51,AH$3&lt;=$M51),1,"")</f>
        <v/>
      </c>
      <c r="AI51">
        <f>IF(AND($A51&lt;&gt;"",AI$3&gt;=$J51,AI$3&lt;=$M51),1,"")</f>
        <v/>
      </c>
      <c r="AJ51">
        <f>IF(AND($A51&lt;&gt;"",AJ$3&gt;=$J51,AJ$3&lt;=$M51),1,"")</f>
        <v/>
      </c>
      <c r="AK51">
        <f>IF(AND($A51&lt;&gt;"",AK$3&gt;=$J51,AK$3&lt;=$M51),1,"")</f>
        <v/>
      </c>
      <c r="AL51">
        <f>IF(AND($A51&lt;&gt;"",AL$3&gt;=$J51,AL$3&lt;=$M51),1,"")</f>
        <v/>
      </c>
      <c r="AM51">
        <f>IF(AND($A51&lt;&gt;"",AM$3&gt;=$J51,AM$3&lt;=$M51),1,"")</f>
        <v/>
      </c>
      <c r="AN51">
        <f>IF(AND($A51&lt;&gt;"",AN$3&gt;=$J51,AN$3&lt;=$M51),1,"")</f>
        <v/>
      </c>
      <c r="AO51">
        <f>IF(AND($A51&lt;&gt;"",AO$3&gt;=$J51,AO$3&lt;=$M51),1,"")</f>
        <v/>
      </c>
      <c r="AP51">
        <f>IF(AND($A51&lt;&gt;"",AP$3&gt;=$J51,AP$3&lt;=$M51),1,"")</f>
        <v/>
      </c>
      <c r="AQ51">
        <f>IF(AND($A51&lt;&gt;"",AQ$3&gt;=$J51,AQ$3&lt;=$M51),1,"")</f>
        <v/>
      </c>
      <c r="AR51">
        <f>IF(AND($A51&lt;&gt;"",AR$3&gt;=$J51,AR$3&lt;=$M51),1,"")</f>
        <v/>
      </c>
      <c r="AS51">
        <f>IF(AND($A51&lt;&gt;"",AS$3&gt;=$J51,AS$3&lt;=$M51),1,"")</f>
        <v/>
      </c>
      <c r="AT51">
        <f>IF(AND($A51&lt;&gt;"",AT$3&gt;=$J51,AT$3&lt;=$M51),1,"")</f>
        <v/>
      </c>
      <c r="AU51">
        <f>IF(AND($A51&lt;&gt;"",AU$3&gt;=$J51,AU$3&lt;=$M51),1,"")</f>
        <v/>
      </c>
      <c r="AV51">
        <f>IF(AND($A51&lt;&gt;"",AV$3&gt;=$J51,AV$3&lt;=$M51),1,"")</f>
        <v/>
      </c>
      <c r="AW51">
        <f>IF(AND($A51&lt;&gt;"",AW$3&gt;=$J51,AW$3&lt;=$M51),1,"")</f>
        <v/>
      </c>
      <c r="AX51">
        <f>IF(AND($A51&lt;&gt;"",AX$3&gt;=$J51,AX$3&lt;=$M51),1,"")</f>
        <v/>
      </c>
      <c r="AY51">
        <f>IF(AND($A51&lt;&gt;"",AY$3&gt;=$J51,AY$3&lt;=$M51),1,"")</f>
        <v/>
      </c>
      <c r="AZ51">
        <f>IF(AND($A51&lt;&gt;"",AZ$3&gt;=$J51,AZ$3&lt;=$M51),1,"")</f>
        <v/>
      </c>
      <c r="BA51">
        <f>IF(AND($A51&lt;&gt;"",BA$3&gt;=$J51,BA$3&lt;=$M51),1,"")</f>
        <v/>
      </c>
      <c r="BB51">
        <f>IF(AND($A51&lt;&gt;"",BB$3&gt;=$J51,BB$3&lt;=$M51),1,"")</f>
        <v/>
      </c>
      <c r="BC51">
        <f>IF(AND($A51&lt;&gt;"",BC$3&gt;=$J51,BC$3&lt;=$M51),1,"")</f>
        <v/>
      </c>
      <c r="BD51">
        <f>IF(AND($A51&lt;&gt;"",BD$3&gt;=$J51,BD$3&lt;=$M51),1,"")</f>
        <v/>
      </c>
      <c r="BE51">
        <f>IF(AND($A51&lt;&gt;"",BE$3&gt;=$J51,BE$3&lt;=$M51),1,"")</f>
        <v/>
      </c>
      <c r="BF51">
        <f>IF(AND($A51&lt;&gt;"",BF$3&gt;=$J51,BF$3&lt;=$M51),1,"")</f>
        <v/>
      </c>
      <c r="BG51">
        <f>IF(AND($A51&lt;&gt;"",BG$3&gt;=$J51,BG$3&lt;=$M51),1,"")</f>
        <v/>
      </c>
      <c r="BH51">
        <f>IF(AND($A51&lt;&gt;"",BH$3&gt;=$J51,BH$3&lt;=$M51),1,"")</f>
        <v/>
      </c>
      <c r="BI51">
        <f>IF(AND($A51&lt;&gt;"",BI$3&gt;=$J51,BI$3&lt;=$M51),1,"")</f>
        <v/>
      </c>
      <c r="BJ51">
        <f>IF(AND($A51&lt;&gt;"",BJ$3&gt;=$J51,BJ$3&lt;=$M51),1,"")</f>
        <v/>
      </c>
      <c r="BK51">
        <f>IF(AND($A51&lt;&gt;"",BK$3&gt;=$J51,BK$3&lt;=$M51),1,"")</f>
        <v/>
      </c>
      <c r="BL51">
        <f>IF(AND($A51&lt;&gt;"",BL$3&gt;=$J51,BL$3&lt;=$M51),1,"")</f>
        <v/>
      </c>
      <c r="BM51">
        <f>IF(AND($A51&lt;&gt;"",BM$3&gt;=$J51,BM$3&lt;=$M51),1,"")</f>
        <v/>
      </c>
      <c r="BN51">
        <f>IF(AND($A51&lt;&gt;"",BN$3&gt;=$J51,BN$3&lt;=$M51),1,"")</f>
        <v/>
      </c>
      <c r="BO51">
        <f>IF(AND($A51&lt;&gt;"",BO$3&gt;=$J51,BO$3&lt;=$M51),1,"")</f>
        <v/>
      </c>
      <c r="BP51">
        <f>IF(AND($A51&lt;&gt;"",BP$3&gt;=$J51,BP$3&lt;=$M51),1,"")</f>
        <v/>
      </c>
      <c r="BQ51">
        <f>IF(AND($A51&lt;&gt;"",BQ$3&gt;=$J51,BQ$3&lt;=$M51),1,"")</f>
        <v/>
      </c>
      <c r="BR51">
        <f>IF(AND($A51&lt;&gt;"",BR$3&gt;=$J51,BR$3&lt;=$M51),1,"")</f>
        <v/>
      </c>
      <c r="BS51">
        <f>IF(AND($A51&lt;&gt;"",BS$3&gt;=$J51,BS$3&lt;=$M51),1,"")</f>
        <v/>
      </c>
      <c r="BT51">
        <f>IF(AND($A51&lt;&gt;"",BT$3&gt;=$J51,BT$3&lt;=$M51),1,"")</f>
        <v/>
      </c>
      <c r="BU51">
        <f>IF(AND($A51&lt;&gt;"",BU$3&gt;=$J51,BU$3&lt;=$M51),1,"")</f>
        <v/>
      </c>
      <c r="BV51">
        <f>IF(AND($A51&lt;&gt;"",BV$3&gt;=$J51,BV$3&lt;=$M51),1,"")</f>
        <v/>
      </c>
    </row>
    <row r="52">
      <c r="A52">
        <f>IF(Job_Master_Ring!$A52="","",Job_Master_Ring!$A52)</f>
        <v/>
      </c>
      <c r="B52">
        <f>IF($A52="","",Job_Master_Ring!B52)</f>
        <v/>
      </c>
      <c r="C52">
        <f>IF($A52="","",Job_Master_Ring!C52)</f>
        <v/>
      </c>
      <c r="D52">
        <f>IF($A52="","",Job_Master_Ring!D52)</f>
        <v/>
      </c>
      <c r="E52">
        <f>IF($A52="","",IF($I52&lt;&gt;"",$I52,IFERROR(INDEX(Machine_List!$B$87:$B$94,MATCH(1,(Machine_List!$H$87:$H$94&lt;=IFERROR(VLOOKUP($B52,CHOOSE(MATCH($C52,Settings!$L$4:$L$10,0),OPR_BR1!$A$4:$K$18,OPR_BR2!$A$4:$K$18,OPR_CR2!$A$4:$K$18,OPR_CR3!$A$4:$K$18,OPR_CR4!$A$4:$K$18,OPR_RIM!$A$4:$K$18,OPR_BPR!$A$4:$K$18),10,0),0))*(Machine_List!$I$87:$I$94&gt;=IFERROR(VLOOKUP($B52,CHOOSE(MATCH($C52,Settings!$L$4:$L$10,0),OPR_BR1!$A$4:$K$18,OPR_BR2!$A$4:$K$18,OPR_CR2!$A$4:$K$18,OPR_CR3!$A$4:$K$18,OPR_CR4!$A$4:$K$18,OPR_RIM!$A$4:$K$18,OPR_BPR!$A$4:$K$18),11,0),9999)),0)),"NO COMPATIBLE MACHINE")))</f>
        <v/>
      </c>
      <c r="F52">
        <f>IF($E52="","",IFERROR(VLOOKUP($E52,Machine_List!$B:$G,6,0),""))</f>
        <v/>
      </c>
      <c r="G52" s="17">
        <f>IF($E52="","",IFERROR(VLOOKUP($E52,Machine_List!$B:$C,2,0),""))</f>
        <v/>
      </c>
      <c r="H52">
        <f>IF($E52="","",IFERROR(VLOOKUP($E52,Machine_List!$B:$D,3,0),""))</f>
        <v/>
      </c>
      <c r="J52" s="16">
        <f>IF($A52="","",IF($I52&lt;&gt;"",$I52,MAX(GlobalStartDate,IFERROR(LOOKUP(2,1/($E$3:INDIRECT("E"&amp;(ROW()-1))=$E52),$M$3:INDIRECT("M"&amp;(ROW()-1))),GlobalStartDate))))</f>
        <v/>
      </c>
      <c r="K52">
        <f>IF($A52="","",IFERROR(VLOOKUP(B52,CHOOSE(MATCH($C52,Settings!$L$4:$L$10,0),OPR_BR1!$A$4:$I$18,OPR_BR2!$A$4:$I$18,OPR_CR2!$A$4:$I$18,OPR_CR3!$A$4:$I$18,OPR_CR4!$A$4:$I$18,OPR_RIM!$A$4:$I$18,OPR_BPR!$A$4:$I$18),2,0),0))</f>
        <v/>
      </c>
      <c r="L52">
        <f>IF($A52="","",K52*D52)</f>
        <v/>
      </c>
      <c r="M52" s="16">
        <f>IF($A52="","",IF(AND(ISNUMBER(G52),G52&gt;=J52,G52&lt;=(J52+(L52/(IF(F52="Contract Workman",Settings!$K$5,Settings!$K$4))))),J52+(L52/(IF(F52="Contract Workman",Settings!$K$5,Settings!$K$4)))+(H52/(IF(F52="Contract Workman",Settings!$K$5,Settings!$K$4))),J52+(L52/(IF(F52="Contract Workman",Settings!$K$5,Settings!$K$4)))))</f>
        <v/>
      </c>
      <c r="N52">
        <f>IF($A52="","",IF(F52="Contract Workman",IF(AND(MOD(M52,1)&gt;=8/24,MOD(M52,1)&lt;20/24),"Shift S1","Shift S2"),IF(AND(MOD(M52,1)&gt;=7/24,MOD(M52,1)&lt;15/24),"Shift A",IF(AND(MOD(M52,1)&gt;=15/24,MOD(M52,1)&lt;23/24),"Shift B","Shift C"))))</f>
        <v/>
      </c>
      <c r="O52">
        <f>IF(B52="","",IF(IFERROR(ISNUMBER(SEARCH(TEXT(B52,"0"),VLOOKUP(E52,Machine_List!$B:$J,9,0))),FALSE),"✅ "&amp;E52,"❌ ?"))</f>
        <v/>
      </c>
      <c r="P52">
        <f>IF(AND($A52&lt;&gt;"",P$3&gt;=$J52,P$3&lt;=$M52),1,"")</f>
        <v/>
      </c>
      <c r="Q52">
        <f>IF(AND($A52&lt;&gt;"",Q$3&gt;=$J52,Q$3&lt;=$M52),1,"")</f>
        <v/>
      </c>
      <c r="R52">
        <f>IF(AND($A52&lt;&gt;"",R$3&gt;=$J52,R$3&lt;=$M52),1,"")</f>
        <v/>
      </c>
      <c r="S52">
        <f>IF(AND($A52&lt;&gt;"",S$3&gt;=$J52,S$3&lt;=$M52),1,"")</f>
        <v/>
      </c>
      <c r="T52">
        <f>IF(AND($A52&lt;&gt;"",T$3&gt;=$J52,T$3&lt;=$M52),1,"")</f>
        <v/>
      </c>
      <c r="U52">
        <f>IF(AND($A52&lt;&gt;"",U$3&gt;=$J52,U$3&lt;=$M52),1,"")</f>
        <v/>
      </c>
      <c r="V52">
        <f>IF(AND($A52&lt;&gt;"",V$3&gt;=$J52,V$3&lt;=$M52),1,"")</f>
        <v/>
      </c>
      <c r="W52">
        <f>IF(AND($A52&lt;&gt;"",W$3&gt;=$J52,W$3&lt;=$M52),1,"")</f>
        <v/>
      </c>
      <c r="X52">
        <f>IF(AND($A52&lt;&gt;"",X$3&gt;=$J52,X$3&lt;=$M52),1,"")</f>
        <v/>
      </c>
      <c r="Y52">
        <f>IF(AND($A52&lt;&gt;"",Y$3&gt;=$J52,Y$3&lt;=$M52),1,"")</f>
        <v/>
      </c>
      <c r="Z52">
        <f>IF(AND($A52&lt;&gt;"",Z$3&gt;=$J52,Z$3&lt;=$M52),1,"")</f>
        <v/>
      </c>
      <c r="AA52">
        <f>IF(AND($A52&lt;&gt;"",AA$3&gt;=$J52,AA$3&lt;=$M52),1,"")</f>
        <v/>
      </c>
      <c r="AB52">
        <f>IF(AND($A52&lt;&gt;"",AB$3&gt;=$J52,AB$3&lt;=$M52),1,"")</f>
        <v/>
      </c>
      <c r="AC52">
        <f>IF(AND($A52&lt;&gt;"",AC$3&gt;=$J52,AC$3&lt;=$M52),1,"")</f>
        <v/>
      </c>
      <c r="AD52">
        <f>IF(AND($A52&lt;&gt;"",AD$3&gt;=$J52,AD$3&lt;=$M52),1,"")</f>
        <v/>
      </c>
      <c r="AE52">
        <f>IF(AND($A52&lt;&gt;"",AE$3&gt;=$J52,AE$3&lt;=$M52),1,"")</f>
        <v/>
      </c>
      <c r="AF52">
        <f>IF(AND($A52&lt;&gt;"",AF$3&gt;=$J52,AF$3&lt;=$M52),1,"")</f>
        <v/>
      </c>
      <c r="AG52">
        <f>IF(AND($A52&lt;&gt;"",AG$3&gt;=$J52,AG$3&lt;=$M52),1,"")</f>
        <v/>
      </c>
      <c r="AH52">
        <f>IF(AND($A52&lt;&gt;"",AH$3&gt;=$J52,AH$3&lt;=$M52),1,"")</f>
        <v/>
      </c>
      <c r="AI52">
        <f>IF(AND($A52&lt;&gt;"",AI$3&gt;=$J52,AI$3&lt;=$M52),1,"")</f>
        <v/>
      </c>
      <c r="AJ52">
        <f>IF(AND($A52&lt;&gt;"",AJ$3&gt;=$J52,AJ$3&lt;=$M52),1,"")</f>
        <v/>
      </c>
      <c r="AK52">
        <f>IF(AND($A52&lt;&gt;"",AK$3&gt;=$J52,AK$3&lt;=$M52),1,"")</f>
        <v/>
      </c>
      <c r="AL52">
        <f>IF(AND($A52&lt;&gt;"",AL$3&gt;=$J52,AL$3&lt;=$M52),1,"")</f>
        <v/>
      </c>
      <c r="AM52">
        <f>IF(AND($A52&lt;&gt;"",AM$3&gt;=$J52,AM$3&lt;=$M52),1,"")</f>
        <v/>
      </c>
      <c r="AN52">
        <f>IF(AND($A52&lt;&gt;"",AN$3&gt;=$J52,AN$3&lt;=$M52),1,"")</f>
        <v/>
      </c>
      <c r="AO52">
        <f>IF(AND($A52&lt;&gt;"",AO$3&gt;=$J52,AO$3&lt;=$M52),1,"")</f>
        <v/>
      </c>
      <c r="AP52">
        <f>IF(AND($A52&lt;&gt;"",AP$3&gt;=$J52,AP$3&lt;=$M52),1,"")</f>
        <v/>
      </c>
      <c r="AQ52">
        <f>IF(AND($A52&lt;&gt;"",AQ$3&gt;=$J52,AQ$3&lt;=$M52),1,"")</f>
        <v/>
      </c>
      <c r="AR52">
        <f>IF(AND($A52&lt;&gt;"",AR$3&gt;=$J52,AR$3&lt;=$M52),1,"")</f>
        <v/>
      </c>
      <c r="AS52">
        <f>IF(AND($A52&lt;&gt;"",AS$3&gt;=$J52,AS$3&lt;=$M52),1,"")</f>
        <v/>
      </c>
      <c r="AT52">
        <f>IF(AND($A52&lt;&gt;"",AT$3&gt;=$J52,AT$3&lt;=$M52),1,"")</f>
        <v/>
      </c>
      <c r="AU52">
        <f>IF(AND($A52&lt;&gt;"",AU$3&gt;=$J52,AU$3&lt;=$M52),1,"")</f>
        <v/>
      </c>
      <c r="AV52">
        <f>IF(AND($A52&lt;&gt;"",AV$3&gt;=$J52,AV$3&lt;=$M52),1,"")</f>
        <v/>
      </c>
      <c r="AW52">
        <f>IF(AND($A52&lt;&gt;"",AW$3&gt;=$J52,AW$3&lt;=$M52),1,"")</f>
        <v/>
      </c>
      <c r="AX52">
        <f>IF(AND($A52&lt;&gt;"",AX$3&gt;=$J52,AX$3&lt;=$M52),1,"")</f>
        <v/>
      </c>
      <c r="AY52">
        <f>IF(AND($A52&lt;&gt;"",AY$3&gt;=$J52,AY$3&lt;=$M52),1,"")</f>
        <v/>
      </c>
      <c r="AZ52">
        <f>IF(AND($A52&lt;&gt;"",AZ$3&gt;=$J52,AZ$3&lt;=$M52),1,"")</f>
        <v/>
      </c>
      <c r="BA52">
        <f>IF(AND($A52&lt;&gt;"",BA$3&gt;=$J52,BA$3&lt;=$M52),1,"")</f>
        <v/>
      </c>
      <c r="BB52">
        <f>IF(AND($A52&lt;&gt;"",BB$3&gt;=$J52,BB$3&lt;=$M52),1,"")</f>
        <v/>
      </c>
      <c r="BC52">
        <f>IF(AND($A52&lt;&gt;"",BC$3&gt;=$J52,BC$3&lt;=$M52),1,"")</f>
        <v/>
      </c>
      <c r="BD52">
        <f>IF(AND($A52&lt;&gt;"",BD$3&gt;=$J52,BD$3&lt;=$M52),1,"")</f>
        <v/>
      </c>
      <c r="BE52">
        <f>IF(AND($A52&lt;&gt;"",BE$3&gt;=$J52,BE$3&lt;=$M52),1,"")</f>
        <v/>
      </c>
      <c r="BF52">
        <f>IF(AND($A52&lt;&gt;"",BF$3&gt;=$J52,BF$3&lt;=$M52),1,"")</f>
        <v/>
      </c>
      <c r="BG52">
        <f>IF(AND($A52&lt;&gt;"",BG$3&gt;=$J52,BG$3&lt;=$M52),1,"")</f>
        <v/>
      </c>
      <c r="BH52">
        <f>IF(AND($A52&lt;&gt;"",BH$3&gt;=$J52,BH$3&lt;=$M52),1,"")</f>
        <v/>
      </c>
      <c r="BI52">
        <f>IF(AND($A52&lt;&gt;"",BI$3&gt;=$J52,BI$3&lt;=$M52),1,"")</f>
        <v/>
      </c>
      <c r="BJ52">
        <f>IF(AND($A52&lt;&gt;"",BJ$3&gt;=$J52,BJ$3&lt;=$M52),1,"")</f>
        <v/>
      </c>
      <c r="BK52">
        <f>IF(AND($A52&lt;&gt;"",BK$3&gt;=$J52,BK$3&lt;=$M52),1,"")</f>
        <v/>
      </c>
      <c r="BL52">
        <f>IF(AND($A52&lt;&gt;"",BL$3&gt;=$J52,BL$3&lt;=$M52),1,"")</f>
        <v/>
      </c>
      <c r="BM52">
        <f>IF(AND($A52&lt;&gt;"",BM$3&gt;=$J52,BM$3&lt;=$M52),1,"")</f>
        <v/>
      </c>
      <c r="BN52">
        <f>IF(AND($A52&lt;&gt;"",BN$3&gt;=$J52,BN$3&lt;=$M52),1,"")</f>
        <v/>
      </c>
      <c r="BO52">
        <f>IF(AND($A52&lt;&gt;"",BO$3&gt;=$J52,BO$3&lt;=$M52),1,"")</f>
        <v/>
      </c>
      <c r="BP52">
        <f>IF(AND($A52&lt;&gt;"",BP$3&gt;=$J52,BP$3&lt;=$M52),1,"")</f>
        <v/>
      </c>
      <c r="BQ52">
        <f>IF(AND($A52&lt;&gt;"",BQ$3&gt;=$J52,BQ$3&lt;=$M52),1,"")</f>
        <v/>
      </c>
      <c r="BR52">
        <f>IF(AND($A52&lt;&gt;"",BR$3&gt;=$J52,BR$3&lt;=$M52),1,"")</f>
        <v/>
      </c>
      <c r="BS52">
        <f>IF(AND($A52&lt;&gt;"",BS$3&gt;=$J52,BS$3&lt;=$M52),1,"")</f>
        <v/>
      </c>
      <c r="BT52">
        <f>IF(AND($A52&lt;&gt;"",BT$3&gt;=$J52,BT$3&lt;=$M52),1,"")</f>
        <v/>
      </c>
      <c r="BU52">
        <f>IF(AND($A52&lt;&gt;"",BU$3&gt;=$J52,BU$3&lt;=$M52),1,"")</f>
        <v/>
      </c>
      <c r="BV52">
        <f>IF(AND($A52&lt;&gt;"",BV$3&gt;=$J52,BV$3&lt;=$M52),1,"")</f>
        <v/>
      </c>
    </row>
    <row r="53">
      <c r="A53">
        <f>IF(Job_Master_Ring!$A53="","",Job_Master_Ring!$A53)</f>
        <v/>
      </c>
      <c r="B53">
        <f>IF($A53="","",Job_Master_Ring!B53)</f>
        <v/>
      </c>
      <c r="C53">
        <f>IF($A53="","",Job_Master_Ring!C53)</f>
        <v/>
      </c>
      <c r="D53">
        <f>IF($A53="","",Job_Master_Ring!D53)</f>
        <v/>
      </c>
      <c r="E53">
        <f>IF($A53="","",IF($I53&lt;&gt;"",$I53,IFERROR(INDEX(Machine_List!$B$87:$B$94,MATCH(1,(Machine_List!$H$87:$H$94&lt;=IFERROR(VLOOKUP($B53,CHOOSE(MATCH($C53,Settings!$L$4:$L$10,0),OPR_BR1!$A$4:$K$18,OPR_BR2!$A$4:$K$18,OPR_CR2!$A$4:$K$18,OPR_CR3!$A$4:$K$18,OPR_CR4!$A$4:$K$18,OPR_RIM!$A$4:$K$18,OPR_BPR!$A$4:$K$18),10,0),0))*(Machine_List!$I$87:$I$94&gt;=IFERROR(VLOOKUP($B53,CHOOSE(MATCH($C53,Settings!$L$4:$L$10,0),OPR_BR1!$A$4:$K$18,OPR_BR2!$A$4:$K$18,OPR_CR2!$A$4:$K$18,OPR_CR3!$A$4:$K$18,OPR_CR4!$A$4:$K$18,OPR_RIM!$A$4:$K$18,OPR_BPR!$A$4:$K$18),11,0),9999)),0)),"NO COMPATIBLE MACHINE")))</f>
        <v/>
      </c>
      <c r="F53">
        <f>IF($E53="","",IFERROR(VLOOKUP($E53,Machine_List!$B:$G,6,0),""))</f>
        <v/>
      </c>
      <c r="G53" s="17">
        <f>IF($E53="","",IFERROR(VLOOKUP($E53,Machine_List!$B:$C,2,0),""))</f>
        <v/>
      </c>
      <c r="H53">
        <f>IF($E53="","",IFERROR(VLOOKUP($E53,Machine_List!$B:$D,3,0),""))</f>
        <v/>
      </c>
      <c r="J53" s="16">
        <f>IF($A53="","",IF($I53&lt;&gt;"",$I53,MAX(GlobalStartDate,IFERROR(LOOKUP(2,1/($E$3:INDIRECT("E"&amp;(ROW()-1))=$E53),$M$3:INDIRECT("M"&amp;(ROW()-1))),GlobalStartDate))))</f>
        <v/>
      </c>
      <c r="K53">
        <f>IF($A53="","",IFERROR(VLOOKUP(B53,CHOOSE(MATCH($C53,Settings!$L$4:$L$10,0),OPR_BR1!$A$4:$I$18,OPR_BR2!$A$4:$I$18,OPR_CR2!$A$4:$I$18,OPR_CR3!$A$4:$I$18,OPR_CR4!$A$4:$I$18,OPR_RIM!$A$4:$I$18,OPR_BPR!$A$4:$I$18),2,0),0))</f>
        <v/>
      </c>
      <c r="L53">
        <f>IF($A53="","",K53*D53)</f>
        <v/>
      </c>
      <c r="M53" s="16">
        <f>IF($A53="","",IF(AND(ISNUMBER(G53),G53&gt;=J53,G53&lt;=(J53+(L53/(IF(F53="Contract Workman",Settings!$K$5,Settings!$K$4))))),J53+(L53/(IF(F53="Contract Workman",Settings!$K$5,Settings!$K$4)))+(H53/(IF(F53="Contract Workman",Settings!$K$5,Settings!$K$4))),J53+(L53/(IF(F53="Contract Workman",Settings!$K$5,Settings!$K$4)))))</f>
        <v/>
      </c>
      <c r="N53">
        <f>IF($A53="","",IF(F53="Contract Workman",IF(AND(MOD(M53,1)&gt;=8/24,MOD(M53,1)&lt;20/24),"Shift S1","Shift S2"),IF(AND(MOD(M53,1)&gt;=7/24,MOD(M53,1)&lt;15/24),"Shift A",IF(AND(MOD(M53,1)&gt;=15/24,MOD(M53,1)&lt;23/24),"Shift B","Shift C"))))</f>
        <v/>
      </c>
      <c r="O53">
        <f>IF(B53="","",IF(IFERROR(ISNUMBER(SEARCH(TEXT(B53,"0"),VLOOKUP(E53,Machine_List!$B:$J,9,0))),FALSE),"✅ "&amp;E53,"❌ ?"))</f>
        <v/>
      </c>
      <c r="P53">
        <f>IF(AND($A53&lt;&gt;"",P$3&gt;=$J53,P$3&lt;=$M53),1,"")</f>
        <v/>
      </c>
      <c r="Q53">
        <f>IF(AND($A53&lt;&gt;"",Q$3&gt;=$J53,Q$3&lt;=$M53),1,"")</f>
        <v/>
      </c>
      <c r="R53">
        <f>IF(AND($A53&lt;&gt;"",R$3&gt;=$J53,R$3&lt;=$M53),1,"")</f>
        <v/>
      </c>
      <c r="S53">
        <f>IF(AND($A53&lt;&gt;"",S$3&gt;=$J53,S$3&lt;=$M53),1,"")</f>
        <v/>
      </c>
      <c r="T53">
        <f>IF(AND($A53&lt;&gt;"",T$3&gt;=$J53,T$3&lt;=$M53),1,"")</f>
        <v/>
      </c>
      <c r="U53">
        <f>IF(AND($A53&lt;&gt;"",U$3&gt;=$J53,U$3&lt;=$M53),1,"")</f>
        <v/>
      </c>
      <c r="V53">
        <f>IF(AND($A53&lt;&gt;"",V$3&gt;=$J53,V$3&lt;=$M53),1,"")</f>
        <v/>
      </c>
      <c r="W53">
        <f>IF(AND($A53&lt;&gt;"",W$3&gt;=$J53,W$3&lt;=$M53),1,"")</f>
        <v/>
      </c>
      <c r="X53">
        <f>IF(AND($A53&lt;&gt;"",X$3&gt;=$J53,X$3&lt;=$M53),1,"")</f>
        <v/>
      </c>
      <c r="Y53">
        <f>IF(AND($A53&lt;&gt;"",Y$3&gt;=$J53,Y$3&lt;=$M53),1,"")</f>
        <v/>
      </c>
      <c r="Z53">
        <f>IF(AND($A53&lt;&gt;"",Z$3&gt;=$J53,Z$3&lt;=$M53),1,"")</f>
        <v/>
      </c>
      <c r="AA53">
        <f>IF(AND($A53&lt;&gt;"",AA$3&gt;=$J53,AA$3&lt;=$M53),1,"")</f>
        <v/>
      </c>
      <c r="AB53">
        <f>IF(AND($A53&lt;&gt;"",AB$3&gt;=$J53,AB$3&lt;=$M53),1,"")</f>
        <v/>
      </c>
      <c r="AC53">
        <f>IF(AND($A53&lt;&gt;"",AC$3&gt;=$J53,AC$3&lt;=$M53),1,"")</f>
        <v/>
      </c>
      <c r="AD53">
        <f>IF(AND($A53&lt;&gt;"",AD$3&gt;=$J53,AD$3&lt;=$M53),1,"")</f>
        <v/>
      </c>
      <c r="AE53">
        <f>IF(AND($A53&lt;&gt;"",AE$3&gt;=$J53,AE$3&lt;=$M53),1,"")</f>
        <v/>
      </c>
      <c r="AF53">
        <f>IF(AND($A53&lt;&gt;"",AF$3&gt;=$J53,AF$3&lt;=$M53),1,"")</f>
        <v/>
      </c>
      <c r="AG53">
        <f>IF(AND($A53&lt;&gt;"",AG$3&gt;=$J53,AG$3&lt;=$M53),1,"")</f>
        <v/>
      </c>
      <c r="AH53">
        <f>IF(AND($A53&lt;&gt;"",AH$3&gt;=$J53,AH$3&lt;=$M53),1,"")</f>
        <v/>
      </c>
      <c r="AI53">
        <f>IF(AND($A53&lt;&gt;"",AI$3&gt;=$J53,AI$3&lt;=$M53),1,"")</f>
        <v/>
      </c>
      <c r="AJ53">
        <f>IF(AND($A53&lt;&gt;"",AJ$3&gt;=$J53,AJ$3&lt;=$M53),1,"")</f>
        <v/>
      </c>
      <c r="AK53">
        <f>IF(AND($A53&lt;&gt;"",AK$3&gt;=$J53,AK$3&lt;=$M53),1,"")</f>
        <v/>
      </c>
      <c r="AL53">
        <f>IF(AND($A53&lt;&gt;"",AL$3&gt;=$J53,AL$3&lt;=$M53),1,"")</f>
        <v/>
      </c>
      <c r="AM53">
        <f>IF(AND($A53&lt;&gt;"",AM$3&gt;=$J53,AM$3&lt;=$M53),1,"")</f>
        <v/>
      </c>
      <c r="AN53">
        <f>IF(AND($A53&lt;&gt;"",AN$3&gt;=$J53,AN$3&lt;=$M53),1,"")</f>
        <v/>
      </c>
      <c r="AO53">
        <f>IF(AND($A53&lt;&gt;"",AO$3&gt;=$J53,AO$3&lt;=$M53),1,"")</f>
        <v/>
      </c>
      <c r="AP53">
        <f>IF(AND($A53&lt;&gt;"",AP$3&gt;=$J53,AP$3&lt;=$M53),1,"")</f>
        <v/>
      </c>
      <c r="AQ53">
        <f>IF(AND($A53&lt;&gt;"",AQ$3&gt;=$J53,AQ$3&lt;=$M53),1,"")</f>
        <v/>
      </c>
      <c r="AR53">
        <f>IF(AND($A53&lt;&gt;"",AR$3&gt;=$J53,AR$3&lt;=$M53),1,"")</f>
        <v/>
      </c>
      <c r="AS53">
        <f>IF(AND($A53&lt;&gt;"",AS$3&gt;=$J53,AS$3&lt;=$M53),1,"")</f>
        <v/>
      </c>
      <c r="AT53">
        <f>IF(AND($A53&lt;&gt;"",AT$3&gt;=$J53,AT$3&lt;=$M53),1,"")</f>
        <v/>
      </c>
      <c r="AU53">
        <f>IF(AND($A53&lt;&gt;"",AU$3&gt;=$J53,AU$3&lt;=$M53),1,"")</f>
        <v/>
      </c>
      <c r="AV53">
        <f>IF(AND($A53&lt;&gt;"",AV$3&gt;=$J53,AV$3&lt;=$M53),1,"")</f>
        <v/>
      </c>
      <c r="AW53">
        <f>IF(AND($A53&lt;&gt;"",AW$3&gt;=$J53,AW$3&lt;=$M53),1,"")</f>
        <v/>
      </c>
      <c r="AX53">
        <f>IF(AND($A53&lt;&gt;"",AX$3&gt;=$J53,AX$3&lt;=$M53),1,"")</f>
        <v/>
      </c>
      <c r="AY53">
        <f>IF(AND($A53&lt;&gt;"",AY$3&gt;=$J53,AY$3&lt;=$M53),1,"")</f>
        <v/>
      </c>
      <c r="AZ53">
        <f>IF(AND($A53&lt;&gt;"",AZ$3&gt;=$J53,AZ$3&lt;=$M53),1,"")</f>
        <v/>
      </c>
      <c r="BA53">
        <f>IF(AND($A53&lt;&gt;"",BA$3&gt;=$J53,BA$3&lt;=$M53),1,"")</f>
        <v/>
      </c>
      <c r="BB53">
        <f>IF(AND($A53&lt;&gt;"",BB$3&gt;=$J53,BB$3&lt;=$M53),1,"")</f>
        <v/>
      </c>
      <c r="BC53">
        <f>IF(AND($A53&lt;&gt;"",BC$3&gt;=$J53,BC$3&lt;=$M53),1,"")</f>
        <v/>
      </c>
      <c r="BD53">
        <f>IF(AND($A53&lt;&gt;"",BD$3&gt;=$J53,BD$3&lt;=$M53),1,"")</f>
        <v/>
      </c>
      <c r="BE53">
        <f>IF(AND($A53&lt;&gt;"",BE$3&gt;=$J53,BE$3&lt;=$M53),1,"")</f>
        <v/>
      </c>
      <c r="BF53">
        <f>IF(AND($A53&lt;&gt;"",BF$3&gt;=$J53,BF$3&lt;=$M53),1,"")</f>
        <v/>
      </c>
      <c r="BG53">
        <f>IF(AND($A53&lt;&gt;"",BG$3&gt;=$J53,BG$3&lt;=$M53),1,"")</f>
        <v/>
      </c>
      <c r="BH53">
        <f>IF(AND($A53&lt;&gt;"",BH$3&gt;=$J53,BH$3&lt;=$M53),1,"")</f>
        <v/>
      </c>
      <c r="BI53">
        <f>IF(AND($A53&lt;&gt;"",BI$3&gt;=$J53,BI$3&lt;=$M53),1,"")</f>
        <v/>
      </c>
      <c r="BJ53">
        <f>IF(AND($A53&lt;&gt;"",BJ$3&gt;=$J53,BJ$3&lt;=$M53),1,"")</f>
        <v/>
      </c>
      <c r="BK53">
        <f>IF(AND($A53&lt;&gt;"",BK$3&gt;=$J53,BK$3&lt;=$M53),1,"")</f>
        <v/>
      </c>
      <c r="BL53">
        <f>IF(AND($A53&lt;&gt;"",BL$3&gt;=$J53,BL$3&lt;=$M53),1,"")</f>
        <v/>
      </c>
      <c r="BM53">
        <f>IF(AND($A53&lt;&gt;"",BM$3&gt;=$J53,BM$3&lt;=$M53),1,"")</f>
        <v/>
      </c>
      <c r="BN53">
        <f>IF(AND($A53&lt;&gt;"",BN$3&gt;=$J53,BN$3&lt;=$M53),1,"")</f>
        <v/>
      </c>
      <c r="BO53">
        <f>IF(AND($A53&lt;&gt;"",BO$3&gt;=$J53,BO$3&lt;=$M53),1,"")</f>
        <v/>
      </c>
      <c r="BP53">
        <f>IF(AND($A53&lt;&gt;"",BP$3&gt;=$J53,BP$3&lt;=$M53),1,"")</f>
        <v/>
      </c>
      <c r="BQ53">
        <f>IF(AND($A53&lt;&gt;"",BQ$3&gt;=$J53,BQ$3&lt;=$M53),1,"")</f>
        <v/>
      </c>
      <c r="BR53">
        <f>IF(AND($A53&lt;&gt;"",BR$3&gt;=$J53,BR$3&lt;=$M53),1,"")</f>
        <v/>
      </c>
      <c r="BS53">
        <f>IF(AND($A53&lt;&gt;"",BS$3&gt;=$J53,BS$3&lt;=$M53),1,"")</f>
        <v/>
      </c>
      <c r="BT53">
        <f>IF(AND($A53&lt;&gt;"",BT$3&gt;=$J53,BT$3&lt;=$M53),1,"")</f>
        <v/>
      </c>
      <c r="BU53">
        <f>IF(AND($A53&lt;&gt;"",BU$3&gt;=$J53,BU$3&lt;=$M53),1,"")</f>
        <v/>
      </c>
      <c r="BV53">
        <f>IF(AND($A53&lt;&gt;"",BV$3&gt;=$J53,BV$3&lt;=$M53),1,"")</f>
        <v/>
      </c>
    </row>
    <row r="54">
      <c r="A54">
        <f>IF(Job_Master_Ring!$A54="","",Job_Master_Ring!$A54)</f>
        <v/>
      </c>
      <c r="B54">
        <f>IF($A54="","",Job_Master_Ring!B54)</f>
        <v/>
      </c>
      <c r="C54">
        <f>IF($A54="","",Job_Master_Ring!C54)</f>
        <v/>
      </c>
      <c r="D54">
        <f>IF($A54="","",Job_Master_Ring!D54)</f>
        <v/>
      </c>
      <c r="E54">
        <f>IF($A54="","",IF($I54&lt;&gt;"",$I54,IFERROR(INDEX(Machine_List!$B$87:$B$94,MATCH(1,(Machine_List!$H$87:$H$94&lt;=IFERROR(VLOOKUP($B54,CHOOSE(MATCH($C54,Settings!$L$4:$L$10,0),OPR_BR1!$A$4:$K$18,OPR_BR2!$A$4:$K$18,OPR_CR2!$A$4:$K$18,OPR_CR3!$A$4:$K$18,OPR_CR4!$A$4:$K$18,OPR_RIM!$A$4:$K$18,OPR_BPR!$A$4:$K$18),10,0),0))*(Machine_List!$I$87:$I$94&gt;=IFERROR(VLOOKUP($B54,CHOOSE(MATCH($C54,Settings!$L$4:$L$10,0),OPR_BR1!$A$4:$K$18,OPR_BR2!$A$4:$K$18,OPR_CR2!$A$4:$K$18,OPR_CR3!$A$4:$K$18,OPR_CR4!$A$4:$K$18,OPR_RIM!$A$4:$K$18,OPR_BPR!$A$4:$K$18),11,0),9999)),0)),"NO COMPATIBLE MACHINE")))</f>
        <v/>
      </c>
      <c r="F54">
        <f>IF($E54="","",IFERROR(VLOOKUP($E54,Machine_List!$B:$G,6,0),""))</f>
        <v/>
      </c>
      <c r="G54" s="17">
        <f>IF($E54="","",IFERROR(VLOOKUP($E54,Machine_List!$B:$C,2,0),""))</f>
        <v/>
      </c>
      <c r="H54">
        <f>IF($E54="","",IFERROR(VLOOKUP($E54,Machine_List!$B:$D,3,0),""))</f>
        <v/>
      </c>
      <c r="J54" s="16">
        <f>IF($A54="","",IF($I54&lt;&gt;"",$I54,MAX(GlobalStartDate,IFERROR(LOOKUP(2,1/($E$3:INDIRECT("E"&amp;(ROW()-1))=$E54),$M$3:INDIRECT("M"&amp;(ROW()-1))),GlobalStartDate))))</f>
        <v/>
      </c>
      <c r="K54">
        <f>IF($A54="","",IFERROR(VLOOKUP(B54,CHOOSE(MATCH($C54,Settings!$L$4:$L$10,0),OPR_BR1!$A$4:$I$18,OPR_BR2!$A$4:$I$18,OPR_CR2!$A$4:$I$18,OPR_CR3!$A$4:$I$18,OPR_CR4!$A$4:$I$18,OPR_RIM!$A$4:$I$18,OPR_BPR!$A$4:$I$18),2,0),0))</f>
        <v/>
      </c>
      <c r="L54">
        <f>IF($A54="","",K54*D54)</f>
        <v/>
      </c>
      <c r="M54" s="16">
        <f>IF($A54="","",IF(AND(ISNUMBER(G54),G54&gt;=J54,G54&lt;=(J54+(L54/(IF(F54="Contract Workman",Settings!$K$5,Settings!$K$4))))),J54+(L54/(IF(F54="Contract Workman",Settings!$K$5,Settings!$K$4)))+(H54/(IF(F54="Contract Workman",Settings!$K$5,Settings!$K$4))),J54+(L54/(IF(F54="Contract Workman",Settings!$K$5,Settings!$K$4)))))</f>
        <v/>
      </c>
      <c r="N54">
        <f>IF($A54="","",IF(F54="Contract Workman",IF(AND(MOD(M54,1)&gt;=8/24,MOD(M54,1)&lt;20/24),"Shift S1","Shift S2"),IF(AND(MOD(M54,1)&gt;=7/24,MOD(M54,1)&lt;15/24),"Shift A",IF(AND(MOD(M54,1)&gt;=15/24,MOD(M54,1)&lt;23/24),"Shift B","Shift C"))))</f>
        <v/>
      </c>
      <c r="O54">
        <f>IF(B54="","",IF(IFERROR(ISNUMBER(SEARCH(TEXT(B54,"0"),VLOOKUP(E54,Machine_List!$B:$J,9,0))),FALSE),"✅ "&amp;E54,"❌ ?"))</f>
        <v/>
      </c>
      <c r="P54">
        <f>IF(AND($A54&lt;&gt;"",P$3&gt;=$J54,P$3&lt;=$M54),1,"")</f>
        <v/>
      </c>
      <c r="Q54">
        <f>IF(AND($A54&lt;&gt;"",Q$3&gt;=$J54,Q$3&lt;=$M54),1,"")</f>
        <v/>
      </c>
      <c r="R54">
        <f>IF(AND($A54&lt;&gt;"",R$3&gt;=$J54,R$3&lt;=$M54),1,"")</f>
        <v/>
      </c>
      <c r="S54">
        <f>IF(AND($A54&lt;&gt;"",S$3&gt;=$J54,S$3&lt;=$M54),1,"")</f>
        <v/>
      </c>
      <c r="T54">
        <f>IF(AND($A54&lt;&gt;"",T$3&gt;=$J54,T$3&lt;=$M54),1,"")</f>
        <v/>
      </c>
      <c r="U54">
        <f>IF(AND($A54&lt;&gt;"",U$3&gt;=$J54,U$3&lt;=$M54),1,"")</f>
        <v/>
      </c>
      <c r="V54">
        <f>IF(AND($A54&lt;&gt;"",V$3&gt;=$J54,V$3&lt;=$M54),1,"")</f>
        <v/>
      </c>
      <c r="W54">
        <f>IF(AND($A54&lt;&gt;"",W$3&gt;=$J54,W$3&lt;=$M54),1,"")</f>
        <v/>
      </c>
      <c r="X54">
        <f>IF(AND($A54&lt;&gt;"",X$3&gt;=$J54,X$3&lt;=$M54),1,"")</f>
        <v/>
      </c>
      <c r="Y54">
        <f>IF(AND($A54&lt;&gt;"",Y$3&gt;=$J54,Y$3&lt;=$M54),1,"")</f>
        <v/>
      </c>
      <c r="Z54">
        <f>IF(AND($A54&lt;&gt;"",Z$3&gt;=$J54,Z$3&lt;=$M54),1,"")</f>
        <v/>
      </c>
      <c r="AA54">
        <f>IF(AND($A54&lt;&gt;"",AA$3&gt;=$J54,AA$3&lt;=$M54),1,"")</f>
        <v/>
      </c>
      <c r="AB54">
        <f>IF(AND($A54&lt;&gt;"",AB$3&gt;=$J54,AB$3&lt;=$M54),1,"")</f>
        <v/>
      </c>
      <c r="AC54">
        <f>IF(AND($A54&lt;&gt;"",AC$3&gt;=$J54,AC$3&lt;=$M54),1,"")</f>
        <v/>
      </c>
      <c r="AD54">
        <f>IF(AND($A54&lt;&gt;"",AD$3&gt;=$J54,AD$3&lt;=$M54),1,"")</f>
        <v/>
      </c>
      <c r="AE54">
        <f>IF(AND($A54&lt;&gt;"",AE$3&gt;=$J54,AE$3&lt;=$M54),1,"")</f>
        <v/>
      </c>
      <c r="AF54">
        <f>IF(AND($A54&lt;&gt;"",AF$3&gt;=$J54,AF$3&lt;=$M54),1,"")</f>
        <v/>
      </c>
      <c r="AG54">
        <f>IF(AND($A54&lt;&gt;"",AG$3&gt;=$J54,AG$3&lt;=$M54),1,"")</f>
        <v/>
      </c>
      <c r="AH54">
        <f>IF(AND($A54&lt;&gt;"",AH$3&gt;=$J54,AH$3&lt;=$M54),1,"")</f>
        <v/>
      </c>
      <c r="AI54">
        <f>IF(AND($A54&lt;&gt;"",AI$3&gt;=$J54,AI$3&lt;=$M54),1,"")</f>
        <v/>
      </c>
      <c r="AJ54">
        <f>IF(AND($A54&lt;&gt;"",AJ$3&gt;=$J54,AJ$3&lt;=$M54),1,"")</f>
        <v/>
      </c>
      <c r="AK54">
        <f>IF(AND($A54&lt;&gt;"",AK$3&gt;=$J54,AK$3&lt;=$M54),1,"")</f>
        <v/>
      </c>
      <c r="AL54">
        <f>IF(AND($A54&lt;&gt;"",AL$3&gt;=$J54,AL$3&lt;=$M54),1,"")</f>
        <v/>
      </c>
      <c r="AM54">
        <f>IF(AND($A54&lt;&gt;"",AM$3&gt;=$J54,AM$3&lt;=$M54),1,"")</f>
        <v/>
      </c>
      <c r="AN54">
        <f>IF(AND($A54&lt;&gt;"",AN$3&gt;=$J54,AN$3&lt;=$M54),1,"")</f>
        <v/>
      </c>
      <c r="AO54">
        <f>IF(AND($A54&lt;&gt;"",AO$3&gt;=$J54,AO$3&lt;=$M54),1,"")</f>
        <v/>
      </c>
      <c r="AP54">
        <f>IF(AND($A54&lt;&gt;"",AP$3&gt;=$J54,AP$3&lt;=$M54),1,"")</f>
        <v/>
      </c>
      <c r="AQ54">
        <f>IF(AND($A54&lt;&gt;"",AQ$3&gt;=$J54,AQ$3&lt;=$M54),1,"")</f>
        <v/>
      </c>
      <c r="AR54">
        <f>IF(AND($A54&lt;&gt;"",AR$3&gt;=$J54,AR$3&lt;=$M54),1,"")</f>
        <v/>
      </c>
      <c r="AS54">
        <f>IF(AND($A54&lt;&gt;"",AS$3&gt;=$J54,AS$3&lt;=$M54),1,"")</f>
        <v/>
      </c>
      <c r="AT54">
        <f>IF(AND($A54&lt;&gt;"",AT$3&gt;=$J54,AT$3&lt;=$M54),1,"")</f>
        <v/>
      </c>
      <c r="AU54">
        <f>IF(AND($A54&lt;&gt;"",AU$3&gt;=$J54,AU$3&lt;=$M54),1,"")</f>
        <v/>
      </c>
      <c r="AV54">
        <f>IF(AND($A54&lt;&gt;"",AV$3&gt;=$J54,AV$3&lt;=$M54),1,"")</f>
        <v/>
      </c>
      <c r="AW54">
        <f>IF(AND($A54&lt;&gt;"",AW$3&gt;=$J54,AW$3&lt;=$M54),1,"")</f>
        <v/>
      </c>
      <c r="AX54">
        <f>IF(AND($A54&lt;&gt;"",AX$3&gt;=$J54,AX$3&lt;=$M54),1,"")</f>
        <v/>
      </c>
      <c r="AY54">
        <f>IF(AND($A54&lt;&gt;"",AY$3&gt;=$J54,AY$3&lt;=$M54),1,"")</f>
        <v/>
      </c>
      <c r="AZ54">
        <f>IF(AND($A54&lt;&gt;"",AZ$3&gt;=$J54,AZ$3&lt;=$M54),1,"")</f>
        <v/>
      </c>
      <c r="BA54">
        <f>IF(AND($A54&lt;&gt;"",BA$3&gt;=$J54,BA$3&lt;=$M54),1,"")</f>
        <v/>
      </c>
      <c r="BB54">
        <f>IF(AND($A54&lt;&gt;"",BB$3&gt;=$J54,BB$3&lt;=$M54),1,"")</f>
        <v/>
      </c>
      <c r="BC54">
        <f>IF(AND($A54&lt;&gt;"",BC$3&gt;=$J54,BC$3&lt;=$M54),1,"")</f>
        <v/>
      </c>
      <c r="BD54">
        <f>IF(AND($A54&lt;&gt;"",BD$3&gt;=$J54,BD$3&lt;=$M54),1,"")</f>
        <v/>
      </c>
      <c r="BE54">
        <f>IF(AND($A54&lt;&gt;"",BE$3&gt;=$J54,BE$3&lt;=$M54),1,"")</f>
        <v/>
      </c>
      <c r="BF54">
        <f>IF(AND($A54&lt;&gt;"",BF$3&gt;=$J54,BF$3&lt;=$M54),1,"")</f>
        <v/>
      </c>
      <c r="BG54">
        <f>IF(AND($A54&lt;&gt;"",BG$3&gt;=$J54,BG$3&lt;=$M54),1,"")</f>
        <v/>
      </c>
      <c r="BH54">
        <f>IF(AND($A54&lt;&gt;"",BH$3&gt;=$J54,BH$3&lt;=$M54),1,"")</f>
        <v/>
      </c>
      <c r="BI54">
        <f>IF(AND($A54&lt;&gt;"",BI$3&gt;=$J54,BI$3&lt;=$M54),1,"")</f>
        <v/>
      </c>
      <c r="BJ54">
        <f>IF(AND($A54&lt;&gt;"",BJ$3&gt;=$J54,BJ$3&lt;=$M54),1,"")</f>
        <v/>
      </c>
      <c r="BK54">
        <f>IF(AND($A54&lt;&gt;"",BK$3&gt;=$J54,BK$3&lt;=$M54),1,"")</f>
        <v/>
      </c>
      <c r="BL54">
        <f>IF(AND($A54&lt;&gt;"",BL$3&gt;=$J54,BL$3&lt;=$M54),1,"")</f>
        <v/>
      </c>
      <c r="BM54">
        <f>IF(AND($A54&lt;&gt;"",BM$3&gt;=$J54,BM$3&lt;=$M54),1,"")</f>
        <v/>
      </c>
      <c r="BN54">
        <f>IF(AND($A54&lt;&gt;"",BN$3&gt;=$J54,BN$3&lt;=$M54),1,"")</f>
        <v/>
      </c>
      <c r="BO54">
        <f>IF(AND($A54&lt;&gt;"",BO$3&gt;=$J54,BO$3&lt;=$M54),1,"")</f>
        <v/>
      </c>
      <c r="BP54">
        <f>IF(AND($A54&lt;&gt;"",BP$3&gt;=$J54,BP$3&lt;=$M54),1,"")</f>
        <v/>
      </c>
      <c r="BQ54">
        <f>IF(AND($A54&lt;&gt;"",BQ$3&gt;=$J54,BQ$3&lt;=$M54),1,"")</f>
        <v/>
      </c>
      <c r="BR54">
        <f>IF(AND($A54&lt;&gt;"",BR$3&gt;=$J54,BR$3&lt;=$M54),1,"")</f>
        <v/>
      </c>
      <c r="BS54">
        <f>IF(AND($A54&lt;&gt;"",BS$3&gt;=$J54,BS$3&lt;=$M54),1,"")</f>
        <v/>
      </c>
      <c r="BT54">
        <f>IF(AND($A54&lt;&gt;"",BT$3&gt;=$J54,BT$3&lt;=$M54),1,"")</f>
        <v/>
      </c>
      <c r="BU54">
        <f>IF(AND($A54&lt;&gt;"",BU$3&gt;=$J54,BU$3&lt;=$M54),1,"")</f>
        <v/>
      </c>
      <c r="BV54">
        <f>IF(AND($A54&lt;&gt;"",BV$3&gt;=$J54,BV$3&lt;=$M54),1,"")</f>
        <v/>
      </c>
    </row>
    <row r="55">
      <c r="A55">
        <f>IF(Job_Master_Ring!$A55="","",Job_Master_Ring!$A55)</f>
        <v/>
      </c>
      <c r="B55">
        <f>IF($A55="","",Job_Master_Ring!B55)</f>
        <v/>
      </c>
      <c r="C55">
        <f>IF($A55="","",Job_Master_Ring!C55)</f>
        <v/>
      </c>
      <c r="D55">
        <f>IF($A55="","",Job_Master_Ring!D55)</f>
        <v/>
      </c>
      <c r="E55">
        <f>IF($A55="","",IF($I55&lt;&gt;"",$I55,IFERROR(INDEX(Machine_List!$B$87:$B$94,MATCH(1,(Machine_List!$H$87:$H$94&lt;=IFERROR(VLOOKUP($B55,CHOOSE(MATCH($C55,Settings!$L$4:$L$10,0),OPR_BR1!$A$4:$K$18,OPR_BR2!$A$4:$K$18,OPR_CR2!$A$4:$K$18,OPR_CR3!$A$4:$K$18,OPR_CR4!$A$4:$K$18,OPR_RIM!$A$4:$K$18,OPR_BPR!$A$4:$K$18),10,0),0))*(Machine_List!$I$87:$I$94&gt;=IFERROR(VLOOKUP($B55,CHOOSE(MATCH($C55,Settings!$L$4:$L$10,0),OPR_BR1!$A$4:$K$18,OPR_BR2!$A$4:$K$18,OPR_CR2!$A$4:$K$18,OPR_CR3!$A$4:$K$18,OPR_CR4!$A$4:$K$18,OPR_RIM!$A$4:$K$18,OPR_BPR!$A$4:$K$18),11,0),9999)),0)),"NO COMPATIBLE MACHINE")))</f>
        <v/>
      </c>
      <c r="F55">
        <f>IF($E55="","",IFERROR(VLOOKUP($E55,Machine_List!$B:$G,6,0),""))</f>
        <v/>
      </c>
      <c r="G55" s="17">
        <f>IF($E55="","",IFERROR(VLOOKUP($E55,Machine_List!$B:$C,2,0),""))</f>
        <v/>
      </c>
      <c r="H55">
        <f>IF($E55="","",IFERROR(VLOOKUP($E55,Machine_List!$B:$D,3,0),""))</f>
        <v/>
      </c>
      <c r="J55" s="16">
        <f>IF($A55="","",IF($I55&lt;&gt;"",$I55,MAX(GlobalStartDate,IFERROR(LOOKUP(2,1/($E$3:INDIRECT("E"&amp;(ROW()-1))=$E55),$M$3:INDIRECT("M"&amp;(ROW()-1))),GlobalStartDate))))</f>
        <v/>
      </c>
      <c r="K55">
        <f>IF($A55="","",IFERROR(VLOOKUP(B55,CHOOSE(MATCH($C55,Settings!$L$4:$L$10,0),OPR_BR1!$A$4:$I$18,OPR_BR2!$A$4:$I$18,OPR_CR2!$A$4:$I$18,OPR_CR3!$A$4:$I$18,OPR_CR4!$A$4:$I$18,OPR_RIM!$A$4:$I$18,OPR_BPR!$A$4:$I$18),2,0),0))</f>
        <v/>
      </c>
      <c r="L55">
        <f>IF($A55="","",K55*D55)</f>
        <v/>
      </c>
      <c r="M55" s="16">
        <f>IF($A55="","",IF(AND(ISNUMBER(G55),G55&gt;=J55,G55&lt;=(J55+(L55/(IF(F55="Contract Workman",Settings!$K$5,Settings!$K$4))))),J55+(L55/(IF(F55="Contract Workman",Settings!$K$5,Settings!$K$4)))+(H55/(IF(F55="Contract Workman",Settings!$K$5,Settings!$K$4))),J55+(L55/(IF(F55="Contract Workman",Settings!$K$5,Settings!$K$4)))))</f>
        <v/>
      </c>
      <c r="N55">
        <f>IF($A55="","",IF(F55="Contract Workman",IF(AND(MOD(M55,1)&gt;=8/24,MOD(M55,1)&lt;20/24),"Shift S1","Shift S2"),IF(AND(MOD(M55,1)&gt;=7/24,MOD(M55,1)&lt;15/24),"Shift A",IF(AND(MOD(M55,1)&gt;=15/24,MOD(M55,1)&lt;23/24),"Shift B","Shift C"))))</f>
        <v/>
      </c>
      <c r="O55">
        <f>IF(B55="","",IF(IFERROR(ISNUMBER(SEARCH(TEXT(B55,"0"),VLOOKUP(E55,Machine_List!$B:$J,9,0))),FALSE),"✅ "&amp;E55,"❌ ?"))</f>
        <v/>
      </c>
      <c r="P55">
        <f>IF(AND($A55&lt;&gt;"",P$3&gt;=$J55,P$3&lt;=$M55),1,"")</f>
        <v/>
      </c>
      <c r="Q55">
        <f>IF(AND($A55&lt;&gt;"",Q$3&gt;=$J55,Q$3&lt;=$M55),1,"")</f>
        <v/>
      </c>
      <c r="R55">
        <f>IF(AND($A55&lt;&gt;"",R$3&gt;=$J55,R$3&lt;=$M55),1,"")</f>
        <v/>
      </c>
      <c r="S55">
        <f>IF(AND($A55&lt;&gt;"",S$3&gt;=$J55,S$3&lt;=$M55),1,"")</f>
        <v/>
      </c>
      <c r="T55">
        <f>IF(AND($A55&lt;&gt;"",T$3&gt;=$J55,T$3&lt;=$M55),1,"")</f>
        <v/>
      </c>
      <c r="U55">
        <f>IF(AND($A55&lt;&gt;"",U$3&gt;=$J55,U$3&lt;=$M55),1,"")</f>
        <v/>
      </c>
      <c r="V55">
        <f>IF(AND($A55&lt;&gt;"",V$3&gt;=$J55,V$3&lt;=$M55),1,"")</f>
        <v/>
      </c>
      <c r="W55">
        <f>IF(AND($A55&lt;&gt;"",W$3&gt;=$J55,W$3&lt;=$M55),1,"")</f>
        <v/>
      </c>
      <c r="X55">
        <f>IF(AND($A55&lt;&gt;"",X$3&gt;=$J55,X$3&lt;=$M55),1,"")</f>
        <v/>
      </c>
      <c r="Y55">
        <f>IF(AND($A55&lt;&gt;"",Y$3&gt;=$J55,Y$3&lt;=$M55),1,"")</f>
        <v/>
      </c>
      <c r="Z55">
        <f>IF(AND($A55&lt;&gt;"",Z$3&gt;=$J55,Z$3&lt;=$M55),1,"")</f>
        <v/>
      </c>
      <c r="AA55">
        <f>IF(AND($A55&lt;&gt;"",AA$3&gt;=$J55,AA$3&lt;=$M55),1,"")</f>
        <v/>
      </c>
      <c r="AB55">
        <f>IF(AND($A55&lt;&gt;"",AB$3&gt;=$J55,AB$3&lt;=$M55),1,"")</f>
        <v/>
      </c>
      <c r="AC55">
        <f>IF(AND($A55&lt;&gt;"",AC$3&gt;=$J55,AC$3&lt;=$M55),1,"")</f>
        <v/>
      </c>
      <c r="AD55">
        <f>IF(AND($A55&lt;&gt;"",AD$3&gt;=$J55,AD$3&lt;=$M55),1,"")</f>
        <v/>
      </c>
      <c r="AE55">
        <f>IF(AND($A55&lt;&gt;"",AE$3&gt;=$J55,AE$3&lt;=$M55),1,"")</f>
        <v/>
      </c>
      <c r="AF55">
        <f>IF(AND($A55&lt;&gt;"",AF$3&gt;=$J55,AF$3&lt;=$M55),1,"")</f>
        <v/>
      </c>
      <c r="AG55">
        <f>IF(AND($A55&lt;&gt;"",AG$3&gt;=$J55,AG$3&lt;=$M55),1,"")</f>
        <v/>
      </c>
      <c r="AH55">
        <f>IF(AND($A55&lt;&gt;"",AH$3&gt;=$J55,AH$3&lt;=$M55),1,"")</f>
        <v/>
      </c>
      <c r="AI55">
        <f>IF(AND($A55&lt;&gt;"",AI$3&gt;=$J55,AI$3&lt;=$M55),1,"")</f>
        <v/>
      </c>
      <c r="AJ55">
        <f>IF(AND($A55&lt;&gt;"",AJ$3&gt;=$J55,AJ$3&lt;=$M55),1,"")</f>
        <v/>
      </c>
      <c r="AK55">
        <f>IF(AND($A55&lt;&gt;"",AK$3&gt;=$J55,AK$3&lt;=$M55),1,"")</f>
        <v/>
      </c>
      <c r="AL55">
        <f>IF(AND($A55&lt;&gt;"",AL$3&gt;=$J55,AL$3&lt;=$M55),1,"")</f>
        <v/>
      </c>
      <c r="AM55">
        <f>IF(AND($A55&lt;&gt;"",AM$3&gt;=$J55,AM$3&lt;=$M55),1,"")</f>
        <v/>
      </c>
      <c r="AN55">
        <f>IF(AND($A55&lt;&gt;"",AN$3&gt;=$J55,AN$3&lt;=$M55),1,"")</f>
        <v/>
      </c>
      <c r="AO55">
        <f>IF(AND($A55&lt;&gt;"",AO$3&gt;=$J55,AO$3&lt;=$M55),1,"")</f>
        <v/>
      </c>
      <c r="AP55">
        <f>IF(AND($A55&lt;&gt;"",AP$3&gt;=$J55,AP$3&lt;=$M55),1,"")</f>
        <v/>
      </c>
      <c r="AQ55">
        <f>IF(AND($A55&lt;&gt;"",AQ$3&gt;=$J55,AQ$3&lt;=$M55),1,"")</f>
        <v/>
      </c>
      <c r="AR55">
        <f>IF(AND($A55&lt;&gt;"",AR$3&gt;=$J55,AR$3&lt;=$M55),1,"")</f>
        <v/>
      </c>
      <c r="AS55">
        <f>IF(AND($A55&lt;&gt;"",AS$3&gt;=$J55,AS$3&lt;=$M55),1,"")</f>
        <v/>
      </c>
      <c r="AT55">
        <f>IF(AND($A55&lt;&gt;"",AT$3&gt;=$J55,AT$3&lt;=$M55),1,"")</f>
        <v/>
      </c>
      <c r="AU55">
        <f>IF(AND($A55&lt;&gt;"",AU$3&gt;=$J55,AU$3&lt;=$M55),1,"")</f>
        <v/>
      </c>
      <c r="AV55">
        <f>IF(AND($A55&lt;&gt;"",AV$3&gt;=$J55,AV$3&lt;=$M55),1,"")</f>
        <v/>
      </c>
      <c r="AW55">
        <f>IF(AND($A55&lt;&gt;"",AW$3&gt;=$J55,AW$3&lt;=$M55),1,"")</f>
        <v/>
      </c>
      <c r="AX55">
        <f>IF(AND($A55&lt;&gt;"",AX$3&gt;=$J55,AX$3&lt;=$M55),1,"")</f>
        <v/>
      </c>
      <c r="AY55">
        <f>IF(AND($A55&lt;&gt;"",AY$3&gt;=$J55,AY$3&lt;=$M55),1,"")</f>
        <v/>
      </c>
      <c r="AZ55">
        <f>IF(AND($A55&lt;&gt;"",AZ$3&gt;=$J55,AZ$3&lt;=$M55),1,"")</f>
        <v/>
      </c>
      <c r="BA55">
        <f>IF(AND($A55&lt;&gt;"",BA$3&gt;=$J55,BA$3&lt;=$M55),1,"")</f>
        <v/>
      </c>
      <c r="BB55">
        <f>IF(AND($A55&lt;&gt;"",BB$3&gt;=$J55,BB$3&lt;=$M55),1,"")</f>
        <v/>
      </c>
      <c r="BC55">
        <f>IF(AND($A55&lt;&gt;"",BC$3&gt;=$J55,BC$3&lt;=$M55),1,"")</f>
        <v/>
      </c>
      <c r="BD55">
        <f>IF(AND($A55&lt;&gt;"",BD$3&gt;=$J55,BD$3&lt;=$M55),1,"")</f>
        <v/>
      </c>
      <c r="BE55">
        <f>IF(AND($A55&lt;&gt;"",BE$3&gt;=$J55,BE$3&lt;=$M55),1,"")</f>
        <v/>
      </c>
      <c r="BF55">
        <f>IF(AND($A55&lt;&gt;"",BF$3&gt;=$J55,BF$3&lt;=$M55),1,"")</f>
        <v/>
      </c>
      <c r="BG55">
        <f>IF(AND($A55&lt;&gt;"",BG$3&gt;=$J55,BG$3&lt;=$M55),1,"")</f>
        <v/>
      </c>
      <c r="BH55">
        <f>IF(AND($A55&lt;&gt;"",BH$3&gt;=$J55,BH$3&lt;=$M55),1,"")</f>
        <v/>
      </c>
      <c r="BI55">
        <f>IF(AND($A55&lt;&gt;"",BI$3&gt;=$J55,BI$3&lt;=$M55),1,"")</f>
        <v/>
      </c>
      <c r="BJ55">
        <f>IF(AND($A55&lt;&gt;"",BJ$3&gt;=$J55,BJ$3&lt;=$M55),1,"")</f>
        <v/>
      </c>
      <c r="BK55">
        <f>IF(AND($A55&lt;&gt;"",BK$3&gt;=$J55,BK$3&lt;=$M55),1,"")</f>
        <v/>
      </c>
      <c r="BL55">
        <f>IF(AND($A55&lt;&gt;"",BL$3&gt;=$J55,BL$3&lt;=$M55),1,"")</f>
        <v/>
      </c>
      <c r="BM55">
        <f>IF(AND($A55&lt;&gt;"",BM$3&gt;=$J55,BM$3&lt;=$M55),1,"")</f>
        <v/>
      </c>
      <c r="BN55">
        <f>IF(AND($A55&lt;&gt;"",BN$3&gt;=$J55,BN$3&lt;=$M55),1,"")</f>
        <v/>
      </c>
      <c r="BO55">
        <f>IF(AND($A55&lt;&gt;"",BO$3&gt;=$J55,BO$3&lt;=$M55),1,"")</f>
        <v/>
      </c>
      <c r="BP55">
        <f>IF(AND($A55&lt;&gt;"",BP$3&gt;=$J55,BP$3&lt;=$M55),1,"")</f>
        <v/>
      </c>
      <c r="BQ55">
        <f>IF(AND($A55&lt;&gt;"",BQ$3&gt;=$J55,BQ$3&lt;=$M55),1,"")</f>
        <v/>
      </c>
      <c r="BR55">
        <f>IF(AND($A55&lt;&gt;"",BR$3&gt;=$J55,BR$3&lt;=$M55),1,"")</f>
        <v/>
      </c>
      <c r="BS55">
        <f>IF(AND($A55&lt;&gt;"",BS$3&gt;=$J55,BS$3&lt;=$M55),1,"")</f>
        <v/>
      </c>
      <c r="BT55">
        <f>IF(AND($A55&lt;&gt;"",BT$3&gt;=$J55,BT$3&lt;=$M55),1,"")</f>
        <v/>
      </c>
      <c r="BU55">
        <f>IF(AND($A55&lt;&gt;"",BU$3&gt;=$J55,BU$3&lt;=$M55),1,"")</f>
        <v/>
      </c>
      <c r="BV55">
        <f>IF(AND($A55&lt;&gt;"",BV$3&gt;=$J55,BV$3&lt;=$M55),1,"")</f>
        <v/>
      </c>
    </row>
    <row r="56">
      <c r="A56">
        <f>IF(Job_Master_Ring!$A56="","",Job_Master_Ring!$A56)</f>
        <v/>
      </c>
      <c r="B56">
        <f>IF($A56="","",Job_Master_Ring!B56)</f>
        <v/>
      </c>
      <c r="C56">
        <f>IF($A56="","",Job_Master_Ring!C56)</f>
        <v/>
      </c>
      <c r="D56">
        <f>IF($A56="","",Job_Master_Ring!D56)</f>
        <v/>
      </c>
      <c r="E56">
        <f>IF($A56="","",IF($I56&lt;&gt;"",$I56,IFERROR(INDEX(Machine_List!$B$87:$B$94,MATCH(1,(Machine_List!$H$87:$H$94&lt;=IFERROR(VLOOKUP($B56,CHOOSE(MATCH($C56,Settings!$L$4:$L$10,0),OPR_BR1!$A$4:$K$18,OPR_BR2!$A$4:$K$18,OPR_CR2!$A$4:$K$18,OPR_CR3!$A$4:$K$18,OPR_CR4!$A$4:$K$18,OPR_RIM!$A$4:$K$18,OPR_BPR!$A$4:$K$18),10,0),0))*(Machine_List!$I$87:$I$94&gt;=IFERROR(VLOOKUP($B56,CHOOSE(MATCH($C56,Settings!$L$4:$L$10,0),OPR_BR1!$A$4:$K$18,OPR_BR2!$A$4:$K$18,OPR_CR2!$A$4:$K$18,OPR_CR3!$A$4:$K$18,OPR_CR4!$A$4:$K$18,OPR_RIM!$A$4:$K$18,OPR_BPR!$A$4:$K$18),11,0),9999)),0)),"NO COMPATIBLE MACHINE")))</f>
        <v/>
      </c>
      <c r="F56">
        <f>IF($E56="","",IFERROR(VLOOKUP($E56,Machine_List!$B:$G,6,0),""))</f>
        <v/>
      </c>
      <c r="G56" s="17">
        <f>IF($E56="","",IFERROR(VLOOKUP($E56,Machine_List!$B:$C,2,0),""))</f>
        <v/>
      </c>
      <c r="H56">
        <f>IF($E56="","",IFERROR(VLOOKUP($E56,Machine_List!$B:$D,3,0),""))</f>
        <v/>
      </c>
      <c r="J56" s="16">
        <f>IF($A56="","",IF($I56&lt;&gt;"",$I56,MAX(GlobalStartDate,IFERROR(LOOKUP(2,1/($E$3:INDIRECT("E"&amp;(ROW()-1))=$E56),$M$3:INDIRECT("M"&amp;(ROW()-1))),GlobalStartDate))))</f>
        <v/>
      </c>
      <c r="K56">
        <f>IF($A56="","",IFERROR(VLOOKUP(B56,CHOOSE(MATCH($C56,Settings!$L$4:$L$10,0),OPR_BR1!$A$4:$I$18,OPR_BR2!$A$4:$I$18,OPR_CR2!$A$4:$I$18,OPR_CR3!$A$4:$I$18,OPR_CR4!$A$4:$I$18,OPR_RIM!$A$4:$I$18,OPR_BPR!$A$4:$I$18),2,0),0))</f>
        <v/>
      </c>
      <c r="L56">
        <f>IF($A56="","",K56*D56)</f>
        <v/>
      </c>
      <c r="M56" s="16">
        <f>IF($A56="","",IF(AND(ISNUMBER(G56),G56&gt;=J56,G56&lt;=(J56+(L56/(IF(F56="Contract Workman",Settings!$K$5,Settings!$K$4))))),J56+(L56/(IF(F56="Contract Workman",Settings!$K$5,Settings!$K$4)))+(H56/(IF(F56="Contract Workman",Settings!$K$5,Settings!$K$4))),J56+(L56/(IF(F56="Contract Workman",Settings!$K$5,Settings!$K$4)))))</f>
        <v/>
      </c>
      <c r="N56">
        <f>IF($A56="","",IF(F56="Contract Workman",IF(AND(MOD(M56,1)&gt;=8/24,MOD(M56,1)&lt;20/24),"Shift S1","Shift S2"),IF(AND(MOD(M56,1)&gt;=7/24,MOD(M56,1)&lt;15/24),"Shift A",IF(AND(MOD(M56,1)&gt;=15/24,MOD(M56,1)&lt;23/24),"Shift B","Shift C"))))</f>
        <v/>
      </c>
      <c r="O56">
        <f>IF(B56="","",IF(IFERROR(ISNUMBER(SEARCH(TEXT(B56,"0"),VLOOKUP(E56,Machine_List!$B:$J,9,0))),FALSE),"✅ "&amp;E56,"❌ ?"))</f>
        <v/>
      </c>
      <c r="P56">
        <f>IF(AND($A56&lt;&gt;"",P$3&gt;=$J56,P$3&lt;=$M56),1,"")</f>
        <v/>
      </c>
      <c r="Q56">
        <f>IF(AND($A56&lt;&gt;"",Q$3&gt;=$J56,Q$3&lt;=$M56),1,"")</f>
        <v/>
      </c>
      <c r="R56">
        <f>IF(AND($A56&lt;&gt;"",R$3&gt;=$J56,R$3&lt;=$M56),1,"")</f>
        <v/>
      </c>
      <c r="S56">
        <f>IF(AND($A56&lt;&gt;"",S$3&gt;=$J56,S$3&lt;=$M56),1,"")</f>
        <v/>
      </c>
      <c r="T56">
        <f>IF(AND($A56&lt;&gt;"",T$3&gt;=$J56,T$3&lt;=$M56),1,"")</f>
        <v/>
      </c>
      <c r="U56">
        <f>IF(AND($A56&lt;&gt;"",U$3&gt;=$J56,U$3&lt;=$M56),1,"")</f>
        <v/>
      </c>
      <c r="V56">
        <f>IF(AND($A56&lt;&gt;"",V$3&gt;=$J56,V$3&lt;=$M56),1,"")</f>
        <v/>
      </c>
      <c r="W56">
        <f>IF(AND($A56&lt;&gt;"",W$3&gt;=$J56,W$3&lt;=$M56),1,"")</f>
        <v/>
      </c>
      <c r="X56">
        <f>IF(AND($A56&lt;&gt;"",X$3&gt;=$J56,X$3&lt;=$M56),1,"")</f>
        <v/>
      </c>
      <c r="Y56">
        <f>IF(AND($A56&lt;&gt;"",Y$3&gt;=$J56,Y$3&lt;=$M56),1,"")</f>
        <v/>
      </c>
      <c r="Z56">
        <f>IF(AND($A56&lt;&gt;"",Z$3&gt;=$J56,Z$3&lt;=$M56),1,"")</f>
        <v/>
      </c>
      <c r="AA56">
        <f>IF(AND($A56&lt;&gt;"",AA$3&gt;=$J56,AA$3&lt;=$M56),1,"")</f>
        <v/>
      </c>
      <c r="AB56">
        <f>IF(AND($A56&lt;&gt;"",AB$3&gt;=$J56,AB$3&lt;=$M56),1,"")</f>
        <v/>
      </c>
      <c r="AC56">
        <f>IF(AND($A56&lt;&gt;"",AC$3&gt;=$J56,AC$3&lt;=$M56),1,"")</f>
        <v/>
      </c>
      <c r="AD56">
        <f>IF(AND($A56&lt;&gt;"",AD$3&gt;=$J56,AD$3&lt;=$M56),1,"")</f>
        <v/>
      </c>
      <c r="AE56">
        <f>IF(AND($A56&lt;&gt;"",AE$3&gt;=$J56,AE$3&lt;=$M56),1,"")</f>
        <v/>
      </c>
      <c r="AF56">
        <f>IF(AND($A56&lt;&gt;"",AF$3&gt;=$J56,AF$3&lt;=$M56),1,"")</f>
        <v/>
      </c>
      <c r="AG56">
        <f>IF(AND($A56&lt;&gt;"",AG$3&gt;=$J56,AG$3&lt;=$M56),1,"")</f>
        <v/>
      </c>
      <c r="AH56">
        <f>IF(AND($A56&lt;&gt;"",AH$3&gt;=$J56,AH$3&lt;=$M56),1,"")</f>
        <v/>
      </c>
      <c r="AI56">
        <f>IF(AND($A56&lt;&gt;"",AI$3&gt;=$J56,AI$3&lt;=$M56),1,"")</f>
        <v/>
      </c>
      <c r="AJ56">
        <f>IF(AND($A56&lt;&gt;"",AJ$3&gt;=$J56,AJ$3&lt;=$M56),1,"")</f>
        <v/>
      </c>
      <c r="AK56">
        <f>IF(AND($A56&lt;&gt;"",AK$3&gt;=$J56,AK$3&lt;=$M56),1,"")</f>
        <v/>
      </c>
      <c r="AL56">
        <f>IF(AND($A56&lt;&gt;"",AL$3&gt;=$J56,AL$3&lt;=$M56),1,"")</f>
        <v/>
      </c>
      <c r="AM56">
        <f>IF(AND($A56&lt;&gt;"",AM$3&gt;=$J56,AM$3&lt;=$M56),1,"")</f>
        <v/>
      </c>
      <c r="AN56">
        <f>IF(AND($A56&lt;&gt;"",AN$3&gt;=$J56,AN$3&lt;=$M56),1,"")</f>
        <v/>
      </c>
      <c r="AO56">
        <f>IF(AND($A56&lt;&gt;"",AO$3&gt;=$J56,AO$3&lt;=$M56),1,"")</f>
        <v/>
      </c>
      <c r="AP56">
        <f>IF(AND($A56&lt;&gt;"",AP$3&gt;=$J56,AP$3&lt;=$M56),1,"")</f>
        <v/>
      </c>
      <c r="AQ56">
        <f>IF(AND($A56&lt;&gt;"",AQ$3&gt;=$J56,AQ$3&lt;=$M56),1,"")</f>
        <v/>
      </c>
      <c r="AR56">
        <f>IF(AND($A56&lt;&gt;"",AR$3&gt;=$J56,AR$3&lt;=$M56),1,"")</f>
        <v/>
      </c>
      <c r="AS56">
        <f>IF(AND($A56&lt;&gt;"",AS$3&gt;=$J56,AS$3&lt;=$M56),1,"")</f>
        <v/>
      </c>
      <c r="AT56">
        <f>IF(AND($A56&lt;&gt;"",AT$3&gt;=$J56,AT$3&lt;=$M56),1,"")</f>
        <v/>
      </c>
      <c r="AU56">
        <f>IF(AND($A56&lt;&gt;"",AU$3&gt;=$J56,AU$3&lt;=$M56),1,"")</f>
        <v/>
      </c>
      <c r="AV56">
        <f>IF(AND($A56&lt;&gt;"",AV$3&gt;=$J56,AV$3&lt;=$M56),1,"")</f>
        <v/>
      </c>
      <c r="AW56">
        <f>IF(AND($A56&lt;&gt;"",AW$3&gt;=$J56,AW$3&lt;=$M56),1,"")</f>
        <v/>
      </c>
      <c r="AX56">
        <f>IF(AND($A56&lt;&gt;"",AX$3&gt;=$J56,AX$3&lt;=$M56),1,"")</f>
        <v/>
      </c>
      <c r="AY56">
        <f>IF(AND($A56&lt;&gt;"",AY$3&gt;=$J56,AY$3&lt;=$M56),1,"")</f>
        <v/>
      </c>
      <c r="AZ56">
        <f>IF(AND($A56&lt;&gt;"",AZ$3&gt;=$J56,AZ$3&lt;=$M56),1,"")</f>
        <v/>
      </c>
      <c r="BA56">
        <f>IF(AND($A56&lt;&gt;"",BA$3&gt;=$J56,BA$3&lt;=$M56),1,"")</f>
        <v/>
      </c>
      <c r="BB56">
        <f>IF(AND($A56&lt;&gt;"",BB$3&gt;=$J56,BB$3&lt;=$M56),1,"")</f>
        <v/>
      </c>
      <c r="BC56">
        <f>IF(AND($A56&lt;&gt;"",BC$3&gt;=$J56,BC$3&lt;=$M56),1,"")</f>
        <v/>
      </c>
      <c r="BD56">
        <f>IF(AND($A56&lt;&gt;"",BD$3&gt;=$J56,BD$3&lt;=$M56),1,"")</f>
        <v/>
      </c>
      <c r="BE56">
        <f>IF(AND($A56&lt;&gt;"",BE$3&gt;=$J56,BE$3&lt;=$M56),1,"")</f>
        <v/>
      </c>
      <c r="BF56">
        <f>IF(AND($A56&lt;&gt;"",BF$3&gt;=$J56,BF$3&lt;=$M56),1,"")</f>
        <v/>
      </c>
      <c r="BG56">
        <f>IF(AND($A56&lt;&gt;"",BG$3&gt;=$J56,BG$3&lt;=$M56),1,"")</f>
        <v/>
      </c>
      <c r="BH56">
        <f>IF(AND($A56&lt;&gt;"",BH$3&gt;=$J56,BH$3&lt;=$M56),1,"")</f>
        <v/>
      </c>
      <c r="BI56">
        <f>IF(AND($A56&lt;&gt;"",BI$3&gt;=$J56,BI$3&lt;=$M56),1,"")</f>
        <v/>
      </c>
      <c r="BJ56">
        <f>IF(AND($A56&lt;&gt;"",BJ$3&gt;=$J56,BJ$3&lt;=$M56),1,"")</f>
        <v/>
      </c>
      <c r="BK56">
        <f>IF(AND($A56&lt;&gt;"",BK$3&gt;=$J56,BK$3&lt;=$M56),1,"")</f>
        <v/>
      </c>
      <c r="BL56">
        <f>IF(AND($A56&lt;&gt;"",BL$3&gt;=$J56,BL$3&lt;=$M56),1,"")</f>
        <v/>
      </c>
      <c r="BM56">
        <f>IF(AND($A56&lt;&gt;"",BM$3&gt;=$J56,BM$3&lt;=$M56),1,"")</f>
        <v/>
      </c>
      <c r="BN56">
        <f>IF(AND($A56&lt;&gt;"",BN$3&gt;=$J56,BN$3&lt;=$M56),1,"")</f>
        <v/>
      </c>
      <c r="BO56">
        <f>IF(AND($A56&lt;&gt;"",BO$3&gt;=$J56,BO$3&lt;=$M56),1,"")</f>
        <v/>
      </c>
      <c r="BP56">
        <f>IF(AND($A56&lt;&gt;"",BP$3&gt;=$J56,BP$3&lt;=$M56),1,"")</f>
        <v/>
      </c>
      <c r="BQ56">
        <f>IF(AND($A56&lt;&gt;"",BQ$3&gt;=$J56,BQ$3&lt;=$M56),1,"")</f>
        <v/>
      </c>
      <c r="BR56">
        <f>IF(AND($A56&lt;&gt;"",BR$3&gt;=$J56,BR$3&lt;=$M56),1,"")</f>
        <v/>
      </c>
      <c r="BS56">
        <f>IF(AND($A56&lt;&gt;"",BS$3&gt;=$J56,BS$3&lt;=$M56),1,"")</f>
        <v/>
      </c>
      <c r="BT56">
        <f>IF(AND($A56&lt;&gt;"",BT$3&gt;=$J56,BT$3&lt;=$M56),1,"")</f>
        <v/>
      </c>
      <c r="BU56">
        <f>IF(AND($A56&lt;&gt;"",BU$3&gt;=$J56,BU$3&lt;=$M56),1,"")</f>
        <v/>
      </c>
      <c r="BV56">
        <f>IF(AND($A56&lt;&gt;"",BV$3&gt;=$J56,BV$3&lt;=$M56),1,"")</f>
        <v/>
      </c>
    </row>
    <row r="57">
      <c r="A57">
        <f>IF(Job_Master_Ring!$A57="","",Job_Master_Ring!$A57)</f>
        <v/>
      </c>
      <c r="B57">
        <f>IF($A57="","",Job_Master_Ring!B57)</f>
        <v/>
      </c>
      <c r="C57">
        <f>IF($A57="","",Job_Master_Ring!C57)</f>
        <v/>
      </c>
      <c r="D57">
        <f>IF($A57="","",Job_Master_Ring!D57)</f>
        <v/>
      </c>
      <c r="E57">
        <f>IF($A57="","",IF($I57&lt;&gt;"",$I57,IFERROR(INDEX(Machine_List!$B$87:$B$94,MATCH(1,(Machine_List!$H$87:$H$94&lt;=IFERROR(VLOOKUP($B57,CHOOSE(MATCH($C57,Settings!$L$4:$L$10,0),OPR_BR1!$A$4:$K$18,OPR_BR2!$A$4:$K$18,OPR_CR2!$A$4:$K$18,OPR_CR3!$A$4:$K$18,OPR_CR4!$A$4:$K$18,OPR_RIM!$A$4:$K$18,OPR_BPR!$A$4:$K$18),10,0),0))*(Machine_List!$I$87:$I$94&gt;=IFERROR(VLOOKUP($B57,CHOOSE(MATCH($C57,Settings!$L$4:$L$10,0),OPR_BR1!$A$4:$K$18,OPR_BR2!$A$4:$K$18,OPR_CR2!$A$4:$K$18,OPR_CR3!$A$4:$K$18,OPR_CR4!$A$4:$K$18,OPR_RIM!$A$4:$K$18,OPR_BPR!$A$4:$K$18),11,0),9999)),0)),"NO COMPATIBLE MACHINE")))</f>
        <v/>
      </c>
      <c r="F57">
        <f>IF($E57="","",IFERROR(VLOOKUP($E57,Machine_List!$B:$G,6,0),""))</f>
        <v/>
      </c>
      <c r="G57" s="17">
        <f>IF($E57="","",IFERROR(VLOOKUP($E57,Machine_List!$B:$C,2,0),""))</f>
        <v/>
      </c>
      <c r="H57">
        <f>IF($E57="","",IFERROR(VLOOKUP($E57,Machine_List!$B:$D,3,0),""))</f>
        <v/>
      </c>
      <c r="J57" s="16">
        <f>IF($A57="","",IF($I57&lt;&gt;"",$I57,MAX(GlobalStartDate,IFERROR(LOOKUP(2,1/($E$3:INDIRECT("E"&amp;(ROW()-1))=$E57),$M$3:INDIRECT("M"&amp;(ROW()-1))),GlobalStartDate))))</f>
        <v/>
      </c>
      <c r="K57">
        <f>IF($A57="","",IFERROR(VLOOKUP(B57,CHOOSE(MATCH($C57,Settings!$L$4:$L$10,0),OPR_BR1!$A$4:$I$18,OPR_BR2!$A$4:$I$18,OPR_CR2!$A$4:$I$18,OPR_CR3!$A$4:$I$18,OPR_CR4!$A$4:$I$18,OPR_RIM!$A$4:$I$18,OPR_BPR!$A$4:$I$18),2,0),0))</f>
        <v/>
      </c>
      <c r="L57">
        <f>IF($A57="","",K57*D57)</f>
        <v/>
      </c>
      <c r="M57" s="16">
        <f>IF($A57="","",IF(AND(ISNUMBER(G57),G57&gt;=J57,G57&lt;=(J57+(L57/(IF(F57="Contract Workman",Settings!$K$5,Settings!$K$4))))),J57+(L57/(IF(F57="Contract Workman",Settings!$K$5,Settings!$K$4)))+(H57/(IF(F57="Contract Workman",Settings!$K$5,Settings!$K$4))),J57+(L57/(IF(F57="Contract Workman",Settings!$K$5,Settings!$K$4)))))</f>
        <v/>
      </c>
      <c r="N57">
        <f>IF($A57="","",IF(F57="Contract Workman",IF(AND(MOD(M57,1)&gt;=8/24,MOD(M57,1)&lt;20/24),"Shift S1","Shift S2"),IF(AND(MOD(M57,1)&gt;=7/24,MOD(M57,1)&lt;15/24),"Shift A",IF(AND(MOD(M57,1)&gt;=15/24,MOD(M57,1)&lt;23/24),"Shift B","Shift C"))))</f>
        <v/>
      </c>
      <c r="O57">
        <f>IF(B57="","",IF(IFERROR(ISNUMBER(SEARCH(TEXT(B57,"0"),VLOOKUP(E57,Machine_List!$B:$J,9,0))),FALSE),"✅ "&amp;E57,"❌ ?"))</f>
        <v/>
      </c>
      <c r="P57">
        <f>IF(AND($A57&lt;&gt;"",P$3&gt;=$J57,P$3&lt;=$M57),1,"")</f>
        <v/>
      </c>
      <c r="Q57">
        <f>IF(AND($A57&lt;&gt;"",Q$3&gt;=$J57,Q$3&lt;=$M57),1,"")</f>
        <v/>
      </c>
      <c r="R57">
        <f>IF(AND($A57&lt;&gt;"",R$3&gt;=$J57,R$3&lt;=$M57),1,"")</f>
        <v/>
      </c>
      <c r="S57">
        <f>IF(AND($A57&lt;&gt;"",S$3&gt;=$J57,S$3&lt;=$M57),1,"")</f>
        <v/>
      </c>
      <c r="T57">
        <f>IF(AND($A57&lt;&gt;"",T$3&gt;=$J57,T$3&lt;=$M57),1,"")</f>
        <v/>
      </c>
      <c r="U57">
        <f>IF(AND($A57&lt;&gt;"",U$3&gt;=$J57,U$3&lt;=$M57),1,"")</f>
        <v/>
      </c>
      <c r="V57">
        <f>IF(AND($A57&lt;&gt;"",V$3&gt;=$J57,V$3&lt;=$M57),1,"")</f>
        <v/>
      </c>
      <c r="W57">
        <f>IF(AND($A57&lt;&gt;"",W$3&gt;=$J57,W$3&lt;=$M57),1,"")</f>
        <v/>
      </c>
      <c r="X57">
        <f>IF(AND($A57&lt;&gt;"",X$3&gt;=$J57,X$3&lt;=$M57),1,"")</f>
        <v/>
      </c>
      <c r="Y57">
        <f>IF(AND($A57&lt;&gt;"",Y$3&gt;=$J57,Y$3&lt;=$M57),1,"")</f>
        <v/>
      </c>
      <c r="Z57">
        <f>IF(AND($A57&lt;&gt;"",Z$3&gt;=$J57,Z$3&lt;=$M57),1,"")</f>
        <v/>
      </c>
      <c r="AA57">
        <f>IF(AND($A57&lt;&gt;"",AA$3&gt;=$J57,AA$3&lt;=$M57),1,"")</f>
        <v/>
      </c>
      <c r="AB57">
        <f>IF(AND($A57&lt;&gt;"",AB$3&gt;=$J57,AB$3&lt;=$M57),1,"")</f>
        <v/>
      </c>
      <c r="AC57">
        <f>IF(AND($A57&lt;&gt;"",AC$3&gt;=$J57,AC$3&lt;=$M57),1,"")</f>
        <v/>
      </c>
      <c r="AD57">
        <f>IF(AND($A57&lt;&gt;"",AD$3&gt;=$J57,AD$3&lt;=$M57),1,"")</f>
        <v/>
      </c>
      <c r="AE57">
        <f>IF(AND($A57&lt;&gt;"",AE$3&gt;=$J57,AE$3&lt;=$M57),1,"")</f>
        <v/>
      </c>
      <c r="AF57">
        <f>IF(AND($A57&lt;&gt;"",AF$3&gt;=$J57,AF$3&lt;=$M57),1,"")</f>
        <v/>
      </c>
      <c r="AG57">
        <f>IF(AND($A57&lt;&gt;"",AG$3&gt;=$J57,AG$3&lt;=$M57),1,"")</f>
        <v/>
      </c>
      <c r="AH57">
        <f>IF(AND($A57&lt;&gt;"",AH$3&gt;=$J57,AH$3&lt;=$M57),1,"")</f>
        <v/>
      </c>
      <c r="AI57">
        <f>IF(AND($A57&lt;&gt;"",AI$3&gt;=$J57,AI$3&lt;=$M57),1,"")</f>
        <v/>
      </c>
      <c r="AJ57">
        <f>IF(AND($A57&lt;&gt;"",AJ$3&gt;=$J57,AJ$3&lt;=$M57),1,"")</f>
        <v/>
      </c>
      <c r="AK57">
        <f>IF(AND($A57&lt;&gt;"",AK$3&gt;=$J57,AK$3&lt;=$M57),1,"")</f>
        <v/>
      </c>
      <c r="AL57">
        <f>IF(AND($A57&lt;&gt;"",AL$3&gt;=$J57,AL$3&lt;=$M57),1,"")</f>
        <v/>
      </c>
      <c r="AM57">
        <f>IF(AND($A57&lt;&gt;"",AM$3&gt;=$J57,AM$3&lt;=$M57),1,"")</f>
        <v/>
      </c>
      <c r="AN57">
        <f>IF(AND($A57&lt;&gt;"",AN$3&gt;=$J57,AN$3&lt;=$M57),1,"")</f>
        <v/>
      </c>
      <c r="AO57">
        <f>IF(AND($A57&lt;&gt;"",AO$3&gt;=$J57,AO$3&lt;=$M57),1,"")</f>
        <v/>
      </c>
      <c r="AP57">
        <f>IF(AND($A57&lt;&gt;"",AP$3&gt;=$J57,AP$3&lt;=$M57),1,"")</f>
        <v/>
      </c>
      <c r="AQ57">
        <f>IF(AND($A57&lt;&gt;"",AQ$3&gt;=$J57,AQ$3&lt;=$M57),1,"")</f>
        <v/>
      </c>
      <c r="AR57">
        <f>IF(AND($A57&lt;&gt;"",AR$3&gt;=$J57,AR$3&lt;=$M57),1,"")</f>
        <v/>
      </c>
      <c r="AS57">
        <f>IF(AND($A57&lt;&gt;"",AS$3&gt;=$J57,AS$3&lt;=$M57),1,"")</f>
        <v/>
      </c>
      <c r="AT57">
        <f>IF(AND($A57&lt;&gt;"",AT$3&gt;=$J57,AT$3&lt;=$M57),1,"")</f>
        <v/>
      </c>
      <c r="AU57">
        <f>IF(AND($A57&lt;&gt;"",AU$3&gt;=$J57,AU$3&lt;=$M57),1,"")</f>
        <v/>
      </c>
      <c r="AV57">
        <f>IF(AND($A57&lt;&gt;"",AV$3&gt;=$J57,AV$3&lt;=$M57),1,"")</f>
        <v/>
      </c>
      <c r="AW57">
        <f>IF(AND($A57&lt;&gt;"",AW$3&gt;=$J57,AW$3&lt;=$M57),1,"")</f>
        <v/>
      </c>
      <c r="AX57">
        <f>IF(AND($A57&lt;&gt;"",AX$3&gt;=$J57,AX$3&lt;=$M57),1,"")</f>
        <v/>
      </c>
      <c r="AY57">
        <f>IF(AND($A57&lt;&gt;"",AY$3&gt;=$J57,AY$3&lt;=$M57),1,"")</f>
        <v/>
      </c>
      <c r="AZ57">
        <f>IF(AND($A57&lt;&gt;"",AZ$3&gt;=$J57,AZ$3&lt;=$M57),1,"")</f>
        <v/>
      </c>
      <c r="BA57">
        <f>IF(AND($A57&lt;&gt;"",BA$3&gt;=$J57,BA$3&lt;=$M57),1,"")</f>
        <v/>
      </c>
      <c r="BB57">
        <f>IF(AND($A57&lt;&gt;"",BB$3&gt;=$J57,BB$3&lt;=$M57),1,"")</f>
        <v/>
      </c>
      <c r="BC57">
        <f>IF(AND($A57&lt;&gt;"",BC$3&gt;=$J57,BC$3&lt;=$M57),1,"")</f>
        <v/>
      </c>
      <c r="BD57">
        <f>IF(AND($A57&lt;&gt;"",BD$3&gt;=$J57,BD$3&lt;=$M57),1,"")</f>
        <v/>
      </c>
      <c r="BE57">
        <f>IF(AND($A57&lt;&gt;"",BE$3&gt;=$J57,BE$3&lt;=$M57),1,"")</f>
        <v/>
      </c>
      <c r="BF57">
        <f>IF(AND($A57&lt;&gt;"",BF$3&gt;=$J57,BF$3&lt;=$M57),1,"")</f>
        <v/>
      </c>
      <c r="BG57">
        <f>IF(AND($A57&lt;&gt;"",BG$3&gt;=$J57,BG$3&lt;=$M57),1,"")</f>
        <v/>
      </c>
      <c r="BH57">
        <f>IF(AND($A57&lt;&gt;"",BH$3&gt;=$J57,BH$3&lt;=$M57),1,"")</f>
        <v/>
      </c>
      <c r="BI57">
        <f>IF(AND($A57&lt;&gt;"",BI$3&gt;=$J57,BI$3&lt;=$M57),1,"")</f>
        <v/>
      </c>
      <c r="BJ57">
        <f>IF(AND($A57&lt;&gt;"",BJ$3&gt;=$J57,BJ$3&lt;=$M57),1,"")</f>
        <v/>
      </c>
      <c r="BK57">
        <f>IF(AND($A57&lt;&gt;"",BK$3&gt;=$J57,BK$3&lt;=$M57),1,"")</f>
        <v/>
      </c>
      <c r="BL57">
        <f>IF(AND($A57&lt;&gt;"",BL$3&gt;=$J57,BL$3&lt;=$M57),1,"")</f>
        <v/>
      </c>
      <c r="BM57">
        <f>IF(AND($A57&lt;&gt;"",BM$3&gt;=$J57,BM$3&lt;=$M57),1,"")</f>
        <v/>
      </c>
      <c r="BN57">
        <f>IF(AND($A57&lt;&gt;"",BN$3&gt;=$J57,BN$3&lt;=$M57),1,"")</f>
        <v/>
      </c>
      <c r="BO57">
        <f>IF(AND($A57&lt;&gt;"",BO$3&gt;=$J57,BO$3&lt;=$M57),1,"")</f>
        <v/>
      </c>
      <c r="BP57">
        <f>IF(AND($A57&lt;&gt;"",BP$3&gt;=$J57,BP$3&lt;=$M57),1,"")</f>
        <v/>
      </c>
      <c r="BQ57">
        <f>IF(AND($A57&lt;&gt;"",BQ$3&gt;=$J57,BQ$3&lt;=$M57),1,"")</f>
        <v/>
      </c>
      <c r="BR57">
        <f>IF(AND($A57&lt;&gt;"",BR$3&gt;=$J57,BR$3&lt;=$M57),1,"")</f>
        <v/>
      </c>
      <c r="BS57">
        <f>IF(AND($A57&lt;&gt;"",BS$3&gt;=$J57,BS$3&lt;=$M57),1,"")</f>
        <v/>
      </c>
      <c r="BT57">
        <f>IF(AND($A57&lt;&gt;"",BT$3&gt;=$J57,BT$3&lt;=$M57),1,"")</f>
        <v/>
      </c>
      <c r="BU57">
        <f>IF(AND($A57&lt;&gt;"",BU$3&gt;=$J57,BU$3&lt;=$M57),1,"")</f>
        <v/>
      </c>
      <c r="BV57">
        <f>IF(AND($A57&lt;&gt;"",BV$3&gt;=$J57,BV$3&lt;=$M57),1,"")</f>
        <v/>
      </c>
    </row>
    <row r="58">
      <c r="A58">
        <f>IF(Job_Master_Ring!$A58="","",Job_Master_Ring!$A58)</f>
        <v/>
      </c>
      <c r="B58">
        <f>IF($A58="","",Job_Master_Ring!B58)</f>
        <v/>
      </c>
      <c r="C58">
        <f>IF($A58="","",Job_Master_Ring!C58)</f>
        <v/>
      </c>
      <c r="D58">
        <f>IF($A58="","",Job_Master_Ring!D58)</f>
        <v/>
      </c>
      <c r="E58">
        <f>IF($A58="","",IF($I58&lt;&gt;"",$I58,IFERROR(INDEX(Machine_List!$B$87:$B$94,MATCH(1,(Machine_List!$H$87:$H$94&lt;=IFERROR(VLOOKUP($B58,CHOOSE(MATCH($C58,Settings!$L$4:$L$10,0),OPR_BR1!$A$4:$K$18,OPR_BR2!$A$4:$K$18,OPR_CR2!$A$4:$K$18,OPR_CR3!$A$4:$K$18,OPR_CR4!$A$4:$K$18,OPR_RIM!$A$4:$K$18,OPR_BPR!$A$4:$K$18),10,0),0))*(Machine_List!$I$87:$I$94&gt;=IFERROR(VLOOKUP($B58,CHOOSE(MATCH($C58,Settings!$L$4:$L$10,0),OPR_BR1!$A$4:$K$18,OPR_BR2!$A$4:$K$18,OPR_CR2!$A$4:$K$18,OPR_CR3!$A$4:$K$18,OPR_CR4!$A$4:$K$18,OPR_RIM!$A$4:$K$18,OPR_BPR!$A$4:$K$18),11,0),9999)),0)),"NO COMPATIBLE MACHINE")))</f>
        <v/>
      </c>
      <c r="F58">
        <f>IF($E58="","",IFERROR(VLOOKUP($E58,Machine_List!$B:$G,6,0),""))</f>
        <v/>
      </c>
      <c r="G58" s="17">
        <f>IF($E58="","",IFERROR(VLOOKUP($E58,Machine_List!$B:$C,2,0),""))</f>
        <v/>
      </c>
      <c r="H58">
        <f>IF($E58="","",IFERROR(VLOOKUP($E58,Machine_List!$B:$D,3,0),""))</f>
        <v/>
      </c>
      <c r="J58" s="16">
        <f>IF($A58="","",IF($I58&lt;&gt;"",$I58,MAX(GlobalStartDate,IFERROR(LOOKUP(2,1/($E$3:INDIRECT("E"&amp;(ROW()-1))=$E58),$M$3:INDIRECT("M"&amp;(ROW()-1))),GlobalStartDate))))</f>
        <v/>
      </c>
      <c r="K58">
        <f>IF($A58="","",IFERROR(VLOOKUP(B58,CHOOSE(MATCH($C58,Settings!$L$4:$L$10,0),OPR_BR1!$A$4:$I$18,OPR_BR2!$A$4:$I$18,OPR_CR2!$A$4:$I$18,OPR_CR3!$A$4:$I$18,OPR_CR4!$A$4:$I$18,OPR_RIM!$A$4:$I$18,OPR_BPR!$A$4:$I$18),2,0),0))</f>
        <v/>
      </c>
      <c r="L58">
        <f>IF($A58="","",K58*D58)</f>
        <v/>
      </c>
      <c r="M58" s="16">
        <f>IF($A58="","",IF(AND(ISNUMBER(G58),G58&gt;=J58,G58&lt;=(J58+(L58/(IF(F58="Contract Workman",Settings!$K$5,Settings!$K$4))))),J58+(L58/(IF(F58="Contract Workman",Settings!$K$5,Settings!$K$4)))+(H58/(IF(F58="Contract Workman",Settings!$K$5,Settings!$K$4))),J58+(L58/(IF(F58="Contract Workman",Settings!$K$5,Settings!$K$4)))))</f>
        <v/>
      </c>
      <c r="N58">
        <f>IF($A58="","",IF(F58="Contract Workman",IF(AND(MOD(M58,1)&gt;=8/24,MOD(M58,1)&lt;20/24),"Shift S1","Shift S2"),IF(AND(MOD(M58,1)&gt;=7/24,MOD(M58,1)&lt;15/24),"Shift A",IF(AND(MOD(M58,1)&gt;=15/24,MOD(M58,1)&lt;23/24),"Shift B","Shift C"))))</f>
        <v/>
      </c>
      <c r="O58">
        <f>IF(B58="","",IF(IFERROR(ISNUMBER(SEARCH(TEXT(B58,"0"),VLOOKUP(E58,Machine_List!$B:$J,9,0))),FALSE),"✅ "&amp;E58,"❌ ?"))</f>
        <v/>
      </c>
      <c r="P58">
        <f>IF(AND($A58&lt;&gt;"",P$3&gt;=$J58,P$3&lt;=$M58),1,"")</f>
        <v/>
      </c>
      <c r="Q58">
        <f>IF(AND($A58&lt;&gt;"",Q$3&gt;=$J58,Q$3&lt;=$M58),1,"")</f>
        <v/>
      </c>
      <c r="R58">
        <f>IF(AND($A58&lt;&gt;"",R$3&gt;=$J58,R$3&lt;=$M58),1,"")</f>
        <v/>
      </c>
      <c r="S58">
        <f>IF(AND($A58&lt;&gt;"",S$3&gt;=$J58,S$3&lt;=$M58),1,"")</f>
        <v/>
      </c>
      <c r="T58">
        <f>IF(AND($A58&lt;&gt;"",T$3&gt;=$J58,T$3&lt;=$M58),1,"")</f>
        <v/>
      </c>
      <c r="U58">
        <f>IF(AND($A58&lt;&gt;"",U$3&gt;=$J58,U$3&lt;=$M58),1,"")</f>
        <v/>
      </c>
      <c r="V58">
        <f>IF(AND($A58&lt;&gt;"",V$3&gt;=$J58,V$3&lt;=$M58),1,"")</f>
        <v/>
      </c>
      <c r="W58">
        <f>IF(AND($A58&lt;&gt;"",W$3&gt;=$J58,W$3&lt;=$M58),1,"")</f>
        <v/>
      </c>
      <c r="X58">
        <f>IF(AND($A58&lt;&gt;"",X$3&gt;=$J58,X$3&lt;=$M58),1,"")</f>
        <v/>
      </c>
      <c r="Y58">
        <f>IF(AND($A58&lt;&gt;"",Y$3&gt;=$J58,Y$3&lt;=$M58),1,"")</f>
        <v/>
      </c>
      <c r="Z58">
        <f>IF(AND($A58&lt;&gt;"",Z$3&gt;=$J58,Z$3&lt;=$M58),1,"")</f>
        <v/>
      </c>
      <c r="AA58">
        <f>IF(AND($A58&lt;&gt;"",AA$3&gt;=$J58,AA$3&lt;=$M58),1,"")</f>
        <v/>
      </c>
      <c r="AB58">
        <f>IF(AND($A58&lt;&gt;"",AB$3&gt;=$J58,AB$3&lt;=$M58),1,"")</f>
        <v/>
      </c>
      <c r="AC58">
        <f>IF(AND($A58&lt;&gt;"",AC$3&gt;=$J58,AC$3&lt;=$M58),1,"")</f>
        <v/>
      </c>
      <c r="AD58">
        <f>IF(AND($A58&lt;&gt;"",AD$3&gt;=$J58,AD$3&lt;=$M58),1,"")</f>
        <v/>
      </c>
      <c r="AE58">
        <f>IF(AND($A58&lt;&gt;"",AE$3&gt;=$J58,AE$3&lt;=$M58),1,"")</f>
        <v/>
      </c>
      <c r="AF58">
        <f>IF(AND($A58&lt;&gt;"",AF$3&gt;=$J58,AF$3&lt;=$M58),1,"")</f>
        <v/>
      </c>
      <c r="AG58">
        <f>IF(AND($A58&lt;&gt;"",AG$3&gt;=$J58,AG$3&lt;=$M58),1,"")</f>
        <v/>
      </c>
      <c r="AH58">
        <f>IF(AND($A58&lt;&gt;"",AH$3&gt;=$J58,AH$3&lt;=$M58),1,"")</f>
        <v/>
      </c>
      <c r="AI58">
        <f>IF(AND($A58&lt;&gt;"",AI$3&gt;=$J58,AI$3&lt;=$M58),1,"")</f>
        <v/>
      </c>
      <c r="AJ58">
        <f>IF(AND($A58&lt;&gt;"",AJ$3&gt;=$J58,AJ$3&lt;=$M58),1,"")</f>
        <v/>
      </c>
      <c r="AK58">
        <f>IF(AND($A58&lt;&gt;"",AK$3&gt;=$J58,AK$3&lt;=$M58),1,"")</f>
        <v/>
      </c>
      <c r="AL58">
        <f>IF(AND($A58&lt;&gt;"",AL$3&gt;=$J58,AL$3&lt;=$M58),1,"")</f>
        <v/>
      </c>
      <c r="AM58">
        <f>IF(AND($A58&lt;&gt;"",AM$3&gt;=$J58,AM$3&lt;=$M58),1,"")</f>
        <v/>
      </c>
      <c r="AN58">
        <f>IF(AND($A58&lt;&gt;"",AN$3&gt;=$J58,AN$3&lt;=$M58),1,"")</f>
        <v/>
      </c>
      <c r="AO58">
        <f>IF(AND($A58&lt;&gt;"",AO$3&gt;=$J58,AO$3&lt;=$M58),1,"")</f>
        <v/>
      </c>
      <c r="AP58">
        <f>IF(AND($A58&lt;&gt;"",AP$3&gt;=$J58,AP$3&lt;=$M58),1,"")</f>
        <v/>
      </c>
      <c r="AQ58">
        <f>IF(AND($A58&lt;&gt;"",AQ$3&gt;=$J58,AQ$3&lt;=$M58),1,"")</f>
        <v/>
      </c>
      <c r="AR58">
        <f>IF(AND($A58&lt;&gt;"",AR$3&gt;=$J58,AR$3&lt;=$M58),1,"")</f>
        <v/>
      </c>
      <c r="AS58">
        <f>IF(AND($A58&lt;&gt;"",AS$3&gt;=$J58,AS$3&lt;=$M58),1,"")</f>
        <v/>
      </c>
      <c r="AT58">
        <f>IF(AND($A58&lt;&gt;"",AT$3&gt;=$J58,AT$3&lt;=$M58),1,"")</f>
        <v/>
      </c>
      <c r="AU58">
        <f>IF(AND($A58&lt;&gt;"",AU$3&gt;=$J58,AU$3&lt;=$M58),1,"")</f>
        <v/>
      </c>
      <c r="AV58">
        <f>IF(AND($A58&lt;&gt;"",AV$3&gt;=$J58,AV$3&lt;=$M58),1,"")</f>
        <v/>
      </c>
      <c r="AW58">
        <f>IF(AND($A58&lt;&gt;"",AW$3&gt;=$J58,AW$3&lt;=$M58),1,"")</f>
        <v/>
      </c>
      <c r="AX58">
        <f>IF(AND($A58&lt;&gt;"",AX$3&gt;=$J58,AX$3&lt;=$M58),1,"")</f>
        <v/>
      </c>
      <c r="AY58">
        <f>IF(AND($A58&lt;&gt;"",AY$3&gt;=$J58,AY$3&lt;=$M58),1,"")</f>
        <v/>
      </c>
      <c r="AZ58">
        <f>IF(AND($A58&lt;&gt;"",AZ$3&gt;=$J58,AZ$3&lt;=$M58),1,"")</f>
        <v/>
      </c>
      <c r="BA58">
        <f>IF(AND($A58&lt;&gt;"",BA$3&gt;=$J58,BA$3&lt;=$M58),1,"")</f>
        <v/>
      </c>
      <c r="BB58">
        <f>IF(AND($A58&lt;&gt;"",BB$3&gt;=$J58,BB$3&lt;=$M58),1,"")</f>
        <v/>
      </c>
      <c r="BC58">
        <f>IF(AND($A58&lt;&gt;"",BC$3&gt;=$J58,BC$3&lt;=$M58),1,"")</f>
        <v/>
      </c>
      <c r="BD58">
        <f>IF(AND($A58&lt;&gt;"",BD$3&gt;=$J58,BD$3&lt;=$M58),1,"")</f>
        <v/>
      </c>
      <c r="BE58">
        <f>IF(AND($A58&lt;&gt;"",BE$3&gt;=$J58,BE$3&lt;=$M58),1,"")</f>
        <v/>
      </c>
      <c r="BF58">
        <f>IF(AND($A58&lt;&gt;"",BF$3&gt;=$J58,BF$3&lt;=$M58),1,"")</f>
        <v/>
      </c>
      <c r="BG58">
        <f>IF(AND($A58&lt;&gt;"",BG$3&gt;=$J58,BG$3&lt;=$M58),1,"")</f>
        <v/>
      </c>
      <c r="BH58">
        <f>IF(AND($A58&lt;&gt;"",BH$3&gt;=$J58,BH$3&lt;=$M58),1,"")</f>
        <v/>
      </c>
      <c r="BI58">
        <f>IF(AND($A58&lt;&gt;"",BI$3&gt;=$J58,BI$3&lt;=$M58),1,"")</f>
        <v/>
      </c>
      <c r="BJ58">
        <f>IF(AND($A58&lt;&gt;"",BJ$3&gt;=$J58,BJ$3&lt;=$M58),1,"")</f>
        <v/>
      </c>
      <c r="BK58">
        <f>IF(AND($A58&lt;&gt;"",BK$3&gt;=$J58,BK$3&lt;=$M58),1,"")</f>
        <v/>
      </c>
      <c r="BL58">
        <f>IF(AND($A58&lt;&gt;"",BL$3&gt;=$J58,BL$3&lt;=$M58),1,"")</f>
        <v/>
      </c>
      <c r="BM58">
        <f>IF(AND($A58&lt;&gt;"",BM$3&gt;=$J58,BM$3&lt;=$M58),1,"")</f>
        <v/>
      </c>
      <c r="BN58">
        <f>IF(AND($A58&lt;&gt;"",BN$3&gt;=$J58,BN$3&lt;=$M58),1,"")</f>
        <v/>
      </c>
      <c r="BO58">
        <f>IF(AND($A58&lt;&gt;"",BO$3&gt;=$J58,BO$3&lt;=$M58),1,"")</f>
        <v/>
      </c>
      <c r="BP58">
        <f>IF(AND($A58&lt;&gt;"",BP$3&gt;=$J58,BP$3&lt;=$M58),1,"")</f>
        <v/>
      </c>
      <c r="BQ58">
        <f>IF(AND($A58&lt;&gt;"",BQ$3&gt;=$J58,BQ$3&lt;=$M58),1,"")</f>
        <v/>
      </c>
      <c r="BR58">
        <f>IF(AND($A58&lt;&gt;"",BR$3&gt;=$J58,BR$3&lt;=$M58),1,"")</f>
        <v/>
      </c>
      <c r="BS58">
        <f>IF(AND($A58&lt;&gt;"",BS$3&gt;=$J58,BS$3&lt;=$M58),1,"")</f>
        <v/>
      </c>
      <c r="BT58">
        <f>IF(AND($A58&lt;&gt;"",BT$3&gt;=$J58,BT$3&lt;=$M58),1,"")</f>
        <v/>
      </c>
      <c r="BU58">
        <f>IF(AND($A58&lt;&gt;"",BU$3&gt;=$J58,BU$3&lt;=$M58),1,"")</f>
        <v/>
      </c>
      <c r="BV58">
        <f>IF(AND($A58&lt;&gt;"",BV$3&gt;=$J58,BV$3&lt;=$M58),1,"")</f>
        <v/>
      </c>
    </row>
    <row r="59">
      <c r="A59">
        <f>IF(Job_Master_Ring!$A59="","",Job_Master_Ring!$A59)</f>
        <v/>
      </c>
      <c r="B59">
        <f>IF($A59="","",Job_Master_Ring!B59)</f>
        <v/>
      </c>
      <c r="C59">
        <f>IF($A59="","",Job_Master_Ring!C59)</f>
        <v/>
      </c>
      <c r="D59">
        <f>IF($A59="","",Job_Master_Ring!D59)</f>
        <v/>
      </c>
      <c r="E59">
        <f>IF($A59="","",IF($I59&lt;&gt;"",$I59,IFERROR(INDEX(Machine_List!$B$87:$B$94,MATCH(1,(Machine_List!$H$87:$H$94&lt;=IFERROR(VLOOKUP($B59,CHOOSE(MATCH($C59,Settings!$L$4:$L$10,0),OPR_BR1!$A$4:$K$18,OPR_BR2!$A$4:$K$18,OPR_CR2!$A$4:$K$18,OPR_CR3!$A$4:$K$18,OPR_CR4!$A$4:$K$18,OPR_RIM!$A$4:$K$18,OPR_BPR!$A$4:$K$18),10,0),0))*(Machine_List!$I$87:$I$94&gt;=IFERROR(VLOOKUP($B59,CHOOSE(MATCH($C59,Settings!$L$4:$L$10,0),OPR_BR1!$A$4:$K$18,OPR_BR2!$A$4:$K$18,OPR_CR2!$A$4:$K$18,OPR_CR3!$A$4:$K$18,OPR_CR4!$A$4:$K$18,OPR_RIM!$A$4:$K$18,OPR_BPR!$A$4:$K$18),11,0),9999)),0)),"NO COMPATIBLE MACHINE")))</f>
        <v/>
      </c>
      <c r="F59">
        <f>IF($E59="","",IFERROR(VLOOKUP($E59,Machine_List!$B:$G,6,0),""))</f>
        <v/>
      </c>
      <c r="G59" s="17">
        <f>IF($E59="","",IFERROR(VLOOKUP($E59,Machine_List!$B:$C,2,0),""))</f>
        <v/>
      </c>
      <c r="H59">
        <f>IF($E59="","",IFERROR(VLOOKUP($E59,Machine_List!$B:$D,3,0),""))</f>
        <v/>
      </c>
      <c r="J59" s="16">
        <f>IF($A59="","",IF($I59&lt;&gt;"",$I59,MAX(GlobalStartDate,IFERROR(LOOKUP(2,1/($E$3:INDIRECT("E"&amp;(ROW()-1))=$E59),$M$3:INDIRECT("M"&amp;(ROW()-1))),GlobalStartDate))))</f>
        <v/>
      </c>
      <c r="K59">
        <f>IF($A59="","",IFERROR(VLOOKUP(B59,CHOOSE(MATCH($C59,Settings!$L$4:$L$10,0),OPR_BR1!$A$4:$I$18,OPR_BR2!$A$4:$I$18,OPR_CR2!$A$4:$I$18,OPR_CR3!$A$4:$I$18,OPR_CR4!$A$4:$I$18,OPR_RIM!$A$4:$I$18,OPR_BPR!$A$4:$I$18),2,0),0))</f>
        <v/>
      </c>
      <c r="L59">
        <f>IF($A59="","",K59*D59)</f>
        <v/>
      </c>
      <c r="M59" s="16">
        <f>IF($A59="","",IF(AND(ISNUMBER(G59),G59&gt;=J59,G59&lt;=(J59+(L59/(IF(F59="Contract Workman",Settings!$K$5,Settings!$K$4))))),J59+(L59/(IF(F59="Contract Workman",Settings!$K$5,Settings!$K$4)))+(H59/(IF(F59="Contract Workman",Settings!$K$5,Settings!$K$4))),J59+(L59/(IF(F59="Contract Workman",Settings!$K$5,Settings!$K$4)))))</f>
        <v/>
      </c>
      <c r="N59">
        <f>IF($A59="","",IF(F59="Contract Workman",IF(AND(MOD(M59,1)&gt;=8/24,MOD(M59,1)&lt;20/24),"Shift S1","Shift S2"),IF(AND(MOD(M59,1)&gt;=7/24,MOD(M59,1)&lt;15/24),"Shift A",IF(AND(MOD(M59,1)&gt;=15/24,MOD(M59,1)&lt;23/24),"Shift B","Shift C"))))</f>
        <v/>
      </c>
      <c r="O59">
        <f>IF(B59="","",IF(IFERROR(ISNUMBER(SEARCH(TEXT(B59,"0"),VLOOKUP(E59,Machine_List!$B:$J,9,0))),FALSE),"✅ "&amp;E59,"❌ ?"))</f>
        <v/>
      </c>
      <c r="P59">
        <f>IF(AND($A59&lt;&gt;"",P$3&gt;=$J59,P$3&lt;=$M59),1,"")</f>
        <v/>
      </c>
      <c r="Q59">
        <f>IF(AND($A59&lt;&gt;"",Q$3&gt;=$J59,Q$3&lt;=$M59),1,"")</f>
        <v/>
      </c>
      <c r="R59">
        <f>IF(AND($A59&lt;&gt;"",R$3&gt;=$J59,R$3&lt;=$M59),1,"")</f>
        <v/>
      </c>
      <c r="S59">
        <f>IF(AND($A59&lt;&gt;"",S$3&gt;=$J59,S$3&lt;=$M59),1,"")</f>
        <v/>
      </c>
      <c r="T59">
        <f>IF(AND($A59&lt;&gt;"",T$3&gt;=$J59,T$3&lt;=$M59),1,"")</f>
        <v/>
      </c>
      <c r="U59">
        <f>IF(AND($A59&lt;&gt;"",U$3&gt;=$J59,U$3&lt;=$M59),1,"")</f>
        <v/>
      </c>
      <c r="V59">
        <f>IF(AND($A59&lt;&gt;"",V$3&gt;=$J59,V$3&lt;=$M59),1,"")</f>
        <v/>
      </c>
      <c r="W59">
        <f>IF(AND($A59&lt;&gt;"",W$3&gt;=$J59,W$3&lt;=$M59),1,"")</f>
        <v/>
      </c>
      <c r="X59">
        <f>IF(AND($A59&lt;&gt;"",X$3&gt;=$J59,X$3&lt;=$M59),1,"")</f>
        <v/>
      </c>
      <c r="Y59">
        <f>IF(AND($A59&lt;&gt;"",Y$3&gt;=$J59,Y$3&lt;=$M59),1,"")</f>
        <v/>
      </c>
      <c r="Z59">
        <f>IF(AND($A59&lt;&gt;"",Z$3&gt;=$J59,Z$3&lt;=$M59),1,"")</f>
        <v/>
      </c>
      <c r="AA59">
        <f>IF(AND($A59&lt;&gt;"",AA$3&gt;=$J59,AA$3&lt;=$M59),1,"")</f>
        <v/>
      </c>
      <c r="AB59">
        <f>IF(AND($A59&lt;&gt;"",AB$3&gt;=$J59,AB$3&lt;=$M59),1,"")</f>
        <v/>
      </c>
      <c r="AC59">
        <f>IF(AND($A59&lt;&gt;"",AC$3&gt;=$J59,AC$3&lt;=$M59),1,"")</f>
        <v/>
      </c>
      <c r="AD59">
        <f>IF(AND($A59&lt;&gt;"",AD$3&gt;=$J59,AD$3&lt;=$M59),1,"")</f>
        <v/>
      </c>
      <c r="AE59">
        <f>IF(AND($A59&lt;&gt;"",AE$3&gt;=$J59,AE$3&lt;=$M59),1,"")</f>
        <v/>
      </c>
      <c r="AF59">
        <f>IF(AND($A59&lt;&gt;"",AF$3&gt;=$J59,AF$3&lt;=$M59),1,"")</f>
        <v/>
      </c>
      <c r="AG59">
        <f>IF(AND($A59&lt;&gt;"",AG$3&gt;=$J59,AG$3&lt;=$M59),1,"")</f>
        <v/>
      </c>
      <c r="AH59">
        <f>IF(AND($A59&lt;&gt;"",AH$3&gt;=$J59,AH$3&lt;=$M59),1,"")</f>
        <v/>
      </c>
      <c r="AI59">
        <f>IF(AND($A59&lt;&gt;"",AI$3&gt;=$J59,AI$3&lt;=$M59),1,"")</f>
        <v/>
      </c>
      <c r="AJ59">
        <f>IF(AND($A59&lt;&gt;"",AJ$3&gt;=$J59,AJ$3&lt;=$M59),1,"")</f>
        <v/>
      </c>
      <c r="AK59">
        <f>IF(AND($A59&lt;&gt;"",AK$3&gt;=$J59,AK$3&lt;=$M59),1,"")</f>
        <v/>
      </c>
      <c r="AL59">
        <f>IF(AND($A59&lt;&gt;"",AL$3&gt;=$J59,AL$3&lt;=$M59),1,"")</f>
        <v/>
      </c>
      <c r="AM59">
        <f>IF(AND($A59&lt;&gt;"",AM$3&gt;=$J59,AM$3&lt;=$M59),1,"")</f>
        <v/>
      </c>
      <c r="AN59">
        <f>IF(AND($A59&lt;&gt;"",AN$3&gt;=$J59,AN$3&lt;=$M59),1,"")</f>
        <v/>
      </c>
      <c r="AO59">
        <f>IF(AND($A59&lt;&gt;"",AO$3&gt;=$J59,AO$3&lt;=$M59),1,"")</f>
        <v/>
      </c>
      <c r="AP59">
        <f>IF(AND($A59&lt;&gt;"",AP$3&gt;=$J59,AP$3&lt;=$M59),1,"")</f>
        <v/>
      </c>
      <c r="AQ59">
        <f>IF(AND($A59&lt;&gt;"",AQ$3&gt;=$J59,AQ$3&lt;=$M59),1,"")</f>
        <v/>
      </c>
      <c r="AR59">
        <f>IF(AND($A59&lt;&gt;"",AR$3&gt;=$J59,AR$3&lt;=$M59),1,"")</f>
        <v/>
      </c>
      <c r="AS59">
        <f>IF(AND($A59&lt;&gt;"",AS$3&gt;=$J59,AS$3&lt;=$M59),1,"")</f>
        <v/>
      </c>
      <c r="AT59">
        <f>IF(AND($A59&lt;&gt;"",AT$3&gt;=$J59,AT$3&lt;=$M59),1,"")</f>
        <v/>
      </c>
      <c r="AU59">
        <f>IF(AND($A59&lt;&gt;"",AU$3&gt;=$J59,AU$3&lt;=$M59),1,"")</f>
        <v/>
      </c>
      <c r="AV59">
        <f>IF(AND($A59&lt;&gt;"",AV$3&gt;=$J59,AV$3&lt;=$M59),1,"")</f>
        <v/>
      </c>
      <c r="AW59">
        <f>IF(AND($A59&lt;&gt;"",AW$3&gt;=$J59,AW$3&lt;=$M59),1,"")</f>
        <v/>
      </c>
      <c r="AX59">
        <f>IF(AND($A59&lt;&gt;"",AX$3&gt;=$J59,AX$3&lt;=$M59),1,"")</f>
        <v/>
      </c>
      <c r="AY59">
        <f>IF(AND($A59&lt;&gt;"",AY$3&gt;=$J59,AY$3&lt;=$M59),1,"")</f>
        <v/>
      </c>
      <c r="AZ59">
        <f>IF(AND($A59&lt;&gt;"",AZ$3&gt;=$J59,AZ$3&lt;=$M59),1,"")</f>
        <v/>
      </c>
      <c r="BA59">
        <f>IF(AND($A59&lt;&gt;"",BA$3&gt;=$J59,BA$3&lt;=$M59),1,"")</f>
        <v/>
      </c>
      <c r="BB59">
        <f>IF(AND($A59&lt;&gt;"",BB$3&gt;=$J59,BB$3&lt;=$M59),1,"")</f>
        <v/>
      </c>
      <c r="BC59">
        <f>IF(AND($A59&lt;&gt;"",BC$3&gt;=$J59,BC$3&lt;=$M59),1,"")</f>
        <v/>
      </c>
      <c r="BD59">
        <f>IF(AND($A59&lt;&gt;"",BD$3&gt;=$J59,BD$3&lt;=$M59),1,"")</f>
        <v/>
      </c>
      <c r="BE59">
        <f>IF(AND($A59&lt;&gt;"",BE$3&gt;=$J59,BE$3&lt;=$M59),1,"")</f>
        <v/>
      </c>
      <c r="BF59">
        <f>IF(AND($A59&lt;&gt;"",BF$3&gt;=$J59,BF$3&lt;=$M59),1,"")</f>
        <v/>
      </c>
      <c r="BG59">
        <f>IF(AND($A59&lt;&gt;"",BG$3&gt;=$J59,BG$3&lt;=$M59),1,"")</f>
        <v/>
      </c>
      <c r="BH59">
        <f>IF(AND($A59&lt;&gt;"",BH$3&gt;=$J59,BH$3&lt;=$M59),1,"")</f>
        <v/>
      </c>
      <c r="BI59">
        <f>IF(AND($A59&lt;&gt;"",BI$3&gt;=$J59,BI$3&lt;=$M59),1,"")</f>
        <v/>
      </c>
      <c r="BJ59">
        <f>IF(AND($A59&lt;&gt;"",BJ$3&gt;=$J59,BJ$3&lt;=$M59),1,"")</f>
        <v/>
      </c>
      <c r="BK59">
        <f>IF(AND($A59&lt;&gt;"",BK$3&gt;=$J59,BK$3&lt;=$M59),1,"")</f>
        <v/>
      </c>
      <c r="BL59">
        <f>IF(AND($A59&lt;&gt;"",BL$3&gt;=$J59,BL$3&lt;=$M59),1,"")</f>
        <v/>
      </c>
      <c r="BM59">
        <f>IF(AND($A59&lt;&gt;"",BM$3&gt;=$J59,BM$3&lt;=$M59),1,"")</f>
        <v/>
      </c>
      <c r="BN59">
        <f>IF(AND($A59&lt;&gt;"",BN$3&gt;=$J59,BN$3&lt;=$M59),1,"")</f>
        <v/>
      </c>
      <c r="BO59">
        <f>IF(AND($A59&lt;&gt;"",BO$3&gt;=$J59,BO$3&lt;=$M59),1,"")</f>
        <v/>
      </c>
      <c r="BP59">
        <f>IF(AND($A59&lt;&gt;"",BP$3&gt;=$J59,BP$3&lt;=$M59),1,"")</f>
        <v/>
      </c>
      <c r="BQ59">
        <f>IF(AND($A59&lt;&gt;"",BQ$3&gt;=$J59,BQ$3&lt;=$M59),1,"")</f>
        <v/>
      </c>
      <c r="BR59">
        <f>IF(AND($A59&lt;&gt;"",BR$3&gt;=$J59,BR$3&lt;=$M59),1,"")</f>
        <v/>
      </c>
      <c r="BS59">
        <f>IF(AND($A59&lt;&gt;"",BS$3&gt;=$J59,BS$3&lt;=$M59),1,"")</f>
        <v/>
      </c>
      <c r="BT59">
        <f>IF(AND($A59&lt;&gt;"",BT$3&gt;=$J59,BT$3&lt;=$M59),1,"")</f>
        <v/>
      </c>
      <c r="BU59">
        <f>IF(AND($A59&lt;&gt;"",BU$3&gt;=$J59,BU$3&lt;=$M59),1,"")</f>
        <v/>
      </c>
      <c r="BV59">
        <f>IF(AND($A59&lt;&gt;"",BV$3&gt;=$J59,BV$3&lt;=$M59),1,"")</f>
        <v/>
      </c>
    </row>
    <row r="60">
      <c r="A60">
        <f>IF(Job_Master_Ring!$A60="","",Job_Master_Ring!$A60)</f>
        <v/>
      </c>
      <c r="B60">
        <f>IF($A60="","",Job_Master_Ring!B60)</f>
        <v/>
      </c>
      <c r="C60">
        <f>IF($A60="","",Job_Master_Ring!C60)</f>
        <v/>
      </c>
      <c r="D60">
        <f>IF($A60="","",Job_Master_Ring!D60)</f>
        <v/>
      </c>
      <c r="E60">
        <f>IF($A60="","",IF($I60&lt;&gt;"",$I60,IFERROR(INDEX(Machine_List!$B$87:$B$94,MATCH(1,(Machine_List!$H$87:$H$94&lt;=IFERROR(VLOOKUP($B60,CHOOSE(MATCH($C60,Settings!$L$4:$L$10,0),OPR_BR1!$A$4:$K$18,OPR_BR2!$A$4:$K$18,OPR_CR2!$A$4:$K$18,OPR_CR3!$A$4:$K$18,OPR_CR4!$A$4:$K$18,OPR_RIM!$A$4:$K$18,OPR_BPR!$A$4:$K$18),10,0),0))*(Machine_List!$I$87:$I$94&gt;=IFERROR(VLOOKUP($B60,CHOOSE(MATCH($C60,Settings!$L$4:$L$10,0),OPR_BR1!$A$4:$K$18,OPR_BR2!$A$4:$K$18,OPR_CR2!$A$4:$K$18,OPR_CR3!$A$4:$K$18,OPR_CR4!$A$4:$K$18,OPR_RIM!$A$4:$K$18,OPR_BPR!$A$4:$K$18),11,0),9999)),0)),"NO COMPATIBLE MACHINE")))</f>
        <v/>
      </c>
      <c r="F60">
        <f>IF($E60="","",IFERROR(VLOOKUP($E60,Machine_List!$B:$G,6,0),""))</f>
        <v/>
      </c>
      <c r="G60" s="17">
        <f>IF($E60="","",IFERROR(VLOOKUP($E60,Machine_List!$B:$C,2,0),""))</f>
        <v/>
      </c>
      <c r="H60">
        <f>IF($E60="","",IFERROR(VLOOKUP($E60,Machine_List!$B:$D,3,0),""))</f>
        <v/>
      </c>
      <c r="J60" s="16">
        <f>IF($A60="","",IF($I60&lt;&gt;"",$I60,MAX(GlobalStartDate,IFERROR(LOOKUP(2,1/($E$3:INDIRECT("E"&amp;(ROW()-1))=$E60),$M$3:INDIRECT("M"&amp;(ROW()-1))),GlobalStartDate))))</f>
        <v/>
      </c>
      <c r="K60">
        <f>IF($A60="","",IFERROR(VLOOKUP(B60,CHOOSE(MATCH($C60,Settings!$L$4:$L$10,0),OPR_BR1!$A$4:$I$18,OPR_BR2!$A$4:$I$18,OPR_CR2!$A$4:$I$18,OPR_CR3!$A$4:$I$18,OPR_CR4!$A$4:$I$18,OPR_RIM!$A$4:$I$18,OPR_BPR!$A$4:$I$18),2,0),0))</f>
        <v/>
      </c>
      <c r="L60">
        <f>IF($A60="","",K60*D60)</f>
        <v/>
      </c>
      <c r="M60" s="16">
        <f>IF($A60="","",IF(AND(ISNUMBER(G60),G60&gt;=J60,G60&lt;=(J60+(L60/(IF(F60="Contract Workman",Settings!$K$5,Settings!$K$4))))),J60+(L60/(IF(F60="Contract Workman",Settings!$K$5,Settings!$K$4)))+(H60/(IF(F60="Contract Workman",Settings!$K$5,Settings!$K$4))),J60+(L60/(IF(F60="Contract Workman",Settings!$K$5,Settings!$K$4)))))</f>
        <v/>
      </c>
      <c r="N60">
        <f>IF($A60="","",IF(F60="Contract Workman",IF(AND(MOD(M60,1)&gt;=8/24,MOD(M60,1)&lt;20/24),"Shift S1","Shift S2"),IF(AND(MOD(M60,1)&gt;=7/24,MOD(M60,1)&lt;15/24),"Shift A",IF(AND(MOD(M60,1)&gt;=15/24,MOD(M60,1)&lt;23/24),"Shift B","Shift C"))))</f>
        <v/>
      </c>
      <c r="O60">
        <f>IF(B60="","",IF(IFERROR(ISNUMBER(SEARCH(TEXT(B60,"0"),VLOOKUP(E60,Machine_List!$B:$J,9,0))),FALSE),"✅ "&amp;E60,"❌ ?"))</f>
        <v/>
      </c>
      <c r="P60">
        <f>IF(AND($A60&lt;&gt;"",P$3&gt;=$J60,P$3&lt;=$M60),1,"")</f>
        <v/>
      </c>
      <c r="Q60">
        <f>IF(AND($A60&lt;&gt;"",Q$3&gt;=$J60,Q$3&lt;=$M60),1,"")</f>
        <v/>
      </c>
      <c r="R60">
        <f>IF(AND($A60&lt;&gt;"",R$3&gt;=$J60,R$3&lt;=$M60),1,"")</f>
        <v/>
      </c>
      <c r="S60">
        <f>IF(AND($A60&lt;&gt;"",S$3&gt;=$J60,S$3&lt;=$M60),1,"")</f>
        <v/>
      </c>
      <c r="T60">
        <f>IF(AND($A60&lt;&gt;"",T$3&gt;=$J60,T$3&lt;=$M60),1,"")</f>
        <v/>
      </c>
      <c r="U60">
        <f>IF(AND($A60&lt;&gt;"",U$3&gt;=$J60,U$3&lt;=$M60),1,"")</f>
        <v/>
      </c>
      <c r="V60">
        <f>IF(AND($A60&lt;&gt;"",V$3&gt;=$J60,V$3&lt;=$M60),1,"")</f>
        <v/>
      </c>
      <c r="W60">
        <f>IF(AND($A60&lt;&gt;"",W$3&gt;=$J60,W$3&lt;=$M60),1,"")</f>
        <v/>
      </c>
      <c r="X60">
        <f>IF(AND($A60&lt;&gt;"",X$3&gt;=$J60,X$3&lt;=$M60),1,"")</f>
        <v/>
      </c>
      <c r="Y60">
        <f>IF(AND($A60&lt;&gt;"",Y$3&gt;=$J60,Y$3&lt;=$M60),1,"")</f>
        <v/>
      </c>
      <c r="Z60">
        <f>IF(AND($A60&lt;&gt;"",Z$3&gt;=$J60,Z$3&lt;=$M60),1,"")</f>
        <v/>
      </c>
      <c r="AA60">
        <f>IF(AND($A60&lt;&gt;"",AA$3&gt;=$J60,AA$3&lt;=$M60),1,"")</f>
        <v/>
      </c>
      <c r="AB60">
        <f>IF(AND($A60&lt;&gt;"",AB$3&gt;=$J60,AB$3&lt;=$M60),1,"")</f>
        <v/>
      </c>
      <c r="AC60">
        <f>IF(AND($A60&lt;&gt;"",AC$3&gt;=$J60,AC$3&lt;=$M60),1,"")</f>
        <v/>
      </c>
      <c r="AD60">
        <f>IF(AND($A60&lt;&gt;"",AD$3&gt;=$J60,AD$3&lt;=$M60),1,"")</f>
        <v/>
      </c>
      <c r="AE60">
        <f>IF(AND($A60&lt;&gt;"",AE$3&gt;=$J60,AE$3&lt;=$M60),1,"")</f>
        <v/>
      </c>
      <c r="AF60">
        <f>IF(AND($A60&lt;&gt;"",AF$3&gt;=$J60,AF$3&lt;=$M60),1,"")</f>
        <v/>
      </c>
      <c r="AG60">
        <f>IF(AND($A60&lt;&gt;"",AG$3&gt;=$J60,AG$3&lt;=$M60),1,"")</f>
        <v/>
      </c>
      <c r="AH60">
        <f>IF(AND($A60&lt;&gt;"",AH$3&gt;=$J60,AH$3&lt;=$M60),1,"")</f>
        <v/>
      </c>
      <c r="AI60">
        <f>IF(AND($A60&lt;&gt;"",AI$3&gt;=$J60,AI$3&lt;=$M60),1,"")</f>
        <v/>
      </c>
      <c r="AJ60">
        <f>IF(AND($A60&lt;&gt;"",AJ$3&gt;=$J60,AJ$3&lt;=$M60),1,"")</f>
        <v/>
      </c>
      <c r="AK60">
        <f>IF(AND($A60&lt;&gt;"",AK$3&gt;=$J60,AK$3&lt;=$M60),1,"")</f>
        <v/>
      </c>
      <c r="AL60">
        <f>IF(AND($A60&lt;&gt;"",AL$3&gt;=$J60,AL$3&lt;=$M60),1,"")</f>
        <v/>
      </c>
      <c r="AM60">
        <f>IF(AND($A60&lt;&gt;"",AM$3&gt;=$J60,AM$3&lt;=$M60),1,"")</f>
        <v/>
      </c>
      <c r="AN60">
        <f>IF(AND($A60&lt;&gt;"",AN$3&gt;=$J60,AN$3&lt;=$M60),1,"")</f>
        <v/>
      </c>
      <c r="AO60">
        <f>IF(AND($A60&lt;&gt;"",AO$3&gt;=$J60,AO$3&lt;=$M60),1,"")</f>
        <v/>
      </c>
      <c r="AP60">
        <f>IF(AND($A60&lt;&gt;"",AP$3&gt;=$J60,AP$3&lt;=$M60),1,"")</f>
        <v/>
      </c>
      <c r="AQ60">
        <f>IF(AND($A60&lt;&gt;"",AQ$3&gt;=$J60,AQ$3&lt;=$M60),1,"")</f>
        <v/>
      </c>
      <c r="AR60">
        <f>IF(AND($A60&lt;&gt;"",AR$3&gt;=$J60,AR$3&lt;=$M60),1,"")</f>
        <v/>
      </c>
      <c r="AS60">
        <f>IF(AND($A60&lt;&gt;"",AS$3&gt;=$J60,AS$3&lt;=$M60),1,"")</f>
        <v/>
      </c>
      <c r="AT60">
        <f>IF(AND($A60&lt;&gt;"",AT$3&gt;=$J60,AT$3&lt;=$M60),1,"")</f>
        <v/>
      </c>
      <c r="AU60">
        <f>IF(AND($A60&lt;&gt;"",AU$3&gt;=$J60,AU$3&lt;=$M60),1,"")</f>
        <v/>
      </c>
      <c r="AV60">
        <f>IF(AND($A60&lt;&gt;"",AV$3&gt;=$J60,AV$3&lt;=$M60),1,"")</f>
        <v/>
      </c>
      <c r="AW60">
        <f>IF(AND($A60&lt;&gt;"",AW$3&gt;=$J60,AW$3&lt;=$M60),1,"")</f>
        <v/>
      </c>
      <c r="AX60">
        <f>IF(AND($A60&lt;&gt;"",AX$3&gt;=$J60,AX$3&lt;=$M60),1,"")</f>
        <v/>
      </c>
      <c r="AY60">
        <f>IF(AND($A60&lt;&gt;"",AY$3&gt;=$J60,AY$3&lt;=$M60),1,"")</f>
        <v/>
      </c>
      <c r="AZ60">
        <f>IF(AND($A60&lt;&gt;"",AZ$3&gt;=$J60,AZ$3&lt;=$M60),1,"")</f>
        <v/>
      </c>
      <c r="BA60">
        <f>IF(AND($A60&lt;&gt;"",BA$3&gt;=$J60,BA$3&lt;=$M60),1,"")</f>
        <v/>
      </c>
      <c r="BB60">
        <f>IF(AND($A60&lt;&gt;"",BB$3&gt;=$J60,BB$3&lt;=$M60),1,"")</f>
        <v/>
      </c>
      <c r="BC60">
        <f>IF(AND($A60&lt;&gt;"",BC$3&gt;=$J60,BC$3&lt;=$M60),1,"")</f>
        <v/>
      </c>
      <c r="BD60">
        <f>IF(AND($A60&lt;&gt;"",BD$3&gt;=$J60,BD$3&lt;=$M60),1,"")</f>
        <v/>
      </c>
      <c r="BE60">
        <f>IF(AND($A60&lt;&gt;"",BE$3&gt;=$J60,BE$3&lt;=$M60),1,"")</f>
        <v/>
      </c>
      <c r="BF60">
        <f>IF(AND($A60&lt;&gt;"",BF$3&gt;=$J60,BF$3&lt;=$M60),1,"")</f>
        <v/>
      </c>
      <c r="BG60">
        <f>IF(AND($A60&lt;&gt;"",BG$3&gt;=$J60,BG$3&lt;=$M60),1,"")</f>
        <v/>
      </c>
      <c r="BH60">
        <f>IF(AND($A60&lt;&gt;"",BH$3&gt;=$J60,BH$3&lt;=$M60),1,"")</f>
        <v/>
      </c>
      <c r="BI60">
        <f>IF(AND($A60&lt;&gt;"",BI$3&gt;=$J60,BI$3&lt;=$M60),1,"")</f>
        <v/>
      </c>
      <c r="BJ60">
        <f>IF(AND($A60&lt;&gt;"",BJ$3&gt;=$J60,BJ$3&lt;=$M60),1,"")</f>
        <v/>
      </c>
      <c r="BK60">
        <f>IF(AND($A60&lt;&gt;"",BK$3&gt;=$J60,BK$3&lt;=$M60),1,"")</f>
        <v/>
      </c>
      <c r="BL60">
        <f>IF(AND($A60&lt;&gt;"",BL$3&gt;=$J60,BL$3&lt;=$M60),1,"")</f>
        <v/>
      </c>
      <c r="BM60">
        <f>IF(AND($A60&lt;&gt;"",BM$3&gt;=$J60,BM$3&lt;=$M60),1,"")</f>
        <v/>
      </c>
      <c r="BN60">
        <f>IF(AND($A60&lt;&gt;"",BN$3&gt;=$J60,BN$3&lt;=$M60),1,"")</f>
        <v/>
      </c>
      <c r="BO60">
        <f>IF(AND($A60&lt;&gt;"",BO$3&gt;=$J60,BO$3&lt;=$M60),1,"")</f>
        <v/>
      </c>
      <c r="BP60">
        <f>IF(AND($A60&lt;&gt;"",BP$3&gt;=$J60,BP$3&lt;=$M60),1,"")</f>
        <v/>
      </c>
      <c r="BQ60">
        <f>IF(AND($A60&lt;&gt;"",BQ$3&gt;=$J60,BQ$3&lt;=$M60),1,"")</f>
        <v/>
      </c>
      <c r="BR60">
        <f>IF(AND($A60&lt;&gt;"",BR$3&gt;=$J60,BR$3&lt;=$M60),1,"")</f>
        <v/>
      </c>
      <c r="BS60">
        <f>IF(AND($A60&lt;&gt;"",BS$3&gt;=$J60,BS$3&lt;=$M60),1,"")</f>
        <v/>
      </c>
      <c r="BT60">
        <f>IF(AND($A60&lt;&gt;"",BT$3&gt;=$J60,BT$3&lt;=$M60),1,"")</f>
        <v/>
      </c>
      <c r="BU60">
        <f>IF(AND($A60&lt;&gt;"",BU$3&gt;=$J60,BU$3&lt;=$M60),1,"")</f>
        <v/>
      </c>
      <c r="BV60">
        <f>IF(AND($A60&lt;&gt;"",BV$3&gt;=$J60,BV$3&lt;=$M60),1,"")</f>
        <v/>
      </c>
    </row>
    <row r="61">
      <c r="A61">
        <f>IF(Job_Master_Ring!$A61="","",Job_Master_Ring!$A61)</f>
        <v/>
      </c>
      <c r="B61">
        <f>IF($A61="","",Job_Master_Ring!B61)</f>
        <v/>
      </c>
      <c r="C61">
        <f>IF($A61="","",Job_Master_Ring!C61)</f>
        <v/>
      </c>
      <c r="D61">
        <f>IF($A61="","",Job_Master_Ring!D61)</f>
        <v/>
      </c>
      <c r="E61">
        <f>IF($A61="","",IF($I61&lt;&gt;"",$I61,IFERROR(INDEX(Machine_List!$B$87:$B$94,MATCH(1,(Machine_List!$H$87:$H$94&lt;=IFERROR(VLOOKUP($B61,CHOOSE(MATCH($C61,Settings!$L$4:$L$10,0),OPR_BR1!$A$4:$K$18,OPR_BR2!$A$4:$K$18,OPR_CR2!$A$4:$K$18,OPR_CR3!$A$4:$K$18,OPR_CR4!$A$4:$K$18,OPR_RIM!$A$4:$K$18,OPR_BPR!$A$4:$K$18),10,0),0))*(Machine_List!$I$87:$I$94&gt;=IFERROR(VLOOKUP($B61,CHOOSE(MATCH($C61,Settings!$L$4:$L$10,0),OPR_BR1!$A$4:$K$18,OPR_BR2!$A$4:$K$18,OPR_CR2!$A$4:$K$18,OPR_CR3!$A$4:$K$18,OPR_CR4!$A$4:$K$18,OPR_RIM!$A$4:$K$18,OPR_BPR!$A$4:$K$18),11,0),9999)),0)),"NO COMPATIBLE MACHINE")))</f>
        <v/>
      </c>
      <c r="F61">
        <f>IF($E61="","",IFERROR(VLOOKUP($E61,Machine_List!$B:$G,6,0),""))</f>
        <v/>
      </c>
      <c r="G61" s="17">
        <f>IF($E61="","",IFERROR(VLOOKUP($E61,Machine_List!$B:$C,2,0),""))</f>
        <v/>
      </c>
      <c r="H61">
        <f>IF($E61="","",IFERROR(VLOOKUP($E61,Machine_List!$B:$D,3,0),""))</f>
        <v/>
      </c>
      <c r="J61" s="16">
        <f>IF($A61="","",IF($I61&lt;&gt;"",$I61,MAX(GlobalStartDate,IFERROR(LOOKUP(2,1/($E$3:INDIRECT("E"&amp;(ROW()-1))=$E61),$M$3:INDIRECT("M"&amp;(ROW()-1))),GlobalStartDate))))</f>
        <v/>
      </c>
      <c r="K61">
        <f>IF($A61="","",IFERROR(VLOOKUP(B61,CHOOSE(MATCH($C61,Settings!$L$4:$L$10,0),OPR_BR1!$A$4:$I$18,OPR_BR2!$A$4:$I$18,OPR_CR2!$A$4:$I$18,OPR_CR3!$A$4:$I$18,OPR_CR4!$A$4:$I$18,OPR_RIM!$A$4:$I$18,OPR_BPR!$A$4:$I$18),2,0),0))</f>
        <v/>
      </c>
      <c r="L61">
        <f>IF($A61="","",K61*D61)</f>
        <v/>
      </c>
      <c r="M61" s="16">
        <f>IF($A61="","",IF(AND(ISNUMBER(G61),G61&gt;=J61,G61&lt;=(J61+(L61/(IF(F61="Contract Workman",Settings!$K$5,Settings!$K$4))))),J61+(L61/(IF(F61="Contract Workman",Settings!$K$5,Settings!$K$4)))+(H61/(IF(F61="Contract Workman",Settings!$K$5,Settings!$K$4))),J61+(L61/(IF(F61="Contract Workman",Settings!$K$5,Settings!$K$4)))))</f>
        <v/>
      </c>
      <c r="N61">
        <f>IF($A61="","",IF(F61="Contract Workman",IF(AND(MOD(M61,1)&gt;=8/24,MOD(M61,1)&lt;20/24),"Shift S1","Shift S2"),IF(AND(MOD(M61,1)&gt;=7/24,MOD(M61,1)&lt;15/24),"Shift A",IF(AND(MOD(M61,1)&gt;=15/24,MOD(M61,1)&lt;23/24),"Shift B","Shift C"))))</f>
        <v/>
      </c>
      <c r="O61">
        <f>IF(B61="","",IF(IFERROR(ISNUMBER(SEARCH(TEXT(B61,"0"),VLOOKUP(E61,Machine_List!$B:$J,9,0))),FALSE),"✅ "&amp;E61,"❌ ?"))</f>
        <v/>
      </c>
      <c r="P61">
        <f>IF(AND($A61&lt;&gt;"",P$3&gt;=$J61,P$3&lt;=$M61),1,"")</f>
        <v/>
      </c>
      <c r="Q61">
        <f>IF(AND($A61&lt;&gt;"",Q$3&gt;=$J61,Q$3&lt;=$M61),1,"")</f>
        <v/>
      </c>
      <c r="R61">
        <f>IF(AND($A61&lt;&gt;"",R$3&gt;=$J61,R$3&lt;=$M61),1,"")</f>
        <v/>
      </c>
      <c r="S61">
        <f>IF(AND($A61&lt;&gt;"",S$3&gt;=$J61,S$3&lt;=$M61),1,"")</f>
        <v/>
      </c>
      <c r="T61">
        <f>IF(AND($A61&lt;&gt;"",T$3&gt;=$J61,T$3&lt;=$M61),1,"")</f>
        <v/>
      </c>
      <c r="U61">
        <f>IF(AND($A61&lt;&gt;"",U$3&gt;=$J61,U$3&lt;=$M61),1,"")</f>
        <v/>
      </c>
      <c r="V61">
        <f>IF(AND($A61&lt;&gt;"",V$3&gt;=$J61,V$3&lt;=$M61),1,"")</f>
        <v/>
      </c>
      <c r="W61">
        <f>IF(AND($A61&lt;&gt;"",W$3&gt;=$J61,W$3&lt;=$M61),1,"")</f>
        <v/>
      </c>
      <c r="X61">
        <f>IF(AND($A61&lt;&gt;"",X$3&gt;=$J61,X$3&lt;=$M61),1,"")</f>
        <v/>
      </c>
      <c r="Y61">
        <f>IF(AND($A61&lt;&gt;"",Y$3&gt;=$J61,Y$3&lt;=$M61),1,"")</f>
        <v/>
      </c>
      <c r="Z61">
        <f>IF(AND($A61&lt;&gt;"",Z$3&gt;=$J61,Z$3&lt;=$M61),1,"")</f>
        <v/>
      </c>
      <c r="AA61">
        <f>IF(AND($A61&lt;&gt;"",AA$3&gt;=$J61,AA$3&lt;=$M61),1,"")</f>
        <v/>
      </c>
      <c r="AB61">
        <f>IF(AND($A61&lt;&gt;"",AB$3&gt;=$J61,AB$3&lt;=$M61),1,"")</f>
        <v/>
      </c>
      <c r="AC61">
        <f>IF(AND($A61&lt;&gt;"",AC$3&gt;=$J61,AC$3&lt;=$M61),1,"")</f>
        <v/>
      </c>
      <c r="AD61">
        <f>IF(AND($A61&lt;&gt;"",AD$3&gt;=$J61,AD$3&lt;=$M61),1,"")</f>
        <v/>
      </c>
      <c r="AE61">
        <f>IF(AND($A61&lt;&gt;"",AE$3&gt;=$J61,AE$3&lt;=$M61),1,"")</f>
        <v/>
      </c>
      <c r="AF61">
        <f>IF(AND($A61&lt;&gt;"",AF$3&gt;=$J61,AF$3&lt;=$M61),1,"")</f>
        <v/>
      </c>
      <c r="AG61">
        <f>IF(AND($A61&lt;&gt;"",AG$3&gt;=$J61,AG$3&lt;=$M61),1,"")</f>
        <v/>
      </c>
      <c r="AH61">
        <f>IF(AND($A61&lt;&gt;"",AH$3&gt;=$J61,AH$3&lt;=$M61),1,"")</f>
        <v/>
      </c>
      <c r="AI61">
        <f>IF(AND($A61&lt;&gt;"",AI$3&gt;=$J61,AI$3&lt;=$M61),1,"")</f>
        <v/>
      </c>
      <c r="AJ61">
        <f>IF(AND($A61&lt;&gt;"",AJ$3&gt;=$J61,AJ$3&lt;=$M61),1,"")</f>
        <v/>
      </c>
      <c r="AK61">
        <f>IF(AND($A61&lt;&gt;"",AK$3&gt;=$J61,AK$3&lt;=$M61),1,"")</f>
        <v/>
      </c>
      <c r="AL61">
        <f>IF(AND($A61&lt;&gt;"",AL$3&gt;=$J61,AL$3&lt;=$M61),1,"")</f>
        <v/>
      </c>
      <c r="AM61">
        <f>IF(AND($A61&lt;&gt;"",AM$3&gt;=$J61,AM$3&lt;=$M61),1,"")</f>
        <v/>
      </c>
      <c r="AN61">
        <f>IF(AND($A61&lt;&gt;"",AN$3&gt;=$J61,AN$3&lt;=$M61),1,"")</f>
        <v/>
      </c>
      <c r="AO61">
        <f>IF(AND($A61&lt;&gt;"",AO$3&gt;=$J61,AO$3&lt;=$M61),1,"")</f>
        <v/>
      </c>
      <c r="AP61">
        <f>IF(AND($A61&lt;&gt;"",AP$3&gt;=$J61,AP$3&lt;=$M61),1,"")</f>
        <v/>
      </c>
      <c r="AQ61">
        <f>IF(AND($A61&lt;&gt;"",AQ$3&gt;=$J61,AQ$3&lt;=$M61),1,"")</f>
        <v/>
      </c>
      <c r="AR61">
        <f>IF(AND($A61&lt;&gt;"",AR$3&gt;=$J61,AR$3&lt;=$M61),1,"")</f>
        <v/>
      </c>
      <c r="AS61">
        <f>IF(AND($A61&lt;&gt;"",AS$3&gt;=$J61,AS$3&lt;=$M61),1,"")</f>
        <v/>
      </c>
      <c r="AT61">
        <f>IF(AND($A61&lt;&gt;"",AT$3&gt;=$J61,AT$3&lt;=$M61),1,"")</f>
        <v/>
      </c>
      <c r="AU61">
        <f>IF(AND($A61&lt;&gt;"",AU$3&gt;=$J61,AU$3&lt;=$M61),1,"")</f>
        <v/>
      </c>
      <c r="AV61">
        <f>IF(AND($A61&lt;&gt;"",AV$3&gt;=$J61,AV$3&lt;=$M61),1,"")</f>
        <v/>
      </c>
      <c r="AW61">
        <f>IF(AND($A61&lt;&gt;"",AW$3&gt;=$J61,AW$3&lt;=$M61),1,"")</f>
        <v/>
      </c>
      <c r="AX61">
        <f>IF(AND($A61&lt;&gt;"",AX$3&gt;=$J61,AX$3&lt;=$M61),1,"")</f>
        <v/>
      </c>
      <c r="AY61">
        <f>IF(AND($A61&lt;&gt;"",AY$3&gt;=$J61,AY$3&lt;=$M61),1,"")</f>
        <v/>
      </c>
      <c r="AZ61">
        <f>IF(AND($A61&lt;&gt;"",AZ$3&gt;=$J61,AZ$3&lt;=$M61),1,"")</f>
        <v/>
      </c>
      <c r="BA61">
        <f>IF(AND($A61&lt;&gt;"",BA$3&gt;=$J61,BA$3&lt;=$M61),1,"")</f>
        <v/>
      </c>
      <c r="BB61">
        <f>IF(AND($A61&lt;&gt;"",BB$3&gt;=$J61,BB$3&lt;=$M61),1,"")</f>
        <v/>
      </c>
      <c r="BC61">
        <f>IF(AND($A61&lt;&gt;"",BC$3&gt;=$J61,BC$3&lt;=$M61),1,"")</f>
        <v/>
      </c>
      <c r="BD61">
        <f>IF(AND($A61&lt;&gt;"",BD$3&gt;=$J61,BD$3&lt;=$M61),1,"")</f>
        <v/>
      </c>
      <c r="BE61">
        <f>IF(AND($A61&lt;&gt;"",BE$3&gt;=$J61,BE$3&lt;=$M61),1,"")</f>
        <v/>
      </c>
      <c r="BF61">
        <f>IF(AND($A61&lt;&gt;"",BF$3&gt;=$J61,BF$3&lt;=$M61),1,"")</f>
        <v/>
      </c>
      <c r="BG61">
        <f>IF(AND($A61&lt;&gt;"",BG$3&gt;=$J61,BG$3&lt;=$M61),1,"")</f>
        <v/>
      </c>
      <c r="BH61">
        <f>IF(AND($A61&lt;&gt;"",BH$3&gt;=$J61,BH$3&lt;=$M61),1,"")</f>
        <v/>
      </c>
      <c r="BI61">
        <f>IF(AND($A61&lt;&gt;"",BI$3&gt;=$J61,BI$3&lt;=$M61),1,"")</f>
        <v/>
      </c>
      <c r="BJ61">
        <f>IF(AND($A61&lt;&gt;"",BJ$3&gt;=$J61,BJ$3&lt;=$M61),1,"")</f>
        <v/>
      </c>
      <c r="BK61">
        <f>IF(AND($A61&lt;&gt;"",BK$3&gt;=$J61,BK$3&lt;=$M61),1,"")</f>
        <v/>
      </c>
      <c r="BL61">
        <f>IF(AND($A61&lt;&gt;"",BL$3&gt;=$J61,BL$3&lt;=$M61),1,"")</f>
        <v/>
      </c>
      <c r="BM61">
        <f>IF(AND($A61&lt;&gt;"",BM$3&gt;=$J61,BM$3&lt;=$M61),1,"")</f>
        <v/>
      </c>
      <c r="BN61">
        <f>IF(AND($A61&lt;&gt;"",BN$3&gt;=$J61,BN$3&lt;=$M61),1,"")</f>
        <v/>
      </c>
      <c r="BO61">
        <f>IF(AND($A61&lt;&gt;"",BO$3&gt;=$J61,BO$3&lt;=$M61),1,"")</f>
        <v/>
      </c>
      <c r="BP61">
        <f>IF(AND($A61&lt;&gt;"",BP$3&gt;=$J61,BP$3&lt;=$M61),1,"")</f>
        <v/>
      </c>
      <c r="BQ61">
        <f>IF(AND($A61&lt;&gt;"",BQ$3&gt;=$J61,BQ$3&lt;=$M61),1,"")</f>
        <v/>
      </c>
      <c r="BR61">
        <f>IF(AND($A61&lt;&gt;"",BR$3&gt;=$J61,BR$3&lt;=$M61),1,"")</f>
        <v/>
      </c>
      <c r="BS61">
        <f>IF(AND($A61&lt;&gt;"",BS$3&gt;=$J61,BS$3&lt;=$M61),1,"")</f>
        <v/>
      </c>
      <c r="BT61">
        <f>IF(AND($A61&lt;&gt;"",BT$3&gt;=$J61,BT$3&lt;=$M61),1,"")</f>
        <v/>
      </c>
      <c r="BU61">
        <f>IF(AND($A61&lt;&gt;"",BU$3&gt;=$J61,BU$3&lt;=$M61),1,"")</f>
        <v/>
      </c>
      <c r="BV61">
        <f>IF(AND($A61&lt;&gt;"",BV$3&gt;=$J61,BV$3&lt;=$M61),1,"")</f>
        <v/>
      </c>
    </row>
    <row r="62">
      <c r="A62">
        <f>IF(Job_Master_Ring!$A62="","",Job_Master_Ring!$A62)</f>
        <v/>
      </c>
      <c r="B62">
        <f>IF($A62="","",Job_Master_Ring!B62)</f>
        <v/>
      </c>
      <c r="C62">
        <f>IF($A62="","",Job_Master_Ring!C62)</f>
        <v/>
      </c>
      <c r="D62">
        <f>IF($A62="","",Job_Master_Ring!D62)</f>
        <v/>
      </c>
      <c r="E62">
        <f>IF($A62="","",IF($I62&lt;&gt;"",$I62,IFERROR(INDEX(Machine_List!$B$87:$B$94,MATCH(1,(Machine_List!$H$87:$H$94&lt;=IFERROR(VLOOKUP($B62,CHOOSE(MATCH($C62,Settings!$L$4:$L$10,0),OPR_BR1!$A$4:$K$18,OPR_BR2!$A$4:$K$18,OPR_CR2!$A$4:$K$18,OPR_CR3!$A$4:$K$18,OPR_CR4!$A$4:$K$18,OPR_RIM!$A$4:$K$18,OPR_BPR!$A$4:$K$18),10,0),0))*(Machine_List!$I$87:$I$94&gt;=IFERROR(VLOOKUP($B62,CHOOSE(MATCH($C62,Settings!$L$4:$L$10,0),OPR_BR1!$A$4:$K$18,OPR_BR2!$A$4:$K$18,OPR_CR2!$A$4:$K$18,OPR_CR3!$A$4:$K$18,OPR_CR4!$A$4:$K$18,OPR_RIM!$A$4:$K$18,OPR_BPR!$A$4:$K$18),11,0),9999)),0)),"NO COMPATIBLE MACHINE")))</f>
        <v/>
      </c>
      <c r="F62">
        <f>IF($E62="","",IFERROR(VLOOKUP($E62,Machine_List!$B:$G,6,0),""))</f>
        <v/>
      </c>
      <c r="G62" s="17">
        <f>IF($E62="","",IFERROR(VLOOKUP($E62,Machine_List!$B:$C,2,0),""))</f>
        <v/>
      </c>
      <c r="H62">
        <f>IF($E62="","",IFERROR(VLOOKUP($E62,Machine_List!$B:$D,3,0),""))</f>
        <v/>
      </c>
      <c r="J62" s="16">
        <f>IF($A62="","",IF($I62&lt;&gt;"",$I62,MAX(GlobalStartDate,IFERROR(LOOKUP(2,1/($E$3:INDIRECT("E"&amp;(ROW()-1))=$E62),$M$3:INDIRECT("M"&amp;(ROW()-1))),GlobalStartDate))))</f>
        <v/>
      </c>
      <c r="K62">
        <f>IF($A62="","",IFERROR(VLOOKUP(B62,CHOOSE(MATCH($C62,Settings!$L$4:$L$10,0),OPR_BR1!$A$4:$I$18,OPR_BR2!$A$4:$I$18,OPR_CR2!$A$4:$I$18,OPR_CR3!$A$4:$I$18,OPR_CR4!$A$4:$I$18,OPR_RIM!$A$4:$I$18,OPR_BPR!$A$4:$I$18),2,0),0))</f>
        <v/>
      </c>
      <c r="L62">
        <f>IF($A62="","",K62*D62)</f>
        <v/>
      </c>
      <c r="M62" s="16">
        <f>IF($A62="","",IF(AND(ISNUMBER(G62),G62&gt;=J62,G62&lt;=(J62+(L62/(IF(F62="Contract Workman",Settings!$K$5,Settings!$K$4))))),J62+(L62/(IF(F62="Contract Workman",Settings!$K$5,Settings!$K$4)))+(H62/(IF(F62="Contract Workman",Settings!$K$5,Settings!$K$4))),J62+(L62/(IF(F62="Contract Workman",Settings!$K$5,Settings!$K$4)))))</f>
        <v/>
      </c>
      <c r="N62">
        <f>IF($A62="","",IF(F62="Contract Workman",IF(AND(MOD(M62,1)&gt;=8/24,MOD(M62,1)&lt;20/24),"Shift S1","Shift S2"),IF(AND(MOD(M62,1)&gt;=7/24,MOD(M62,1)&lt;15/24),"Shift A",IF(AND(MOD(M62,1)&gt;=15/24,MOD(M62,1)&lt;23/24),"Shift B","Shift C"))))</f>
        <v/>
      </c>
      <c r="O62">
        <f>IF(B62="","",IF(IFERROR(ISNUMBER(SEARCH(TEXT(B62,"0"),VLOOKUP(E62,Machine_List!$B:$J,9,0))),FALSE),"✅ "&amp;E62,"❌ ?"))</f>
        <v/>
      </c>
      <c r="P62">
        <f>IF(AND($A62&lt;&gt;"",P$3&gt;=$J62,P$3&lt;=$M62),1,"")</f>
        <v/>
      </c>
      <c r="Q62">
        <f>IF(AND($A62&lt;&gt;"",Q$3&gt;=$J62,Q$3&lt;=$M62),1,"")</f>
        <v/>
      </c>
      <c r="R62">
        <f>IF(AND($A62&lt;&gt;"",R$3&gt;=$J62,R$3&lt;=$M62),1,"")</f>
        <v/>
      </c>
      <c r="S62">
        <f>IF(AND($A62&lt;&gt;"",S$3&gt;=$J62,S$3&lt;=$M62),1,"")</f>
        <v/>
      </c>
      <c r="T62">
        <f>IF(AND($A62&lt;&gt;"",T$3&gt;=$J62,T$3&lt;=$M62),1,"")</f>
        <v/>
      </c>
      <c r="U62">
        <f>IF(AND($A62&lt;&gt;"",U$3&gt;=$J62,U$3&lt;=$M62),1,"")</f>
        <v/>
      </c>
      <c r="V62">
        <f>IF(AND($A62&lt;&gt;"",V$3&gt;=$J62,V$3&lt;=$M62),1,"")</f>
        <v/>
      </c>
      <c r="W62">
        <f>IF(AND($A62&lt;&gt;"",W$3&gt;=$J62,W$3&lt;=$M62),1,"")</f>
        <v/>
      </c>
      <c r="X62">
        <f>IF(AND($A62&lt;&gt;"",X$3&gt;=$J62,X$3&lt;=$M62),1,"")</f>
        <v/>
      </c>
      <c r="Y62">
        <f>IF(AND($A62&lt;&gt;"",Y$3&gt;=$J62,Y$3&lt;=$M62),1,"")</f>
        <v/>
      </c>
      <c r="Z62">
        <f>IF(AND($A62&lt;&gt;"",Z$3&gt;=$J62,Z$3&lt;=$M62),1,"")</f>
        <v/>
      </c>
      <c r="AA62">
        <f>IF(AND($A62&lt;&gt;"",AA$3&gt;=$J62,AA$3&lt;=$M62),1,"")</f>
        <v/>
      </c>
      <c r="AB62">
        <f>IF(AND($A62&lt;&gt;"",AB$3&gt;=$J62,AB$3&lt;=$M62),1,"")</f>
        <v/>
      </c>
      <c r="AC62">
        <f>IF(AND($A62&lt;&gt;"",AC$3&gt;=$J62,AC$3&lt;=$M62),1,"")</f>
        <v/>
      </c>
      <c r="AD62">
        <f>IF(AND($A62&lt;&gt;"",AD$3&gt;=$J62,AD$3&lt;=$M62),1,"")</f>
        <v/>
      </c>
      <c r="AE62">
        <f>IF(AND($A62&lt;&gt;"",AE$3&gt;=$J62,AE$3&lt;=$M62),1,"")</f>
        <v/>
      </c>
      <c r="AF62">
        <f>IF(AND($A62&lt;&gt;"",AF$3&gt;=$J62,AF$3&lt;=$M62),1,"")</f>
        <v/>
      </c>
      <c r="AG62">
        <f>IF(AND($A62&lt;&gt;"",AG$3&gt;=$J62,AG$3&lt;=$M62),1,"")</f>
        <v/>
      </c>
      <c r="AH62">
        <f>IF(AND($A62&lt;&gt;"",AH$3&gt;=$J62,AH$3&lt;=$M62),1,"")</f>
        <v/>
      </c>
      <c r="AI62">
        <f>IF(AND($A62&lt;&gt;"",AI$3&gt;=$J62,AI$3&lt;=$M62),1,"")</f>
        <v/>
      </c>
      <c r="AJ62">
        <f>IF(AND($A62&lt;&gt;"",AJ$3&gt;=$J62,AJ$3&lt;=$M62),1,"")</f>
        <v/>
      </c>
      <c r="AK62">
        <f>IF(AND($A62&lt;&gt;"",AK$3&gt;=$J62,AK$3&lt;=$M62),1,"")</f>
        <v/>
      </c>
      <c r="AL62">
        <f>IF(AND($A62&lt;&gt;"",AL$3&gt;=$J62,AL$3&lt;=$M62),1,"")</f>
        <v/>
      </c>
      <c r="AM62">
        <f>IF(AND($A62&lt;&gt;"",AM$3&gt;=$J62,AM$3&lt;=$M62),1,"")</f>
        <v/>
      </c>
      <c r="AN62">
        <f>IF(AND($A62&lt;&gt;"",AN$3&gt;=$J62,AN$3&lt;=$M62),1,"")</f>
        <v/>
      </c>
      <c r="AO62">
        <f>IF(AND($A62&lt;&gt;"",AO$3&gt;=$J62,AO$3&lt;=$M62),1,"")</f>
        <v/>
      </c>
      <c r="AP62">
        <f>IF(AND($A62&lt;&gt;"",AP$3&gt;=$J62,AP$3&lt;=$M62),1,"")</f>
        <v/>
      </c>
      <c r="AQ62">
        <f>IF(AND($A62&lt;&gt;"",AQ$3&gt;=$J62,AQ$3&lt;=$M62),1,"")</f>
        <v/>
      </c>
      <c r="AR62">
        <f>IF(AND($A62&lt;&gt;"",AR$3&gt;=$J62,AR$3&lt;=$M62),1,"")</f>
        <v/>
      </c>
      <c r="AS62">
        <f>IF(AND($A62&lt;&gt;"",AS$3&gt;=$J62,AS$3&lt;=$M62),1,"")</f>
        <v/>
      </c>
      <c r="AT62">
        <f>IF(AND($A62&lt;&gt;"",AT$3&gt;=$J62,AT$3&lt;=$M62),1,"")</f>
        <v/>
      </c>
      <c r="AU62">
        <f>IF(AND($A62&lt;&gt;"",AU$3&gt;=$J62,AU$3&lt;=$M62),1,"")</f>
        <v/>
      </c>
      <c r="AV62">
        <f>IF(AND($A62&lt;&gt;"",AV$3&gt;=$J62,AV$3&lt;=$M62),1,"")</f>
        <v/>
      </c>
      <c r="AW62">
        <f>IF(AND($A62&lt;&gt;"",AW$3&gt;=$J62,AW$3&lt;=$M62),1,"")</f>
        <v/>
      </c>
      <c r="AX62">
        <f>IF(AND($A62&lt;&gt;"",AX$3&gt;=$J62,AX$3&lt;=$M62),1,"")</f>
        <v/>
      </c>
      <c r="AY62">
        <f>IF(AND($A62&lt;&gt;"",AY$3&gt;=$J62,AY$3&lt;=$M62),1,"")</f>
        <v/>
      </c>
      <c r="AZ62">
        <f>IF(AND($A62&lt;&gt;"",AZ$3&gt;=$J62,AZ$3&lt;=$M62),1,"")</f>
        <v/>
      </c>
      <c r="BA62">
        <f>IF(AND($A62&lt;&gt;"",BA$3&gt;=$J62,BA$3&lt;=$M62),1,"")</f>
        <v/>
      </c>
      <c r="BB62">
        <f>IF(AND($A62&lt;&gt;"",BB$3&gt;=$J62,BB$3&lt;=$M62),1,"")</f>
        <v/>
      </c>
      <c r="BC62">
        <f>IF(AND($A62&lt;&gt;"",BC$3&gt;=$J62,BC$3&lt;=$M62),1,"")</f>
        <v/>
      </c>
      <c r="BD62">
        <f>IF(AND($A62&lt;&gt;"",BD$3&gt;=$J62,BD$3&lt;=$M62),1,"")</f>
        <v/>
      </c>
      <c r="BE62">
        <f>IF(AND($A62&lt;&gt;"",BE$3&gt;=$J62,BE$3&lt;=$M62),1,"")</f>
        <v/>
      </c>
      <c r="BF62">
        <f>IF(AND($A62&lt;&gt;"",BF$3&gt;=$J62,BF$3&lt;=$M62),1,"")</f>
        <v/>
      </c>
      <c r="BG62">
        <f>IF(AND($A62&lt;&gt;"",BG$3&gt;=$J62,BG$3&lt;=$M62),1,"")</f>
        <v/>
      </c>
      <c r="BH62">
        <f>IF(AND($A62&lt;&gt;"",BH$3&gt;=$J62,BH$3&lt;=$M62),1,"")</f>
        <v/>
      </c>
      <c r="BI62">
        <f>IF(AND($A62&lt;&gt;"",BI$3&gt;=$J62,BI$3&lt;=$M62),1,"")</f>
        <v/>
      </c>
      <c r="BJ62">
        <f>IF(AND($A62&lt;&gt;"",BJ$3&gt;=$J62,BJ$3&lt;=$M62),1,"")</f>
        <v/>
      </c>
      <c r="BK62">
        <f>IF(AND($A62&lt;&gt;"",BK$3&gt;=$J62,BK$3&lt;=$M62),1,"")</f>
        <v/>
      </c>
      <c r="BL62">
        <f>IF(AND($A62&lt;&gt;"",BL$3&gt;=$J62,BL$3&lt;=$M62),1,"")</f>
        <v/>
      </c>
      <c r="BM62">
        <f>IF(AND($A62&lt;&gt;"",BM$3&gt;=$J62,BM$3&lt;=$M62),1,"")</f>
        <v/>
      </c>
      <c r="BN62">
        <f>IF(AND($A62&lt;&gt;"",BN$3&gt;=$J62,BN$3&lt;=$M62),1,"")</f>
        <v/>
      </c>
      <c r="BO62">
        <f>IF(AND($A62&lt;&gt;"",BO$3&gt;=$J62,BO$3&lt;=$M62),1,"")</f>
        <v/>
      </c>
      <c r="BP62">
        <f>IF(AND($A62&lt;&gt;"",BP$3&gt;=$J62,BP$3&lt;=$M62),1,"")</f>
        <v/>
      </c>
      <c r="BQ62">
        <f>IF(AND($A62&lt;&gt;"",BQ$3&gt;=$J62,BQ$3&lt;=$M62),1,"")</f>
        <v/>
      </c>
      <c r="BR62">
        <f>IF(AND($A62&lt;&gt;"",BR$3&gt;=$J62,BR$3&lt;=$M62),1,"")</f>
        <v/>
      </c>
      <c r="BS62">
        <f>IF(AND($A62&lt;&gt;"",BS$3&gt;=$J62,BS$3&lt;=$M62),1,"")</f>
        <v/>
      </c>
      <c r="BT62">
        <f>IF(AND($A62&lt;&gt;"",BT$3&gt;=$J62,BT$3&lt;=$M62),1,"")</f>
        <v/>
      </c>
      <c r="BU62">
        <f>IF(AND($A62&lt;&gt;"",BU$3&gt;=$J62,BU$3&lt;=$M62),1,"")</f>
        <v/>
      </c>
      <c r="BV62">
        <f>IF(AND($A62&lt;&gt;"",BV$3&gt;=$J62,BV$3&lt;=$M62),1,"")</f>
        <v/>
      </c>
    </row>
    <row r="63">
      <c r="A63">
        <f>IF(Job_Master_Ring!$A63="","",Job_Master_Ring!$A63)</f>
        <v/>
      </c>
      <c r="B63">
        <f>IF($A63="","",Job_Master_Ring!B63)</f>
        <v/>
      </c>
      <c r="C63">
        <f>IF($A63="","",Job_Master_Ring!C63)</f>
        <v/>
      </c>
      <c r="D63">
        <f>IF($A63="","",Job_Master_Ring!D63)</f>
        <v/>
      </c>
      <c r="E63">
        <f>IF($A63="","",IF($I63&lt;&gt;"",$I63,IFERROR(INDEX(Machine_List!$B$87:$B$94,MATCH(1,(Machine_List!$H$87:$H$94&lt;=IFERROR(VLOOKUP($B63,CHOOSE(MATCH($C63,Settings!$L$4:$L$10,0),OPR_BR1!$A$4:$K$18,OPR_BR2!$A$4:$K$18,OPR_CR2!$A$4:$K$18,OPR_CR3!$A$4:$K$18,OPR_CR4!$A$4:$K$18,OPR_RIM!$A$4:$K$18,OPR_BPR!$A$4:$K$18),10,0),0))*(Machine_List!$I$87:$I$94&gt;=IFERROR(VLOOKUP($B63,CHOOSE(MATCH($C63,Settings!$L$4:$L$10,0),OPR_BR1!$A$4:$K$18,OPR_BR2!$A$4:$K$18,OPR_CR2!$A$4:$K$18,OPR_CR3!$A$4:$K$18,OPR_CR4!$A$4:$K$18,OPR_RIM!$A$4:$K$18,OPR_BPR!$A$4:$K$18),11,0),9999)),0)),"NO COMPATIBLE MACHINE")))</f>
        <v/>
      </c>
      <c r="F63">
        <f>IF($E63="","",IFERROR(VLOOKUP($E63,Machine_List!$B:$G,6,0),""))</f>
        <v/>
      </c>
      <c r="G63" s="17">
        <f>IF($E63="","",IFERROR(VLOOKUP($E63,Machine_List!$B:$C,2,0),""))</f>
        <v/>
      </c>
      <c r="H63">
        <f>IF($E63="","",IFERROR(VLOOKUP($E63,Machine_List!$B:$D,3,0),""))</f>
        <v/>
      </c>
      <c r="J63" s="16">
        <f>IF($A63="","",IF($I63&lt;&gt;"",$I63,MAX(GlobalStartDate,IFERROR(LOOKUP(2,1/($E$3:INDIRECT("E"&amp;(ROW()-1))=$E63),$M$3:INDIRECT("M"&amp;(ROW()-1))),GlobalStartDate))))</f>
        <v/>
      </c>
      <c r="K63">
        <f>IF($A63="","",IFERROR(VLOOKUP(B63,CHOOSE(MATCH($C63,Settings!$L$4:$L$10,0),OPR_BR1!$A$4:$I$18,OPR_BR2!$A$4:$I$18,OPR_CR2!$A$4:$I$18,OPR_CR3!$A$4:$I$18,OPR_CR4!$A$4:$I$18,OPR_RIM!$A$4:$I$18,OPR_BPR!$A$4:$I$18),2,0),0))</f>
        <v/>
      </c>
      <c r="L63">
        <f>IF($A63="","",K63*D63)</f>
        <v/>
      </c>
      <c r="M63" s="16">
        <f>IF($A63="","",IF(AND(ISNUMBER(G63),G63&gt;=J63,G63&lt;=(J63+(L63/(IF(F63="Contract Workman",Settings!$K$5,Settings!$K$4))))),J63+(L63/(IF(F63="Contract Workman",Settings!$K$5,Settings!$K$4)))+(H63/(IF(F63="Contract Workman",Settings!$K$5,Settings!$K$4))),J63+(L63/(IF(F63="Contract Workman",Settings!$K$5,Settings!$K$4)))))</f>
        <v/>
      </c>
      <c r="N63">
        <f>IF($A63="","",IF(F63="Contract Workman",IF(AND(MOD(M63,1)&gt;=8/24,MOD(M63,1)&lt;20/24),"Shift S1","Shift S2"),IF(AND(MOD(M63,1)&gt;=7/24,MOD(M63,1)&lt;15/24),"Shift A",IF(AND(MOD(M63,1)&gt;=15/24,MOD(M63,1)&lt;23/24),"Shift B","Shift C"))))</f>
        <v/>
      </c>
      <c r="O63">
        <f>IF(B63="","",IF(IFERROR(ISNUMBER(SEARCH(TEXT(B63,"0"),VLOOKUP(E63,Machine_List!$B:$J,9,0))),FALSE),"✅ "&amp;E63,"❌ ?"))</f>
        <v/>
      </c>
      <c r="P63">
        <f>IF(AND($A63&lt;&gt;"",P$3&gt;=$J63,P$3&lt;=$M63),1,"")</f>
        <v/>
      </c>
      <c r="Q63">
        <f>IF(AND($A63&lt;&gt;"",Q$3&gt;=$J63,Q$3&lt;=$M63),1,"")</f>
        <v/>
      </c>
      <c r="R63">
        <f>IF(AND($A63&lt;&gt;"",R$3&gt;=$J63,R$3&lt;=$M63),1,"")</f>
        <v/>
      </c>
      <c r="S63">
        <f>IF(AND($A63&lt;&gt;"",S$3&gt;=$J63,S$3&lt;=$M63),1,"")</f>
        <v/>
      </c>
      <c r="T63">
        <f>IF(AND($A63&lt;&gt;"",T$3&gt;=$J63,T$3&lt;=$M63),1,"")</f>
        <v/>
      </c>
      <c r="U63">
        <f>IF(AND($A63&lt;&gt;"",U$3&gt;=$J63,U$3&lt;=$M63),1,"")</f>
        <v/>
      </c>
      <c r="V63">
        <f>IF(AND($A63&lt;&gt;"",V$3&gt;=$J63,V$3&lt;=$M63),1,"")</f>
        <v/>
      </c>
      <c r="W63">
        <f>IF(AND($A63&lt;&gt;"",W$3&gt;=$J63,W$3&lt;=$M63),1,"")</f>
        <v/>
      </c>
      <c r="X63">
        <f>IF(AND($A63&lt;&gt;"",X$3&gt;=$J63,X$3&lt;=$M63),1,"")</f>
        <v/>
      </c>
      <c r="Y63">
        <f>IF(AND($A63&lt;&gt;"",Y$3&gt;=$J63,Y$3&lt;=$M63),1,"")</f>
        <v/>
      </c>
      <c r="Z63">
        <f>IF(AND($A63&lt;&gt;"",Z$3&gt;=$J63,Z$3&lt;=$M63),1,"")</f>
        <v/>
      </c>
      <c r="AA63">
        <f>IF(AND($A63&lt;&gt;"",AA$3&gt;=$J63,AA$3&lt;=$M63),1,"")</f>
        <v/>
      </c>
      <c r="AB63">
        <f>IF(AND($A63&lt;&gt;"",AB$3&gt;=$J63,AB$3&lt;=$M63),1,"")</f>
        <v/>
      </c>
      <c r="AC63">
        <f>IF(AND($A63&lt;&gt;"",AC$3&gt;=$J63,AC$3&lt;=$M63),1,"")</f>
        <v/>
      </c>
      <c r="AD63">
        <f>IF(AND($A63&lt;&gt;"",AD$3&gt;=$J63,AD$3&lt;=$M63),1,"")</f>
        <v/>
      </c>
      <c r="AE63">
        <f>IF(AND($A63&lt;&gt;"",AE$3&gt;=$J63,AE$3&lt;=$M63),1,"")</f>
        <v/>
      </c>
      <c r="AF63">
        <f>IF(AND($A63&lt;&gt;"",AF$3&gt;=$J63,AF$3&lt;=$M63),1,"")</f>
        <v/>
      </c>
      <c r="AG63">
        <f>IF(AND($A63&lt;&gt;"",AG$3&gt;=$J63,AG$3&lt;=$M63),1,"")</f>
        <v/>
      </c>
      <c r="AH63">
        <f>IF(AND($A63&lt;&gt;"",AH$3&gt;=$J63,AH$3&lt;=$M63),1,"")</f>
        <v/>
      </c>
      <c r="AI63">
        <f>IF(AND($A63&lt;&gt;"",AI$3&gt;=$J63,AI$3&lt;=$M63),1,"")</f>
        <v/>
      </c>
      <c r="AJ63">
        <f>IF(AND($A63&lt;&gt;"",AJ$3&gt;=$J63,AJ$3&lt;=$M63),1,"")</f>
        <v/>
      </c>
      <c r="AK63">
        <f>IF(AND($A63&lt;&gt;"",AK$3&gt;=$J63,AK$3&lt;=$M63),1,"")</f>
        <v/>
      </c>
      <c r="AL63">
        <f>IF(AND($A63&lt;&gt;"",AL$3&gt;=$J63,AL$3&lt;=$M63),1,"")</f>
        <v/>
      </c>
      <c r="AM63">
        <f>IF(AND($A63&lt;&gt;"",AM$3&gt;=$J63,AM$3&lt;=$M63),1,"")</f>
        <v/>
      </c>
      <c r="AN63">
        <f>IF(AND($A63&lt;&gt;"",AN$3&gt;=$J63,AN$3&lt;=$M63),1,"")</f>
        <v/>
      </c>
      <c r="AO63">
        <f>IF(AND($A63&lt;&gt;"",AO$3&gt;=$J63,AO$3&lt;=$M63),1,"")</f>
        <v/>
      </c>
      <c r="AP63">
        <f>IF(AND($A63&lt;&gt;"",AP$3&gt;=$J63,AP$3&lt;=$M63),1,"")</f>
        <v/>
      </c>
      <c r="AQ63">
        <f>IF(AND($A63&lt;&gt;"",AQ$3&gt;=$J63,AQ$3&lt;=$M63),1,"")</f>
        <v/>
      </c>
      <c r="AR63">
        <f>IF(AND($A63&lt;&gt;"",AR$3&gt;=$J63,AR$3&lt;=$M63),1,"")</f>
        <v/>
      </c>
      <c r="AS63">
        <f>IF(AND($A63&lt;&gt;"",AS$3&gt;=$J63,AS$3&lt;=$M63),1,"")</f>
        <v/>
      </c>
      <c r="AT63">
        <f>IF(AND($A63&lt;&gt;"",AT$3&gt;=$J63,AT$3&lt;=$M63),1,"")</f>
        <v/>
      </c>
      <c r="AU63">
        <f>IF(AND($A63&lt;&gt;"",AU$3&gt;=$J63,AU$3&lt;=$M63),1,"")</f>
        <v/>
      </c>
      <c r="AV63">
        <f>IF(AND($A63&lt;&gt;"",AV$3&gt;=$J63,AV$3&lt;=$M63),1,"")</f>
        <v/>
      </c>
      <c r="AW63">
        <f>IF(AND($A63&lt;&gt;"",AW$3&gt;=$J63,AW$3&lt;=$M63),1,"")</f>
        <v/>
      </c>
      <c r="AX63">
        <f>IF(AND($A63&lt;&gt;"",AX$3&gt;=$J63,AX$3&lt;=$M63),1,"")</f>
        <v/>
      </c>
      <c r="AY63">
        <f>IF(AND($A63&lt;&gt;"",AY$3&gt;=$J63,AY$3&lt;=$M63),1,"")</f>
        <v/>
      </c>
      <c r="AZ63">
        <f>IF(AND($A63&lt;&gt;"",AZ$3&gt;=$J63,AZ$3&lt;=$M63),1,"")</f>
        <v/>
      </c>
      <c r="BA63">
        <f>IF(AND($A63&lt;&gt;"",BA$3&gt;=$J63,BA$3&lt;=$M63),1,"")</f>
        <v/>
      </c>
      <c r="BB63">
        <f>IF(AND($A63&lt;&gt;"",BB$3&gt;=$J63,BB$3&lt;=$M63),1,"")</f>
        <v/>
      </c>
      <c r="BC63">
        <f>IF(AND($A63&lt;&gt;"",BC$3&gt;=$J63,BC$3&lt;=$M63),1,"")</f>
        <v/>
      </c>
      <c r="BD63">
        <f>IF(AND($A63&lt;&gt;"",BD$3&gt;=$J63,BD$3&lt;=$M63),1,"")</f>
        <v/>
      </c>
      <c r="BE63">
        <f>IF(AND($A63&lt;&gt;"",BE$3&gt;=$J63,BE$3&lt;=$M63),1,"")</f>
        <v/>
      </c>
      <c r="BF63">
        <f>IF(AND($A63&lt;&gt;"",BF$3&gt;=$J63,BF$3&lt;=$M63),1,"")</f>
        <v/>
      </c>
      <c r="BG63">
        <f>IF(AND($A63&lt;&gt;"",BG$3&gt;=$J63,BG$3&lt;=$M63),1,"")</f>
        <v/>
      </c>
      <c r="BH63">
        <f>IF(AND($A63&lt;&gt;"",BH$3&gt;=$J63,BH$3&lt;=$M63),1,"")</f>
        <v/>
      </c>
      <c r="BI63">
        <f>IF(AND($A63&lt;&gt;"",BI$3&gt;=$J63,BI$3&lt;=$M63),1,"")</f>
        <v/>
      </c>
      <c r="BJ63">
        <f>IF(AND($A63&lt;&gt;"",BJ$3&gt;=$J63,BJ$3&lt;=$M63),1,"")</f>
        <v/>
      </c>
      <c r="BK63">
        <f>IF(AND($A63&lt;&gt;"",BK$3&gt;=$J63,BK$3&lt;=$M63),1,"")</f>
        <v/>
      </c>
      <c r="BL63">
        <f>IF(AND($A63&lt;&gt;"",BL$3&gt;=$J63,BL$3&lt;=$M63),1,"")</f>
        <v/>
      </c>
      <c r="BM63">
        <f>IF(AND($A63&lt;&gt;"",BM$3&gt;=$J63,BM$3&lt;=$M63),1,"")</f>
        <v/>
      </c>
      <c r="BN63">
        <f>IF(AND($A63&lt;&gt;"",BN$3&gt;=$J63,BN$3&lt;=$M63),1,"")</f>
        <v/>
      </c>
      <c r="BO63">
        <f>IF(AND($A63&lt;&gt;"",BO$3&gt;=$J63,BO$3&lt;=$M63),1,"")</f>
        <v/>
      </c>
      <c r="BP63">
        <f>IF(AND($A63&lt;&gt;"",BP$3&gt;=$J63,BP$3&lt;=$M63),1,"")</f>
        <v/>
      </c>
      <c r="BQ63">
        <f>IF(AND($A63&lt;&gt;"",BQ$3&gt;=$J63,BQ$3&lt;=$M63),1,"")</f>
        <v/>
      </c>
      <c r="BR63">
        <f>IF(AND($A63&lt;&gt;"",BR$3&gt;=$J63,BR$3&lt;=$M63),1,"")</f>
        <v/>
      </c>
      <c r="BS63">
        <f>IF(AND($A63&lt;&gt;"",BS$3&gt;=$J63,BS$3&lt;=$M63),1,"")</f>
        <v/>
      </c>
      <c r="BT63">
        <f>IF(AND($A63&lt;&gt;"",BT$3&gt;=$J63,BT$3&lt;=$M63),1,"")</f>
        <v/>
      </c>
      <c r="BU63">
        <f>IF(AND($A63&lt;&gt;"",BU$3&gt;=$J63,BU$3&lt;=$M63),1,"")</f>
        <v/>
      </c>
      <c r="BV63">
        <f>IF(AND($A63&lt;&gt;"",BV$3&gt;=$J63,BV$3&lt;=$M63),1,"")</f>
        <v/>
      </c>
    </row>
    <row r="64">
      <c r="A64">
        <f>IF(Job_Master_Ring!$A64="","",Job_Master_Ring!$A64)</f>
        <v/>
      </c>
      <c r="B64">
        <f>IF($A64="","",Job_Master_Ring!B64)</f>
        <v/>
      </c>
      <c r="C64">
        <f>IF($A64="","",Job_Master_Ring!C64)</f>
        <v/>
      </c>
      <c r="D64">
        <f>IF($A64="","",Job_Master_Ring!D64)</f>
        <v/>
      </c>
      <c r="E64">
        <f>IF($A64="","",IF($I64&lt;&gt;"",$I64,IFERROR(INDEX(Machine_List!$B$87:$B$94,MATCH(1,(Machine_List!$H$87:$H$94&lt;=IFERROR(VLOOKUP($B64,CHOOSE(MATCH($C64,Settings!$L$4:$L$10,0),OPR_BR1!$A$4:$K$18,OPR_BR2!$A$4:$K$18,OPR_CR2!$A$4:$K$18,OPR_CR3!$A$4:$K$18,OPR_CR4!$A$4:$K$18,OPR_RIM!$A$4:$K$18,OPR_BPR!$A$4:$K$18),10,0),0))*(Machine_List!$I$87:$I$94&gt;=IFERROR(VLOOKUP($B64,CHOOSE(MATCH($C64,Settings!$L$4:$L$10,0),OPR_BR1!$A$4:$K$18,OPR_BR2!$A$4:$K$18,OPR_CR2!$A$4:$K$18,OPR_CR3!$A$4:$K$18,OPR_CR4!$A$4:$K$18,OPR_RIM!$A$4:$K$18,OPR_BPR!$A$4:$K$18),11,0),9999)),0)),"NO COMPATIBLE MACHINE")))</f>
        <v/>
      </c>
      <c r="F64">
        <f>IF($E64="","",IFERROR(VLOOKUP($E64,Machine_List!$B:$G,6,0),""))</f>
        <v/>
      </c>
      <c r="G64" s="17">
        <f>IF($E64="","",IFERROR(VLOOKUP($E64,Machine_List!$B:$C,2,0),""))</f>
        <v/>
      </c>
      <c r="H64">
        <f>IF($E64="","",IFERROR(VLOOKUP($E64,Machine_List!$B:$D,3,0),""))</f>
        <v/>
      </c>
      <c r="J64" s="16">
        <f>IF($A64="","",IF($I64&lt;&gt;"",$I64,MAX(GlobalStartDate,IFERROR(LOOKUP(2,1/($E$3:INDIRECT("E"&amp;(ROW()-1))=$E64),$M$3:INDIRECT("M"&amp;(ROW()-1))),GlobalStartDate))))</f>
        <v/>
      </c>
      <c r="K64">
        <f>IF($A64="","",IFERROR(VLOOKUP(B64,CHOOSE(MATCH($C64,Settings!$L$4:$L$10,0),OPR_BR1!$A$4:$I$18,OPR_BR2!$A$4:$I$18,OPR_CR2!$A$4:$I$18,OPR_CR3!$A$4:$I$18,OPR_CR4!$A$4:$I$18,OPR_RIM!$A$4:$I$18,OPR_BPR!$A$4:$I$18),2,0),0))</f>
        <v/>
      </c>
      <c r="L64">
        <f>IF($A64="","",K64*D64)</f>
        <v/>
      </c>
      <c r="M64" s="16">
        <f>IF($A64="","",IF(AND(ISNUMBER(G64),G64&gt;=J64,G64&lt;=(J64+(L64/(IF(F64="Contract Workman",Settings!$K$5,Settings!$K$4))))),J64+(L64/(IF(F64="Contract Workman",Settings!$K$5,Settings!$K$4)))+(H64/(IF(F64="Contract Workman",Settings!$K$5,Settings!$K$4))),J64+(L64/(IF(F64="Contract Workman",Settings!$K$5,Settings!$K$4)))))</f>
        <v/>
      </c>
      <c r="N64">
        <f>IF($A64="","",IF(F64="Contract Workman",IF(AND(MOD(M64,1)&gt;=8/24,MOD(M64,1)&lt;20/24),"Shift S1","Shift S2"),IF(AND(MOD(M64,1)&gt;=7/24,MOD(M64,1)&lt;15/24),"Shift A",IF(AND(MOD(M64,1)&gt;=15/24,MOD(M64,1)&lt;23/24),"Shift B","Shift C"))))</f>
        <v/>
      </c>
      <c r="O64">
        <f>IF(B64="","",IF(IFERROR(ISNUMBER(SEARCH(TEXT(B64,"0"),VLOOKUP(E64,Machine_List!$B:$J,9,0))),FALSE),"✅ "&amp;E64,"❌ ?"))</f>
        <v/>
      </c>
      <c r="P64">
        <f>IF(AND($A64&lt;&gt;"",P$3&gt;=$J64,P$3&lt;=$M64),1,"")</f>
        <v/>
      </c>
      <c r="Q64">
        <f>IF(AND($A64&lt;&gt;"",Q$3&gt;=$J64,Q$3&lt;=$M64),1,"")</f>
        <v/>
      </c>
      <c r="R64">
        <f>IF(AND($A64&lt;&gt;"",R$3&gt;=$J64,R$3&lt;=$M64),1,"")</f>
        <v/>
      </c>
      <c r="S64">
        <f>IF(AND($A64&lt;&gt;"",S$3&gt;=$J64,S$3&lt;=$M64),1,"")</f>
        <v/>
      </c>
      <c r="T64">
        <f>IF(AND($A64&lt;&gt;"",T$3&gt;=$J64,T$3&lt;=$M64),1,"")</f>
        <v/>
      </c>
      <c r="U64">
        <f>IF(AND($A64&lt;&gt;"",U$3&gt;=$J64,U$3&lt;=$M64),1,"")</f>
        <v/>
      </c>
      <c r="V64">
        <f>IF(AND($A64&lt;&gt;"",V$3&gt;=$J64,V$3&lt;=$M64),1,"")</f>
        <v/>
      </c>
      <c r="W64">
        <f>IF(AND($A64&lt;&gt;"",W$3&gt;=$J64,W$3&lt;=$M64),1,"")</f>
        <v/>
      </c>
      <c r="X64">
        <f>IF(AND($A64&lt;&gt;"",X$3&gt;=$J64,X$3&lt;=$M64),1,"")</f>
        <v/>
      </c>
      <c r="Y64">
        <f>IF(AND($A64&lt;&gt;"",Y$3&gt;=$J64,Y$3&lt;=$M64),1,"")</f>
        <v/>
      </c>
      <c r="Z64">
        <f>IF(AND($A64&lt;&gt;"",Z$3&gt;=$J64,Z$3&lt;=$M64),1,"")</f>
        <v/>
      </c>
      <c r="AA64">
        <f>IF(AND($A64&lt;&gt;"",AA$3&gt;=$J64,AA$3&lt;=$M64),1,"")</f>
        <v/>
      </c>
      <c r="AB64">
        <f>IF(AND($A64&lt;&gt;"",AB$3&gt;=$J64,AB$3&lt;=$M64),1,"")</f>
        <v/>
      </c>
      <c r="AC64">
        <f>IF(AND($A64&lt;&gt;"",AC$3&gt;=$J64,AC$3&lt;=$M64),1,"")</f>
        <v/>
      </c>
      <c r="AD64">
        <f>IF(AND($A64&lt;&gt;"",AD$3&gt;=$J64,AD$3&lt;=$M64),1,"")</f>
        <v/>
      </c>
      <c r="AE64">
        <f>IF(AND($A64&lt;&gt;"",AE$3&gt;=$J64,AE$3&lt;=$M64),1,"")</f>
        <v/>
      </c>
      <c r="AF64">
        <f>IF(AND($A64&lt;&gt;"",AF$3&gt;=$J64,AF$3&lt;=$M64),1,"")</f>
        <v/>
      </c>
      <c r="AG64">
        <f>IF(AND($A64&lt;&gt;"",AG$3&gt;=$J64,AG$3&lt;=$M64),1,"")</f>
        <v/>
      </c>
      <c r="AH64">
        <f>IF(AND($A64&lt;&gt;"",AH$3&gt;=$J64,AH$3&lt;=$M64),1,"")</f>
        <v/>
      </c>
      <c r="AI64">
        <f>IF(AND($A64&lt;&gt;"",AI$3&gt;=$J64,AI$3&lt;=$M64),1,"")</f>
        <v/>
      </c>
      <c r="AJ64">
        <f>IF(AND($A64&lt;&gt;"",AJ$3&gt;=$J64,AJ$3&lt;=$M64),1,"")</f>
        <v/>
      </c>
      <c r="AK64">
        <f>IF(AND($A64&lt;&gt;"",AK$3&gt;=$J64,AK$3&lt;=$M64),1,"")</f>
        <v/>
      </c>
      <c r="AL64">
        <f>IF(AND($A64&lt;&gt;"",AL$3&gt;=$J64,AL$3&lt;=$M64),1,"")</f>
        <v/>
      </c>
      <c r="AM64">
        <f>IF(AND($A64&lt;&gt;"",AM$3&gt;=$J64,AM$3&lt;=$M64),1,"")</f>
        <v/>
      </c>
      <c r="AN64">
        <f>IF(AND($A64&lt;&gt;"",AN$3&gt;=$J64,AN$3&lt;=$M64),1,"")</f>
        <v/>
      </c>
      <c r="AO64">
        <f>IF(AND($A64&lt;&gt;"",AO$3&gt;=$J64,AO$3&lt;=$M64),1,"")</f>
        <v/>
      </c>
      <c r="AP64">
        <f>IF(AND($A64&lt;&gt;"",AP$3&gt;=$J64,AP$3&lt;=$M64),1,"")</f>
        <v/>
      </c>
      <c r="AQ64">
        <f>IF(AND($A64&lt;&gt;"",AQ$3&gt;=$J64,AQ$3&lt;=$M64),1,"")</f>
        <v/>
      </c>
      <c r="AR64">
        <f>IF(AND($A64&lt;&gt;"",AR$3&gt;=$J64,AR$3&lt;=$M64),1,"")</f>
        <v/>
      </c>
      <c r="AS64">
        <f>IF(AND($A64&lt;&gt;"",AS$3&gt;=$J64,AS$3&lt;=$M64),1,"")</f>
        <v/>
      </c>
      <c r="AT64">
        <f>IF(AND($A64&lt;&gt;"",AT$3&gt;=$J64,AT$3&lt;=$M64),1,"")</f>
        <v/>
      </c>
      <c r="AU64">
        <f>IF(AND($A64&lt;&gt;"",AU$3&gt;=$J64,AU$3&lt;=$M64),1,"")</f>
        <v/>
      </c>
      <c r="AV64">
        <f>IF(AND($A64&lt;&gt;"",AV$3&gt;=$J64,AV$3&lt;=$M64),1,"")</f>
        <v/>
      </c>
      <c r="AW64">
        <f>IF(AND($A64&lt;&gt;"",AW$3&gt;=$J64,AW$3&lt;=$M64),1,"")</f>
        <v/>
      </c>
      <c r="AX64">
        <f>IF(AND($A64&lt;&gt;"",AX$3&gt;=$J64,AX$3&lt;=$M64),1,"")</f>
        <v/>
      </c>
      <c r="AY64">
        <f>IF(AND($A64&lt;&gt;"",AY$3&gt;=$J64,AY$3&lt;=$M64),1,"")</f>
        <v/>
      </c>
      <c r="AZ64">
        <f>IF(AND($A64&lt;&gt;"",AZ$3&gt;=$J64,AZ$3&lt;=$M64),1,"")</f>
        <v/>
      </c>
      <c r="BA64">
        <f>IF(AND($A64&lt;&gt;"",BA$3&gt;=$J64,BA$3&lt;=$M64),1,"")</f>
        <v/>
      </c>
      <c r="BB64">
        <f>IF(AND($A64&lt;&gt;"",BB$3&gt;=$J64,BB$3&lt;=$M64),1,"")</f>
        <v/>
      </c>
      <c r="BC64">
        <f>IF(AND($A64&lt;&gt;"",BC$3&gt;=$J64,BC$3&lt;=$M64),1,"")</f>
        <v/>
      </c>
      <c r="BD64">
        <f>IF(AND($A64&lt;&gt;"",BD$3&gt;=$J64,BD$3&lt;=$M64),1,"")</f>
        <v/>
      </c>
      <c r="BE64">
        <f>IF(AND($A64&lt;&gt;"",BE$3&gt;=$J64,BE$3&lt;=$M64),1,"")</f>
        <v/>
      </c>
      <c r="BF64">
        <f>IF(AND($A64&lt;&gt;"",BF$3&gt;=$J64,BF$3&lt;=$M64),1,"")</f>
        <v/>
      </c>
      <c r="BG64">
        <f>IF(AND($A64&lt;&gt;"",BG$3&gt;=$J64,BG$3&lt;=$M64),1,"")</f>
        <v/>
      </c>
      <c r="BH64">
        <f>IF(AND($A64&lt;&gt;"",BH$3&gt;=$J64,BH$3&lt;=$M64),1,"")</f>
        <v/>
      </c>
      <c r="BI64">
        <f>IF(AND($A64&lt;&gt;"",BI$3&gt;=$J64,BI$3&lt;=$M64),1,"")</f>
        <v/>
      </c>
      <c r="BJ64">
        <f>IF(AND($A64&lt;&gt;"",BJ$3&gt;=$J64,BJ$3&lt;=$M64),1,"")</f>
        <v/>
      </c>
      <c r="BK64">
        <f>IF(AND($A64&lt;&gt;"",BK$3&gt;=$J64,BK$3&lt;=$M64),1,"")</f>
        <v/>
      </c>
      <c r="BL64">
        <f>IF(AND($A64&lt;&gt;"",BL$3&gt;=$J64,BL$3&lt;=$M64),1,"")</f>
        <v/>
      </c>
      <c r="BM64">
        <f>IF(AND($A64&lt;&gt;"",BM$3&gt;=$J64,BM$3&lt;=$M64),1,"")</f>
        <v/>
      </c>
      <c r="BN64">
        <f>IF(AND($A64&lt;&gt;"",BN$3&gt;=$J64,BN$3&lt;=$M64),1,"")</f>
        <v/>
      </c>
      <c r="BO64">
        <f>IF(AND($A64&lt;&gt;"",BO$3&gt;=$J64,BO$3&lt;=$M64),1,"")</f>
        <v/>
      </c>
      <c r="BP64">
        <f>IF(AND($A64&lt;&gt;"",BP$3&gt;=$J64,BP$3&lt;=$M64),1,"")</f>
        <v/>
      </c>
      <c r="BQ64">
        <f>IF(AND($A64&lt;&gt;"",BQ$3&gt;=$J64,BQ$3&lt;=$M64),1,"")</f>
        <v/>
      </c>
      <c r="BR64">
        <f>IF(AND($A64&lt;&gt;"",BR$3&gt;=$J64,BR$3&lt;=$M64),1,"")</f>
        <v/>
      </c>
      <c r="BS64">
        <f>IF(AND($A64&lt;&gt;"",BS$3&gt;=$J64,BS$3&lt;=$M64),1,"")</f>
        <v/>
      </c>
      <c r="BT64">
        <f>IF(AND($A64&lt;&gt;"",BT$3&gt;=$J64,BT$3&lt;=$M64),1,"")</f>
        <v/>
      </c>
      <c r="BU64">
        <f>IF(AND($A64&lt;&gt;"",BU$3&gt;=$J64,BU$3&lt;=$M64),1,"")</f>
        <v/>
      </c>
      <c r="BV64">
        <f>IF(AND($A64&lt;&gt;"",BV$3&gt;=$J64,BV$3&lt;=$M64),1,"")</f>
        <v/>
      </c>
    </row>
    <row r="65">
      <c r="A65">
        <f>IF(Job_Master_Ring!$A65="","",Job_Master_Ring!$A65)</f>
        <v/>
      </c>
      <c r="B65">
        <f>IF($A65="","",Job_Master_Ring!B65)</f>
        <v/>
      </c>
      <c r="C65">
        <f>IF($A65="","",Job_Master_Ring!C65)</f>
        <v/>
      </c>
      <c r="D65">
        <f>IF($A65="","",Job_Master_Ring!D65)</f>
        <v/>
      </c>
      <c r="E65">
        <f>IF($A65="","",IF($I65&lt;&gt;"",$I65,IFERROR(INDEX(Machine_List!$B$87:$B$94,MATCH(1,(Machine_List!$H$87:$H$94&lt;=IFERROR(VLOOKUP($B65,CHOOSE(MATCH($C65,Settings!$L$4:$L$10,0),OPR_BR1!$A$4:$K$18,OPR_BR2!$A$4:$K$18,OPR_CR2!$A$4:$K$18,OPR_CR3!$A$4:$K$18,OPR_CR4!$A$4:$K$18,OPR_RIM!$A$4:$K$18,OPR_BPR!$A$4:$K$18),10,0),0))*(Machine_List!$I$87:$I$94&gt;=IFERROR(VLOOKUP($B65,CHOOSE(MATCH($C65,Settings!$L$4:$L$10,0),OPR_BR1!$A$4:$K$18,OPR_BR2!$A$4:$K$18,OPR_CR2!$A$4:$K$18,OPR_CR3!$A$4:$K$18,OPR_CR4!$A$4:$K$18,OPR_RIM!$A$4:$K$18,OPR_BPR!$A$4:$K$18),11,0),9999)),0)),"NO COMPATIBLE MACHINE")))</f>
        <v/>
      </c>
      <c r="F65">
        <f>IF($E65="","",IFERROR(VLOOKUP($E65,Machine_List!$B:$G,6,0),""))</f>
        <v/>
      </c>
      <c r="G65" s="17">
        <f>IF($E65="","",IFERROR(VLOOKUP($E65,Machine_List!$B:$C,2,0),""))</f>
        <v/>
      </c>
      <c r="H65">
        <f>IF($E65="","",IFERROR(VLOOKUP($E65,Machine_List!$B:$D,3,0),""))</f>
        <v/>
      </c>
      <c r="J65" s="16">
        <f>IF($A65="","",IF($I65&lt;&gt;"",$I65,MAX(GlobalStartDate,IFERROR(LOOKUP(2,1/($E$3:INDIRECT("E"&amp;(ROW()-1))=$E65),$M$3:INDIRECT("M"&amp;(ROW()-1))),GlobalStartDate))))</f>
        <v/>
      </c>
      <c r="K65">
        <f>IF($A65="","",IFERROR(VLOOKUP(B65,CHOOSE(MATCH($C65,Settings!$L$4:$L$10,0),OPR_BR1!$A$4:$I$18,OPR_BR2!$A$4:$I$18,OPR_CR2!$A$4:$I$18,OPR_CR3!$A$4:$I$18,OPR_CR4!$A$4:$I$18,OPR_RIM!$A$4:$I$18,OPR_BPR!$A$4:$I$18),2,0),0))</f>
        <v/>
      </c>
      <c r="L65">
        <f>IF($A65="","",K65*D65)</f>
        <v/>
      </c>
      <c r="M65" s="16">
        <f>IF($A65="","",IF(AND(ISNUMBER(G65),G65&gt;=J65,G65&lt;=(J65+(L65/(IF(F65="Contract Workman",Settings!$K$5,Settings!$K$4))))),J65+(L65/(IF(F65="Contract Workman",Settings!$K$5,Settings!$K$4)))+(H65/(IF(F65="Contract Workman",Settings!$K$5,Settings!$K$4))),J65+(L65/(IF(F65="Contract Workman",Settings!$K$5,Settings!$K$4)))))</f>
        <v/>
      </c>
      <c r="N65">
        <f>IF($A65="","",IF(F65="Contract Workman",IF(AND(MOD(M65,1)&gt;=8/24,MOD(M65,1)&lt;20/24),"Shift S1","Shift S2"),IF(AND(MOD(M65,1)&gt;=7/24,MOD(M65,1)&lt;15/24),"Shift A",IF(AND(MOD(M65,1)&gt;=15/24,MOD(M65,1)&lt;23/24),"Shift B","Shift C"))))</f>
        <v/>
      </c>
      <c r="O65">
        <f>IF(B65="","",IF(IFERROR(ISNUMBER(SEARCH(TEXT(B65,"0"),VLOOKUP(E65,Machine_List!$B:$J,9,0))),FALSE),"✅ "&amp;E65,"❌ ?"))</f>
        <v/>
      </c>
      <c r="P65">
        <f>IF(AND($A65&lt;&gt;"",P$3&gt;=$J65,P$3&lt;=$M65),1,"")</f>
        <v/>
      </c>
      <c r="Q65">
        <f>IF(AND($A65&lt;&gt;"",Q$3&gt;=$J65,Q$3&lt;=$M65),1,"")</f>
        <v/>
      </c>
      <c r="R65">
        <f>IF(AND($A65&lt;&gt;"",R$3&gt;=$J65,R$3&lt;=$M65),1,"")</f>
        <v/>
      </c>
      <c r="S65">
        <f>IF(AND($A65&lt;&gt;"",S$3&gt;=$J65,S$3&lt;=$M65),1,"")</f>
        <v/>
      </c>
      <c r="T65">
        <f>IF(AND($A65&lt;&gt;"",T$3&gt;=$J65,T$3&lt;=$M65),1,"")</f>
        <v/>
      </c>
      <c r="U65">
        <f>IF(AND($A65&lt;&gt;"",U$3&gt;=$J65,U$3&lt;=$M65),1,"")</f>
        <v/>
      </c>
      <c r="V65">
        <f>IF(AND($A65&lt;&gt;"",V$3&gt;=$J65,V$3&lt;=$M65),1,"")</f>
        <v/>
      </c>
      <c r="W65">
        <f>IF(AND($A65&lt;&gt;"",W$3&gt;=$J65,W$3&lt;=$M65),1,"")</f>
        <v/>
      </c>
      <c r="X65">
        <f>IF(AND($A65&lt;&gt;"",X$3&gt;=$J65,X$3&lt;=$M65),1,"")</f>
        <v/>
      </c>
      <c r="Y65">
        <f>IF(AND($A65&lt;&gt;"",Y$3&gt;=$J65,Y$3&lt;=$M65),1,"")</f>
        <v/>
      </c>
      <c r="Z65">
        <f>IF(AND($A65&lt;&gt;"",Z$3&gt;=$J65,Z$3&lt;=$M65),1,"")</f>
        <v/>
      </c>
      <c r="AA65">
        <f>IF(AND($A65&lt;&gt;"",AA$3&gt;=$J65,AA$3&lt;=$M65),1,"")</f>
        <v/>
      </c>
      <c r="AB65">
        <f>IF(AND($A65&lt;&gt;"",AB$3&gt;=$J65,AB$3&lt;=$M65),1,"")</f>
        <v/>
      </c>
      <c r="AC65">
        <f>IF(AND($A65&lt;&gt;"",AC$3&gt;=$J65,AC$3&lt;=$M65),1,"")</f>
        <v/>
      </c>
      <c r="AD65">
        <f>IF(AND($A65&lt;&gt;"",AD$3&gt;=$J65,AD$3&lt;=$M65),1,"")</f>
        <v/>
      </c>
      <c r="AE65">
        <f>IF(AND($A65&lt;&gt;"",AE$3&gt;=$J65,AE$3&lt;=$M65),1,"")</f>
        <v/>
      </c>
      <c r="AF65">
        <f>IF(AND($A65&lt;&gt;"",AF$3&gt;=$J65,AF$3&lt;=$M65),1,"")</f>
        <v/>
      </c>
      <c r="AG65">
        <f>IF(AND($A65&lt;&gt;"",AG$3&gt;=$J65,AG$3&lt;=$M65),1,"")</f>
        <v/>
      </c>
      <c r="AH65">
        <f>IF(AND($A65&lt;&gt;"",AH$3&gt;=$J65,AH$3&lt;=$M65),1,"")</f>
        <v/>
      </c>
      <c r="AI65">
        <f>IF(AND($A65&lt;&gt;"",AI$3&gt;=$J65,AI$3&lt;=$M65),1,"")</f>
        <v/>
      </c>
      <c r="AJ65">
        <f>IF(AND($A65&lt;&gt;"",AJ$3&gt;=$J65,AJ$3&lt;=$M65),1,"")</f>
        <v/>
      </c>
      <c r="AK65">
        <f>IF(AND($A65&lt;&gt;"",AK$3&gt;=$J65,AK$3&lt;=$M65),1,"")</f>
        <v/>
      </c>
      <c r="AL65">
        <f>IF(AND($A65&lt;&gt;"",AL$3&gt;=$J65,AL$3&lt;=$M65),1,"")</f>
        <v/>
      </c>
      <c r="AM65">
        <f>IF(AND($A65&lt;&gt;"",AM$3&gt;=$J65,AM$3&lt;=$M65),1,"")</f>
        <v/>
      </c>
      <c r="AN65">
        <f>IF(AND($A65&lt;&gt;"",AN$3&gt;=$J65,AN$3&lt;=$M65),1,"")</f>
        <v/>
      </c>
      <c r="AO65">
        <f>IF(AND($A65&lt;&gt;"",AO$3&gt;=$J65,AO$3&lt;=$M65),1,"")</f>
        <v/>
      </c>
      <c r="AP65">
        <f>IF(AND($A65&lt;&gt;"",AP$3&gt;=$J65,AP$3&lt;=$M65),1,"")</f>
        <v/>
      </c>
      <c r="AQ65">
        <f>IF(AND($A65&lt;&gt;"",AQ$3&gt;=$J65,AQ$3&lt;=$M65),1,"")</f>
        <v/>
      </c>
      <c r="AR65">
        <f>IF(AND($A65&lt;&gt;"",AR$3&gt;=$J65,AR$3&lt;=$M65),1,"")</f>
        <v/>
      </c>
      <c r="AS65">
        <f>IF(AND($A65&lt;&gt;"",AS$3&gt;=$J65,AS$3&lt;=$M65),1,"")</f>
        <v/>
      </c>
      <c r="AT65">
        <f>IF(AND($A65&lt;&gt;"",AT$3&gt;=$J65,AT$3&lt;=$M65),1,"")</f>
        <v/>
      </c>
      <c r="AU65">
        <f>IF(AND($A65&lt;&gt;"",AU$3&gt;=$J65,AU$3&lt;=$M65),1,"")</f>
        <v/>
      </c>
      <c r="AV65">
        <f>IF(AND($A65&lt;&gt;"",AV$3&gt;=$J65,AV$3&lt;=$M65),1,"")</f>
        <v/>
      </c>
      <c r="AW65">
        <f>IF(AND($A65&lt;&gt;"",AW$3&gt;=$J65,AW$3&lt;=$M65),1,"")</f>
        <v/>
      </c>
      <c r="AX65">
        <f>IF(AND($A65&lt;&gt;"",AX$3&gt;=$J65,AX$3&lt;=$M65),1,"")</f>
        <v/>
      </c>
      <c r="AY65">
        <f>IF(AND($A65&lt;&gt;"",AY$3&gt;=$J65,AY$3&lt;=$M65),1,"")</f>
        <v/>
      </c>
      <c r="AZ65">
        <f>IF(AND($A65&lt;&gt;"",AZ$3&gt;=$J65,AZ$3&lt;=$M65),1,"")</f>
        <v/>
      </c>
      <c r="BA65">
        <f>IF(AND($A65&lt;&gt;"",BA$3&gt;=$J65,BA$3&lt;=$M65),1,"")</f>
        <v/>
      </c>
      <c r="BB65">
        <f>IF(AND($A65&lt;&gt;"",BB$3&gt;=$J65,BB$3&lt;=$M65),1,"")</f>
        <v/>
      </c>
      <c r="BC65">
        <f>IF(AND($A65&lt;&gt;"",BC$3&gt;=$J65,BC$3&lt;=$M65),1,"")</f>
        <v/>
      </c>
      <c r="BD65">
        <f>IF(AND($A65&lt;&gt;"",BD$3&gt;=$J65,BD$3&lt;=$M65),1,"")</f>
        <v/>
      </c>
      <c r="BE65">
        <f>IF(AND($A65&lt;&gt;"",BE$3&gt;=$J65,BE$3&lt;=$M65),1,"")</f>
        <v/>
      </c>
      <c r="BF65">
        <f>IF(AND($A65&lt;&gt;"",BF$3&gt;=$J65,BF$3&lt;=$M65),1,"")</f>
        <v/>
      </c>
      <c r="BG65">
        <f>IF(AND($A65&lt;&gt;"",BG$3&gt;=$J65,BG$3&lt;=$M65),1,"")</f>
        <v/>
      </c>
      <c r="BH65">
        <f>IF(AND($A65&lt;&gt;"",BH$3&gt;=$J65,BH$3&lt;=$M65),1,"")</f>
        <v/>
      </c>
      <c r="BI65">
        <f>IF(AND($A65&lt;&gt;"",BI$3&gt;=$J65,BI$3&lt;=$M65),1,"")</f>
        <v/>
      </c>
      <c r="BJ65">
        <f>IF(AND($A65&lt;&gt;"",BJ$3&gt;=$J65,BJ$3&lt;=$M65),1,"")</f>
        <v/>
      </c>
      <c r="BK65">
        <f>IF(AND($A65&lt;&gt;"",BK$3&gt;=$J65,BK$3&lt;=$M65),1,"")</f>
        <v/>
      </c>
      <c r="BL65">
        <f>IF(AND($A65&lt;&gt;"",BL$3&gt;=$J65,BL$3&lt;=$M65),1,"")</f>
        <v/>
      </c>
      <c r="BM65">
        <f>IF(AND($A65&lt;&gt;"",BM$3&gt;=$J65,BM$3&lt;=$M65),1,"")</f>
        <v/>
      </c>
      <c r="BN65">
        <f>IF(AND($A65&lt;&gt;"",BN$3&gt;=$J65,BN$3&lt;=$M65),1,"")</f>
        <v/>
      </c>
      <c r="BO65">
        <f>IF(AND($A65&lt;&gt;"",BO$3&gt;=$J65,BO$3&lt;=$M65),1,"")</f>
        <v/>
      </c>
      <c r="BP65">
        <f>IF(AND($A65&lt;&gt;"",BP$3&gt;=$J65,BP$3&lt;=$M65),1,"")</f>
        <v/>
      </c>
      <c r="BQ65">
        <f>IF(AND($A65&lt;&gt;"",BQ$3&gt;=$J65,BQ$3&lt;=$M65),1,"")</f>
        <v/>
      </c>
      <c r="BR65">
        <f>IF(AND($A65&lt;&gt;"",BR$3&gt;=$J65,BR$3&lt;=$M65),1,"")</f>
        <v/>
      </c>
      <c r="BS65">
        <f>IF(AND($A65&lt;&gt;"",BS$3&gt;=$J65,BS$3&lt;=$M65),1,"")</f>
        <v/>
      </c>
      <c r="BT65">
        <f>IF(AND($A65&lt;&gt;"",BT$3&gt;=$J65,BT$3&lt;=$M65),1,"")</f>
        <v/>
      </c>
      <c r="BU65">
        <f>IF(AND($A65&lt;&gt;"",BU$3&gt;=$J65,BU$3&lt;=$M65),1,"")</f>
        <v/>
      </c>
      <c r="BV65">
        <f>IF(AND($A65&lt;&gt;"",BV$3&gt;=$J65,BV$3&lt;=$M65),1,"")</f>
        <v/>
      </c>
    </row>
    <row r="66">
      <c r="A66">
        <f>IF(Job_Master_Ring!$A66="","",Job_Master_Ring!$A66)</f>
        <v/>
      </c>
      <c r="B66">
        <f>IF($A66="","",Job_Master_Ring!B66)</f>
        <v/>
      </c>
      <c r="C66">
        <f>IF($A66="","",Job_Master_Ring!C66)</f>
        <v/>
      </c>
      <c r="D66">
        <f>IF($A66="","",Job_Master_Ring!D66)</f>
        <v/>
      </c>
      <c r="E66">
        <f>IF($A66="","",IF($I66&lt;&gt;"",$I66,IFERROR(INDEX(Machine_List!$B$87:$B$94,MATCH(1,(Machine_List!$H$87:$H$94&lt;=IFERROR(VLOOKUP($B66,CHOOSE(MATCH($C66,Settings!$L$4:$L$10,0),OPR_BR1!$A$4:$K$18,OPR_BR2!$A$4:$K$18,OPR_CR2!$A$4:$K$18,OPR_CR3!$A$4:$K$18,OPR_CR4!$A$4:$K$18,OPR_RIM!$A$4:$K$18,OPR_BPR!$A$4:$K$18),10,0),0))*(Machine_List!$I$87:$I$94&gt;=IFERROR(VLOOKUP($B66,CHOOSE(MATCH($C66,Settings!$L$4:$L$10,0),OPR_BR1!$A$4:$K$18,OPR_BR2!$A$4:$K$18,OPR_CR2!$A$4:$K$18,OPR_CR3!$A$4:$K$18,OPR_CR4!$A$4:$K$18,OPR_RIM!$A$4:$K$18,OPR_BPR!$A$4:$K$18),11,0),9999)),0)),"NO COMPATIBLE MACHINE")))</f>
        <v/>
      </c>
      <c r="F66">
        <f>IF($E66="","",IFERROR(VLOOKUP($E66,Machine_List!$B:$G,6,0),""))</f>
        <v/>
      </c>
      <c r="G66" s="17">
        <f>IF($E66="","",IFERROR(VLOOKUP($E66,Machine_List!$B:$C,2,0),""))</f>
        <v/>
      </c>
      <c r="H66">
        <f>IF($E66="","",IFERROR(VLOOKUP($E66,Machine_List!$B:$D,3,0),""))</f>
        <v/>
      </c>
      <c r="J66" s="16">
        <f>IF($A66="","",IF($I66&lt;&gt;"",$I66,MAX(GlobalStartDate,IFERROR(LOOKUP(2,1/($E$3:INDIRECT("E"&amp;(ROW()-1))=$E66),$M$3:INDIRECT("M"&amp;(ROW()-1))),GlobalStartDate))))</f>
        <v/>
      </c>
      <c r="K66">
        <f>IF($A66="","",IFERROR(VLOOKUP(B66,CHOOSE(MATCH($C66,Settings!$L$4:$L$10,0),OPR_BR1!$A$4:$I$18,OPR_BR2!$A$4:$I$18,OPR_CR2!$A$4:$I$18,OPR_CR3!$A$4:$I$18,OPR_CR4!$A$4:$I$18,OPR_RIM!$A$4:$I$18,OPR_BPR!$A$4:$I$18),2,0),0))</f>
        <v/>
      </c>
      <c r="L66">
        <f>IF($A66="","",K66*D66)</f>
        <v/>
      </c>
      <c r="M66" s="16">
        <f>IF($A66="","",IF(AND(ISNUMBER(G66),G66&gt;=J66,G66&lt;=(J66+(L66/(IF(F66="Contract Workman",Settings!$K$5,Settings!$K$4))))),J66+(L66/(IF(F66="Contract Workman",Settings!$K$5,Settings!$K$4)))+(H66/(IF(F66="Contract Workman",Settings!$K$5,Settings!$K$4))),J66+(L66/(IF(F66="Contract Workman",Settings!$K$5,Settings!$K$4)))))</f>
        <v/>
      </c>
      <c r="N66">
        <f>IF($A66="","",IF(F66="Contract Workman",IF(AND(MOD(M66,1)&gt;=8/24,MOD(M66,1)&lt;20/24),"Shift S1","Shift S2"),IF(AND(MOD(M66,1)&gt;=7/24,MOD(M66,1)&lt;15/24),"Shift A",IF(AND(MOD(M66,1)&gt;=15/24,MOD(M66,1)&lt;23/24),"Shift B","Shift C"))))</f>
        <v/>
      </c>
      <c r="O66">
        <f>IF(B66="","",IF(IFERROR(ISNUMBER(SEARCH(TEXT(B66,"0"),VLOOKUP(E66,Machine_List!$B:$J,9,0))),FALSE),"✅ "&amp;E66,"❌ ?"))</f>
        <v/>
      </c>
      <c r="P66">
        <f>IF(AND($A66&lt;&gt;"",P$3&gt;=$J66,P$3&lt;=$M66),1,"")</f>
        <v/>
      </c>
      <c r="Q66">
        <f>IF(AND($A66&lt;&gt;"",Q$3&gt;=$J66,Q$3&lt;=$M66),1,"")</f>
        <v/>
      </c>
      <c r="R66">
        <f>IF(AND($A66&lt;&gt;"",R$3&gt;=$J66,R$3&lt;=$M66),1,"")</f>
        <v/>
      </c>
      <c r="S66">
        <f>IF(AND($A66&lt;&gt;"",S$3&gt;=$J66,S$3&lt;=$M66),1,"")</f>
        <v/>
      </c>
      <c r="T66">
        <f>IF(AND($A66&lt;&gt;"",T$3&gt;=$J66,T$3&lt;=$M66),1,"")</f>
        <v/>
      </c>
      <c r="U66">
        <f>IF(AND($A66&lt;&gt;"",U$3&gt;=$J66,U$3&lt;=$M66),1,"")</f>
        <v/>
      </c>
      <c r="V66">
        <f>IF(AND($A66&lt;&gt;"",V$3&gt;=$J66,V$3&lt;=$M66),1,"")</f>
        <v/>
      </c>
      <c r="W66">
        <f>IF(AND($A66&lt;&gt;"",W$3&gt;=$J66,W$3&lt;=$M66),1,"")</f>
        <v/>
      </c>
      <c r="X66">
        <f>IF(AND($A66&lt;&gt;"",X$3&gt;=$J66,X$3&lt;=$M66),1,"")</f>
        <v/>
      </c>
      <c r="Y66">
        <f>IF(AND($A66&lt;&gt;"",Y$3&gt;=$J66,Y$3&lt;=$M66),1,"")</f>
        <v/>
      </c>
      <c r="Z66">
        <f>IF(AND($A66&lt;&gt;"",Z$3&gt;=$J66,Z$3&lt;=$M66),1,"")</f>
        <v/>
      </c>
      <c r="AA66">
        <f>IF(AND($A66&lt;&gt;"",AA$3&gt;=$J66,AA$3&lt;=$M66),1,"")</f>
        <v/>
      </c>
      <c r="AB66">
        <f>IF(AND($A66&lt;&gt;"",AB$3&gt;=$J66,AB$3&lt;=$M66),1,"")</f>
        <v/>
      </c>
      <c r="AC66">
        <f>IF(AND($A66&lt;&gt;"",AC$3&gt;=$J66,AC$3&lt;=$M66),1,"")</f>
        <v/>
      </c>
      <c r="AD66">
        <f>IF(AND($A66&lt;&gt;"",AD$3&gt;=$J66,AD$3&lt;=$M66),1,"")</f>
        <v/>
      </c>
      <c r="AE66">
        <f>IF(AND($A66&lt;&gt;"",AE$3&gt;=$J66,AE$3&lt;=$M66),1,"")</f>
        <v/>
      </c>
      <c r="AF66">
        <f>IF(AND($A66&lt;&gt;"",AF$3&gt;=$J66,AF$3&lt;=$M66),1,"")</f>
        <v/>
      </c>
      <c r="AG66">
        <f>IF(AND($A66&lt;&gt;"",AG$3&gt;=$J66,AG$3&lt;=$M66),1,"")</f>
        <v/>
      </c>
      <c r="AH66">
        <f>IF(AND($A66&lt;&gt;"",AH$3&gt;=$J66,AH$3&lt;=$M66),1,"")</f>
        <v/>
      </c>
      <c r="AI66">
        <f>IF(AND($A66&lt;&gt;"",AI$3&gt;=$J66,AI$3&lt;=$M66),1,"")</f>
        <v/>
      </c>
      <c r="AJ66">
        <f>IF(AND($A66&lt;&gt;"",AJ$3&gt;=$J66,AJ$3&lt;=$M66),1,"")</f>
        <v/>
      </c>
      <c r="AK66">
        <f>IF(AND($A66&lt;&gt;"",AK$3&gt;=$J66,AK$3&lt;=$M66),1,"")</f>
        <v/>
      </c>
      <c r="AL66">
        <f>IF(AND($A66&lt;&gt;"",AL$3&gt;=$J66,AL$3&lt;=$M66),1,"")</f>
        <v/>
      </c>
      <c r="AM66">
        <f>IF(AND($A66&lt;&gt;"",AM$3&gt;=$J66,AM$3&lt;=$M66),1,"")</f>
        <v/>
      </c>
      <c r="AN66">
        <f>IF(AND($A66&lt;&gt;"",AN$3&gt;=$J66,AN$3&lt;=$M66),1,"")</f>
        <v/>
      </c>
      <c r="AO66">
        <f>IF(AND($A66&lt;&gt;"",AO$3&gt;=$J66,AO$3&lt;=$M66),1,"")</f>
        <v/>
      </c>
      <c r="AP66">
        <f>IF(AND($A66&lt;&gt;"",AP$3&gt;=$J66,AP$3&lt;=$M66),1,"")</f>
        <v/>
      </c>
      <c r="AQ66">
        <f>IF(AND($A66&lt;&gt;"",AQ$3&gt;=$J66,AQ$3&lt;=$M66),1,"")</f>
        <v/>
      </c>
      <c r="AR66">
        <f>IF(AND($A66&lt;&gt;"",AR$3&gt;=$J66,AR$3&lt;=$M66),1,"")</f>
        <v/>
      </c>
      <c r="AS66">
        <f>IF(AND($A66&lt;&gt;"",AS$3&gt;=$J66,AS$3&lt;=$M66),1,"")</f>
        <v/>
      </c>
      <c r="AT66">
        <f>IF(AND($A66&lt;&gt;"",AT$3&gt;=$J66,AT$3&lt;=$M66),1,"")</f>
        <v/>
      </c>
      <c r="AU66">
        <f>IF(AND($A66&lt;&gt;"",AU$3&gt;=$J66,AU$3&lt;=$M66),1,"")</f>
        <v/>
      </c>
      <c r="AV66">
        <f>IF(AND($A66&lt;&gt;"",AV$3&gt;=$J66,AV$3&lt;=$M66),1,"")</f>
        <v/>
      </c>
      <c r="AW66">
        <f>IF(AND($A66&lt;&gt;"",AW$3&gt;=$J66,AW$3&lt;=$M66),1,"")</f>
        <v/>
      </c>
      <c r="AX66">
        <f>IF(AND($A66&lt;&gt;"",AX$3&gt;=$J66,AX$3&lt;=$M66),1,"")</f>
        <v/>
      </c>
      <c r="AY66">
        <f>IF(AND($A66&lt;&gt;"",AY$3&gt;=$J66,AY$3&lt;=$M66),1,"")</f>
        <v/>
      </c>
      <c r="AZ66">
        <f>IF(AND($A66&lt;&gt;"",AZ$3&gt;=$J66,AZ$3&lt;=$M66),1,"")</f>
        <v/>
      </c>
      <c r="BA66">
        <f>IF(AND($A66&lt;&gt;"",BA$3&gt;=$J66,BA$3&lt;=$M66),1,"")</f>
        <v/>
      </c>
      <c r="BB66">
        <f>IF(AND($A66&lt;&gt;"",BB$3&gt;=$J66,BB$3&lt;=$M66),1,"")</f>
        <v/>
      </c>
      <c r="BC66">
        <f>IF(AND($A66&lt;&gt;"",BC$3&gt;=$J66,BC$3&lt;=$M66),1,"")</f>
        <v/>
      </c>
      <c r="BD66">
        <f>IF(AND($A66&lt;&gt;"",BD$3&gt;=$J66,BD$3&lt;=$M66),1,"")</f>
        <v/>
      </c>
      <c r="BE66">
        <f>IF(AND($A66&lt;&gt;"",BE$3&gt;=$J66,BE$3&lt;=$M66),1,"")</f>
        <v/>
      </c>
      <c r="BF66">
        <f>IF(AND($A66&lt;&gt;"",BF$3&gt;=$J66,BF$3&lt;=$M66),1,"")</f>
        <v/>
      </c>
      <c r="BG66">
        <f>IF(AND($A66&lt;&gt;"",BG$3&gt;=$J66,BG$3&lt;=$M66),1,"")</f>
        <v/>
      </c>
      <c r="BH66">
        <f>IF(AND($A66&lt;&gt;"",BH$3&gt;=$J66,BH$3&lt;=$M66),1,"")</f>
        <v/>
      </c>
      <c r="BI66">
        <f>IF(AND($A66&lt;&gt;"",BI$3&gt;=$J66,BI$3&lt;=$M66),1,"")</f>
        <v/>
      </c>
      <c r="BJ66">
        <f>IF(AND($A66&lt;&gt;"",BJ$3&gt;=$J66,BJ$3&lt;=$M66),1,"")</f>
        <v/>
      </c>
      <c r="BK66">
        <f>IF(AND($A66&lt;&gt;"",BK$3&gt;=$J66,BK$3&lt;=$M66),1,"")</f>
        <v/>
      </c>
      <c r="BL66">
        <f>IF(AND($A66&lt;&gt;"",BL$3&gt;=$J66,BL$3&lt;=$M66),1,"")</f>
        <v/>
      </c>
      <c r="BM66">
        <f>IF(AND($A66&lt;&gt;"",BM$3&gt;=$J66,BM$3&lt;=$M66),1,"")</f>
        <v/>
      </c>
      <c r="BN66">
        <f>IF(AND($A66&lt;&gt;"",BN$3&gt;=$J66,BN$3&lt;=$M66),1,"")</f>
        <v/>
      </c>
      <c r="BO66">
        <f>IF(AND($A66&lt;&gt;"",BO$3&gt;=$J66,BO$3&lt;=$M66),1,"")</f>
        <v/>
      </c>
      <c r="BP66">
        <f>IF(AND($A66&lt;&gt;"",BP$3&gt;=$J66,BP$3&lt;=$M66),1,"")</f>
        <v/>
      </c>
      <c r="BQ66">
        <f>IF(AND($A66&lt;&gt;"",BQ$3&gt;=$J66,BQ$3&lt;=$M66),1,"")</f>
        <v/>
      </c>
      <c r="BR66">
        <f>IF(AND($A66&lt;&gt;"",BR$3&gt;=$J66,BR$3&lt;=$M66),1,"")</f>
        <v/>
      </c>
      <c r="BS66">
        <f>IF(AND($A66&lt;&gt;"",BS$3&gt;=$J66,BS$3&lt;=$M66),1,"")</f>
        <v/>
      </c>
      <c r="BT66">
        <f>IF(AND($A66&lt;&gt;"",BT$3&gt;=$J66,BT$3&lt;=$M66),1,"")</f>
        <v/>
      </c>
      <c r="BU66">
        <f>IF(AND($A66&lt;&gt;"",BU$3&gt;=$J66,BU$3&lt;=$M66),1,"")</f>
        <v/>
      </c>
      <c r="BV66">
        <f>IF(AND($A66&lt;&gt;"",BV$3&gt;=$J66,BV$3&lt;=$M66),1,"")</f>
        <v/>
      </c>
    </row>
    <row r="67">
      <c r="A67">
        <f>IF(Job_Master_Ring!$A67="","",Job_Master_Ring!$A67)</f>
        <v/>
      </c>
      <c r="B67">
        <f>IF($A67="","",Job_Master_Ring!B67)</f>
        <v/>
      </c>
      <c r="C67">
        <f>IF($A67="","",Job_Master_Ring!C67)</f>
        <v/>
      </c>
      <c r="D67">
        <f>IF($A67="","",Job_Master_Ring!D67)</f>
        <v/>
      </c>
      <c r="E67">
        <f>IF($A67="","",IF($I67&lt;&gt;"",$I67,IFERROR(INDEX(Machine_List!$B$87:$B$94,MATCH(1,(Machine_List!$H$87:$H$94&lt;=IFERROR(VLOOKUP($B67,CHOOSE(MATCH($C67,Settings!$L$4:$L$10,0),OPR_BR1!$A$4:$K$18,OPR_BR2!$A$4:$K$18,OPR_CR2!$A$4:$K$18,OPR_CR3!$A$4:$K$18,OPR_CR4!$A$4:$K$18,OPR_RIM!$A$4:$K$18,OPR_BPR!$A$4:$K$18),10,0),0))*(Machine_List!$I$87:$I$94&gt;=IFERROR(VLOOKUP($B67,CHOOSE(MATCH($C67,Settings!$L$4:$L$10,0),OPR_BR1!$A$4:$K$18,OPR_BR2!$A$4:$K$18,OPR_CR2!$A$4:$K$18,OPR_CR3!$A$4:$K$18,OPR_CR4!$A$4:$K$18,OPR_RIM!$A$4:$K$18,OPR_BPR!$A$4:$K$18),11,0),9999)),0)),"NO COMPATIBLE MACHINE")))</f>
        <v/>
      </c>
      <c r="F67">
        <f>IF($E67="","",IFERROR(VLOOKUP($E67,Machine_List!$B:$G,6,0),""))</f>
        <v/>
      </c>
      <c r="G67" s="17">
        <f>IF($E67="","",IFERROR(VLOOKUP($E67,Machine_List!$B:$C,2,0),""))</f>
        <v/>
      </c>
      <c r="H67">
        <f>IF($E67="","",IFERROR(VLOOKUP($E67,Machine_List!$B:$D,3,0),""))</f>
        <v/>
      </c>
      <c r="J67" s="16">
        <f>IF($A67="","",IF($I67&lt;&gt;"",$I67,MAX(GlobalStartDate,IFERROR(LOOKUP(2,1/($E$3:INDIRECT("E"&amp;(ROW()-1))=$E67),$M$3:INDIRECT("M"&amp;(ROW()-1))),GlobalStartDate))))</f>
        <v/>
      </c>
      <c r="K67">
        <f>IF($A67="","",IFERROR(VLOOKUP(B67,CHOOSE(MATCH($C67,Settings!$L$4:$L$10,0),OPR_BR1!$A$4:$I$18,OPR_BR2!$A$4:$I$18,OPR_CR2!$A$4:$I$18,OPR_CR3!$A$4:$I$18,OPR_CR4!$A$4:$I$18,OPR_RIM!$A$4:$I$18,OPR_BPR!$A$4:$I$18),2,0),0))</f>
        <v/>
      </c>
      <c r="L67">
        <f>IF($A67="","",K67*D67)</f>
        <v/>
      </c>
      <c r="M67" s="16">
        <f>IF($A67="","",IF(AND(ISNUMBER(G67),G67&gt;=J67,G67&lt;=(J67+(L67/(IF(F67="Contract Workman",Settings!$K$5,Settings!$K$4))))),J67+(L67/(IF(F67="Contract Workman",Settings!$K$5,Settings!$K$4)))+(H67/(IF(F67="Contract Workman",Settings!$K$5,Settings!$K$4))),J67+(L67/(IF(F67="Contract Workman",Settings!$K$5,Settings!$K$4)))))</f>
        <v/>
      </c>
      <c r="N67">
        <f>IF($A67="","",IF(F67="Contract Workman",IF(AND(MOD(M67,1)&gt;=8/24,MOD(M67,1)&lt;20/24),"Shift S1","Shift S2"),IF(AND(MOD(M67,1)&gt;=7/24,MOD(M67,1)&lt;15/24),"Shift A",IF(AND(MOD(M67,1)&gt;=15/24,MOD(M67,1)&lt;23/24),"Shift B","Shift C"))))</f>
        <v/>
      </c>
      <c r="O67">
        <f>IF(B67="","",IF(IFERROR(ISNUMBER(SEARCH(TEXT(B67,"0"),VLOOKUP(E67,Machine_List!$B:$J,9,0))),FALSE),"✅ "&amp;E67,"❌ ?"))</f>
        <v/>
      </c>
      <c r="P67">
        <f>IF(AND($A67&lt;&gt;"",P$3&gt;=$J67,P$3&lt;=$M67),1,"")</f>
        <v/>
      </c>
      <c r="Q67">
        <f>IF(AND($A67&lt;&gt;"",Q$3&gt;=$J67,Q$3&lt;=$M67),1,"")</f>
        <v/>
      </c>
      <c r="R67">
        <f>IF(AND($A67&lt;&gt;"",R$3&gt;=$J67,R$3&lt;=$M67),1,"")</f>
        <v/>
      </c>
      <c r="S67">
        <f>IF(AND($A67&lt;&gt;"",S$3&gt;=$J67,S$3&lt;=$M67),1,"")</f>
        <v/>
      </c>
      <c r="T67">
        <f>IF(AND($A67&lt;&gt;"",T$3&gt;=$J67,T$3&lt;=$M67),1,"")</f>
        <v/>
      </c>
      <c r="U67">
        <f>IF(AND($A67&lt;&gt;"",U$3&gt;=$J67,U$3&lt;=$M67),1,"")</f>
        <v/>
      </c>
      <c r="V67">
        <f>IF(AND($A67&lt;&gt;"",V$3&gt;=$J67,V$3&lt;=$M67),1,"")</f>
        <v/>
      </c>
      <c r="W67">
        <f>IF(AND($A67&lt;&gt;"",W$3&gt;=$J67,W$3&lt;=$M67),1,"")</f>
        <v/>
      </c>
      <c r="X67">
        <f>IF(AND($A67&lt;&gt;"",X$3&gt;=$J67,X$3&lt;=$M67),1,"")</f>
        <v/>
      </c>
      <c r="Y67">
        <f>IF(AND($A67&lt;&gt;"",Y$3&gt;=$J67,Y$3&lt;=$M67),1,"")</f>
        <v/>
      </c>
      <c r="Z67">
        <f>IF(AND($A67&lt;&gt;"",Z$3&gt;=$J67,Z$3&lt;=$M67),1,"")</f>
        <v/>
      </c>
      <c r="AA67">
        <f>IF(AND($A67&lt;&gt;"",AA$3&gt;=$J67,AA$3&lt;=$M67),1,"")</f>
        <v/>
      </c>
      <c r="AB67">
        <f>IF(AND($A67&lt;&gt;"",AB$3&gt;=$J67,AB$3&lt;=$M67),1,"")</f>
        <v/>
      </c>
      <c r="AC67">
        <f>IF(AND($A67&lt;&gt;"",AC$3&gt;=$J67,AC$3&lt;=$M67),1,"")</f>
        <v/>
      </c>
      <c r="AD67">
        <f>IF(AND($A67&lt;&gt;"",AD$3&gt;=$J67,AD$3&lt;=$M67),1,"")</f>
        <v/>
      </c>
      <c r="AE67">
        <f>IF(AND($A67&lt;&gt;"",AE$3&gt;=$J67,AE$3&lt;=$M67),1,"")</f>
        <v/>
      </c>
      <c r="AF67">
        <f>IF(AND($A67&lt;&gt;"",AF$3&gt;=$J67,AF$3&lt;=$M67),1,"")</f>
        <v/>
      </c>
      <c r="AG67">
        <f>IF(AND($A67&lt;&gt;"",AG$3&gt;=$J67,AG$3&lt;=$M67),1,"")</f>
        <v/>
      </c>
      <c r="AH67">
        <f>IF(AND($A67&lt;&gt;"",AH$3&gt;=$J67,AH$3&lt;=$M67),1,"")</f>
        <v/>
      </c>
      <c r="AI67">
        <f>IF(AND($A67&lt;&gt;"",AI$3&gt;=$J67,AI$3&lt;=$M67),1,"")</f>
        <v/>
      </c>
      <c r="AJ67">
        <f>IF(AND($A67&lt;&gt;"",AJ$3&gt;=$J67,AJ$3&lt;=$M67),1,"")</f>
        <v/>
      </c>
      <c r="AK67">
        <f>IF(AND($A67&lt;&gt;"",AK$3&gt;=$J67,AK$3&lt;=$M67),1,"")</f>
        <v/>
      </c>
      <c r="AL67">
        <f>IF(AND($A67&lt;&gt;"",AL$3&gt;=$J67,AL$3&lt;=$M67),1,"")</f>
        <v/>
      </c>
      <c r="AM67">
        <f>IF(AND($A67&lt;&gt;"",AM$3&gt;=$J67,AM$3&lt;=$M67),1,"")</f>
        <v/>
      </c>
      <c r="AN67">
        <f>IF(AND($A67&lt;&gt;"",AN$3&gt;=$J67,AN$3&lt;=$M67),1,"")</f>
        <v/>
      </c>
      <c r="AO67">
        <f>IF(AND($A67&lt;&gt;"",AO$3&gt;=$J67,AO$3&lt;=$M67),1,"")</f>
        <v/>
      </c>
      <c r="AP67">
        <f>IF(AND($A67&lt;&gt;"",AP$3&gt;=$J67,AP$3&lt;=$M67),1,"")</f>
        <v/>
      </c>
      <c r="AQ67">
        <f>IF(AND($A67&lt;&gt;"",AQ$3&gt;=$J67,AQ$3&lt;=$M67),1,"")</f>
        <v/>
      </c>
      <c r="AR67">
        <f>IF(AND($A67&lt;&gt;"",AR$3&gt;=$J67,AR$3&lt;=$M67),1,"")</f>
        <v/>
      </c>
      <c r="AS67">
        <f>IF(AND($A67&lt;&gt;"",AS$3&gt;=$J67,AS$3&lt;=$M67),1,"")</f>
        <v/>
      </c>
      <c r="AT67">
        <f>IF(AND($A67&lt;&gt;"",AT$3&gt;=$J67,AT$3&lt;=$M67),1,"")</f>
        <v/>
      </c>
      <c r="AU67">
        <f>IF(AND($A67&lt;&gt;"",AU$3&gt;=$J67,AU$3&lt;=$M67),1,"")</f>
        <v/>
      </c>
      <c r="AV67">
        <f>IF(AND($A67&lt;&gt;"",AV$3&gt;=$J67,AV$3&lt;=$M67),1,"")</f>
        <v/>
      </c>
      <c r="AW67">
        <f>IF(AND($A67&lt;&gt;"",AW$3&gt;=$J67,AW$3&lt;=$M67),1,"")</f>
        <v/>
      </c>
      <c r="AX67">
        <f>IF(AND($A67&lt;&gt;"",AX$3&gt;=$J67,AX$3&lt;=$M67),1,"")</f>
        <v/>
      </c>
      <c r="AY67">
        <f>IF(AND($A67&lt;&gt;"",AY$3&gt;=$J67,AY$3&lt;=$M67),1,"")</f>
        <v/>
      </c>
      <c r="AZ67">
        <f>IF(AND($A67&lt;&gt;"",AZ$3&gt;=$J67,AZ$3&lt;=$M67),1,"")</f>
        <v/>
      </c>
      <c r="BA67">
        <f>IF(AND($A67&lt;&gt;"",BA$3&gt;=$J67,BA$3&lt;=$M67),1,"")</f>
        <v/>
      </c>
      <c r="BB67">
        <f>IF(AND($A67&lt;&gt;"",BB$3&gt;=$J67,BB$3&lt;=$M67),1,"")</f>
        <v/>
      </c>
      <c r="BC67">
        <f>IF(AND($A67&lt;&gt;"",BC$3&gt;=$J67,BC$3&lt;=$M67),1,"")</f>
        <v/>
      </c>
      <c r="BD67">
        <f>IF(AND($A67&lt;&gt;"",BD$3&gt;=$J67,BD$3&lt;=$M67),1,"")</f>
        <v/>
      </c>
      <c r="BE67">
        <f>IF(AND($A67&lt;&gt;"",BE$3&gt;=$J67,BE$3&lt;=$M67),1,"")</f>
        <v/>
      </c>
      <c r="BF67">
        <f>IF(AND($A67&lt;&gt;"",BF$3&gt;=$J67,BF$3&lt;=$M67),1,"")</f>
        <v/>
      </c>
      <c r="BG67">
        <f>IF(AND($A67&lt;&gt;"",BG$3&gt;=$J67,BG$3&lt;=$M67),1,"")</f>
        <v/>
      </c>
      <c r="BH67">
        <f>IF(AND($A67&lt;&gt;"",BH$3&gt;=$J67,BH$3&lt;=$M67),1,"")</f>
        <v/>
      </c>
      <c r="BI67">
        <f>IF(AND($A67&lt;&gt;"",BI$3&gt;=$J67,BI$3&lt;=$M67),1,"")</f>
        <v/>
      </c>
      <c r="BJ67">
        <f>IF(AND($A67&lt;&gt;"",BJ$3&gt;=$J67,BJ$3&lt;=$M67),1,"")</f>
        <v/>
      </c>
      <c r="BK67">
        <f>IF(AND($A67&lt;&gt;"",BK$3&gt;=$J67,BK$3&lt;=$M67),1,"")</f>
        <v/>
      </c>
      <c r="BL67">
        <f>IF(AND($A67&lt;&gt;"",BL$3&gt;=$J67,BL$3&lt;=$M67),1,"")</f>
        <v/>
      </c>
      <c r="BM67">
        <f>IF(AND($A67&lt;&gt;"",BM$3&gt;=$J67,BM$3&lt;=$M67),1,"")</f>
        <v/>
      </c>
      <c r="BN67">
        <f>IF(AND($A67&lt;&gt;"",BN$3&gt;=$J67,BN$3&lt;=$M67),1,"")</f>
        <v/>
      </c>
      <c r="BO67">
        <f>IF(AND($A67&lt;&gt;"",BO$3&gt;=$J67,BO$3&lt;=$M67),1,"")</f>
        <v/>
      </c>
      <c r="BP67">
        <f>IF(AND($A67&lt;&gt;"",BP$3&gt;=$J67,BP$3&lt;=$M67),1,"")</f>
        <v/>
      </c>
      <c r="BQ67">
        <f>IF(AND($A67&lt;&gt;"",BQ$3&gt;=$J67,BQ$3&lt;=$M67),1,"")</f>
        <v/>
      </c>
      <c r="BR67">
        <f>IF(AND($A67&lt;&gt;"",BR$3&gt;=$J67,BR$3&lt;=$M67),1,"")</f>
        <v/>
      </c>
      <c r="BS67">
        <f>IF(AND($A67&lt;&gt;"",BS$3&gt;=$J67,BS$3&lt;=$M67),1,"")</f>
        <v/>
      </c>
      <c r="BT67">
        <f>IF(AND($A67&lt;&gt;"",BT$3&gt;=$J67,BT$3&lt;=$M67),1,"")</f>
        <v/>
      </c>
      <c r="BU67">
        <f>IF(AND($A67&lt;&gt;"",BU$3&gt;=$J67,BU$3&lt;=$M67),1,"")</f>
        <v/>
      </c>
      <c r="BV67">
        <f>IF(AND($A67&lt;&gt;"",BV$3&gt;=$J67,BV$3&lt;=$M67),1,"")</f>
        <v/>
      </c>
    </row>
    <row r="68">
      <c r="A68">
        <f>IF(Job_Master_Ring!$A68="","",Job_Master_Ring!$A68)</f>
        <v/>
      </c>
      <c r="B68">
        <f>IF($A68="","",Job_Master_Ring!B68)</f>
        <v/>
      </c>
      <c r="C68">
        <f>IF($A68="","",Job_Master_Ring!C68)</f>
        <v/>
      </c>
      <c r="D68">
        <f>IF($A68="","",Job_Master_Ring!D68)</f>
        <v/>
      </c>
      <c r="E68">
        <f>IF($A68="","",IF($I68&lt;&gt;"",$I68,IFERROR(INDEX(Machine_List!$B$87:$B$94,MATCH(1,(Machine_List!$H$87:$H$94&lt;=IFERROR(VLOOKUP($B68,CHOOSE(MATCH($C68,Settings!$L$4:$L$10,0),OPR_BR1!$A$4:$K$18,OPR_BR2!$A$4:$K$18,OPR_CR2!$A$4:$K$18,OPR_CR3!$A$4:$K$18,OPR_CR4!$A$4:$K$18,OPR_RIM!$A$4:$K$18,OPR_BPR!$A$4:$K$18),10,0),0))*(Machine_List!$I$87:$I$94&gt;=IFERROR(VLOOKUP($B68,CHOOSE(MATCH($C68,Settings!$L$4:$L$10,0),OPR_BR1!$A$4:$K$18,OPR_BR2!$A$4:$K$18,OPR_CR2!$A$4:$K$18,OPR_CR3!$A$4:$K$18,OPR_CR4!$A$4:$K$18,OPR_RIM!$A$4:$K$18,OPR_BPR!$A$4:$K$18),11,0),9999)),0)),"NO COMPATIBLE MACHINE")))</f>
        <v/>
      </c>
      <c r="F68">
        <f>IF($E68="","",IFERROR(VLOOKUP($E68,Machine_List!$B:$G,6,0),""))</f>
        <v/>
      </c>
      <c r="G68" s="17">
        <f>IF($E68="","",IFERROR(VLOOKUP($E68,Machine_List!$B:$C,2,0),""))</f>
        <v/>
      </c>
      <c r="H68">
        <f>IF($E68="","",IFERROR(VLOOKUP($E68,Machine_List!$B:$D,3,0),""))</f>
        <v/>
      </c>
      <c r="J68" s="16">
        <f>IF($A68="","",IF($I68&lt;&gt;"",$I68,MAX(GlobalStartDate,IFERROR(LOOKUP(2,1/($E$3:INDIRECT("E"&amp;(ROW()-1))=$E68),$M$3:INDIRECT("M"&amp;(ROW()-1))),GlobalStartDate))))</f>
        <v/>
      </c>
      <c r="K68">
        <f>IF($A68="","",IFERROR(VLOOKUP(B68,CHOOSE(MATCH($C68,Settings!$L$4:$L$10,0),OPR_BR1!$A$4:$I$18,OPR_BR2!$A$4:$I$18,OPR_CR2!$A$4:$I$18,OPR_CR3!$A$4:$I$18,OPR_CR4!$A$4:$I$18,OPR_RIM!$A$4:$I$18,OPR_BPR!$A$4:$I$18),2,0),0))</f>
        <v/>
      </c>
      <c r="L68">
        <f>IF($A68="","",K68*D68)</f>
        <v/>
      </c>
      <c r="M68" s="16">
        <f>IF($A68="","",IF(AND(ISNUMBER(G68),G68&gt;=J68,G68&lt;=(J68+(L68/(IF(F68="Contract Workman",Settings!$K$5,Settings!$K$4))))),J68+(L68/(IF(F68="Contract Workman",Settings!$K$5,Settings!$K$4)))+(H68/(IF(F68="Contract Workman",Settings!$K$5,Settings!$K$4))),J68+(L68/(IF(F68="Contract Workman",Settings!$K$5,Settings!$K$4)))))</f>
        <v/>
      </c>
      <c r="N68">
        <f>IF($A68="","",IF(F68="Contract Workman",IF(AND(MOD(M68,1)&gt;=8/24,MOD(M68,1)&lt;20/24),"Shift S1","Shift S2"),IF(AND(MOD(M68,1)&gt;=7/24,MOD(M68,1)&lt;15/24),"Shift A",IF(AND(MOD(M68,1)&gt;=15/24,MOD(M68,1)&lt;23/24),"Shift B","Shift C"))))</f>
        <v/>
      </c>
      <c r="O68">
        <f>IF(B68="","",IF(IFERROR(ISNUMBER(SEARCH(TEXT(B68,"0"),VLOOKUP(E68,Machine_List!$B:$J,9,0))),FALSE),"✅ "&amp;E68,"❌ ?"))</f>
        <v/>
      </c>
      <c r="P68">
        <f>IF(AND($A68&lt;&gt;"",P$3&gt;=$J68,P$3&lt;=$M68),1,"")</f>
        <v/>
      </c>
      <c r="Q68">
        <f>IF(AND($A68&lt;&gt;"",Q$3&gt;=$J68,Q$3&lt;=$M68),1,"")</f>
        <v/>
      </c>
      <c r="R68">
        <f>IF(AND($A68&lt;&gt;"",R$3&gt;=$J68,R$3&lt;=$M68),1,"")</f>
        <v/>
      </c>
      <c r="S68">
        <f>IF(AND($A68&lt;&gt;"",S$3&gt;=$J68,S$3&lt;=$M68),1,"")</f>
        <v/>
      </c>
      <c r="T68">
        <f>IF(AND($A68&lt;&gt;"",T$3&gt;=$J68,T$3&lt;=$M68),1,"")</f>
        <v/>
      </c>
      <c r="U68">
        <f>IF(AND($A68&lt;&gt;"",U$3&gt;=$J68,U$3&lt;=$M68),1,"")</f>
        <v/>
      </c>
      <c r="V68">
        <f>IF(AND($A68&lt;&gt;"",V$3&gt;=$J68,V$3&lt;=$M68),1,"")</f>
        <v/>
      </c>
      <c r="W68">
        <f>IF(AND($A68&lt;&gt;"",W$3&gt;=$J68,W$3&lt;=$M68),1,"")</f>
        <v/>
      </c>
      <c r="X68">
        <f>IF(AND($A68&lt;&gt;"",X$3&gt;=$J68,X$3&lt;=$M68),1,"")</f>
        <v/>
      </c>
      <c r="Y68">
        <f>IF(AND($A68&lt;&gt;"",Y$3&gt;=$J68,Y$3&lt;=$M68),1,"")</f>
        <v/>
      </c>
      <c r="Z68">
        <f>IF(AND($A68&lt;&gt;"",Z$3&gt;=$J68,Z$3&lt;=$M68),1,"")</f>
        <v/>
      </c>
      <c r="AA68">
        <f>IF(AND($A68&lt;&gt;"",AA$3&gt;=$J68,AA$3&lt;=$M68),1,"")</f>
        <v/>
      </c>
      <c r="AB68">
        <f>IF(AND($A68&lt;&gt;"",AB$3&gt;=$J68,AB$3&lt;=$M68),1,"")</f>
        <v/>
      </c>
      <c r="AC68">
        <f>IF(AND($A68&lt;&gt;"",AC$3&gt;=$J68,AC$3&lt;=$M68),1,"")</f>
        <v/>
      </c>
      <c r="AD68">
        <f>IF(AND($A68&lt;&gt;"",AD$3&gt;=$J68,AD$3&lt;=$M68),1,"")</f>
        <v/>
      </c>
      <c r="AE68">
        <f>IF(AND($A68&lt;&gt;"",AE$3&gt;=$J68,AE$3&lt;=$M68),1,"")</f>
        <v/>
      </c>
      <c r="AF68">
        <f>IF(AND($A68&lt;&gt;"",AF$3&gt;=$J68,AF$3&lt;=$M68),1,"")</f>
        <v/>
      </c>
      <c r="AG68">
        <f>IF(AND($A68&lt;&gt;"",AG$3&gt;=$J68,AG$3&lt;=$M68),1,"")</f>
        <v/>
      </c>
      <c r="AH68">
        <f>IF(AND($A68&lt;&gt;"",AH$3&gt;=$J68,AH$3&lt;=$M68),1,"")</f>
        <v/>
      </c>
      <c r="AI68">
        <f>IF(AND($A68&lt;&gt;"",AI$3&gt;=$J68,AI$3&lt;=$M68),1,"")</f>
        <v/>
      </c>
      <c r="AJ68">
        <f>IF(AND($A68&lt;&gt;"",AJ$3&gt;=$J68,AJ$3&lt;=$M68),1,"")</f>
        <v/>
      </c>
      <c r="AK68">
        <f>IF(AND($A68&lt;&gt;"",AK$3&gt;=$J68,AK$3&lt;=$M68),1,"")</f>
        <v/>
      </c>
      <c r="AL68">
        <f>IF(AND($A68&lt;&gt;"",AL$3&gt;=$J68,AL$3&lt;=$M68),1,"")</f>
        <v/>
      </c>
      <c r="AM68">
        <f>IF(AND($A68&lt;&gt;"",AM$3&gt;=$J68,AM$3&lt;=$M68),1,"")</f>
        <v/>
      </c>
      <c r="AN68">
        <f>IF(AND($A68&lt;&gt;"",AN$3&gt;=$J68,AN$3&lt;=$M68),1,"")</f>
        <v/>
      </c>
      <c r="AO68">
        <f>IF(AND($A68&lt;&gt;"",AO$3&gt;=$J68,AO$3&lt;=$M68),1,"")</f>
        <v/>
      </c>
      <c r="AP68">
        <f>IF(AND($A68&lt;&gt;"",AP$3&gt;=$J68,AP$3&lt;=$M68),1,"")</f>
        <v/>
      </c>
      <c r="AQ68">
        <f>IF(AND($A68&lt;&gt;"",AQ$3&gt;=$J68,AQ$3&lt;=$M68),1,"")</f>
        <v/>
      </c>
      <c r="AR68">
        <f>IF(AND($A68&lt;&gt;"",AR$3&gt;=$J68,AR$3&lt;=$M68),1,"")</f>
        <v/>
      </c>
      <c r="AS68">
        <f>IF(AND($A68&lt;&gt;"",AS$3&gt;=$J68,AS$3&lt;=$M68),1,"")</f>
        <v/>
      </c>
      <c r="AT68">
        <f>IF(AND($A68&lt;&gt;"",AT$3&gt;=$J68,AT$3&lt;=$M68),1,"")</f>
        <v/>
      </c>
      <c r="AU68">
        <f>IF(AND($A68&lt;&gt;"",AU$3&gt;=$J68,AU$3&lt;=$M68),1,"")</f>
        <v/>
      </c>
      <c r="AV68">
        <f>IF(AND($A68&lt;&gt;"",AV$3&gt;=$J68,AV$3&lt;=$M68),1,"")</f>
        <v/>
      </c>
      <c r="AW68">
        <f>IF(AND($A68&lt;&gt;"",AW$3&gt;=$J68,AW$3&lt;=$M68),1,"")</f>
        <v/>
      </c>
      <c r="AX68">
        <f>IF(AND($A68&lt;&gt;"",AX$3&gt;=$J68,AX$3&lt;=$M68),1,"")</f>
        <v/>
      </c>
      <c r="AY68">
        <f>IF(AND($A68&lt;&gt;"",AY$3&gt;=$J68,AY$3&lt;=$M68),1,"")</f>
        <v/>
      </c>
      <c r="AZ68">
        <f>IF(AND($A68&lt;&gt;"",AZ$3&gt;=$J68,AZ$3&lt;=$M68),1,"")</f>
        <v/>
      </c>
      <c r="BA68">
        <f>IF(AND($A68&lt;&gt;"",BA$3&gt;=$J68,BA$3&lt;=$M68),1,"")</f>
        <v/>
      </c>
      <c r="BB68">
        <f>IF(AND($A68&lt;&gt;"",BB$3&gt;=$J68,BB$3&lt;=$M68),1,"")</f>
        <v/>
      </c>
      <c r="BC68">
        <f>IF(AND($A68&lt;&gt;"",BC$3&gt;=$J68,BC$3&lt;=$M68),1,"")</f>
        <v/>
      </c>
      <c r="BD68">
        <f>IF(AND($A68&lt;&gt;"",BD$3&gt;=$J68,BD$3&lt;=$M68),1,"")</f>
        <v/>
      </c>
      <c r="BE68">
        <f>IF(AND($A68&lt;&gt;"",BE$3&gt;=$J68,BE$3&lt;=$M68),1,"")</f>
        <v/>
      </c>
      <c r="BF68">
        <f>IF(AND($A68&lt;&gt;"",BF$3&gt;=$J68,BF$3&lt;=$M68),1,"")</f>
        <v/>
      </c>
      <c r="BG68">
        <f>IF(AND($A68&lt;&gt;"",BG$3&gt;=$J68,BG$3&lt;=$M68),1,"")</f>
        <v/>
      </c>
      <c r="BH68">
        <f>IF(AND($A68&lt;&gt;"",BH$3&gt;=$J68,BH$3&lt;=$M68),1,"")</f>
        <v/>
      </c>
      <c r="BI68">
        <f>IF(AND($A68&lt;&gt;"",BI$3&gt;=$J68,BI$3&lt;=$M68),1,"")</f>
        <v/>
      </c>
      <c r="BJ68">
        <f>IF(AND($A68&lt;&gt;"",BJ$3&gt;=$J68,BJ$3&lt;=$M68),1,"")</f>
        <v/>
      </c>
      <c r="BK68">
        <f>IF(AND($A68&lt;&gt;"",BK$3&gt;=$J68,BK$3&lt;=$M68),1,"")</f>
        <v/>
      </c>
      <c r="BL68">
        <f>IF(AND($A68&lt;&gt;"",BL$3&gt;=$J68,BL$3&lt;=$M68),1,"")</f>
        <v/>
      </c>
      <c r="BM68">
        <f>IF(AND($A68&lt;&gt;"",BM$3&gt;=$J68,BM$3&lt;=$M68),1,"")</f>
        <v/>
      </c>
      <c r="BN68">
        <f>IF(AND($A68&lt;&gt;"",BN$3&gt;=$J68,BN$3&lt;=$M68),1,"")</f>
        <v/>
      </c>
      <c r="BO68">
        <f>IF(AND($A68&lt;&gt;"",BO$3&gt;=$J68,BO$3&lt;=$M68),1,"")</f>
        <v/>
      </c>
      <c r="BP68">
        <f>IF(AND($A68&lt;&gt;"",BP$3&gt;=$J68,BP$3&lt;=$M68),1,"")</f>
        <v/>
      </c>
      <c r="BQ68">
        <f>IF(AND($A68&lt;&gt;"",BQ$3&gt;=$J68,BQ$3&lt;=$M68),1,"")</f>
        <v/>
      </c>
      <c r="BR68">
        <f>IF(AND($A68&lt;&gt;"",BR$3&gt;=$J68,BR$3&lt;=$M68),1,"")</f>
        <v/>
      </c>
      <c r="BS68">
        <f>IF(AND($A68&lt;&gt;"",BS$3&gt;=$J68,BS$3&lt;=$M68),1,"")</f>
        <v/>
      </c>
      <c r="BT68">
        <f>IF(AND($A68&lt;&gt;"",BT$3&gt;=$J68,BT$3&lt;=$M68),1,"")</f>
        <v/>
      </c>
      <c r="BU68">
        <f>IF(AND($A68&lt;&gt;"",BU$3&gt;=$J68,BU$3&lt;=$M68),1,"")</f>
        <v/>
      </c>
      <c r="BV68">
        <f>IF(AND($A68&lt;&gt;"",BV$3&gt;=$J68,BV$3&lt;=$M68),1,"")</f>
        <v/>
      </c>
    </row>
    <row r="69">
      <c r="A69">
        <f>IF(Job_Master_Ring!$A69="","",Job_Master_Ring!$A69)</f>
        <v/>
      </c>
      <c r="B69">
        <f>IF($A69="","",Job_Master_Ring!B69)</f>
        <v/>
      </c>
      <c r="C69">
        <f>IF($A69="","",Job_Master_Ring!C69)</f>
        <v/>
      </c>
      <c r="D69">
        <f>IF($A69="","",Job_Master_Ring!D69)</f>
        <v/>
      </c>
      <c r="E69">
        <f>IF($A69="","",IF($I69&lt;&gt;"",$I69,IFERROR(INDEX(Machine_List!$B$87:$B$94,MATCH(1,(Machine_List!$H$87:$H$94&lt;=IFERROR(VLOOKUP($B69,CHOOSE(MATCH($C69,Settings!$L$4:$L$10,0),OPR_BR1!$A$4:$K$18,OPR_BR2!$A$4:$K$18,OPR_CR2!$A$4:$K$18,OPR_CR3!$A$4:$K$18,OPR_CR4!$A$4:$K$18,OPR_RIM!$A$4:$K$18,OPR_BPR!$A$4:$K$18),10,0),0))*(Machine_List!$I$87:$I$94&gt;=IFERROR(VLOOKUP($B69,CHOOSE(MATCH($C69,Settings!$L$4:$L$10,0),OPR_BR1!$A$4:$K$18,OPR_BR2!$A$4:$K$18,OPR_CR2!$A$4:$K$18,OPR_CR3!$A$4:$K$18,OPR_CR4!$A$4:$K$18,OPR_RIM!$A$4:$K$18,OPR_BPR!$A$4:$K$18),11,0),9999)),0)),"NO COMPATIBLE MACHINE")))</f>
        <v/>
      </c>
      <c r="F69">
        <f>IF($E69="","",IFERROR(VLOOKUP($E69,Machine_List!$B:$G,6,0),""))</f>
        <v/>
      </c>
      <c r="G69" s="17">
        <f>IF($E69="","",IFERROR(VLOOKUP($E69,Machine_List!$B:$C,2,0),""))</f>
        <v/>
      </c>
      <c r="H69">
        <f>IF($E69="","",IFERROR(VLOOKUP($E69,Machine_List!$B:$D,3,0),""))</f>
        <v/>
      </c>
      <c r="J69" s="16">
        <f>IF($A69="","",IF($I69&lt;&gt;"",$I69,MAX(GlobalStartDate,IFERROR(LOOKUP(2,1/($E$3:INDIRECT("E"&amp;(ROW()-1))=$E69),$M$3:INDIRECT("M"&amp;(ROW()-1))),GlobalStartDate))))</f>
        <v/>
      </c>
      <c r="K69">
        <f>IF($A69="","",IFERROR(VLOOKUP(B69,CHOOSE(MATCH($C69,Settings!$L$4:$L$10,0),OPR_BR1!$A$4:$I$18,OPR_BR2!$A$4:$I$18,OPR_CR2!$A$4:$I$18,OPR_CR3!$A$4:$I$18,OPR_CR4!$A$4:$I$18,OPR_RIM!$A$4:$I$18,OPR_BPR!$A$4:$I$18),2,0),0))</f>
        <v/>
      </c>
      <c r="L69">
        <f>IF($A69="","",K69*D69)</f>
        <v/>
      </c>
      <c r="M69" s="16">
        <f>IF($A69="","",IF(AND(ISNUMBER(G69),G69&gt;=J69,G69&lt;=(J69+(L69/(IF(F69="Contract Workman",Settings!$K$5,Settings!$K$4))))),J69+(L69/(IF(F69="Contract Workman",Settings!$K$5,Settings!$K$4)))+(H69/(IF(F69="Contract Workman",Settings!$K$5,Settings!$K$4))),J69+(L69/(IF(F69="Contract Workman",Settings!$K$5,Settings!$K$4)))))</f>
        <v/>
      </c>
      <c r="N69">
        <f>IF($A69="","",IF(F69="Contract Workman",IF(AND(MOD(M69,1)&gt;=8/24,MOD(M69,1)&lt;20/24),"Shift S1","Shift S2"),IF(AND(MOD(M69,1)&gt;=7/24,MOD(M69,1)&lt;15/24),"Shift A",IF(AND(MOD(M69,1)&gt;=15/24,MOD(M69,1)&lt;23/24),"Shift B","Shift C"))))</f>
        <v/>
      </c>
      <c r="O69">
        <f>IF(B69="","",IF(IFERROR(ISNUMBER(SEARCH(TEXT(B69,"0"),VLOOKUP(E69,Machine_List!$B:$J,9,0))),FALSE),"✅ "&amp;E69,"❌ ?"))</f>
        <v/>
      </c>
      <c r="P69">
        <f>IF(AND($A69&lt;&gt;"",P$3&gt;=$J69,P$3&lt;=$M69),1,"")</f>
        <v/>
      </c>
      <c r="Q69">
        <f>IF(AND($A69&lt;&gt;"",Q$3&gt;=$J69,Q$3&lt;=$M69),1,"")</f>
        <v/>
      </c>
      <c r="R69">
        <f>IF(AND($A69&lt;&gt;"",R$3&gt;=$J69,R$3&lt;=$M69),1,"")</f>
        <v/>
      </c>
      <c r="S69">
        <f>IF(AND($A69&lt;&gt;"",S$3&gt;=$J69,S$3&lt;=$M69),1,"")</f>
        <v/>
      </c>
      <c r="T69">
        <f>IF(AND($A69&lt;&gt;"",T$3&gt;=$J69,T$3&lt;=$M69),1,"")</f>
        <v/>
      </c>
      <c r="U69">
        <f>IF(AND($A69&lt;&gt;"",U$3&gt;=$J69,U$3&lt;=$M69),1,"")</f>
        <v/>
      </c>
      <c r="V69">
        <f>IF(AND($A69&lt;&gt;"",V$3&gt;=$J69,V$3&lt;=$M69),1,"")</f>
        <v/>
      </c>
      <c r="W69">
        <f>IF(AND($A69&lt;&gt;"",W$3&gt;=$J69,W$3&lt;=$M69),1,"")</f>
        <v/>
      </c>
      <c r="X69">
        <f>IF(AND($A69&lt;&gt;"",X$3&gt;=$J69,X$3&lt;=$M69),1,"")</f>
        <v/>
      </c>
      <c r="Y69">
        <f>IF(AND($A69&lt;&gt;"",Y$3&gt;=$J69,Y$3&lt;=$M69),1,"")</f>
        <v/>
      </c>
      <c r="Z69">
        <f>IF(AND($A69&lt;&gt;"",Z$3&gt;=$J69,Z$3&lt;=$M69),1,"")</f>
        <v/>
      </c>
      <c r="AA69">
        <f>IF(AND($A69&lt;&gt;"",AA$3&gt;=$J69,AA$3&lt;=$M69),1,"")</f>
        <v/>
      </c>
      <c r="AB69">
        <f>IF(AND($A69&lt;&gt;"",AB$3&gt;=$J69,AB$3&lt;=$M69),1,"")</f>
        <v/>
      </c>
      <c r="AC69">
        <f>IF(AND($A69&lt;&gt;"",AC$3&gt;=$J69,AC$3&lt;=$M69),1,"")</f>
        <v/>
      </c>
      <c r="AD69">
        <f>IF(AND($A69&lt;&gt;"",AD$3&gt;=$J69,AD$3&lt;=$M69),1,"")</f>
        <v/>
      </c>
      <c r="AE69">
        <f>IF(AND($A69&lt;&gt;"",AE$3&gt;=$J69,AE$3&lt;=$M69),1,"")</f>
        <v/>
      </c>
      <c r="AF69">
        <f>IF(AND($A69&lt;&gt;"",AF$3&gt;=$J69,AF$3&lt;=$M69),1,"")</f>
        <v/>
      </c>
      <c r="AG69">
        <f>IF(AND($A69&lt;&gt;"",AG$3&gt;=$J69,AG$3&lt;=$M69),1,"")</f>
        <v/>
      </c>
      <c r="AH69">
        <f>IF(AND($A69&lt;&gt;"",AH$3&gt;=$J69,AH$3&lt;=$M69),1,"")</f>
        <v/>
      </c>
      <c r="AI69">
        <f>IF(AND($A69&lt;&gt;"",AI$3&gt;=$J69,AI$3&lt;=$M69),1,"")</f>
        <v/>
      </c>
      <c r="AJ69">
        <f>IF(AND($A69&lt;&gt;"",AJ$3&gt;=$J69,AJ$3&lt;=$M69),1,"")</f>
        <v/>
      </c>
      <c r="AK69">
        <f>IF(AND($A69&lt;&gt;"",AK$3&gt;=$J69,AK$3&lt;=$M69),1,"")</f>
        <v/>
      </c>
      <c r="AL69">
        <f>IF(AND($A69&lt;&gt;"",AL$3&gt;=$J69,AL$3&lt;=$M69),1,"")</f>
        <v/>
      </c>
      <c r="AM69">
        <f>IF(AND($A69&lt;&gt;"",AM$3&gt;=$J69,AM$3&lt;=$M69),1,"")</f>
        <v/>
      </c>
      <c r="AN69">
        <f>IF(AND($A69&lt;&gt;"",AN$3&gt;=$J69,AN$3&lt;=$M69),1,"")</f>
        <v/>
      </c>
      <c r="AO69">
        <f>IF(AND($A69&lt;&gt;"",AO$3&gt;=$J69,AO$3&lt;=$M69),1,"")</f>
        <v/>
      </c>
      <c r="AP69">
        <f>IF(AND($A69&lt;&gt;"",AP$3&gt;=$J69,AP$3&lt;=$M69),1,"")</f>
        <v/>
      </c>
      <c r="AQ69">
        <f>IF(AND($A69&lt;&gt;"",AQ$3&gt;=$J69,AQ$3&lt;=$M69),1,"")</f>
        <v/>
      </c>
      <c r="AR69">
        <f>IF(AND($A69&lt;&gt;"",AR$3&gt;=$J69,AR$3&lt;=$M69),1,"")</f>
        <v/>
      </c>
      <c r="AS69">
        <f>IF(AND($A69&lt;&gt;"",AS$3&gt;=$J69,AS$3&lt;=$M69),1,"")</f>
        <v/>
      </c>
      <c r="AT69">
        <f>IF(AND($A69&lt;&gt;"",AT$3&gt;=$J69,AT$3&lt;=$M69),1,"")</f>
        <v/>
      </c>
      <c r="AU69">
        <f>IF(AND($A69&lt;&gt;"",AU$3&gt;=$J69,AU$3&lt;=$M69),1,"")</f>
        <v/>
      </c>
      <c r="AV69">
        <f>IF(AND($A69&lt;&gt;"",AV$3&gt;=$J69,AV$3&lt;=$M69),1,"")</f>
        <v/>
      </c>
      <c r="AW69">
        <f>IF(AND($A69&lt;&gt;"",AW$3&gt;=$J69,AW$3&lt;=$M69),1,"")</f>
        <v/>
      </c>
      <c r="AX69">
        <f>IF(AND($A69&lt;&gt;"",AX$3&gt;=$J69,AX$3&lt;=$M69),1,"")</f>
        <v/>
      </c>
      <c r="AY69">
        <f>IF(AND($A69&lt;&gt;"",AY$3&gt;=$J69,AY$3&lt;=$M69),1,"")</f>
        <v/>
      </c>
      <c r="AZ69">
        <f>IF(AND($A69&lt;&gt;"",AZ$3&gt;=$J69,AZ$3&lt;=$M69),1,"")</f>
        <v/>
      </c>
      <c r="BA69">
        <f>IF(AND($A69&lt;&gt;"",BA$3&gt;=$J69,BA$3&lt;=$M69),1,"")</f>
        <v/>
      </c>
      <c r="BB69">
        <f>IF(AND($A69&lt;&gt;"",BB$3&gt;=$J69,BB$3&lt;=$M69),1,"")</f>
        <v/>
      </c>
      <c r="BC69">
        <f>IF(AND($A69&lt;&gt;"",BC$3&gt;=$J69,BC$3&lt;=$M69),1,"")</f>
        <v/>
      </c>
      <c r="BD69">
        <f>IF(AND($A69&lt;&gt;"",BD$3&gt;=$J69,BD$3&lt;=$M69),1,"")</f>
        <v/>
      </c>
      <c r="BE69">
        <f>IF(AND($A69&lt;&gt;"",BE$3&gt;=$J69,BE$3&lt;=$M69),1,"")</f>
        <v/>
      </c>
      <c r="BF69">
        <f>IF(AND($A69&lt;&gt;"",BF$3&gt;=$J69,BF$3&lt;=$M69),1,"")</f>
        <v/>
      </c>
      <c r="BG69">
        <f>IF(AND($A69&lt;&gt;"",BG$3&gt;=$J69,BG$3&lt;=$M69),1,"")</f>
        <v/>
      </c>
      <c r="BH69">
        <f>IF(AND($A69&lt;&gt;"",BH$3&gt;=$J69,BH$3&lt;=$M69),1,"")</f>
        <v/>
      </c>
      <c r="BI69">
        <f>IF(AND($A69&lt;&gt;"",BI$3&gt;=$J69,BI$3&lt;=$M69),1,"")</f>
        <v/>
      </c>
      <c r="BJ69">
        <f>IF(AND($A69&lt;&gt;"",BJ$3&gt;=$J69,BJ$3&lt;=$M69),1,"")</f>
        <v/>
      </c>
      <c r="BK69">
        <f>IF(AND($A69&lt;&gt;"",BK$3&gt;=$J69,BK$3&lt;=$M69),1,"")</f>
        <v/>
      </c>
      <c r="BL69">
        <f>IF(AND($A69&lt;&gt;"",BL$3&gt;=$J69,BL$3&lt;=$M69),1,"")</f>
        <v/>
      </c>
      <c r="BM69">
        <f>IF(AND($A69&lt;&gt;"",BM$3&gt;=$J69,BM$3&lt;=$M69),1,"")</f>
        <v/>
      </c>
      <c r="BN69">
        <f>IF(AND($A69&lt;&gt;"",BN$3&gt;=$J69,BN$3&lt;=$M69),1,"")</f>
        <v/>
      </c>
      <c r="BO69">
        <f>IF(AND($A69&lt;&gt;"",BO$3&gt;=$J69,BO$3&lt;=$M69),1,"")</f>
        <v/>
      </c>
      <c r="BP69">
        <f>IF(AND($A69&lt;&gt;"",BP$3&gt;=$J69,BP$3&lt;=$M69),1,"")</f>
        <v/>
      </c>
      <c r="BQ69">
        <f>IF(AND($A69&lt;&gt;"",BQ$3&gt;=$J69,BQ$3&lt;=$M69),1,"")</f>
        <v/>
      </c>
      <c r="BR69">
        <f>IF(AND($A69&lt;&gt;"",BR$3&gt;=$J69,BR$3&lt;=$M69),1,"")</f>
        <v/>
      </c>
      <c r="BS69">
        <f>IF(AND($A69&lt;&gt;"",BS$3&gt;=$J69,BS$3&lt;=$M69),1,"")</f>
        <v/>
      </c>
      <c r="BT69">
        <f>IF(AND($A69&lt;&gt;"",BT$3&gt;=$J69,BT$3&lt;=$M69),1,"")</f>
        <v/>
      </c>
      <c r="BU69">
        <f>IF(AND($A69&lt;&gt;"",BU$3&gt;=$J69,BU$3&lt;=$M69),1,"")</f>
        <v/>
      </c>
      <c r="BV69">
        <f>IF(AND($A69&lt;&gt;"",BV$3&gt;=$J69,BV$3&lt;=$M69),1,"")</f>
        <v/>
      </c>
    </row>
    <row r="70">
      <c r="A70">
        <f>IF(Job_Master_Ring!$A70="","",Job_Master_Ring!$A70)</f>
        <v/>
      </c>
      <c r="B70">
        <f>IF($A70="","",Job_Master_Ring!B70)</f>
        <v/>
      </c>
      <c r="C70">
        <f>IF($A70="","",Job_Master_Ring!C70)</f>
        <v/>
      </c>
      <c r="D70">
        <f>IF($A70="","",Job_Master_Ring!D70)</f>
        <v/>
      </c>
      <c r="E70">
        <f>IF($A70="","",IF($I70&lt;&gt;"",$I70,IFERROR(INDEX(Machine_List!$B$87:$B$94,MATCH(1,(Machine_List!$H$87:$H$94&lt;=IFERROR(VLOOKUP($B70,CHOOSE(MATCH($C70,Settings!$L$4:$L$10,0),OPR_BR1!$A$4:$K$18,OPR_BR2!$A$4:$K$18,OPR_CR2!$A$4:$K$18,OPR_CR3!$A$4:$K$18,OPR_CR4!$A$4:$K$18,OPR_RIM!$A$4:$K$18,OPR_BPR!$A$4:$K$18),10,0),0))*(Machine_List!$I$87:$I$94&gt;=IFERROR(VLOOKUP($B70,CHOOSE(MATCH($C70,Settings!$L$4:$L$10,0),OPR_BR1!$A$4:$K$18,OPR_BR2!$A$4:$K$18,OPR_CR2!$A$4:$K$18,OPR_CR3!$A$4:$K$18,OPR_CR4!$A$4:$K$18,OPR_RIM!$A$4:$K$18,OPR_BPR!$A$4:$K$18),11,0),9999)),0)),"NO COMPATIBLE MACHINE")))</f>
        <v/>
      </c>
      <c r="F70">
        <f>IF($E70="","",IFERROR(VLOOKUP($E70,Machine_List!$B:$G,6,0),""))</f>
        <v/>
      </c>
      <c r="G70" s="17">
        <f>IF($E70="","",IFERROR(VLOOKUP($E70,Machine_List!$B:$C,2,0),""))</f>
        <v/>
      </c>
      <c r="H70">
        <f>IF($E70="","",IFERROR(VLOOKUP($E70,Machine_List!$B:$D,3,0),""))</f>
        <v/>
      </c>
      <c r="J70" s="16">
        <f>IF($A70="","",IF($I70&lt;&gt;"",$I70,MAX(GlobalStartDate,IFERROR(LOOKUP(2,1/($E$3:INDIRECT("E"&amp;(ROW()-1))=$E70),$M$3:INDIRECT("M"&amp;(ROW()-1))),GlobalStartDate))))</f>
        <v/>
      </c>
      <c r="K70">
        <f>IF($A70="","",IFERROR(VLOOKUP(B70,CHOOSE(MATCH($C70,Settings!$L$4:$L$10,0),OPR_BR1!$A$4:$I$18,OPR_BR2!$A$4:$I$18,OPR_CR2!$A$4:$I$18,OPR_CR3!$A$4:$I$18,OPR_CR4!$A$4:$I$18,OPR_RIM!$A$4:$I$18,OPR_BPR!$A$4:$I$18),2,0),0))</f>
        <v/>
      </c>
      <c r="L70">
        <f>IF($A70="","",K70*D70)</f>
        <v/>
      </c>
      <c r="M70" s="16">
        <f>IF($A70="","",IF(AND(ISNUMBER(G70),G70&gt;=J70,G70&lt;=(J70+(L70/(IF(F70="Contract Workman",Settings!$K$5,Settings!$K$4))))),J70+(L70/(IF(F70="Contract Workman",Settings!$K$5,Settings!$K$4)))+(H70/(IF(F70="Contract Workman",Settings!$K$5,Settings!$K$4))),J70+(L70/(IF(F70="Contract Workman",Settings!$K$5,Settings!$K$4)))))</f>
        <v/>
      </c>
      <c r="N70">
        <f>IF($A70="","",IF(F70="Contract Workman",IF(AND(MOD(M70,1)&gt;=8/24,MOD(M70,1)&lt;20/24),"Shift S1","Shift S2"),IF(AND(MOD(M70,1)&gt;=7/24,MOD(M70,1)&lt;15/24),"Shift A",IF(AND(MOD(M70,1)&gt;=15/24,MOD(M70,1)&lt;23/24),"Shift B","Shift C"))))</f>
        <v/>
      </c>
      <c r="O70">
        <f>IF(B70="","",IF(IFERROR(ISNUMBER(SEARCH(TEXT(B70,"0"),VLOOKUP(E70,Machine_List!$B:$J,9,0))),FALSE),"✅ "&amp;E70,"❌ ?"))</f>
        <v/>
      </c>
      <c r="P70">
        <f>IF(AND($A70&lt;&gt;"",P$3&gt;=$J70,P$3&lt;=$M70),1,"")</f>
        <v/>
      </c>
      <c r="Q70">
        <f>IF(AND($A70&lt;&gt;"",Q$3&gt;=$J70,Q$3&lt;=$M70),1,"")</f>
        <v/>
      </c>
      <c r="R70">
        <f>IF(AND($A70&lt;&gt;"",R$3&gt;=$J70,R$3&lt;=$M70),1,"")</f>
        <v/>
      </c>
      <c r="S70">
        <f>IF(AND($A70&lt;&gt;"",S$3&gt;=$J70,S$3&lt;=$M70),1,"")</f>
        <v/>
      </c>
      <c r="T70">
        <f>IF(AND($A70&lt;&gt;"",T$3&gt;=$J70,T$3&lt;=$M70),1,"")</f>
        <v/>
      </c>
      <c r="U70">
        <f>IF(AND($A70&lt;&gt;"",U$3&gt;=$J70,U$3&lt;=$M70),1,"")</f>
        <v/>
      </c>
      <c r="V70">
        <f>IF(AND($A70&lt;&gt;"",V$3&gt;=$J70,V$3&lt;=$M70),1,"")</f>
        <v/>
      </c>
      <c r="W70">
        <f>IF(AND($A70&lt;&gt;"",W$3&gt;=$J70,W$3&lt;=$M70),1,"")</f>
        <v/>
      </c>
      <c r="X70">
        <f>IF(AND($A70&lt;&gt;"",X$3&gt;=$J70,X$3&lt;=$M70),1,"")</f>
        <v/>
      </c>
      <c r="Y70">
        <f>IF(AND($A70&lt;&gt;"",Y$3&gt;=$J70,Y$3&lt;=$M70),1,"")</f>
        <v/>
      </c>
      <c r="Z70">
        <f>IF(AND($A70&lt;&gt;"",Z$3&gt;=$J70,Z$3&lt;=$M70),1,"")</f>
        <v/>
      </c>
      <c r="AA70">
        <f>IF(AND($A70&lt;&gt;"",AA$3&gt;=$J70,AA$3&lt;=$M70),1,"")</f>
        <v/>
      </c>
      <c r="AB70">
        <f>IF(AND($A70&lt;&gt;"",AB$3&gt;=$J70,AB$3&lt;=$M70),1,"")</f>
        <v/>
      </c>
      <c r="AC70">
        <f>IF(AND($A70&lt;&gt;"",AC$3&gt;=$J70,AC$3&lt;=$M70),1,"")</f>
        <v/>
      </c>
      <c r="AD70">
        <f>IF(AND($A70&lt;&gt;"",AD$3&gt;=$J70,AD$3&lt;=$M70),1,"")</f>
        <v/>
      </c>
      <c r="AE70">
        <f>IF(AND($A70&lt;&gt;"",AE$3&gt;=$J70,AE$3&lt;=$M70),1,"")</f>
        <v/>
      </c>
      <c r="AF70">
        <f>IF(AND($A70&lt;&gt;"",AF$3&gt;=$J70,AF$3&lt;=$M70),1,"")</f>
        <v/>
      </c>
      <c r="AG70">
        <f>IF(AND($A70&lt;&gt;"",AG$3&gt;=$J70,AG$3&lt;=$M70),1,"")</f>
        <v/>
      </c>
      <c r="AH70">
        <f>IF(AND($A70&lt;&gt;"",AH$3&gt;=$J70,AH$3&lt;=$M70),1,"")</f>
        <v/>
      </c>
      <c r="AI70">
        <f>IF(AND($A70&lt;&gt;"",AI$3&gt;=$J70,AI$3&lt;=$M70),1,"")</f>
        <v/>
      </c>
      <c r="AJ70">
        <f>IF(AND($A70&lt;&gt;"",AJ$3&gt;=$J70,AJ$3&lt;=$M70),1,"")</f>
        <v/>
      </c>
      <c r="AK70">
        <f>IF(AND($A70&lt;&gt;"",AK$3&gt;=$J70,AK$3&lt;=$M70),1,"")</f>
        <v/>
      </c>
      <c r="AL70">
        <f>IF(AND($A70&lt;&gt;"",AL$3&gt;=$J70,AL$3&lt;=$M70),1,"")</f>
        <v/>
      </c>
      <c r="AM70">
        <f>IF(AND($A70&lt;&gt;"",AM$3&gt;=$J70,AM$3&lt;=$M70),1,"")</f>
        <v/>
      </c>
      <c r="AN70">
        <f>IF(AND($A70&lt;&gt;"",AN$3&gt;=$J70,AN$3&lt;=$M70),1,"")</f>
        <v/>
      </c>
      <c r="AO70">
        <f>IF(AND($A70&lt;&gt;"",AO$3&gt;=$J70,AO$3&lt;=$M70),1,"")</f>
        <v/>
      </c>
      <c r="AP70">
        <f>IF(AND($A70&lt;&gt;"",AP$3&gt;=$J70,AP$3&lt;=$M70),1,"")</f>
        <v/>
      </c>
      <c r="AQ70">
        <f>IF(AND($A70&lt;&gt;"",AQ$3&gt;=$J70,AQ$3&lt;=$M70),1,"")</f>
        <v/>
      </c>
      <c r="AR70">
        <f>IF(AND($A70&lt;&gt;"",AR$3&gt;=$J70,AR$3&lt;=$M70),1,"")</f>
        <v/>
      </c>
      <c r="AS70">
        <f>IF(AND($A70&lt;&gt;"",AS$3&gt;=$J70,AS$3&lt;=$M70),1,"")</f>
        <v/>
      </c>
      <c r="AT70">
        <f>IF(AND($A70&lt;&gt;"",AT$3&gt;=$J70,AT$3&lt;=$M70),1,"")</f>
        <v/>
      </c>
      <c r="AU70">
        <f>IF(AND($A70&lt;&gt;"",AU$3&gt;=$J70,AU$3&lt;=$M70),1,"")</f>
        <v/>
      </c>
      <c r="AV70">
        <f>IF(AND($A70&lt;&gt;"",AV$3&gt;=$J70,AV$3&lt;=$M70),1,"")</f>
        <v/>
      </c>
      <c r="AW70">
        <f>IF(AND($A70&lt;&gt;"",AW$3&gt;=$J70,AW$3&lt;=$M70),1,"")</f>
        <v/>
      </c>
      <c r="AX70">
        <f>IF(AND($A70&lt;&gt;"",AX$3&gt;=$J70,AX$3&lt;=$M70),1,"")</f>
        <v/>
      </c>
      <c r="AY70">
        <f>IF(AND($A70&lt;&gt;"",AY$3&gt;=$J70,AY$3&lt;=$M70),1,"")</f>
        <v/>
      </c>
      <c r="AZ70">
        <f>IF(AND($A70&lt;&gt;"",AZ$3&gt;=$J70,AZ$3&lt;=$M70),1,"")</f>
        <v/>
      </c>
      <c r="BA70">
        <f>IF(AND($A70&lt;&gt;"",BA$3&gt;=$J70,BA$3&lt;=$M70),1,"")</f>
        <v/>
      </c>
      <c r="BB70">
        <f>IF(AND($A70&lt;&gt;"",BB$3&gt;=$J70,BB$3&lt;=$M70),1,"")</f>
        <v/>
      </c>
      <c r="BC70">
        <f>IF(AND($A70&lt;&gt;"",BC$3&gt;=$J70,BC$3&lt;=$M70),1,"")</f>
        <v/>
      </c>
      <c r="BD70">
        <f>IF(AND($A70&lt;&gt;"",BD$3&gt;=$J70,BD$3&lt;=$M70),1,"")</f>
        <v/>
      </c>
      <c r="BE70">
        <f>IF(AND($A70&lt;&gt;"",BE$3&gt;=$J70,BE$3&lt;=$M70),1,"")</f>
        <v/>
      </c>
      <c r="BF70">
        <f>IF(AND($A70&lt;&gt;"",BF$3&gt;=$J70,BF$3&lt;=$M70),1,"")</f>
        <v/>
      </c>
      <c r="BG70">
        <f>IF(AND($A70&lt;&gt;"",BG$3&gt;=$J70,BG$3&lt;=$M70),1,"")</f>
        <v/>
      </c>
      <c r="BH70">
        <f>IF(AND($A70&lt;&gt;"",BH$3&gt;=$J70,BH$3&lt;=$M70),1,"")</f>
        <v/>
      </c>
      <c r="BI70">
        <f>IF(AND($A70&lt;&gt;"",BI$3&gt;=$J70,BI$3&lt;=$M70),1,"")</f>
        <v/>
      </c>
      <c r="BJ70">
        <f>IF(AND($A70&lt;&gt;"",BJ$3&gt;=$J70,BJ$3&lt;=$M70),1,"")</f>
        <v/>
      </c>
      <c r="BK70">
        <f>IF(AND($A70&lt;&gt;"",BK$3&gt;=$J70,BK$3&lt;=$M70),1,"")</f>
        <v/>
      </c>
      <c r="BL70">
        <f>IF(AND($A70&lt;&gt;"",BL$3&gt;=$J70,BL$3&lt;=$M70),1,"")</f>
        <v/>
      </c>
      <c r="BM70">
        <f>IF(AND($A70&lt;&gt;"",BM$3&gt;=$J70,BM$3&lt;=$M70),1,"")</f>
        <v/>
      </c>
      <c r="BN70">
        <f>IF(AND($A70&lt;&gt;"",BN$3&gt;=$J70,BN$3&lt;=$M70),1,"")</f>
        <v/>
      </c>
      <c r="BO70">
        <f>IF(AND($A70&lt;&gt;"",BO$3&gt;=$J70,BO$3&lt;=$M70),1,"")</f>
        <v/>
      </c>
      <c r="BP70">
        <f>IF(AND($A70&lt;&gt;"",BP$3&gt;=$J70,BP$3&lt;=$M70),1,"")</f>
        <v/>
      </c>
      <c r="BQ70">
        <f>IF(AND($A70&lt;&gt;"",BQ$3&gt;=$J70,BQ$3&lt;=$M70),1,"")</f>
        <v/>
      </c>
      <c r="BR70">
        <f>IF(AND($A70&lt;&gt;"",BR$3&gt;=$J70,BR$3&lt;=$M70),1,"")</f>
        <v/>
      </c>
      <c r="BS70">
        <f>IF(AND($A70&lt;&gt;"",BS$3&gt;=$J70,BS$3&lt;=$M70),1,"")</f>
        <v/>
      </c>
      <c r="BT70">
        <f>IF(AND($A70&lt;&gt;"",BT$3&gt;=$J70,BT$3&lt;=$M70),1,"")</f>
        <v/>
      </c>
      <c r="BU70">
        <f>IF(AND($A70&lt;&gt;"",BU$3&gt;=$J70,BU$3&lt;=$M70),1,"")</f>
        <v/>
      </c>
      <c r="BV70">
        <f>IF(AND($A70&lt;&gt;"",BV$3&gt;=$J70,BV$3&lt;=$M70),1,"")</f>
        <v/>
      </c>
    </row>
    <row r="71">
      <c r="A71">
        <f>IF(Job_Master_Ring!$A71="","",Job_Master_Ring!$A71)</f>
        <v/>
      </c>
      <c r="B71">
        <f>IF($A71="","",Job_Master_Ring!B71)</f>
        <v/>
      </c>
      <c r="C71">
        <f>IF($A71="","",Job_Master_Ring!C71)</f>
        <v/>
      </c>
      <c r="D71">
        <f>IF($A71="","",Job_Master_Ring!D71)</f>
        <v/>
      </c>
      <c r="E71">
        <f>IF($A71="","",IF($I71&lt;&gt;"",$I71,IFERROR(INDEX(Machine_List!$B$87:$B$94,MATCH(1,(Machine_List!$H$87:$H$94&lt;=IFERROR(VLOOKUP($B71,CHOOSE(MATCH($C71,Settings!$L$4:$L$10,0),OPR_BR1!$A$4:$K$18,OPR_BR2!$A$4:$K$18,OPR_CR2!$A$4:$K$18,OPR_CR3!$A$4:$K$18,OPR_CR4!$A$4:$K$18,OPR_RIM!$A$4:$K$18,OPR_BPR!$A$4:$K$18),10,0),0))*(Machine_List!$I$87:$I$94&gt;=IFERROR(VLOOKUP($B71,CHOOSE(MATCH($C71,Settings!$L$4:$L$10,0),OPR_BR1!$A$4:$K$18,OPR_BR2!$A$4:$K$18,OPR_CR2!$A$4:$K$18,OPR_CR3!$A$4:$K$18,OPR_CR4!$A$4:$K$18,OPR_RIM!$A$4:$K$18,OPR_BPR!$A$4:$K$18),11,0),9999)),0)),"NO COMPATIBLE MACHINE")))</f>
        <v/>
      </c>
      <c r="F71">
        <f>IF($E71="","",IFERROR(VLOOKUP($E71,Machine_List!$B:$G,6,0),""))</f>
        <v/>
      </c>
      <c r="G71" s="17">
        <f>IF($E71="","",IFERROR(VLOOKUP($E71,Machine_List!$B:$C,2,0),""))</f>
        <v/>
      </c>
      <c r="H71">
        <f>IF($E71="","",IFERROR(VLOOKUP($E71,Machine_List!$B:$D,3,0),""))</f>
        <v/>
      </c>
      <c r="J71" s="16">
        <f>IF($A71="","",IF($I71&lt;&gt;"",$I71,MAX(GlobalStartDate,IFERROR(LOOKUP(2,1/($E$3:INDIRECT("E"&amp;(ROW()-1))=$E71),$M$3:INDIRECT("M"&amp;(ROW()-1))),GlobalStartDate))))</f>
        <v/>
      </c>
      <c r="K71">
        <f>IF($A71="","",IFERROR(VLOOKUP(B71,CHOOSE(MATCH($C71,Settings!$L$4:$L$10,0),OPR_BR1!$A$4:$I$18,OPR_BR2!$A$4:$I$18,OPR_CR2!$A$4:$I$18,OPR_CR3!$A$4:$I$18,OPR_CR4!$A$4:$I$18,OPR_RIM!$A$4:$I$18,OPR_BPR!$A$4:$I$18),2,0),0))</f>
        <v/>
      </c>
      <c r="L71">
        <f>IF($A71="","",K71*D71)</f>
        <v/>
      </c>
      <c r="M71" s="16">
        <f>IF($A71="","",IF(AND(ISNUMBER(G71),G71&gt;=J71,G71&lt;=(J71+(L71/(IF(F71="Contract Workman",Settings!$K$5,Settings!$K$4))))),J71+(L71/(IF(F71="Contract Workman",Settings!$K$5,Settings!$K$4)))+(H71/(IF(F71="Contract Workman",Settings!$K$5,Settings!$K$4))),J71+(L71/(IF(F71="Contract Workman",Settings!$K$5,Settings!$K$4)))))</f>
        <v/>
      </c>
      <c r="N71">
        <f>IF($A71="","",IF(F71="Contract Workman",IF(AND(MOD(M71,1)&gt;=8/24,MOD(M71,1)&lt;20/24),"Shift S1","Shift S2"),IF(AND(MOD(M71,1)&gt;=7/24,MOD(M71,1)&lt;15/24),"Shift A",IF(AND(MOD(M71,1)&gt;=15/24,MOD(M71,1)&lt;23/24),"Shift B","Shift C"))))</f>
        <v/>
      </c>
      <c r="O71">
        <f>IF(B71="","",IF(IFERROR(ISNUMBER(SEARCH(TEXT(B71,"0"),VLOOKUP(E71,Machine_List!$B:$J,9,0))),FALSE),"✅ "&amp;E71,"❌ ?"))</f>
        <v/>
      </c>
      <c r="P71">
        <f>IF(AND($A71&lt;&gt;"",P$3&gt;=$J71,P$3&lt;=$M71),1,"")</f>
        <v/>
      </c>
      <c r="Q71">
        <f>IF(AND($A71&lt;&gt;"",Q$3&gt;=$J71,Q$3&lt;=$M71),1,"")</f>
        <v/>
      </c>
      <c r="R71">
        <f>IF(AND($A71&lt;&gt;"",R$3&gt;=$J71,R$3&lt;=$M71),1,"")</f>
        <v/>
      </c>
      <c r="S71">
        <f>IF(AND($A71&lt;&gt;"",S$3&gt;=$J71,S$3&lt;=$M71),1,"")</f>
        <v/>
      </c>
      <c r="T71">
        <f>IF(AND($A71&lt;&gt;"",T$3&gt;=$J71,T$3&lt;=$M71),1,"")</f>
        <v/>
      </c>
      <c r="U71">
        <f>IF(AND($A71&lt;&gt;"",U$3&gt;=$J71,U$3&lt;=$M71),1,"")</f>
        <v/>
      </c>
      <c r="V71">
        <f>IF(AND($A71&lt;&gt;"",V$3&gt;=$J71,V$3&lt;=$M71),1,"")</f>
        <v/>
      </c>
      <c r="W71">
        <f>IF(AND($A71&lt;&gt;"",W$3&gt;=$J71,W$3&lt;=$M71),1,"")</f>
        <v/>
      </c>
      <c r="X71">
        <f>IF(AND($A71&lt;&gt;"",X$3&gt;=$J71,X$3&lt;=$M71),1,"")</f>
        <v/>
      </c>
      <c r="Y71">
        <f>IF(AND($A71&lt;&gt;"",Y$3&gt;=$J71,Y$3&lt;=$M71),1,"")</f>
        <v/>
      </c>
      <c r="Z71">
        <f>IF(AND($A71&lt;&gt;"",Z$3&gt;=$J71,Z$3&lt;=$M71),1,"")</f>
        <v/>
      </c>
      <c r="AA71">
        <f>IF(AND($A71&lt;&gt;"",AA$3&gt;=$J71,AA$3&lt;=$M71),1,"")</f>
        <v/>
      </c>
      <c r="AB71">
        <f>IF(AND($A71&lt;&gt;"",AB$3&gt;=$J71,AB$3&lt;=$M71),1,"")</f>
        <v/>
      </c>
      <c r="AC71">
        <f>IF(AND($A71&lt;&gt;"",AC$3&gt;=$J71,AC$3&lt;=$M71),1,"")</f>
        <v/>
      </c>
      <c r="AD71">
        <f>IF(AND($A71&lt;&gt;"",AD$3&gt;=$J71,AD$3&lt;=$M71),1,"")</f>
        <v/>
      </c>
      <c r="AE71">
        <f>IF(AND($A71&lt;&gt;"",AE$3&gt;=$J71,AE$3&lt;=$M71),1,"")</f>
        <v/>
      </c>
      <c r="AF71">
        <f>IF(AND($A71&lt;&gt;"",AF$3&gt;=$J71,AF$3&lt;=$M71),1,"")</f>
        <v/>
      </c>
      <c r="AG71">
        <f>IF(AND($A71&lt;&gt;"",AG$3&gt;=$J71,AG$3&lt;=$M71),1,"")</f>
        <v/>
      </c>
      <c r="AH71">
        <f>IF(AND($A71&lt;&gt;"",AH$3&gt;=$J71,AH$3&lt;=$M71),1,"")</f>
        <v/>
      </c>
      <c r="AI71">
        <f>IF(AND($A71&lt;&gt;"",AI$3&gt;=$J71,AI$3&lt;=$M71),1,"")</f>
        <v/>
      </c>
      <c r="AJ71">
        <f>IF(AND($A71&lt;&gt;"",AJ$3&gt;=$J71,AJ$3&lt;=$M71),1,"")</f>
        <v/>
      </c>
      <c r="AK71">
        <f>IF(AND($A71&lt;&gt;"",AK$3&gt;=$J71,AK$3&lt;=$M71),1,"")</f>
        <v/>
      </c>
      <c r="AL71">
        <f>IF(AND($A71&lt;&gt;"",AL$3&gt;=$J71,AL$3&lt;=$M71),1,"")</f>
        <v/>
      </c>
      <c r="AM71">
        <f>IF(AND($A71&lt;&gt;"",AM$3&gt;=$J71,AM$3&lt;=$M71),1,"")</f>
        <v/>
      </c>
      <c r="AN71">
        <f>IF(AND($A71&lt;&gt;"",AN$3&gt;=$J71,AN$3&lt;=$M71),1,"")</f>
        <v/>
      </c>
      <c r="AO71">
        <f>IF(AND($A71&lt;&gt;"",AO$3&gt;=$J71,AO$3&lt;=$M71),1,"")</f>
        <v/>
      </c>
      <c r="AP71">
        <f>IF(AND($A71&lt;&gt;"",AP$3&gt;=$J71,AP$3&lt;=$M71),1,"")</f>
        <v/>
      </c>
      <c r="AQ71">
        <f>IF(AND($A71&lt;&gt;"",AQ$3&gt;=$J71,AQ$3&lt;=$M71),1,"")</f>
        <v/>
      </c>
      <c r="AR71">
        <f>IF(AND($A71&lt;&gt;"",AR$3&gt;=$J71,AR$3&lt;=$M71),1,"")</f>
        <v/>
      </c>
      <c r="AS71">
        <f>IF(AND($A71&lt;&gt;"",AS$3&gt;=$J71,AS$3&lt;=$M71),1,"")</f>
        <v/>
      </c>
      <c r="AT71">
        <f>IF(AND($A71&lt;&gt;"",AT$3&gt;=$J71,AT$3&lt;=$M71),1,"")</f>
        <v/>
      </c>
      <c r="AU71">
        <f>IF(AND($A71&lt;&gt;"",AU$3&gt;=$J71,AU$3&lt;=$M71),1,"")</f>
        <v/>
      </c>
      <c r="AV71">
        <f>IF(AND($A71&lt;&gt;"",AV$3&gt;=$J71,AV$3&lt;=$M71),1,"")</f>
        <v/>
      </c>
      <c r="AW71">
        <f>IF(AND($A71&lt;&gt;"",AW$3&gt;=$J71,AW$3&lt;=$M71),1,"")</f>
        <v/>
      </c>
      <c r="AX71">
        <f>IF(AND($A71&lt;&gt;"",AX$3&gt;=$J71,AX$3&lt;=$M71),1,"")</f>
        <v/>
      </c>
      <c r="AY71">
        <f>IF(AND($A71&lt;&gt;"",AY$3&gt;=$J71,AY$3&lt;=$M71),1,"")</f>
        <v/>
      </c>
      <c r="AZ71">
        <f>IF(AND($A71&lt;&gt;"",AZ$3&gt;=$J71,AZ$3&lt;=$M71),1,"")</f>
        <v/>
      </c>
      <c r="BA71">
        <f>IF(AND($A71&lt;&gt;"",BA$3&gt;=$J71,BA$3&lt;=$M71),1,"")</f>
        <v/>
      </c>
      <c r="BB71">
        <f>IF(AND($A71&lt;&gt;"",BB$3&gt;=$J71,BB$3&lt;=$M71),1,"")</f>
        <v/>
      </c>
      <c r="BC71">
        <f>IF(AND($A71&lt;&gt;"",BC$3&gt;=$J71,BC$3&lt;=$M71),1,"")</f>
        <v/>
      </c>
      <c r="BD71">
        <f>IF(AND($A71&lt;&gt;"",BD$3&gt;=$J71,BD$3&lt;=$M71),1,"")</f>
        <v/>
      </c>
      <c r="BE71">
        <f>IF(AND($A71&lt;&gt;"",BE$3&gt;=$J71,BE$3&lt;=$M71),1,"")</f>
        <v/>
      </c>
      <c r="BF71">
        <f>IF(AND($A71&lt;&gt;"",BF$3&gt;=$J71,BF$3&lt;=$M71),1,"")</f>
        <v/>
      </c>
      <c r="BG71">
        <f>IF(AND($A71&lt;&gt;"",BG$3&gt;=$J71,BG$3&lt;=$M71),1,"")</f>
        <v/>
      </c>
      <c r="BH71">
        <f>IF(AND($A71&lt;&gt;"",BH$3&gt;=$J71,BH$3&lt;=$M71),1,"")</f>
        <v/>
      </c>
      <c r="BI71">
        <f>IF(AND($A71&lt;&gt;"",BI$3&gt;=$J71,BI$3&lt;=$M71),1,"")</f>
        <v/>
      </c>
      <c r="BJ71">
        <f>IF(AND($A71&lt;&gt;"",BJ$3&gt;=$J71,BJ$3&lt;=$M71),1,"")</f>
        <v/>
      </c>
      <c r="BK71">
        <f>IF(AND($A71&lt;&gt;"",BK$3&gt;=$J71,BK$3&lt;=$M71),1,"")</f>
        <v/>
      </c>
      <c r="BL71">
        <f>IF(AND($A71&lt;&gt;"",BL$3&gt;=$J71,BL$3&lt;=$M71),1,"")</f>
        <v/>
      </c>
      <c r="BM71">
        <f>IF(AND($A71&lt;&gt;"",BM$3&gt;=$J71,BM$3&lt;=$M71),1,"")</f>
        <v/>
      </c>
      <c r="BN71">
        <f>IF(AND($A71&lt;&gt;"",BN$3&gt;=$J71,BN$3&lt;=$M71),1,"")</f>
        <v/>
      </c>
      <c r="BO71">
        <f>IF(AND($A71&lt;&gt;"",BO$3&gt;=$J71,BO$3&lt;=$M71),1,"")</f>
        <v/>
      </c>
      <c r="BP71">
        <f>IF(AND($A71&lt;&gt;"",BP$3&gt;=$J71,BP$3&lt;=$M71),1,"")</f>
        <v/>
      </c>
      <c r="BQ71">
        <f>IF(AND($A71&lt;&gt;"",BQ$3&gt;=$J71,BQ$3&lt;=$M71),1,"")</f>
        <v/>
      </c>
      <c r="BR71">
        <f>IF(AND($A71&lt;&gt;"",BR$3&gt;=$J71,BR$3&lt;=$M71),1,"")</f>
        <v/>
      </c>
      <c r="BS71">
        <f>IF(AND($A71&lt;&gt;"",BS$3&gt;=$J71,BS$3&lt;=$M71),1,"")</f>
        <v/>
      </c>
      <c r="BT71">
        <f>IF(AND($A71&lt;&gt;"",BT$3&gt;=$J71,BT$3&lt;=$M71),1,"")</f>
        <v/>
      </c>
      <c r="BU71">
        <f>IF(AND($A71&lt;&gt;"",BU$3&gt;=$J71,BU$3&lt;=$M71),1,"")</f>
        <v/>
      </c>
      <c r="BV71">
        <f>IF(AND($A71&lt;&gt;"",BV$3&gt;=$J71,BV$3&lt;=$M71),1,"")</f>
        <v/>
      </c>
    </row>
    <row r="72">
      <c r="A72">
        <f>IF(Job_Master_Ring!$A72="","",Job_Master_Ring!$A72)</f>
        <v/>
      </c>
      <c r="B72">
        <f>IF($A72="","",Job_Master_Ring!B72)</f>
        <v/>
      </c>
      <c r="C72">
        <f>IF($A72="","",Job_Master_Ring!C72)</f>
        <v/>
      </c>
      <c r="D72">
        <f>IF($A72="","",Job_Master_Ring!D72)</f>
        <v/>
      </c>
      <c r="E72">
        <f>IF($A72="","",IF($I72&lt;&gt;"",$I72,IFERROR(INDEX(Machine_List!$B$87:$B$94,MATCH(1,(Machine_List!$H$87:$H$94&lt;=IFERROR(VLOOKUP($B72,CHOOSE(MATCH($C72,Settings!$L$4:$L$10,0),OPR_BR1!$A$4:$K$18,OPR_BR2!$A$4:$K$18,OPR_CR2!$A$4:$K$18,OPR_CR3!$A$4:$K$18,OPR_CR4!$A$4:$K$18,OPR_RIM!$A$4:$K$18,OPR_BPR!$A$4:$K$18),10,0),0))*(Machine_List!$I$87:$I$94&gt;=IFERROR(VLOOKUP($B72,CHOOSE(MATCH($C72,Settings!$L$4:$L$10,0),OPR_BR1!$A$4:$K$18,OPR_BR2!$A$4:$K$18,OPR_CR2!$A$4:$K$18,OPR_CR3!$A$4:$K$18,OPR_CR4!$A$4:$K$18,OPR_RIM!$A$4:$K$18,OPR_BPR!$A$4:$K$18),11,0),9999)),0)),"NO COMPATIBLE MACHINE")))</f>
        <v/>
      </c>
      <c r="F72">
        <f>IF($E72="","",IFERROR(VLOOKUP($E72,Machine_List!$B:$G,6,0),""))</f>
        <v/>
      </c>
      <c r="G72" s="17">
        <f>IF($E72="","",IFERROR(VLOOKUP($E72,Machine_List!$B:$C,2,0),""))</f>
        <v/>
      </c>
      <c r="H72">
        <f>IF($E72="","",IFERROR(VLOOKUP($E72,Machine_List!$B:$D,3,0),""))</f>
        <v/>
      </c>
      <c r="J72" s="16">
        <f>IF($A72="","",IF($I72&lt;&gt;"",$I72,MAX(GlobalStartDate,IFERROR(LOOKUP(2,1/($E$3:INDIRECT("E"&amp;(ROW()-1))=$E72),$M$3:INDIRECT("M"&amp;(ROW()-1))),GlobalStartDate))))</f>
        <v/>
      </c>
      <c r="K72">
        <f>IF($A72="","",IFERROR(VLOOKUP(B72,CHOOSE(MATCH($C72,Settings!$L$4:$L$10,0),OPR_BR1!$A$4:$I$18,OPR_BR2!$A$4:$I$18,OPR_CR2!$A$4:$I$18,OPR_CR3!$A$4:$I$18,OPR_CR4!$A$4:$I$18,OPR_RIM!$A$4:$I$18,OPR_BPR!$A$4:$I$18),2,0),0))</f>
        <v/>
      </c>
      <c r="L72">
        <f>IF($A72="","",K72*D72)</f>
        <v/>
      </c>
      <c r="M72" s="16">
        <f>IF($A72="","",IF(AND(ISNUMBER(G72),G72&gt;=J72,G72&lt;=(J72+(L72/(IF(F72="Contract Workman",Settings!$K$5,Settings!$K$4))))),J72+(L72/(IF(F72="Contract Workman",Settings!$K$5,Settings!$K$4)))+(H72/(IF(F72="Contract Workman",Settings!$K$5,Settings!$K$4))),J72+(L72/(IF(F72="Contract Workman",Settings!$K$5,Settings!$K$4)))))</f>
        <v/>
      </c>
      <c r="N72">
        <f>IF($A72="","",IF(F72="Contract Workman",IF(AND(MOD(M72,1)&gt;=8/24,MOD(M72,1)&lt;20/24),"Shift S1","Shift S2"),IF(AND(MOD(M72,1)&gt;=7/24,MOD(M72,1)&lt;15/24),"Shift A",IF(AND(MOD(M72,1)&gt;=15/24,MOD(M72,1)&lt;23/24),"Shift B","Shift C"))))</f>
        <v/>
      </c>
      <c r="O72">
        <f>IF(B72="","",IF(IFERROR(ISNUMBER(SEARCH(TEXT(B72,"0"),VLOOKUP(E72,Machine_List!$B:$J,9,0))),FALSE),"✅ "&amp;E72,"❌ ?"))</f>
        <v/>
      </c>
      <c r="P72">
        <f>IF(AND($A72&lt;&gt;"",P$3&gt;=$J72,P$3&lt;=$M72),1,"")</f>
        <v/>
      </c>
      <c r="Q72">
        <f>IF(AND($A72&lt;&gt;"",Q$3&gt;=$J72,Q$3&lt;=$M72),1,"")</f>
        <v/>
      </c>
      <c r="R72">
        <f>IF(AND($A72&lt;&gt;"",R$3&gt;=$J72,R$3&lt;=$M72),1,"")</f>
        <v/>
      </c>
      <c r="S72">
        <f>IF(AND($A72&lt;&gt;"",S$3&gt;=$J72,S$3&lt;=$M72),1,"")</f>
        <v/>
      </c>
      <c r="T72">
        <f>IF(AND($A72&lt;&gt;"",T$3&gt;=$J72,T$3&lt;=$M72),1,"")</f>
        <v/>
      </c>
      <c r="U72">
        <f>IF(AND($A72&lt;&gt;"",U$3&gt;=$J72,U$3&lt;=$M72),1,"")</f>
        <v/>
      </c>
      <c r="V72">
        <f>IF(AND($A72&lt;&gt;"",V$3&gt;=$J72,V$3&lt;=$M72),1,"")</f>
        <v/>
      </c>
      <c r="W72">
        <f>IF(AND($A72&lt;&gt;"",W$3&gt;=$J72,W$3&lt;=$M72),1,"")</f>
        <v/>
      </c>
      <c r="X72">
        <f>IF(AND($A72&lt;&gt;"",X$3&gt;=$J72,X$3&lt;=$M72),1,"")</f>
        <v/>
      </c>
      <c r="Y72">
        <f>IF(AND($A72&lt;&gt;"",Y$3&gt;=$J72,Y$3&lt;=$M72),1,"")</f>
        <v/>
      </c>
      <c r="Z72">
        <f>IF(AND($A72&lt;&gt;"",Z$3&gt;=$J72,Z$3&lt;=$M72),1,"")</f>
        <v/>
      </c>
      <c r="AA72">
        <f>IF(AND($A72&lt;&gt;"",AA$3&gt;=$J72,AA$3&lt;=$M72),1,"")</f>
        <v/>
      </c>
      <c r="AB72">
        <f>IF(AND($A72&lt;&gt;"",AB$3&gt;=$J72,AB$3&lt;=$M72),1,"")</f>
        <v/>
      </c>
      <c r="AC72">
        <f>IF(AND($A72&lt;&gt;"",AC$3&gt;=$J72,AC$3&lt;=$M72),1,"")</f>
        <v/>
      </c>
      <c r="AD72">
        <f>IF(AND($A72&lt;&gt;"",AD$3&gt;=$J72,AD$3&lt;=$M72),1,"")</f>
        <v/>
      </c>
      <c r="AE72">
        <f>IF(AND($A72&lt;&gt;"",AE$3&gt;=$J72,AE$3&lt;=$M72),1,"")</f>
        <v/>
      </c>
      <c r="AF72">
        <f>IF(AND($A72&lt;&gt;"",AF$3&gt;=$J72,AF$3&lt;=$M72),1,"")</f>
        <v/>
      </c>
      <c r="AG72">
        <f>IF(AND($A72&lt;&gt;"",AG$3&gt;=$J72,AG$3&lt;=$M72),1,"")</f>
        <v/>
      </c>
      <c r="AH72">
        <f>IF(AND($A72&lt;&gt;"",AH$3&gt;=$J72,AH$3&lt;=$M72),1,"")</f>
        <v/>
      </c>
      <c r="AI72">
        <f>IF(AND($A72&lt;&gt;"",AI$3&gt;=$J72,AI$3&lt;=$M72),1,"")</f>
        <v/>
      </c>
      <c r="AJ72">
        <f>IF(AND($A72&lt;&gt;"",AJ$3&gt;=$J72,AJ$3&lt;=$M72),1,"")</f>
        <v/>
      </c>
      <c r="AK72">
        <f>IF(AND($A72&lt;&gt;"",AK$3&gt;=$J72,AK$3&lt;=$M72),1,"")</f>
        <v/>
      </c>
      <c r="AL72">
        <f>IF(AND($A72&lt;&gt;"",AL$3&gt;=$J72,AL$3&lt;=$M72),1,"")</f>
        <v/>
      </c>
      <c r="AM72">
        <f>IF(AND($A72&lt;&gt;"",AM$3&gt;=$J72,AM$3&lt;=$M72),1,"")</f>
        <v/>
      </c>
      <c r="AN72">
        <f>IF(AND($A72&lt;&gt;"",AN$3&gt;=$J72,AN$3&lt;=$M72),1,"")</f>
        <v/>
      </c>
      <c r="AO72">
        <f>IF(AND($A72&lt;&gt;"",AO$3&gt;=$J72,AO$3&lt;=$M72),1,"")</f>
        <v/>
      </c>
      <c r="AP72">
        <f>IF(AND($A72&lt;&gt;"",AP$3&gt;=$J72,AP$3&lt;=$M72),1,"")</f>
        <v/>
      </c>
      <c r="AQ72">
        <f>IF(AND($A72&lt;&gt;"",AQ$3&gt;=$J72,AQ$3&lt;=$M72),1,"")</f>
        <v/>
      </c>
      <c r="AR72">
        <f>IF(AND($A72&lt;&gt;"",AR$3&gt;=$J72,AR$3&lt;=$M72),1,"")</f>
        <v/>
      </c>
      <c r="AS72">
        <f>IF(AND($A72&lt;&gt;"",AS$3&gt;=$J72,AS$3&lt;=$M72),1,"")</f>
        <v/>
      </c>
      <c r="AT72">
        <f>IF(AND($A72&lt;&gt;"",AT$3&gt;=$J72,AT$3&lt;=$M72),1,"")</f>
        <v/>
      </c>
      <c r="AU72">
        <f>IF(AND($A72&lt;&gt;"",AU$3&gt;=$J72,AU$3&lt;=$M72),1,"")</f>
        <v/>
      </c>
      <c r="AV72">
        <f>IF(AND($A72&lt;&gt;"",AV$3&gt;=$J72,AV$3&lt;=$M72),1,"")</f>
        <v/>
      </c>
      <c r="AW72">
        <f>IF(AND($A72&lt;&gt;"",AW$3&gt;=$J72,AW$3&lt;=$M72),1,"")</f>
        <v/>
      </c>
      <c r="AX72">
        <f>IF(AND($A72&lt;&gt;"",AX$3&gt;=$J72,AX$3&lt;=$M72),1,"")</f>
        <v/>
      </c>
      <c r="AY72">
        <f>IF(AND($A72&lt;&gt;"",AY$3&gt;=$J72,AY$3&lt;=$M72),1,"")</f>
        <v/>
      </c>
      <c r="AZ72">
        <f>IF(AND($A72&lt;&gt;"",AZ$3&gt;=$J72,AZ$3&lt;=$M72),1,"")</f>
        <v/>
      </c>
      <c r="BA72">
        <f>IF(AND($A72&lt;&gt;"",BA$3&gt;=$J72,BA$3&lt;=$M72),1,"")</f>
        <v/>
      </c>
      <c r="BB72">
        <f>IF(AND($A72&lt;&gt;"",BB$3&gt;=$J72,BB$3&lt;=$M72),1,"")</f>
        <v/>
      </c>
      <c r="BC72">
        <f>IF(AND($A72&lt;&gt;"",BC$3&gt;=$J72,BC$3&lt;=$M72),1,"")</f>
        <v/>
      </c>
      <c r="BD72">
        <f>IF(AND($A72&lt;&gt;"",BD$3&gt;=$J72,BD$3&lt;=$M72),1,"")</f>
        <v/>
      </c>
      <c r="BE72">
        <f>IF(AND($A72&lt;&gt;"",BE$3&gt;=$J72,BE$3&lt;=$M72),1,"")</f>
        <v/>
      </c>
      <c r="BF72">
        <f>IF(AND($A72&lt;&gt;"",BF$3&gt;=$J72,BF$3&lt;=$M72),1,"")</f>
        <v/>
      </c>
      <c r="BG72">
        <f>IF(AND($A72&lt;&gt;"",BG$3&gt;=$J72,BG$3&lt;=$M72),1,"")</f>
        <v/>
      </c>
      <c r="BH72">
        <f>IF(AND($A72&lt;&gt;"",BH$3&gt;=$J72,BH$3&lt;=$M72),1,"")</f>
        <v/>
      </c>
      <c r="BI72">
        <f>IF(AND($A72&lt;&gt;"",BI$3&gt;=$J72,BI$3&lt;=$M72),1,"")</f>
        <v/>
      </c>
      <c r="BJ72">
        <f>IF(AND($A72&lt;&gt;"",BJ$3&gt;=$J72,BJ$3&lt;=$M72),1,"")</f>
        <v/>
      </c>
      <c r="BK72">
        <f>IF(AND($A72&lt;&gt;"",BK$3&gt;=$J72,BK$3&lt;=$M72),1,"")</f>
        <v/>
      </c>
      <c r="BL72">
        <f>IF(AND($A72&lt;&gt;"",BL$3&gt;=$J72,BL$3&lt;=$M72),1,"")</f>
        <v/>
      </c>
      <c r="BM72">
        <f>IF(AND($A72&lt;&gt;"",BM$3&gt;=$J72,BM$3&lt;=$M72),1,"")</f>
        <v/>
      </c>
      <c r="BN72">
        <f>IF(AND($A72&lt;&gt;"",BN$3&gt;=$J72,BN$3&lt;=$M72),1,"")</f>
        <v/>
      </c>
      <c r="BO72">
        <f>IF(AND($A72&lt;&gt;"",BO$3&gt;=$J72,BO$3&lt;=$M72),1,"")</f>
        <v/>
      </c>
      <c r="BP72">
        <f>IF(AND($A72&lt;&gt;"",BP$3&gt;=$J72,BP$3&lt;=$M72),1,"")</f>
        <v/>
      </c>
      <c r="BQ72">
        <f>IF(AND($A72&lt;&gt;"",BQ$3&gt;=$J72,BQ$3&lt;=$M72),1,"")</f>
        <v/>
      </c>
      <c r="BR72">
        <f>IF(AND($A72&lt;&gt;"",BR$3&gt;=$J72,BR$3&lt;=$M72),1,"")</f>
        <v/>
      </c>
      <c r="BS72">
        <f>IF(AND($A72&lt;&gt;"",BS$3&gt;=$J72,BS$3&lt;=$M72),1,"")</f>
        <v/>
      </c>
      <c r="BT72">
        <f>IF(AND($A72&lt;&gt;"",BT$3&gt;=$J72,BT$3&lt;=$M72),1,"")</f>
        <v/>
      </c>
      <c r="BU72">
        <f>IF(AND($A72&lt;&gt;"",BU$3&gt;=$J72,BU$3&lt;=$M72),1,"")</f>
        <v/>
      </c>
      <c r="BV72">
        <f>IF(AND($A72&lt;&gt;"",BV$3&gt;=$J72,BV$3&lt;=$M72),1,"")</f>
        <v/>
      </c>
    </row>
    <row r="73">
      <c r="A73">
        <f>IF(Job_Master_Ring!$A73="","",Job_Master_Ring!$A73)</f>
        <v/>
      </c>
      <c r="B73">
        <f>IF($A73="","",Job_Master_Ring!B73)</f>
        <v/>
      </c>
      <c r="C73">
        <f>IF($A73="","",Job_Master_Ring!C73)</f>
        <v/>
      </c>
      <c r="D73">
        <f>IF($A73="","",Job_Master_Ring!D73)</f>
        <v/>
      </c>
      <c r="E73">
        <f>IF($A73="","",IF($I73&lt;&gt;"",$I73,IFERROR(INDEX(Machine_List!$B$87:$B$94,MATCH(1,(Machine_List!$H$87:$H$94&lt;=IFERROR(VLOOKUP($B73,CHOOSE(MATCH($C73,Settings!$L$4:$L$10,0),OPR_BR1!$A$4:$K$18,OPR_BR2!$A$4:$K$18,OPR_CR2!$A$4:$K$18,OPR_CR3!$A$4:$K$18,OPR_CR4!$A$4:$K$18,OPR_RIM!$A$4:$K$18,OPR_BPR!$A$4:$K$18),10,0),0))*(Machine_List!$I$87:$I$94&gt;=IFERROR(VLOOKUP($B73,CHOOSE(MATCH($C73,Settings!$L$4:$L$10,0),OPR_BR1!$A$4:$K$18,OPR_BR2!$A$4:$K$18,OPR_CR2!$A$4:$K$18,OPR_CR3!$A$4:$K$18,OPR_CR4!$A$4:$K$18,OPR_RIM!$A$4:$K$18,OPR_BPR!$A$4:$K$18),11,0),9999)),0)),"NO COMPATIBLE MACHINE")))</f>
        <v/>
      </c>
      <c r="F73">
        <f>IF($E73="","",IFERROR(VLOOKUP($E73,Machine_List!$B:$G,6,0),""))</f>
        <v/>
      </c>
      <c r="G73" s="17">
        <f>IF($E73="","",IFERROR(VLOOKUP($E73,Machine_List!$B:$C,2,0),""))</f>
        <v/>
      </c>
      <c r="H73">
        <f>IF($E73="","",IFERROR(VLOOKUP($E73,Machine_List!$B:$D,3,0),""))</f>
        <v/>
      </c>
      <c r="J73" s="16">
        <f>IF($A73="","",IF($I73&lt;&gt;"",$I73,MAX(GlobalStartDate,IFERROR(LOOKUP(2,1/($E$3:INDIRECT("E"&amp;(ROW()-1))=$E73),$M$3:INDIRECT("M"&amp;(ROW()-1))),GlobalStartDate))))</f>
        <v/>
      </c>
      <c r="K73">
        <f>IF($A73="","",IFERROR(VLOOKUP(B73,CHOOSE(MATCH($C73,Settings!$L$4:$L$10,0),OPR_BR1!$A$4:$I$18,OPR_BR2!$A$4:$I$18,OPR_CR2!$A$4:$I$18,OPR_CR3!$A$4:$I$18,OPR_CR4!$A$4:$I$18,OPR_RIM!$A$4:$I$18,OPR_BPR!$A$4:$I$18),2,0),0))</f>
        <v/>
      </c>
      <c r="L73">
        <f>IF($A73="","",K73*D73)</f>
        <v/>
      </c>
      <c r="M73" s="16">
        <f>IF($A73="","",IF(AND(ISNUMBER(G73),G73&gt;=J73,G73&lt;=(J73+(L73/(IF(F73="Contract Workman",Settings!$K$5,Settings!$K$4))))),J73+(L73/(IF(F73="Contract Workman",Settings!$K$5,Settings!$K$4)))+(H73/(IF(F73="Contract Workman",Settings!$K$5,Settings!$K$4))),J73+(L73/(IF(F73="Contract Workman",Settings!$K$5,Settings!$K$4)))))</f>
        <v/>
      </c>
      <c r="N73">
        <f>IF($A73="","",IF(F73="Contract Workman",IF(AND(MOD(M73,1)&gt;=8/24,MOD(M73,1)&lt;20/24),"Shift S1","Shift S2"),IF(AND(MOD(M73,1)&gt;=7/24,MOD(M73,1)&lt;15/24),"Shift A",IF(AND(MOD(M73,1)&gt;=15/24,MOD(M73,1)&lt;23/24),"Shift B","Shift C"))))</f>
        <v/>
      </c>
      <c r="O73">
        <f>IF(B73="","",IF(IFERROR(ISNUMBER(SEARCH(TEXT(B73,"0"),VLOOKUP(E73,Machine_List!$B:$J,9,0))),FALSE),"✅ "&amp;E73,"❌ ?"))</f>
        <v/>
      </c>
      <c r="P73">
        <f>IF(AND($A73&lt;&gt;"",P$3&gt;=$J73,P$3&lt;=$M73),1,"")</f>
        <v/>
      </c>
      <c r="Q73">
        <f>IF(AND($A73&lt;&gt;"",Q$3&gt;=$J73,Q$3&lt;=$M73),1,"")</f>
        <v/>
      </c>
      <c r="R73">
        <f>IF(AND($A73&lt;&gt;"",R$3&gt;=$J73,R$3&lt;=$M73),1,"")</f>
        <v/>
      </c>
      <c r="S73">
        <f>IF(AND($A73&lt;&gt;"",S$3&gt;=$J73,S$3&lt;=$M73),1,"")</f>
        <v/>
      </c>
      <c r="T73">
        <f>IF(AND($A73&lt;&gt;"",T$3&gt;=$J73,T$3&lt;=$M73),1,"")</f>
        <v/>
      </c>
      <c r="U73">
        <f>IF(AND($A73&lt;&gt;"",U$3&gt;=$J73,U$3&lt;=$M73),1,"")</f>
        <v/>
      </c>
      <c r="V73">
        <f>IF(AND($A73&lt;&gt;"",V$3&gt;=$J73,V$3&lt;=$M73),1,"")</f>
        <v/>
      </c>
      <c r="W73">
        <f>IF(AND($A73&lt;&gt;"",W$3&gt;=$J73,W$3&lt;=$M73),1,"")</f>
        <v/>
      </c>
      <c r="X73">
        <f>IF(AND($A73&lt;&gt;"",X$3&gt;=$J73,X$3&lt;=$M73),1,"")</f>
        <v/>
      </c>
      <c r="Y73">
        <f>IF(AND($A73&lt;&gt;"",Y$3&gt;=$J73,Y$3&lt;=$M73),1,"")</f>
        <v/>
      </c>
      <c r="Z73">
        <f>IF(AND($A73&lt;&gt;"",Z$3&gt;=$J73,Z$3&lt;=$M73),1,"")</f>
        <v/>
      </c>
      <c r="AA73">
        <f>IF(AND($A73&lt;&gt;"",AA$3&gt;=$J73,AA$3&lt;=$M73),1,"")</f>
        <v/>
      </c>
      <c r="AB73">
        <f>IF(AND($A73&lt;&gt;"",AB$3&gt;=$J73,AB$3&lt;=$M73),1,"")</f>
        <v/>
      </c>
      <c r="AC73">
        <f>IF(AND($A73&lt;&gt;"",AC$3&gt;=$J73,AC$3&lt;=$M73),1,"")</f>
        <v/>
      </c>
      <c r="AD73">
        <f>IF(AND($A73&lt;&gt;"",AD$3&gt;=$J73,AD$3&lt;=$M73),1,"")</f>
        <v/>
      </c>
      <c r="AE73">
        <f>IF(AND($A73&lt;&gt;"",AE$3&gt;=$J73,AE$3&lt;=$M73),1,"")</f>
        <v/>
      </c>
      <c r="AF73">
        <f>IF(AND($A73&lt;&gt;"",AF$3&gt;=$J73,AF$3&lt;=$M73),1,"")</f>
        <v/>
      </c>
      <c r="AG73">
        <f>IF(AND($A73&lt;&gt;"",AG$3&gt;=$J73,AG$3&lt;=$M73),1,"")</f>
        <v/>
      </c>
      <c r="AH73">
        <f>IF(AND($A73&lt;&gt;"",AH$3&gt;=$J73,AH$3&lt;=$M73),1,"")</f>
        <v/>
      </c>
      <c r="AI73">
        <f>IF(AND($A73&lt;&gt;"",AI$3&gt;=$J73,AI$3&lt;=$M73),1,"")</f>
        <v/>
      </c>
      <c r="AJ73">
        <f>IF(AND($A73&lt;&gt;"",AJ$3&gt;=$J73,AJ$3&lt;=$M73),1,"")</f>
        <v/>
      </c>
      <c r="AK73">
        <f>IF(AND($A73&lt;&gt;"",AK$3&gt;=$J73,AK$3&lt;=$M73),1,"")</f>
        <v/>
      </c>
      <c r="AL73">
        <f>IF(AND($A73&lt;&gt;"",AL$3&gt;=$J73,AL$3&lt;=$M73),1,"")</f>
        <v/>
      </c>
      <c r="AM73">
        <f>IF(AND($A73&lt;&gt;"",AM$3&gt;=$J73,AM$3&lt;=$M73),1,"")</f>
        <v/>
      </c>
      <c r="AN73">
        <f>IF(AND($A73&lt;&gt;"",AN$3&gt;=$J73,AN$3&lt;=$M73),1,"")</f>
        <v/>
      </c>
      <c r="AO73">
        <f>IF(AND($A73&lt;&gt;"",AO$3&gt;=$J73,AO$3&lt;=$M73),1,"")</f>
        <v/>
      </c>
      <c r="AP73">
        <f>IF(AND($A73&lt;&gt;"",AP$3&gt;=$J73,AP$3&lt;=$M73),1,"")</f>
        <v/>
      </c>
      <c r="AQ73">
        <f>IF(AND($A73&lt;&gt;"",AQ$3&gt;=$J73,AQ$3&lt;=$M73),1,"")</f>
        <v/>
      </c>
      <c r="AR73">
        <f>IF(AND($A73&lt;&gt;"",AR$3&gt;=$J73,AR$3&lt;=$M73),1,"")</f>
        <v/>
      </c>
      <c r="AS73">
        <f>IF(AND($A73&lt;&gt;"",AS$3&gt;=$J73,AS$3&lt;=$M73),1,"")</f>
        <v/>
      </c>
      <c r="AT73">
        <f>IF(AND($A73&lt;&gt;"",AT$3&gt;=$J73,AT$3&lt;=$M73),1,"")</f>
        <v/>
      </c>
      <c r="AU73">
        <f>IF(AND($A73&lt;&gt;"",AU$3&gt;=$J73,AU$3&lt;=$M73),1,"")</f>
        <v/>
      </c>
      <c r="AV73">
        <f>IF(AND($A73&lt;&gt;"",AV$3&gt;=$J73,AV$3&lt;=$M73),1,"")</f>
        <v/>
      </c>
      <c r="AW73">
        <f>IF(AND($A73&lt;&gt;"",AW$3&gt;=$J73,AW$3&lt;=$M73),1,"")</f>
        <v/>
      </c>
      <c r="AX73">
        <f>IF(AND($A73&lt;&gt;"",AX$3&gt;=$J73,AX$3&lt;=$M73),1,"")</f>
        <v/>
      </c>
      <c r="AY73">
        <f>IF(AND($A73&lt;&gt;"",AY$3&gt;=$J73,AY$3&lt;=$M73),1,"")</f>
        <v/>
      </c>
      <c r="AZ73">
        <f>IF(AND($A73&lt;&gt;"",AZ$3&gt;=$J73,AZ$3&lt;=$M73),1,"")</f>
        <v/>
      </c>
      <c r="BA73">
        <f>IF(AND($A73&lt;&gt;"",BA$3&gt;=$J73,BA$3&lt;=$M73),1,"")</f>
        <v/>
      </c>
      <c r="BB73">
        <f>IF(AND($A73&lt;&gt;"",BB$3&gt;=$J73,BB$3&lt;=$M73),1,"")</f>
        <v/>
      </c>
      <c r="BC73">
        <f>IF(AND($A73&lt;&gt;"",BC$3&gt;=$J73,BC$3&lt;=$M73),1,"")</f>
        <v/>
      </c>
      <c r="BD73">
        <f>IF(AND($A73&lt;&gt;"",BD$3&gt;=$J73,BD$3&lt;=$M73),1,"")</f>
        <v/>
      </c>
      <c r="BE73">
        <f>IF(AND($A73&lt;&gt;"",BE$3&gt;=$J73,BE$3&lt;=$M73),1,"")</f>
        <v/>
      </c>
      <c r="BF73">
        <f>IF(AND($A73&lt;&gt;"",BF$3&gt;=$J73,BF$3&lt;=$M73),1,"")</f>
        <v/>
      </c>
      <c r="BG73">
        <f>IF(AND($A73&lt;&gt;"",BG$3&gt;=$J73,BG$3&lt;=$M73),1,"")</f>
        <v/>
      </c>
      <c r="BH73">
        <f>IF(AND($A73&lt;&gt;"",BH$3&gt;=$J73,BH$3&lt;=$M73),1,"")</f>
        <v/>
      </c>
      <c r="BI73">
        <f>IF(AND($A73&lt;&gt;"",BI$3&gt;=$J73,BI$3&lt;=$M73),1,"")</f>
        <v/>
      </c>
      <c r="BJ73">
        <f>IF(AND($A73&lt;&gt;"",BJ$3&gt;=$J73,BJ$3&lt;=$M73),1,"")</f>
        <v/>
      </c>
      <c r="BK73">
        <f>IF(AND($A73&lt;&gt;"",BK$3&gt;=$J73,BK$3&lt;=$M73),1,"")</f>
        <v/>
      </c>
      <c r="BL73">
        <f>IF(AND($A73&lt;&gt;"",BL$3&gt;=$J73,BL$3&lt;=$M73),1,"")</f>
        <v/>
      </c>
      <c r="BM73">
        <f>IF(AND($A73&lt;&gt;"",BM$3&gt;=$J73,BM$3&lt;=$M73),1,"")</f>
        <v/>
      </c>
      <c r="BN73">
        <f>IF(AND($A73&lt;&gt;"",BN$3&gt;=$J73,BN$3&lt;=$M73),1,"")</f>
        <v/>
      </c>
      <c r="BO73">
        <f>IF(AND($A73&lt;&gt;"",BO$3&gt;=$J73,BO$3&lt;=$M73),1,"")</f>
        <v/>
      </c>
      <c r="BP73">
        <f>IF(AND($A73&lt;&gt;"",BP$3&gt;=$J73,BP$3&lt;=$M73),1,"")</f>
        <v/>
      </c>
      <c r="BQ73">
        <f>IF(AND($A73&lt;&gt;"",BQ$3&gt;=$J73,BQ$3&lt;=$M73),1,"")</f>
        <v/>
      </c>
      <c r="BR73">
        <f>IF(AND($A73&lt;&gt;"",BR$3&gt;=$J73,BR$3&lt;=$M73),1,"")</f>
        <v/>
      </c>
      <c r="BS73">
        <f>IF(AND($A73&lt;&gt;"",BS$3&gt;=$J73,BS$3&lt;=$M73),1,"")</f>
        <v/>
      </c>
      <c r="BT73">
        <f>IF(AND($A73&lt;&gt;"",BT$3&gt;=$J73,BT$3&lt;=$M73),1,"")</f>
        <v/>
      </c>
      <c r="BU73">
        <f>IF(AND($A73&lt;&gt;"",BU$3&gt;=$J73,BU$3&lt;=$M73),1,"")</f>
        <v/>
      </c>
      <c r="BV73">
        <f>IF(AND($A73&lt;&gt;"",BV$3&gt;=$J73,BV$3&lt;=$M73),1,"")</f>
        <v/>
      </c>
    </row>
    <row r="74">
      <c r="A74">
        <f>IF(Job_Master_Ring!$A74="","",Job_Master_Ring!$A74)</f>
        <v/>
      </c>
      <c r="B74">
        <f>IF($A74="","",Job_Master_Ring!B74)</f>
        <v/>
      </c>
      <c r="C74">
        <f>IF($A74="","",Job_Master_Ring!C74)</f>
        <v/>
      </c>
      <c r="D74">
        <f>IF($A74="","",Job_Master_Ring!D74)</f>
        <v/>
      </c>
      <c r="E74">
        <f>IF($A74="","",IF($I74&lt;&gt;"",$I74,IFERROR(INDEX(Machine_List!$B$87:$B$94,MATCH(1,(Machine_List!$H$87:$H$94&lt;=IFERROR(VLOOKUP($B74,CHOOSE(MATCH($C74,Settings!$L$4:$L$10,0),OPR_BR1!$A$4:$K$18,OPR_BR2!$A$4:$K$18,OPR_CR2!$A$4:$K$18,OPR_CR3!$A$4:$K$18,OPR_CR4!$A$4:$K$18,OPR_RIM!$A$4:$K$18,OPR_BPR!$A$4:$K$18),10,0),0))*(Machine_List!$I$87:$I$94&gt;=IFERROR(VLOOKUP($B74,CHOOSE(MATCH($C74,Settings!$L$4:$L$10,0),OPR_BR1!$A$4:$K$18,OPR_BR2!$A$4:$K$18,OPR_CR2!$A$4:$K$18,OPR_CR3!$A$4:$K$18,OPR_CR4!$A$4:$K$18,OPR_RIM!$A$4:$K$18,OPR_BPR!$A$4:$K$18),11,0),9999)),0)),"NO COMPATIBLE MACHINE")))</f>
        <v/>
      </c>
      <c r="F74">
        <f>IF($E74="","",IFERROR(VLOOKUP($E74,Machine_List!$B:$G,6,0),""))</f>
        <v/>
      </c>
      <c r="G74" s="17">
        <f>IF($E74="","",IFERROR(VLOOKUP($E74,Machine_List!$B:$C,2,0),""))</f>
        <v/>
      </c>
      <c r="H74">
        <f>IF($E74="","",IFERROR(VLOOKUP($E74,Machine_List!$B:$D,3,0),""))</f>
        <v/>
      </c>
      <c r="J74" s="16">
        <f>IF($A74="","",IF($I74&lt;&gt;"",$I74,MAX(GlobalStartDate,IFERROR(LOOKUP(2,1/($E$3:INDIRECT("E"&amp;(ROW()-1))=$E74),$M$3:INDIRECT("M"&amp;(ROW()-1))),GlobalStartDate))))</f>
        <v/>
      </c>
      <c r="K74">
        <f>IF($A74="","",IFERROR(VLOOKUP(B74,CHOOSE(MATCH($C74,Settings!$L$4:$L$10,0),OPR_BR1!$A$4:$I$18,OPR_BR2!$A$4:$I$18,OPR_CR2!$A$4:$I$18,OPR_CR3!$A$4:$I$18,OPR_CR4!$A$4:$I$18,OPR_RIM!$A$4:$I$18,OPR_BPR!$A$4:$I$18),2,0),0))</f>
        <v/>
      </c>
      <c r="L74">
        <f>IF($A74="","",K74*D74)</f>
        <v/>
      </c>
      <c r="M74" s="16">
        <f>IF($A74="","",IF(AND(ISNUMBER(G74),G74&gt;=J74,G74&lt;=(J74+(L74/(IF(F74="Contract Workman",Settings!$K$5,Settings!$K$4))))),J74+(L74/(IF(F74="Contract Workman",Settings!$K$5,Settings!$K$4)))+(H74/(IF(F74="Contract Workman",Settings!$K$5,Settings!$K$4))),J74+(L74/(IF(F74="Contract Workman",Settings!$K$5,Settings!$K$4)))))</f>
        <v/>
      </c>
      <c r="N74">
        <f>IF($A74="","",IF(F74="Contract Workman",IF(AND(MOD(M74,1)&gt;=8/24,MOD(M74,1)&lt;20/24),"Shift S1","Shift S2"),IF(AND(MOD(M74,1)&gt;=7/24,MOD(M74,1)&lt;15/24),"Shift A",IF(AND(MOD(M74,1)&gt;=15/24,MOD(M74,1)&lt;23/24),"Shift B","Shift C"))))</f>
        <v/>
      </c>
      <c r="O74">
        <f>IF(B74="","",IF(IFERROR(ISNUMBER(SEARCH(TEXT(B74,"0"),VLOOKUP(E74,Machine_List!$B:$J,9,0))),FALSE),"✅ "&amp;E74,"❌ ?"))</f>
        <v/>
      </c>
      <c r="P74">
        <f>IF(AND($A74&lt;&gt;"",P$3&gt;=$J74,P$3&lt;=$M74),1,"")</f>
        <v/>
      </c>
      <c r="Q74">
        <f>IF(AND($A74&lt;&gt;"",Q$3&gt;=$J74,Q$3&lt;=$M74),1,"")</f>
        <v/>
      </c>
      <c r="R74">
        <f>IF(AND($A74&lt;&gt;"",R$3&gt;=$J74,R$3&lt;=$M74),1,"")</f>
        <v/>
      </c>
      <c r="S74">
        <f>IF(AND($A74&lt;&gt;"",S$3&gt;=$J74,S$3&lt;=$M74),1,"")</f>
        <v/>
      </c>
      <c r="T74">
        <f>IF(AND($A74&lt;&gt;"",T$3&gt;=$J74,T$3&lt;=$M74),1,"")</f>
        <v/>
      </c>
      <c r="U74">
        <f>IF(AND($A74&lt;&gt;"",U$3&gt;=$J74,U$3&lt;=$M74),1,"")</f>
        <v/>
      </c>
      <c r="V74">
        <f>IF(AND($A74&lt;&gt;"",V$3&gt;=$J74,V$3&lt;=$M74),1,"")</f>
        <v/>
      </c>
      <c r="W74">
        <f>IF(AND($A74&lt;&gt;"",W$3&gt;=$J74,W$3&lt;=$M74),1,"")</f>
        <v/>
      </c>
      <c r="X74">
        <f>IF(AND($A74&lt;&gt;"",X$3&gt;=$J74,X$3&lt;=$M74),1,"")</f>
        <v/>
      </c>
      <c r="Y74">
        <f>IF(AND($A74&lt;&gt;"",Y$3&gt;=$J74,Y$3&lt;=$M74),1,"")</f>
        <v/>
      </c>
      <c r="Z74">
        <f>IF(AND($A74&lt;&gt;"",Z$3&gt;=$J74,Z$3&lt;=$M74),1,"")</f>
        <v/>
      </c>
      <c r="AA74">
        <f>IF(AND($A74&lt;&gt;"",AA$3&gt;=$J74,AA$3&lt;=$M74),1,"")</f>
        <v/>
      </c>
      <c r="AB74">
        <f>IF(AND($A74&lt;&gt;"",AB$3&gt;=$J74,AB$3&lt;=$M74),1,"")</f>
        <v/>
      </c>
      <c r="AC74">
        <f>IF(AND($A74&lt;&gt;"",AC$3&gt;=$J74,AC$3&lt;=$M74),1,"")</f>
        <v/>
      </c>
      <c r="AD74">
        <f>IF(AND($A74&lt;&gt;"",AD$3&gt;=$J74,AD$3&lt;=$M74),1,"")</f>
        <v/>
      </c>
      <c r="AE74">
        <f>IF(AND($A74&lt;&gt;"",AE$3&gt;=$J74,AE$3&lt;=$M74),1,"")</f>
        <v/>
      </c>
      <c r="AF74">
        <f>IF(AND($A74&lt;&gt;"",AF$3&gt;=$J74,AF$3&lt;=$M74),1,"")</f>
        <v/>
      </c>
      <c r="AG74">
        <f>IF(AND($A74&lt;&gt;"",AG$3&gt;=$J74,AG$3&lt;=$M74),1,"")</f>
        <v/>
      </c>
      <c r="AH74">
        <f>IF(AND($A74&lt;&gt;"",AH$3&gt;=$J74,AH$3&lt;=$M74),1,"")</f>
        <v/>
      </c>
      <c r="AI74">
        <f>IF(AND($A74&lt;&gt;"",AI$3&gt;=$J74,AI$3&lt;=$M74),1,"")</f>
        <v/>
      </c>
      <c r="AJ74">
        <f>IF(AND($A74&lt;&gt;"",AJ$3&gt;=$J74,AJ$3&lt;=$M74),1,"")</f>
        <v/>
      </c>
      <c r="AK74">
        <f>IF(AND($A74&lt;&gt;"",AK$3&gt;=$J74,AK$3&lt;=$M74),1,"")</f>
        <v/>
      </c>
      <c r="AL74">
        <f>IF(AND($A74&lt;&gt;"",AL$3&gt;=$J74,AL$3&lt;=$M74),1,"")</f>
        <v/>
      </c>
      <c r="AM74">
        <f>IF(AND($A74&lt;&gt;"",AM$3&gt;=$J74,AM$3&lt;=$M74),1,"")</f>
        <v/>
      </c>
      <c r="AN74">
        <f>IF(AND($A74&lt;&gt;"",AN$3&gt;=$J74,AN$3&lt;=$M74),1,"")</f>
        <v/>
      </c>
      <c r="AO74">
        <f>IF(AND($A74&lt;&gt;"",AO$3&gt;=$J74,AO$3&lt;=$M74),1,"")</f>
        <v/>
      </c>
      <c r="AP74">
        <f>IF(AND($A74&lt;&gt;"",AP$3&gt;=$J74,AP$3&lt;=$M74),1,"")</f>
        <v/>
      </c>
      <c r="AQ74">
        <f>IF(AND($A74&lt;&gt;"",AQ$3&gt;=$J74,AQ$3&lt;=$M74),1,"")</f>
        <v/>
      </c>
      <c r="AR74">
        <f>IF(AND($A74&lt;&gt;"",AR$3&gt;=$J74,AR$3&lt;=$M74),1,"")</f>
        <v/>
      </c>
      <c r="AS74">
        <f>IF(AND($A74&lt;&gt;"",AS$3&gt;=$J74,AS$3&lt;=$M74),1,"")</f>
        <v/>
      </c>
      <c r="AT74">
        <f>IF(AND($A74&lt;&gt;"",AT$3&gt;=$J74,AT$3&lt;=$M74),1,"")</f>
        <v/>
      </c>
      <c r="AU74">
        <f>IF(AND($A74&lt;&gt;"",AU$3&gt;=$J74,AU$3&lt;=$M74),1,"")</f>
        <v/>
      </c>
      <c r="AV74">
        <f>IF(AND($A74&lt;&gt;"",AV$3&gt;=$J74,AV$3&lt;=$M74),1,"")</f>
        <v/>
      </c>
      <c r="AW74">
        <f>IF(AND($A74&lt;&gt;"",AW$3&gt;=$J74,AW$3&lt;=$M74),1,"")</f>
        <v/>
      </c>
      <c r="AX74">
        <f>IF(AND($A74&lt;&gt;"",AX$3&gt;=$J74,AX$3&lt;=$M74),1,"")</f>
        <v/>
      </c>
      <c r="AY74">
        <f>IF(AND($A74&lt;&gt;"",AY$3&gt;=$J74,AY$3&lt;=$M74),1,"")</f>
        <v/>
      </c>
      <c r="AZ74">
        <f>IF(AND($A74&lt;&gt;"",AZ$3&gt;=$J74,AZ$3&lt;=$M74),1,"")</f>
        <v/>
      </c>
      <c r="BA74">
        <f>IF(AND($A74&lt;&gt;"",BA$3&gt;=$J74,BA$3&lt;=$M74),1,"")</f>
        <v/>
      </c>
      <c r="BB74">
        <f>IF(AND($A74&lt;&gt;"",BB$3&gt;=$J74,BB$3&lt;=$M74),1,"")</f>
        <v/>
      </c>
      <c r="BC74">
        <f>IF(AND($A74&lt;&gt;"",BC$3&gt;=$J74,BC$3&lt;=$M74),1,"")</f>
        <v/>
      </c>
      <c r="BD74">
        <f>IF(AND($A74&lt;&gt;"",BD$3&gt;=$J74,BD$3&lt;=$M74),1,"")</f>
        <v/>
      </c>
      <c r="BE74">
        <f>IF(AND($A74&lt;&gt;"",BE$3&gt;=$J74,BE$3&lt;=$M74),1,"")</f>
        <v/>
      </c>
      <c r="BF74">
        <f>IF(AND($A74&lt;&gt;"",BF$3&gt;=$J74,BF$3&lt;=$M74),1,"")</f>
        <v/>
      </c>
      <c r="BG74">
        <f>IF(AND($A74&lt;&gt;"",BG$3&gt;=$J74,BG$3&lt;=$M74),1,"")</f>
        <v/>
      </c>
      <c r="BH74">
        <f>IF(AND($A74&lt;&gt;"",BH$3&gt;=$J74,BH$3&lt;=$M74),1,"")</f>
        <v/>
      </c>
      <c r="BI74">
        <f>IF(AND($A74&lt;&gt;"",BI$3&gt;=$J74,BI$3&lt;=$M74),1,"")</f>
        <v/>
      </c>
      <c r="BJ74">
        <f>IF(AND($A74&lt;&gt;"",BJ$3&gt;=$J74,BJ$3&lt;=$M74),1,"")</f>
        <v/>
      </c>
      <c r="BK74">
        <f>IF(AND($A74&lt;&gt;"",BK$3&gt;=$J74,BK$3&lt;=$M74),1,"")</f>
        <v/>
      </c>
      <c r="BL74">
        <f>IF(AND($A74&lt;&gt;"",BL$3&gt;=$J74,BL$3&lt;=$M74),1,"")</f>
        <v/>
      </c>
      <c r="BM74">
        <f>IF(AND($A74&lt;&gt;"",BM$3&gt;=$J74,BM$3&lt;=$M74),1,"")</f>
        <v/>
      </c>
      <c r="BN74">
        <f>IF(AND($A74&lt;&gt;"",BN$3&gt;=$J74,BN$3&lt;=$M74),1,"")</f>
        <v/>
      </c>
      <c r="BO74">
        <f>IF(AND($A74&lt;&gt;"",BO$3&gt;=$J74,BO$3&lt;=$M74),1,"")</f>
        <v/>
      </c>
      <c r="BP74">
        <f>IF(AND($A74&lt;&gt;"",BP$3&gt;=$J74,BP$3&lt;=$M74),1,"")</f>
        <v/>
      </c>
      <c r="BQ74">
        <f>IF(AND($A74&lt;&gt;"",BQ$3&gt;=$J74,BQ$3&lt;=$M74),1,"")</f>
        <v/>
      </c>
      <c r="BR74">
        <f>IF(AND($A74&lt;&gt;"",BR$3&gt;=$J74,BR$3&lt;=$M74),1,"")</f>
        <v/>
      </c>
      <c r="BS74">
        <f>IF(AND($A74&lt;&gt;"",BS$3&gt;=$J74,BS$3&lt;=$M74),1,"")</f>
        <v/>
      </c>
      <c r="BT74">
        <f>IF(AND($A74&lt;&gt;"",BT$3&gt;=$J74,BT$3&lt;=$M74),1,"")</f>
        <v/>
      </c>
      <c r="BU74">
        <f>IF(AND($A74&lt;&gt;"",BU$3&gt;=$J74,BU$3&lt;=$M74),1,"")</f>
        <v/>
      </c>
      <c r="BV74">
        <f>IF(AND($A74&lt;&gt;"",BV$3&gt;=$J74,BV$3&lt;=$M74),1,"")</f>
        <v/>
      </c>
    </row>
    <row r="75">
      <c r="A75">
        <f>IF(Job_Master_Ring!$A75="","",Job_Master_Ring!$A75)</f>
        <v/>
      </c>
      <c r="B75">
        <f>IF($A75="","",Job_Master_Ring!B75)</f>
        <v/>
      </c>
      <c r="C75">
        <f>IF($A75="","",Job_Master_Ring!C75)</f>
        <v/>
      </c>
      <c r="D75">
        <f>IF($A75="","",Job_Master_Ring!D75)</f>
        <v/>
      </c>
      <c r="E75">
        <f>IF($A75="","",IF($I75&lt;&gt;"",$I75,IFERROR(INDEX(Machine_List!$B$87:$B$94,MATCH(1,(Machine_List!$H$87:$H$94&lt;=IFERROR(VLOOKUP($B75,CHOOSE(MATCH($C75,Settings!$L$4:$L$10,0),OPR_BR1!$A$4:$K$18,OPR_BR2!$A$4:$K$18,OPR_CR2!$A$4:$K$18,OPR_CR3!$A$4:$K$18,OPR_CR4!$A$4:$K$18,OPR_RIM!$A$4:$K$18,OPR_BPR!$A$4:$K$18),10,0),0))*(Machine_List!$I$87:$I$94&gt;=IFERROR(VLOOKUP($B75,CHOOSE(MATCH($C75,Settings!$L$4:$L$10,0),OPR_BR1!$A$4:$K$18,OPR_BR2!$A$4:$K$18,OPR_CR2!$A$4:$K$18,OPR_CR3!$A$4:$K$18,OPR_CR4!$A$4:$K$18,OPR_RIM!$A$4:$K$18,OPR_BPR!$A$4:$K$18),11,0),9999)),0)),"NO COMPATIBLE MACHINE")))</f>
        <v/>
      </c>
      <c r="F75">
        <f>IF($E75="","",IFERROR(VLOOKUP($E75,Machine_List!$B:$G,6,0),""))</f>
        <v/>
      </c>
      <c r="G75" s="17">
        <f>IF($E75="","",IFERROR(VLOOKUP($E75,Machine_List!$B:$C,2,0),""))</f>
        <v/>
      </c>
      <c r="H75">
        <f>IF($E75="","",IFERROR(VLOOKUP($E75,Machine_List!$B:$D,3,0),""))</f>
        <v/>
      </c>
      <c r="J75" s="16">
        <f>IF($A75="","",IF($I75&lt;&gt;"",$I75,MAX(GlobalStartDate,IFERROR(LOOKUP(2,1/($E$3:INDIRECT("E"&amp;(ROW()-1))=$E75),$M$3:INDIRECT("M"&amp;(ROW()-1))),GlobalStartDate))))</f>
        <v/>
      </c>
      <c r="K75">
        <f>IF($A75="","",IFERROR(VLOOKUP(B75,CHOOSE(MATCH($C75,Settings!$L$4:$L$10,0),OPR_BR1!$A$4:$I$18,OPR_BR2!$A$4:$I$18,OPR_CR2!$A$4:$I$18,OPR_CR3!$A$4:$I$18,OPR_CR4!$A$4:$I$18,OPR_RIM!$A$4:$I$18,OPR_BPR!$A$4:$I$18),2,0),0))</f>
        <v/>
      </c>
      <c r="L75">
        <f>IF($A75="","",K75*D75)</f>
        <v/>
      </c>
      <c r="M75" s="16">
        <f>IF($A75="","",IF(AND(ISNUMBER(G75),G75&gt;=J75,G75&lt;=(J75+(L75/(IF(F75="Contract Workman",Settings!$K$5,Settings!$K$4))))),J75+(L75/(IF(F75="Contract Workman",Settings!$K$5,Settings!$K$4)))+(H75/(IF(F75="Contract Workman",Settings!$K$5,Settings!$K$4))),J75+(L75/(IF(F75="Contract Workman",Settings!$K$5,Settings!$K$4)))))</f>
        <v/>
      </c>
      <c r="N75">
        <f>IF($A75="","",IF(F75="Contract Workman",IF(AND(MOD(M75,1)&gt;=8/24,MOD(M75,1)&lt;20/24),"Shift S1","Shift S2"),IF(AND(MOD(M75,1)&gt;=7/24,MOD(M75,1)&lt;15/24),"Shift A",IF(AND(MOD(M75,1)&gt;=15/24,MOD(M75,1)&lt;23/24),"Shift B","Shift C"))))</f>
        <v/>
      </c>
      <c r="O75">
        <f>IF(B75="","",IF(IFERROR(ISNUMBER(SEARCH(TEXT(B75,"0"),VLOOKUP(E75,Machine_List!$B:$J,9,0))),FALSE),"✅ "&amp;E75,"❌ ?"))</f>
        <v/>
      </c>
      <c r="P75">
        <f>IF(AND($A75&lt;&gt;"",P$3&gt;=$J75,P$3&lt;=$M75),1,"")</f>
        <v/>
      </c>
      <c r="Q75">
        <f>IF(AND($A75&lt;&gt;"",Q$3&gt;=$J75,Q$3&lt;=$M75),1,"")</f>
        <v/>
      </c>
      <c r="R75">
        <f>IF(AND($A75&lt;&gt;"",R$3&gt;=$J75,R$3&lt;=$M75),1,"")</f>
        <v/>
      </c>
      <c r="S75">
        <f>IF(AND($A75&lt;&gt;"",S$3&gt;=$J75,S$3&lt;=$M75),1,"")</f>
        <v/>
      </c>
      <c r="T75">
        <f>IF(AND($A75&lt;&gt;"",T$3&gt;=$J75,T$3&lt;=$M75),1,"")</f>
        <v/>
      </c>
      <c r="U75">
        <f>IF(AND($A75&lt;&gt;"",U$3&gt;=$J75,U$3&lt;=$M75),1,"")</f>
        <v/>
      </c>
      <c r="V75">
        <f>IF(AND($A75&lt;&gt;"",V$3&gt;=$J75,V$3&lt;=$M75),1,"")</f>
        <v/>
      </c>
      <c r="W75">
        <f>IF(AND($A75&lt;&gt;"",W$3&gt;=$J75,W$3&lt;=$M75),1,"")</f>
        <v/>
      </c>
      <c r="X75">
        <f>IF(AND($A75&lt;&gt;"",X$3&gt;=$J75,X$3&lt;=$M75),1,"")</f>
        <v/>
      </c>
      <c r="Y75">
        <f>IF(AND($A75&lt;&gt;"",Y$3&gt;=$J75,Y$3&lt;=$M75),1,"")</f>
        <v/>
      </c>
      <c r="Z75">
        <f>IF(AND($A75&lt;&gt;"",Z$3&gt;=$J75,Z$3&lt;=$M75),1,"")</f>
        <v/>
      </c>
      <c r="AA75">
        <f>IF(AND($A75&lt;&gt;"",AA$3&gt;=$J75,AA$3&lt;=$M75),1,"")</f>
        <v/>
      </c>
      <c r="AB75">
        <f>IF(AND($A75&lt;&gt;"",AB$3&gt;=$J75,AB$3&lt;=$M75),1,"")</f>
        <v/>
      </c>
      <c r="AC75">
        <f>IF(AND($A75&lt;&gt;"",AC$3&gt;=$J75,AC$3&lt;=$M75),1,"")</f>
        <v/>
      </c>
      <c r="AD75">
        <f>IF(AND($A75&lt;&gt;"",AD$3&gt;=$J75,AD$3&lt;=$M75),1,"")</f>
        <v/>
      </c>
      <c r="AE75">
        <f>IF(AND($A75&lt;&gt;"",AE$3&gt;=$J75,AE$3&lt;=$M75),1,"")</f>
        <v/>
      </c>
      <c r="AF75">
        <f>IF(AND($A75&lt;&gt;"",AF$3&gt;=$J75,AF$3&lt;=$M75),1,"")</f>
        <v/>
      </c>
      <c r="AG75">
        <f>IF(AND($A75&lt;&gt;"",AG$3&gt;=$J75,AG$3&lt;=$M75),1,"")</f>
        <v/>
      </c>
      <c r="AH75">
        <f>IF(AND($A75&lt;&gt;"",AH$3&gt;=$J75,AH$3&lt;=$M75),1,"")</f>
        <v/>
      </c>
      <c r="AI75">
        <f>IF(AND($A75&lt;&gt;"",AI$3&gt;=$J75,AI$3&lt;=$M75),1,"")</f>
        <v/>
      </c>
      <c r="AJ75">
        <f>IF(AND($A75&lt;&gt;"",AJ$3&gt;=$J75,AJ$3&lt;=$M75),1,"")</f>
        <v/>
      </c>
      <c r="AK75">
        <f>IF(AND($A75&lt;&gt;"",AK$3&gt;=$J75,AK$3&lt;=$M75),1,"")</f>
        <v/>
      </c>
      <c r="AL75">
        <f>IF(AND($A75&lt;&gt;"",AL$3&gt;=$J75,AL$3&lt;=$M75),1,"")</f>
        <v/>
      </c>
      <c r="AM75">
        <f>IF(AND($A75&lt;&gt;"",AM$3&gt;=$J75,AM$3&lt;=$M75),1,"")</f>
        <v/>
      </c>
      <c r="AN75">
        <f>IF(AND($A75&lt;&gt;"",AN$3&gt;=$J75,AN$3&lt;=$M75),1,"")</f>
        <v/>
      </c>
      <c r="AO75">
        <f>IF(AND($A75&lt;&gt;"",AO$3&gt;=$J75,AO$3&lt;=$M75),1,"")</f>
        <v/>
      </c>
      <c r="AP75">
        <f>IF(AND($A75&lt;&gt;"",AP$3&gt;=$J75,AP$3&lt;=$M75),1,"")</f>
        <v/>
      </c>
      <c r="AQ75">
        <f>IF(AND($A75&lt;&gt;"",AQ$3&gt;=$J75,AQ$3&lt;=$M75),1,"")</f>
        <v/>
      </c>
      <c r="AR75">
        <f>IF(AND($A75&lt;&gt;"",AR$3&gt;=$J75,AR$3&lt;=$M75),1,"")</f>
        <v/>
      </c>
      <c r="AS75">
        <f>IF(AND($A75&lt;&gt;"",AS$3&gt;=$J75,AS$3&lt;=$M75),1,"")</f>
        <v/>
      </c>
      <c r="AT75">
        <f>IF(AND($A75&lt;&gt;"",AT$3&gt;=$J75,AT$3&lt;=$M75),1,"")</f>
        <v/>
      </c>
      <c r="AU75">
        <f>IF(AND($A75&lt;&gt;"",AU$3&gt;=$J75,AU$3&lt;=$M75),1,"")</f>
        <v/>
      </c>
      <c r="AV75">
        <f>IF(AND($A75&lt;&gt;"",AV$3&gt;=$J75,AV$3&lt;=$M75),1,"")</f>
        <v/>
      </c>
      <c r="AW75">
        <f>IF(AND($A75&lt;&gt;"",AW$3&gt;=$J75,AW$3&lt;=$M75),1,"")</f>
        <v/>
      </c>
      <c r="AX75">
        <f>IF(AND($A75&lt;&gt;"",AX$3&gt;=$J75,AX$3&lt;=$M75),1,"")</f>
        <v/>
      </c>
      <c r="AY75">
        <f>IF(AND($A75&lt;&gt;"",AY$3&gt;=$J75,AY$3&lt;=$M75),1,"")</f>
        <v/>
      </c>
      <c r="AZ75">
        <f>IF(AND($A75&lt;&gt;"",AZ$3&gt;=$J75,AZ$3&lt;=$M75),1,"")</f>
        <v/>
      </c>
      <c r="BA75">
        <f>IF(AND($A75&lt;&gt;"",BA$3&gt;=$J75,BA$3&lt;=$M75),1,"")</f>
        <v/>
      </c>
      <c r="BB75">
        <f>IF(AND($A75&lt;&gt;"",BB$3&gt;=$J75,BB$3&lt;=$M75),1,"")</f>
        <v/>
      </c>
      <c r="BC75">
        <f>IF(AND($A75&lt;&gt;"",BC$3&gt;=$J75,BC$3&lt;=$M75),1,"")</f>
        <v/>
      </c>
      <c r="BD75">
        <f>IF(AND($A75&lt;&gt;"",BD$3&gt;=$J75,BD$3&lt;=$M75),1,"")</f>
        <v/>
      </c>
      <c r="BE75">
        <f>IF(AND($A75&lt;&gt;"",BE$3&gt;=$J75,BE$3&lt;=$M75),1,"")</f>
        <v/>
      </c>
      <c r="BF75">
        <f>IF(AND($A75&lt;&gt;"",BF$3&gt;=$J75,BF$3&lt;=$M75),1,"")</f>
        <v/>
      </c>
      <c r="BG75">
        <f>IF(AND($A75&lt;&gt;"",BG$3&gt;=$J75,BG$3&lt;=$M75),1,"")</f>
        <v/>
      </c>
      <c r="BH75">
        <f>IF(AND($A75&lt;&gt;"",BH$3&gt;=$J75,BH$3&lt;=$M75),1,"")</f>
        <v/>
      </c>
      <c r="BI75">
        <f>IF(AND($A75&lt;&gt;"",BI$3&gt;=$J75,BI$3&lt;=$M75),1,"")</f>
        <v/>
      </c>
      <c r="BJ75">
        <f>IF(AND($A75&lt;&gt;"",BJ$3&gt;=$J75,BJ$3&lt;=$M75),1,"")</f>
        <v/>
      </c>
      <c r="BK75">
        <f>IF(AND($A75&lt;&gt;"",BK$3&gt;=$J75,BK$3&lt;=$M75),1,"")</f>
        <v/>
      </c>
      <c r="BL75">
        <f>IF(AND($A75&lt;&gt;"",BL$3&gt;=$J75,BL$3&lt;=$M75),1,"")</f>
        <v/>
      </c>
      <c r="BM75">
        <f>IF(AND($A75&lt;&gt;"",BM$3&gt;=$J75,BM$3&lt;=$M75),1,"")</f>
        <v/>
      </c>
      <c r="BN75">
        <f>IF(AND($A75&lt;&gt;"",BN$3&gt;=$J75,BN$3&lt;=$M75),1,"")</f>
        <v/>
      </c>
      <c r="BO75">
        <f>IF(AND($A75&lt;&gt;"",BO$3&gt;=$J75,BO$3&lt;=$M75),1,"")</f>
        <v/>
      </c>
      <c r="BP75">
        <f>IF(AND($A75&lt;&gt;"",BP$3&gt;=$J75,BP$3&lt;=$M75),1,"")</f>
        <v/>
      </c>
      <c r="BQ75">
        <f>IF(AND($A75&lt;&gt;"",BQ$3&gt;=$J75,BQ$3&lt;=$M75),1,"")</f>
        <v/>
      </c>
      <c r="BR75">
        <f>IF(AND($A75&lt;&gt;"",BR$3&gt;=$J75,BR$3&lt;=$M75),1,"")</f>
        <v/>
      </c>
      <c r="BS75">
        <f>IF(AND($A75&lt;&gt;"",BS$3&gt;=$J75,BS$3&lt;=$M75),1,"")</f>
        <v/>
      </c>
      <c r="BT75">
        <f>IF(AND($A75&lt;&gt;"",BT$3&gt;=$J75,BT$3&lt;=$M75),1,"")</f>
        <v/>
      </c>
      <c r="BU75">
        <f>IF(AND($A75&lt;&gt;"",BU$3&gt;=$J75,BU$3&lt;=$M75),1,"")</f>
        <v/>
      </c>
      <c r="BV75">
        <f>IF(AND($A75&lt;&gt;"",BV$3&gt;=$J75,BV$3&lt;=$M75),1,"")</f>
        <v/>
      </c>
    </row>
    <row r="76">
      <c r="A76">
        <f>IF(Job_Master_Ring!$A76="","",Job_Master_Ring!$A76)</f>
        <v/>
      </c>
      <c r="B76">
        <f>IF($A76="","",Job_Master_Ring!B76)</f>
        <v/>
      </c>
      <c r="C76">
        <f>IF($A76="","",Job_Master_Ring!C76)</f>
        <v/>
      </c>
      <c r="D76">
        <f>IF($A76="","",Job_Master_Ring!D76)</f>
        <v/>
      </c>
      <c r="E76">
        <f>IF($A76="","",IF($I76&lt;&gt;"",$I76,IFERROR(INDEX(Machine_List!$B$87:$B$94,MATCH(1,(Machine_List!$H$87:$H$94&lt;=IFERROR(VLOOKUP($B76,CHOOSE(MATCH($C76,Settings!$L$4:$L$10,0),OPR_BR1!$A$4:$K$18,OPR_BR2!$A$4:$K$18,OPR_CR2!$A$4:$K$18,OPR_CR3!$A$4:$K$18,OPR_CR4!$A$4:$K$18,OPR_RIM!$A$4:$K$18,OPR_BPR!$A$4:$K$18),10,0),0))*(Machine_List!$I$87:$I$94&gt;=IFERROR(VLOOKUP($B76,CHOOSE(MATCH($C76,Settings!$L$4:$L$10,0),OPR_BR1!$A$4:$K$18,OPR_BR2!$A$4:$K$18,OPR_CR2!$A$4:$K$18,OPR_CR3!$A$4:$K$18,OPR_CR4!$A$4:$K$18,OPR_RIM!$A$4:$K$18,OPR_BPR!$A$4:$K$18),11,0),9999)),0)),"NO COMPATIBLE MACHINE")))</f>
        <v/>
      </c>
      <c r="F76">
        <f>IF($E76="","",IFERROR(VLOOKUP($E76,Machine_List!$B:$G,6,0),""))</f>
        <v/>
      </c>
      <c r="G76" s="17">
        <f>IF($E76="","",IFERROR(VLOOKUP($E76,Machine_List!$B:$C,2,0),""))</f>
        <v/>
      </c>
      <c r="H76">
        <f>IF($E76="","",IFERROR(VLOOKUP($E76,Machine_List!$B:$D,3,0),""))</f>
        <v/>
      </c>
      <c r="J76" s="16">
        <f>IF($A76="","",IF($I76&lt;&gt;"",$I76,MAX(GlobalStartDate,IFERROR(LOOKUP(2,1/($E$3:INDIRECT("E"&amp;(ROW()-1))=$E76),$M$3:INDIRECT("M"&amp;(ROW()-1))),GlobalStartDate))))</f>
        <v/>
      </c>
      <c r="K76">
        <f>IF($A76="","",IFERROR(VLOOKUP(B76,CHOOSE(MATCH($C76,Settings!$L$4:$L$10,0),OPR_BR1!$A$4:$I$18,OPR_BR2!$A$4:$I$18,OPR_CR2!$A$4:$I$18,OPR_CR3!$A$4:$I$18,OPR_CR4!$A$4:$I$18,OPR_RIM!$A$4:$I$18,OPR_BPR!$A$4:$I$18),2,0),0))</f>
        <v/>
      </c>
      <c r="L76">
        <f>IF($A76="","",K76*D76)</f>
        <v/>
      </c>
      <c r="M76" s="16">
        <f>IF($A76="","",IF(AND(ISNUMBER(G76),G76&gt;=J76,G76&lt;=(J76+(L76/(IF(F76="Contract Workman",Settings!$K$5,Settings!$K$4))))),J76+(L76/(IF(F76="Contract Workman",Settings!$K$5,Settings!$K$4)))+(H76/(IF(F76="Contract Workman",Settings!$K$5,Settings!$K$4))),J76+(L76/(IF(F76="Contract Workman",Settings!$K$5,Settings!$K$4)))))</f>
        <v/>
      </c>
      <c r="N76">
        <f>IF($A76="","",IF(F76="Contract Workman",IF(AND(MOD(M76,1)&gt;=8/24,MOD(M76,1)&lt;20/24),"Shift S1","Shift S2"),IF(AND(MOD(M76,1)&gt;=7/24,MOD(M76,1)&lt;15/24),"Shift A",IF(AND(MOD(M76,1)&gt;=15/24,MOD(M76,1)&lt;23/24),"Shift B","Shift C"))))</f>
        <v/>
      </c>
      <c r="O76">
        <f>IF(B76="","",IF(IFERROR(ISNUMBER(SEARCH(TEXT(B76,"0"),VLOOKUP(E76,Machine_List!$B:$J,9,0))),FALSE),"✅ "&amp;E76,"❌ ?"))</f>
        <v/>
      </c>
      <c r="P76">
        <f>IF(AND($A76&lt;&gt;"",P$3&gt;=$J76,P$3&lt;=$M76),1,"")</f>
        <v/>
      </c>
      <c r="Q76">
        <f>IF(AND($A76&lt;&gt;"",Q$3&gt;=$J76,Q$3&lt;=$M76),1,"")</f>
        <v/>
      </c>
      <c r="R76">
        <f>IF(AND($A76&lt;&gt;"",R$3&gt;=$J76,R$3&lt;=$M76),1,"")</f>
        <v/>
      </c>
      <c r="S76">
        <f>IF(AND($A76&lt;&gt;"",S$3&gt;=$J76,S$3&lt;=$M76),1,"")</f>
        <v/>
      </c>
      <c r="T76">
        <f>IF(AND($A76&lt;&gt;"",T$3&gt;=$J76,T$3&lt;=$M76),1,"")</f>
        <v/>
      </c>
      <c r="U76">
        <f>IF(AND($A76&lt;&gt;"",U$3&gt;=$J76,U$3&lt;=$M76),1,"")</f>
        <v/>
      </c>
      <c r="V76">
        <f>IF(AND($A76&lt;&gt;"",V$3&gt;=$J76,V$3&lt;=$M76),1,"")</f>
        <v/>
      </c>
      <c r="W76">
        <f>IF(AND($A76&lt;&gt;"",W$3&gt;=$J76,W$3&lt;=$M76),1,"")</f>
        <v/>
      </c>
      <c r="X76">
        <f>IF(AND($A76&lt;&gt;"",X$3&gt;=$J76,X$3&lt;=$M76),1,"")</f>
        <v/>
      </c>
      <c r="Y76">
        <f>IF(AND($A76&lt;&gt;"",Y$3&gt;=$J76,Y$3&lt;=$M76),1,"")</f>
        <v/>
      </c>
      <c r="Z76">
        <f>IF(AND($A76&lt;&gt;"",Z$3&gt;=$J76,Z$3&lt;=$M76),1,"")</f>
        <v/>
      </c>
      <c r="AA76">
        <f>IF(AND($A76&lt;&gt;"",AA$3&gt;=$J76,AA$3&lt;=$M76),1,"")</f>
        <v/>
      </c>
      <c r="AB76">
        <f>IF(AND($A76&lt;&gt;"",AB$3&gt;=$J76,AB$3&lt;=$M76),1,"")</f>
        <v/>
      </c>
      <c r="AC76">
        <f>IF(AND($A76&lt;&gt;"",AC$3&gt;=$J76,AC$3&lt;=$M76),1,"")</f>
        <v/>
      </c>
      <c r="AD76">
        <f>IF(AND($A76&lt;&gt;"",AD$3&gt;=$J76,AD$3&lt;=$M76),1,"")</f>
        <v/>
      </c>
      <c r="AE76">
        <f>IF(AND($A76&lt;&gt;"",AE$3&gt;=$J76,AE$3&lt;=$M76),1,"")</f>
        <v/>
      </c>
      <c r="AF76">
        <f>IF(AND($A76&lt;&gt;"",AF$3&gt;=$J76,AF$3&lt;=$M76),1,"")</f>
        <v/>
      </c>
      <c r="AG76">
        <f>IF(AND($A76&lt;&gt;"",AG$3&gt;=$J76,AG$3&lt;=$M76),1,"")</f>
        <v/>
      </c>
      <c r="AH76">
        <f>IF(AND($A76&lt;&gt;"",AH$3&gt;=$J76,AH$3&lt;=$M76),1,"")</f>
        <v/>
      </c>
      <c r="AI76">
        <f>IF(AND($A76&lt;&gt;"",AI$3&gt;=$J76,AI$3&lt;=$M76),1,"")</f>
        <v/>
      </c>
      <c r="AJ76">
        <f>IF(AND($A76&lt;&gt;"",AJ$3&gt;=$J76,AJ$3&lt;=$M76),1,"")</f>
        <v/>
      </c>
      <c r="AK76">
        <f>IF(AND($A76&lt;&gt;"",AK$3&gt;=$J76,AK$3&lt;=$M76),1,"")</f>
        <v/>
      </c>
      <c r="AL76">
        <f>IF(AND($A76&lt;&gt;"",AL$3&gt;=$J76,AL$3&lt;=$M76),1,"")</f>
        <v/>
      </c>
      <c r="AM76">
        <f>IF(AND($A76&lt;&gt;"",AM$3&gt;=$J76,AM$3&lt;=$M76),1,"")</f>
        <v/>
      </c>
      <c r="AN76">
        <f>IF(AND($A76&lt;&gt;"",AN$3&gt;=$J76,AN$3&lt;=$M76),1,"")</f>
        <v/>
      </c>
      <c r="AO76">
        <f>IF(AND($A76&lt;&gt;"",AO$3&gt;=$J76,AO$3&lt;=$M76),1,"")</f>
        <v/>
      </c>
      <c r="AP76">
        <f>IF(AND($A76&lt;&gt;"",AP$3&gt;=$J76,AP$3&lt;=$M76),1,"")</f>
        <v/>
      </c>
      <c r="AQ76">
        <f>IF(AND($A76&lt;&gt;"",AQ$3&gt;=$J76,AQ$3&lt;=$M76),1,"")</f>
        <v/>
      </c>
      <c r="AR76">
        <f>IF(AND($A76&lt;&gt;"",AR$3&gt;=$J76,AR$3&lt;=$M76),1,"")</f>
        <v/>
      </c>
      <c r="AS76">
        <f>IF(AND($A76&lt;&gt;"",AS$3&gt;=$J76,AS$3&lt;=$M76),1,"")</f>
        <v/>
      </c>
      <c r="AT76">
        <f>IF(AND($A76&lt;&gt;"",AT$3&gt;=$J76,AT$3&lt;=$M76),1,"")</f>
        <v/>
      </c>
      <c r="AU76">
        <f>IF(AND($A76&lt;&gt;"",AU$3&gt;=$J76,AU$3&lt;=$M76),1,"")</f>
        <v/>
      </c>
      <c r="AV76">
        <f>IF(AND($A76&lt;&gt;"",AV$3&gt;=$J76,AV$3&lt;=$M76),1,"")</f>
        <v/>
      </c>
      <c r="AW76">
        <f>IF(AND($A76&lt;&gt;"",AW$3&gt;=$J76,AW$3&lt;=$M76),1,"")</f>
        <v/>
      </c>
      <c r="AX76">
        <f>IF(AND($A76&lt;&gt;"",AX$3&gt;=$J76,AX$3&lt;=$M76),1,"")</f>
        <v/>
      </c>
      <c r="AY76">
        <f>IF(AND($A76&lt;&gt;"",AY$3&gt;=$J76,AY$3&lt;=$M76),1,"")</f>
        <v/>
      </c>
      <c r="AZ76">
        <f>IF(AND($A76&lt;&gt;"",AZ$3&gt;=$J76,AZ$3&lt;=$M76),1,"")</f>
        <v/>
      </c>
      <c r="BA76">
        <f>IF(AND($A76&lt;&gt;"",BA$3&gt;=$J76,BA$3&lt;=$M76),1,"")</f>
        <v/>
      </c>
      <c r="BB76">
        <f>IF(AND($A76&lt;&gt;"",BB$3&gt;=$J76,BB$3&lt;=$M76),1,"")</f>
        <v/>
      </c>
      <c r="BC76">
        <f>IF(AND($A76&lt;&gt;"",BC$3&gt;=$J76,BC$3&lt;=$M76),1,"")</f>
        <v/>
      </c>
      <c r="BD76">
        <f>IF(AND($A76&lt;&gt;"",BD$3&gt;=$J76,BD$3&lt;=$M76),1,"")</f>
        <v/>
      </c>
      <c r="BE76">
        <f>IF(AND($A76&lt;&gt;"",BE$3&gt;=$J76,BE$3&lt;=$M76),1,"")</f>
        <v/>
      </c>
      <c r="BF76">
        <f>IF(AND($A76&lt;&gt;"",BF$3&gt;=$J76,BF$3&lt;=$M76),1,"")</f>
        <v/>
      </c>
      <c r="BG76">
        <f>IF(AND($A76&lt;&gt;"",BG$3&gt;=$J76,BG$3&lt;=$M76),1,"")</f>
        <v/>
      </c>
      <c r="BH76">
        <f>IF(AND($A76&lt;&gt;"",BH$3&gt;=$J76,BH$3&lt;=$M76),1,"")</f>
        <v/>
      </c>
      <c r="BI76">
        <f>IF(AND($A76&lt;&gt;"",BI$3&gt;=$J76,BI$3&lt;=$M76),1,"")</f>
        <v/>
      </c>
      <c r="BJ76">
        <f>IF(AND($A76&lt;&gt;"",BJ$3&gt;=$J76,BJ$3&lt;=$M76),1,"")</f>
        <v/>
      </c>
      <c r="BK76">
        <f>IF(AND($A76&lt;&gt;"",BK$3&gt;=$J76,BK$3&lt;=$M76),1,"")</f>
        <v/>
      </c>
      <c r="BL76">
        <f>IF(AND($A76&lt;&gt;"",BL$3&gt;=$J76,BL$3&lt;=$M76),1,"")</f>
        <v/>
      </c>
      <c r="BM76">
        <f>IF(AND($A76&lt;&gt;"",BM$3&gt;=$J76,BM$3&lt;=$M76),1,"")</f>
        <v/>
      </c>
      <c r="BN76">
        <f>IF(AND($A76&lt;&gt;"",BN$3&gt;=$J76,BN$3&lt;=$M76),1,"")</f>
        <v/>
      </c>
      <c r="BO76">
        <f>IF(AND($A76&lt;&gt;"",BO$3&gt;=$J76,BO$3&lt;=$M76),1,"")</f>
        <v/>
      </c>
      <c r="BP76">
        <f>IF(AND($A76&lt;&gt;"",BP$3&gt;=$J76,BP$3&lt;=$M76),1,"")</f>
        <v/>
      </c>
      <c r="BQ76">
        <f>IF(AND($A76&lt;&gt;"",BQ$3&gt;=$J76,BQ$3&lt;=$M76),1,"")</f>
        <v/>
      </c>
      <c r="BR76">
        <f>IF(AND($A76&lt;&gt;"",BR$3&gt;=$J76,BR$3&lt;=$M76),1,"")</f>
        <v/>
      </c>
      <c r="BS76">
        <f>IF(AND($A76&lt;&gt;"",BS$3&gt;=$J76,BS$3&lt;=$M76),1,"")</f>
        <v/>
      </c>
      <c r="BT76">
        <f>IF(AND($A76&lt;&gt;"",BT$3&gt;=$J76,BT$3&lt;=$M76),1,"")</f>
        <v/>
      </c>
      <c r="BU76">
        <f>IF(AND($A76&lt;&gt;"",BU$3&gt;=$J76,BU$3&lt;=$M76),1,"")</f>
        <v/>
      </c>
      <c r="BV76">
        <f>IF(AND($A76&lt;&gt;"",BV$3&gt;=$J76,BV$3&lt;=$M76),1,"")</f>
        <v/>
      </c>
    </row>
    <row r="77">
      <c r="A77">
        <f>IF(Job_Master_Ring!$A77="","",Job_Master_Ring!$A77)</f>
        <v/>
      </c>
      <c r="B77">
        <f>IF($A77="","",Job_Master_Ring!B77)</f>
        <v/>
      </c>
      <c r="C77">
        <f>IF($A77="","",Job_Master_Ring!C77)</f>
        <v/>
      </c>
      <c r="D77">
        <f>IF($A77="","",Job_Master_Ring!D77)</f>
        <v/>
      </c>
      <c r="E77">
        <f>IF($A77="","",IF($I77&lt;&gt;"",$I77,IFERROR(INDEX(Machine_List!$B$87:$B$94,MATCH(1,(Machine_List!$H$87:$H$94&lt;=IFERROR(VLOOKUP($B77,CHOOSE(MATCH($C77,Settings!$L$4:$L$10,0),OPR_BR1!$A$4:$K$18,OPR_BR2!$A$4:$K$18,OPR_CR2!$A$4:$K$18,OPR_CR3!$A$4:$K$18,OPR_CR4!$A$4:$K$18,OPR_RIM!$A$4:$K$18,OPR_BPR!$A$4:$K$18),10,0),0))*(Machine_List!$I$87:$I$94&gt;=IFERROR(VLOOKUP($B77,CHOOSE(MATCH($C77,Settings!$L$4:$L$10,0),OPR_BR1!$A$4:$K$18,OPR_BR2!$A$4:$K$18,OPR_CR2!$A$4:$K$18,OPR_CR3!$A$4:$K$18,OPR_CR4!$A$4:$K$18,OPR_RIM!$A$4:$K$18,OPR_BPR!$A$4:$K$18),11,0),9999)),0)),"NO COMPATIBLE MACHINE")))</f>
        <v/>
      </c>
      <c r="F77">
        <f>IF($E77="","",IFERROR(VLOOKUP($E77,Machine_List!$B:$G,6,0),""))</f>
        <v/>
      </c>
      <c r="G77" s="17">
        <f>IF($E77="","",IFERROR(VLOOKUP($E77,Machine_List!$B:$C,2,0),""))</f>
        <v/>
      </c>
      <c r="H77">
        <f>IF($E77="","",IFERROR(VLOOKUP($E77,Machine_List!$B:$D,3,0),""))</f>
        <v/>
      </c>
      <c r="J77" s="16">
        <f>IF($A77="","",IF($I77&lt;&gt;"",$I77,MAX(GlobalStartDate,IFERROR(LOOKUP(2,1/($E$3:INDIRECT("E"&amp;(ROW()-1))=$E77),$M$3:INDIRECT("M"&amp;(ROW()-1))),GlobalStartDate))))</f>
        <v/>
      </c>
      <c r="K77">
        <f>IF($A77="","",IFERROR(VLOOKUP(B77,CHOOSE(MATCH($C77,Settings!$L$4:$L$10,0),OPR_BR1!$A$4:$I$18,OPR_BR2!$A$4:$I$18,OPR_CR2!$A$4:$I$18,OPR_CR3!$A$4:$I$18,OPR_CR4!$A$4:$I$18,OPR_RIM!$A$4:$I$18,OPR_BPR!$A$4:$I$18),2,0),0))</f>
        <v/>
      </c>
      <c r="L77">
        <f>IF($A77="","",K77*D77)</f>
        <v/>
      </c>
      <c r="M77" s="16">
        <f>IF($A77="","",IF(AND(ISNUMBER(G77),G77&gt;=J77,G77&lt;=(J77+(L77/(IF(F77="Contract Workman",Settings!$K$5,Settings!$K$4))))),J77+(L77/(IF(F77="Contract Workman",Settings!$K$5,Settings!$K$4)))+(H77/(IF(F77="Contract Workman",Settings!$K$5,Settings!$K$4))),J77+(L77/(IF(F77="Contract Workman",Settings!$K$5,Settings!$K$4)))))</f>
        <v/>
      </c>
      <c r="N77">
        <f>IF($A77="","",IF(F77="Contract Workman",IF(AND(MOD(M77,1)&gt;=8/24,MOD(M77,1)&lt;20/24),"Shift S1","Shift S2"),IF(AND(MOD(M77,1)&gt;=7/24,MOD(M77,1)&lt;15/24),"Shift A",IF(AND(MOD(M77,1)&gt;=15/24,MOD(M77,1)&lt;23/24),"Shift B","Shift C"))))</f>
        <v/>
      </c>
      <c r="O77">
        <f>IF(B77="","",IF(IFERROR(ISNUMBER(SEARCH(TEXT(B77,"0"),VLOOKUP(E77,Machine_List!$B:$J,9,0))),FALSE),"✅ "&amp;E77,"❌ ?"))</f>
        <v/>
      </c>
      <c r="P77">
        <f>IF(AND($A77&lt;&gt;"",P$3&gt;=$J77,P$3&lt;=$M77),1,"")</f>
        <v/>
      </c>
      <c r="Q77">
        <f>IF(AND($A77&lt;&gt;"",Q$3&gt;=$J77,Q$3&lt;=$M77),1,"")</f>
        <v/>
      </c>
      <c r="R77">
        <f>IF(AND($A77&lt;&gt;"",R$3&gt;=$J77,R$3&lt;=$M77),1,"")</f>
        <v/>
      </c>
      <c r="S77">
        <f>IF(AND($A77&lt;&gt;"",S$3&gt;=$J77,S$3&lt;=$M77),1,"")</f>
        <v/>
      </c>
      <c r="T77">
        <f>IF(AND($A77&lt;&gt;"",T$3&gt;=$J77,T$3&lt;=$M77),1,"")</f>
        <v/>
      </c>
      <c r="U77">
        <f>IF(AND($A77&lt;&gt;"",U$3&gt;=$J77,U$3&lt;=$M77),1,"")</f>
        <v/>
      </c>
      <c r="V77">
        <f>IF(AND($A77&lt;&gt;"",V$3&gt;=$J77,V$3&lt;=$M77),1,"")</f>
        <v/>
      </c>
      <c r="W77">
        <f>IF(AND($A77&lt;&gt;"",W$3&gt;=$J77,W$3&lt;=$M77),1,"")</f>
        <v/>
      </c>
      <c r="X77">
        <f>IF(AND($A77&lt;&gt;"",X$3&gt;=$J77,X$3&lt;=$M77),1,"")</f>
        <v/>
      </c>
      <c r="Y77">
        <f>IF(AND($A77&lt;&gt;"",Y$3&gt;=$J77,Y$3&lt;=$M77),1,"")</f>
        <v/>
      </c>
      <c r="Z77">
        <f>IF(AND($A77&lt;&gt;"",Z$3&gt;=$J77,Z$3&lt;=$M77),1,"")</f>
        <v/>
      </c>
      <c r="AA77">
        <f>IF(AND($A77&lt;&gt;"",AA$3&gt;=$J77,AA$3&lt;=$M77),1,"")</f>
        <v/>
      </c>
      <c r="AB77">
        <f>IF(AND($A77&lt;&gt;"",AB$3&gt;=$J77,AB$3&lt;=$M77),1,"")</f>
        <v/>
      </c>
      <c r="AC77">
        <f>IF(AND($A77&lt;&gt;"",AC$3&gt;=$J77,AC$3&lt;=$M77),1,"")</f>
        <v/>
      </c>
      <c r="AD77">
        <f>IF(AND($A77&lt;&gt;"",AD$3&gt;=$J77,AD$3&lt;=$M77),1,"")</f>
        <v/>
      </c>
      <c r="AE77">
        <f>IF(AND($A77&lt;&gt;"",AE$3&gt;=$J77,AE$3&lt;=$M77),1,"")</f>
        <v/>
      </c>
      <c r="AF77">
        <f>IF(AND($A77&lt;&gt;"",AF$3&gt;=$J77,AF$3&lt;=$M77),1,"")</f>
        <v/>
      </c>
      <c r="AG77">
        <f>IF(AND($A77&lt;&gt;"",AG$3&gt;=$J77,AG$3&lt;=$M77),1,"")</f>
        <v/>
      </c>
      <c r="AH77">
        <f>IF(AND($A77&lt;&gt;"",AH$3&gt;=$J77,AH$3&lt;=$M77),1,"")</f>
        <v/>
      </c>
      <c r="AI77">
        <f>IF(AND($A77&lt;&gt;"",AI$3&gt;=$J77,AI$3&lt;=$M77),1,"")</f>
        <v/>
      </c>
      <c r="AJ77">
        <f>IF(AND($A77&lt;&gt;"",AJ$3&gt;=$J77,AJ$3&lt;=$M77),1,"")</f>
        <v/>
      </c>
      <c r="AK77">
        <f>IF(AND($A77&lt;&gt;"",AK$3&gt;=$J77,AK$3&lt;=$M77),1,"")</f>
        <v/>
      </c>
      <c r="AL77">
        <f>IF(AND($A77&lt;&gt;"",AL$3&gt;=$J77,AL$3&lt;=$M77),1,"")</f>
        <v/>
      </c>
      <c r="AM77">
        <f>IF(AND($A77&lt;&gt;"",AM$3&gt;=$J77,AM$3&lt;=$M77),1,"")</f>
        <v/>
      </c>
      <c r="AN77">
        <f>IF(AND($A77&lt;&gt;"",AN$3&gt;=$J77,AN$3&lt;=$M77),1,"")</f>
        <v/>
      </c>
      <c r="AO77">
        <f>IF(AND($A77&lt;&gt;"",AO$3&gt;=$J77,AO$3&lt;=$M77),1,"")</f>
        <v/>
      </c>
      <c r="AP77">
        <f>IF(AND($A77&lt;&gt;"",AP$3&gt;=$J77,AP$3&lt;=$M77),1,"")</f>
        <v/>
      </c>
      <c r="AQ77">
        <f>IF(AND($A77&lt;&gt;"",AQ$3&gt;=$J77,AQ$3&lt;=$M77),1,"")</f>
        <v/>
      </c>
      <c r="AR77">
        <f>IF(AND($A77&lt;&gt;"",AR$3&gt;=$J77,AR$3&lt;=$M77),1,"")</f>
        <v/>
      </c>
      <c r="AS77">
        <f>IF(AND($A77&lt;&gt;"",AS$3&gt;=$J77,AS$3&lt;=$M77),1,"")</f>
        <v/>
      </c>
      <c r="AT77">
        <f>IF(AND($A77&lt;&gt;"",AT$3&gt;=$J77,AT$3&lt;=$M77),1,"")</f>
        <v/>
      </c>
      <c r="AU77">
        <f>IF(AND($A77&lt;&gt;"",AU$3&gt;=$J77,AU$3&lt;=$M77),1,"")</f>
        <v/>
      </c>
      <c r="AV77">
        <f>IF(AND($A77&lt;&gt;"",AV$3&gt;=$J77,AV$3&lt;=$M77),1,"")</f>
        <v/>
      </c>
      <c r="AW77">
        <f>IF(AND($A77&lt;&gt;"",AW$3&gt;=$J77,AW$3&lt;=$M77),1,"")</f>
        <v/>
      </c>
      <c r="AX77">
        <f>IF(AND($A77&lt;&gt;"",AX$3&gt;=$J77,AX$3&lt;=$M77),1,"")</f>
        <v/>
      </c>
      <c r="AY77">
        <f>IF(AND($A77&lt;&gt;"",AY$3&gt;=$J77,AY$3&lt;=$M77),1,"")</f>
        <v/>
      </c>
      <c r="AZ77">
        <f>IF(AND($A77&lt;&gt;"",AZ$3&gt;=$J77,AZ$3&lt;=$M77),1,"")</f>
        <v/>
      </c>
      <c r="BA77">
        <f>IF(AND($A77&lt;&gt;"",BA$3&gt;=$J77,BA$3&lt;=$M77),1,"")</f>
        <v/>
      </c>
      <c r="BB77">
        <f>IF(AND($A77&lt;&gt;"",BB$3&gt;=$J77,BB$3&lt;=$M77),1,"")</f>
        <v/>
      </c>
      <c r="BC77">
        <f>IF(AND($A77&lt;&gt;"",BC$3&gt;=$J77,BC$3&lt;=$M77),1,"")</f>
        <v/>
      </c>
      <c r="BD77">
        <f>IF(AND($A77&lt;&gt;"",BD$3&gt;=$J77,BD$3&lt;=$M77),1,"")</f>
        <v/>
      </c>
      <c r="BE77">
        <f>IF(AND($A77&lt;&gt;"",BE$3&gt;=$J77,BE$3&lt;=$M77),1,"")</f>
        <v/>
      </c>
      <c r="BF77">
        <f>IF(AND($A77&lt;&gt;"",BF$3&gt;=$J77,BF$3&lt;=$M77),1,"")</f>
        <v/>
      </c>
      <c r="BG77">
        <f>IF(AND($A77&lt;&gt;"",BG$3&gt;=$J77,BG$3&lt;=$M77),1,"")</f>
        <v/>
      </c>
      <c r="BH77">
        <f>IF(AND($A77&lt;&gt;"",BH$3&gt;=$J77,BH$3&lt;=$M77),1,"")</f>
        <v/>
      </c>
      <c r="BI77">
        <f>IF(AND($A77&lt;&gt;"",BI$3&gt;=$J77,BI$3&lt;=$M77),1,"")</f>
        <v/>
      </c>
      <c r="BJ77">
        <f>IF(AND($A77&lt;&gt;"",BJ$3&gt;=$J77,BJ$3&lt;=$M77),1,"")</f>
        <v/>
      </c>
      <c r="BK77">
        <f>IF(AND($A77&lt;&gt;"",BK$3&gt;=$J77,BK$3&lt;=$M77),1,"")</f>
        <v/>
      </c>
      <c r="BL77">
        <f>IF(AND($A77&lt;&gt;"",BL$3&gt;=$J77,BL$3&lt;=$M77),1,"")</f>
        <v/>
      </c>
      <c r="BM77">
        <f>IF(AND($A77&lt;&gt;"",BM$3&gt;=$J77,BM$3&lt;=$M77),1,"")</f>
        <v/>
      </c>
      <c r="BN77">
        <f>IF(AND($A77&lt;&gt;"",BN$3&gt;=$J77,BN$3&lt;=$M77),1,"")</f>
        <v/>
      </c>
      <c r="BO77">
        <f>IF(AND($A77&lt;&gt;"",BO$3&gt;=$J77,BO$3&lt;=$M77),1,"")</f>
        <v/>
      </c>
      <c r="BP77">
        <f>IF(AND($A77&lt;&gt;"",BP$3&gt;=$J77,BP$3&lt;=$M77),1,"")</f>
        <v/>
      </c>
      <c r="BQ77">
        <f>IF(AND($A77&lt;&gt;"",BQ$3&gt;=$J77,BQ$3&lt;=$M77),1,"")</f>
        <v/>
      </c>
      <c r="BR77">
        <f>IF(AND($A77&lt;&gt;"",BR$3&gt;=$J77,BR$3&lt;=$M77),1,"")</f>
        <v/>
      </c>
      <c r="BS77">
        <f>IF(AND($A77&lt;&gt;"",BS$3&gt;=$J77,BS$3&lt;=$M77),1,"")</f>
        <v/>
      </c>
      <c r="BT77">
        <f>IF(AND($A77&lt;&gt;"",BT$3&gt;=$J77,BT$3&lt;=$M77),1,"")</f>
        <v/>
      </c>
      <c r="BU77">
        <f>IF(AND($A77&lt;&gt;"",BU$3&gt;=$J77,BU$3&lt;=$M77),1,"")</f>
        <v/>
      </c>
      <c r="BV77">
        <f>IF(AND($A77&lt;&gt;"",BV$3&gt;=$J77,BV$3&lt;=$M77),1,"")</f>
        <v/>
      </c>
    </row>
    <row r="78">
      <c r="A78">
        <f>IF(Job_Master_Ring!$A78="","",Job_Master_Ring!$A78)</f>
        <v/>
      </c>
      <c r="B78">
        <f>IF($A78="","",Job_Master_Ring!B78)</f>
        <v/>
      </c>
      <c r="C78">
        <f>IF($A78="","",Job_Master_Ring!C78)</f>
        <v/>
      </c>
      <c r="D78">
        <f>IF($A78="","",Job_Master_Ring!D78)</f>
        <v/>
      </c>
      <c r="E78">
        <f>IF($A78="","",IF($I78&lt;&gt;"",$I78,IFERROR(INDEX(Machine_List!$B$87:$B$94,MATCH(1,(Machine_List!$H$87:$H$94&lt;=IFERROR(VLOOKUP($B78,CHOOSE(MATCH($C78,Settings!$L$4:$L$10,0),OPR_BR1!$A$4:$K$18,OPR_BR2!$A$4:$K$18,OPR_CR2!$A$4:$K$18,OPR_CR3!$A$4:$K$18,OPR_CR4!$A$4:$K$18,OPR_RIM!$A$4:$K$18,OPR_BPR!$A$4:$K$18),10,0),0))*(Machine_List!$I$87:$I$94&gt;=IFERROR(VLOOKUP($B78,CHOOSE(MATCH($C78,Settings!$L$4:$L$10,0),OPR_BR1!$A$4:$K$18,OPR_BR2!$A$4:$K$18,OPR_CR2!$A$4:$K$18,OPR_CR3!$A$4:$K$18,OPR_CR4!$A$4:$K$18,OPR_RIM!$A$4:$K$18,OPR_BPR!$A$4:$K$18),11,0),9999)),0)),"NO COMPATIBLE MACHINE")))</f>
        <v/>
      </c>
      <c r="F78">
        <f>IF($E78="","",IFERROR(VLOOKUP($E78,Machine_List!$B:$G,6,0),""))</f>
        <v/>
      </c>
      <c r="G78" s="17">
        <f>IF($E78="","",IFERROR(VLOOKUP($E78,Machine_List!$B:$C,2,0),""))</f>
        <v/>
      </c>
      <c r="H78">
        <f>IF($E78="","",IFERROR(VLOOKUP($E78,Machine_List!$B:$D,3,0),""))</f>
        <v/>
      </c>
      <c r="J78" s="16">
        <f>IF($A78="","",IF($I78&lt;&gt;"",$I78,MAX(GlobalStartDate,IFERROR(LOOKUP(2,1/($E$3:INDIRECT("E"&amp;(ROW()-1))=$E78),$M$3:INDIRECT("M"&amp;(ROW()-1))),GlobalStartDate))))</f>
        <v/>
      </c>
      <c r="K78">
        <f>IF($A78="","",IFERROR(VLOOKUP(B78,CHOOSE(MATCH($C78,Settings!$L$4:$L$10,0),OPR_BR1!$A$4:$I$18,OPR_BR2!$A$4:$I$18,OPR_CR2!$A$4:$I$18,OPR_CR3!$A$4:$I$18,OPR_CR4!$A$4:$I$18,OPR_RIM!$A$4:$I$18,OPR_BPR!$A$4:$I$18),2,0),0))</f>
        <v/>
      </c>
      <c r="L78">
        <f>IF($A78="","",K78*D78)</f>
        <v/>
      </c>
      <c r="M78" s="16">
        <f>IF($A78="","",IF(AND(ISNUMBER(G78),G78&gt;=J78,G78&lt;=(J78+(L78/(IF(F78="Contract Workman",Settings!$K$5,Settings!$K$4))))),J78+(L78/(IF(F78="Contract Workman",Settings!$K$5,Settings!$K$4)))+(H78/(IF(F78="Contract Workman",Settings!$K$5,Settings!$K$4))),J78+(L78/(IF(F78="Contract Workman",Settings!$K$5,Settings!$K$4)))))</f>
        <v/>
      </c>
      <c r="N78">
        <f>IF($A78="","",IF(F78="Contract Workman",IF(AND(MOD(M78,1)&gt;=8/24,MOD(M78,1)&lt;20/24),"Shift S1","Shift S2"),IF(AND(MOD(M78,1)&gt;=7/24,MOD(M78,1)&lt;15/24),"Shift A",IF(AND(MOD(M78,1)&gt;=15/24,MOD(M78,1)&lt;23/24),"Shift B","Shift C"))))</f>
        <v/>
      </c>
      <c r="O78">
        <f>IF(B78="","",IF(IFERROR(ISNUMBER(SEARCH(TEXT(B78,"0"),VLOOKUP(E78,Machine_List!$B:$J,9,0))),FALSE),"✅ "&amp;E78,"❌ ?"))</f>
        <v/>
      </c>
      <c r="P78">
        <f>IF(AND($A78&lt;&gt;"",P$3&gt;=$J78,P$3&lt;=$M78),1,"")</f>
        <v/>
      </c>
      <c r="Q78">
        <f>IF(AND($A78&lt;&gt;"",Q$3&gt;=$J78,Q$3&lt;=$M78),1,"")</f>
        <v/>
      </c>
      <c r="R78">
        <f>IF(AND($A78&lt;&gt;"",R$3&gt;=$J78,R$3&lt;=$M78),1,"")</f>
        <v/>
      </c>
      <c r="S78">
        <f>IF(AND($A78&lt;&gt;"",S$3&gt;=$J78,S$3&lt;=$M78),1,"")</f>
        <v/>
      </c>
      <c r="T78">
        <f>IF(AND($A78&lt;&gt;"",T$3&gt;=$J78,T$3&lt;=$M78),1,"")</f>
        <v/>
      </c>
      <c r="U78">
        <f>IF(AND($A78&lt;&gt;"",U$3&gt;=$J78,U$3&lt;=$M78),1,"")</f>
        <v/>
      </c>
      <c r="V78">
        <f>IF(AND($A78&lt;&gt;"",V$3&gt;=$J78,V$3&lt;=$M78),1,"")</f>
        <v/>
      </c>
      <c r="W78">
        <f>IF(AND($A78&lt;&gt;"",W$3&gt;=$J78,W$3&lt;=$M78),1,"")</f>
        <v/>
      </c>
      <c r="X78">
        <f>IF(AND($A78&lt;&gt;"",X$3&gt;=$J78,X$3&lt;=$M78),1,"")</f>
        <v/>
      </c>
      <c r="Y78">
        <f>IF(AND($A78&lt;&gt;"",Y$3&gt;=$J78,Y$3&lt;=$M78),1,"")</f>
        <v/>
      </c>
      <c r="Z78">
        <f>IF(AND($A78&lt;&gt;"",Z$3&gt;=$J78,Z$3&lt;=$M78),1,"")</f>
        <v/>
      </c>
      <c r="AA78">
        <f>IF(AND($A78&lt;&gt;"",AA$3&gt;=$J78,AA$3&lt;=$M78),1,"")</f>
        <v/>
      </c>
      <c r="AB78">
        <f>IF(AND($A78&lt;&gt;"",AB$3&gt;=$J78,AB$3&lt;=$M78),1,"")</f>
        <v/>
      </c>
      <c r="AC78">
        <f>IF(AND($A78&lt;&gt;"",AC$3&gt;=$J78,AC$3&lt;=$M78),1,"")</f>
        <v/>
      </c>
      <c r="AD78">
        <f>IF(AND($A78&lt;&gt;"",AD$3&gt;=$J78,AD$3&lt;=$M78),1,"")</f>
        <v/>
      </c>
      <c r="AE78">
        <f>IF(AND($A78&lt;&gt;"",AE$3&gt;=$J78,AE$3&lt;=$M78),1,"")</f>
        <v/>
      </c>
      <c r="AF78">
        <f>IF(AND($A78&lt;&gt;"",AF$3&gt;=$J78,AF$3&lt;=$M78),1,"")</f>
        <v/>
      </c>
      <c r="AG78">
        <f>IF(AND($A78&lt;&gt;"",AG$3&gt;=$J78,AG$3&lt;=$M78),1,"")</f>
        <v/>
      </c>
      <c r="AH78">
        <f>IF(AND($A78&lt;&gt;"",AH$3&gt;=$J78,AH$3&lt;=$M78),1,"")</f>
        <v/>
      </c>
      <c r="AI78">
        <f>IF(AND($A78&lt;&gt;"",AI$3&gt;=$J78,AI$3&lt;=$M78),1,"")</f>
        <v/>
      </c>
      <c r="AJ78">
        <f>IF(AND($A78&lt;&gt;"",AJ$3&gt;=$J78,AJ$3&lt;=$M78),1,"")</f>
        <v/>
      </c>
      <c r="AK78">
        <f>IF(AND($A78&lt;&gt;"",AK$3&gt;=$J78,AK$3&lt;=$M78),1,"")</f>
        <v/>
      </c>
      <c r="AL78">
        <f>IF(AND($A78&lt;&gt;"",AL$3&gt;=$J78,AL$3&lt;=$M78),1,"")</f>
        <v/>
      </c>
      <c r="AM78">
        <f>IF(AND($A78&lt;&gt;"",AM$3&gt;=$J78,AM$3&lt;=$M78),1,"")</f>
        <v/>
      </c>
      <c r="AN78">
        <f>IF(AND($A78&lt;&gt;"",AN$3&gt;=$J78,AN$3&lt;=$M78),1,"")</f>
        <v/>
      </c>
      <c r="AO78">
        <f>IF(AND($A78&lt;&gt;"",AO$3&gt;=$J78,AO$3&lt;=$M78),1,"")</f>
        <v/>
      </c>
      <c r="AP78">
        <f>IF(AND($A78&lt;&gt;"",AP$3&gt;=$J78,AP$3&lt;=$M78),1,"")</f>
        <v/>
      </c>
      <c r="AQ78">
        <f>IF(AND($A78&lt;&gt;"",AQ$3&gt;=$J78,AQ$3&lt;=$M78),1,"")</f>
        <v/>
      </c>
      <c r="AR78">
        <f>IF(AND($A78&lt;&gt;"",AR$3&gt;=$J78,AR$3&lt;=$M78),1,"")</f>
        <v/>
      </c>
      <c r="AS78">
        <f>IF(AND($A78&lt;&gt;"",AS$3&gt;=$J78,AS$3&lt;=$M78),1,"")</f>
        <v/>
      </c>
      <c r="AT78">
        <f>IF(AND($A78&lt;&gt;"",AT$3&gt;=$J78,AT$3&lt;=$M78),1,"")</f>
        <v/>
      </c>
      <c r="AU78">
        <f>IF(AND($A78&lt;&gt;"",AU$3&gt;=$J78,AU$3&lt;=$M78),1,"")</f>
        <v/>
      </c>
      <c r="AV78">
        <f>IF(AND($A78&lt;&gt;"",AV$3&gt;=$J78,AV$3&lt;=$M78),1,"")</f>
        <v/>
      </c>
      <c r="AW78">
        <f>IF(AND($A78&lt;&gt;"",AW$3&gt;=$J78,AW$3&lt;=$M78),1,"")</f>
        <v/>
      </c>
      <c r="AX78">
        <f>IF(AND($A78&lt;&gt;"",AX$3&gt;=$J78,AX$3&lt;=$M78),1,"")</f>
        <v/>
      </c>
      <c r="AY78">
        <f>IF(AND($A78&lt;&gt;"",AY$3&gt;=$J78,AY$3&lt;=$M78),1,"")</f>
        <v/>
      </c>
      <c r="AZ78">
        <f>IF(AND($A78&lt;&gt;"",AZ$3&gt;=$J78,AZ$3&lt;=$M78),1,"")</f>
        <v/>
      </c>
      <c r="BA78">
        <f>IF(AND($A78&lt;&gt;"",BA$3&gt;=$J78,BA$3&lt;=$M78),1,"")</f>
        <v/>
      </c>
      <c r="BB78">
        <f>IF(AND($A78&lt;&gt;"",BB$3&gt;=$J78,BB$3&lt;=$M78),1,"")</f>
        <v/>
      </c>
      <c r="BC78">
        <f>IF(AND($A78&lt;&gt;"",BC$3&gt;=$J78,BC$3&lt;=$M78),1,"")</f>
        <v/>
      </c>
      <c r="BD78">
        <f>IF(AND($A78&lt;&gt;"",BD$3&gt;=$J78,BD$3&lt;=$M78),1,"")</f>
        <v/>
      </c>
      <c r="BE78">
        <f>IF(AND($A78&lt;&gt;"",BE$3&gt;=$J78,BE$3&lt;=$M78),1,"")</f>
        <v/>
      </c>
      <c r="BF78">
        <f>IF(AND($A78&lt;&gt;"",BF$3&gt;=$J78,BF$3&lt;=$M78),1,"")</f>
        <v/>
      </c>
      <c r="BG78">
        <f>IF(AND($A78&lt;&gt;"",BG$3&gt;=$J78,BG$3&lt;=$M78),1,"")</f>
        <v/>
      </c>
      <c r="BH78">
        <f>IF(AND($A78&lt;&gt;"",BH$3&gt;=$J78,BH$3&lt;=$M78),1,"")</f>
        <v/>
      </c>
      <c r="BI78">
        <f>IF(AND($A78&lt;&gt;"",BI$3&gt;=$J78,BI$3&lt;=$M78),1,"")</f>
        <v/>
      </c>
      <c r="BJ78">
        <f>IF(AND($A78&lt;&gt;"",BJ$3&gt;=$J78,BJ$3&lt;=$M78),1,"")</f>
        <v/>
      </c>
      <c r="BK78">
        <f>IF(AND($A78&lt;&gt;"",BK$3&gt;=$J78,BK$3&lt;=$M78),1,"")</f>
        <v/>
      </c>
      <c r="BL78">
        <f>IF(AND($A78&lt;&gt;"",BL$3&gt;=$J78,BL$3&lt;=$M78),1,"")</f>
        <v/>
      </c>
      <c r="BM78">
        <f>IF(AND($A78&lt;&gt;"",BM$3&gt;=$J78,BM$3&lt;=$M78),1,"")</f>
        <v/>
      </c>
      <c r="BN78">
        <f>IF(AND($A78&lt;&gt;"",BN$3&gt;=$J78,BN$3&lt;=$M78),1,"")</f>
        <v/>
      </c>
      <c r="BO78">
        <f>IF(AND($A78&lt;&gt;"",BO$3&gt;=$J78,BO$3&lt;=$M78),1,"")</f>
        <v/>
      </c>
      <c r="BP78">
        <f>IF(AND($A78&lt;&gt;"",BP$3&gt;=$J78,BP$3&lt;=$M78),1,"")</f>
        <v/>
      </c>
      <c r="BQ78">
        <f>IF(AND($A78&lt;&gt;"",BQ$3&gt;=$J78,BQ$3&lt;=$M78),1,"")</f>
        <v/>
      </c>
      <c r="BR78">
        <f>IF(AND($A78&lt;&gt;"",BR$3&gt;=$J78,BR$3&lt;=$M78),1,"")</f>
        <v/>
      </c>
      <c r="BS78">
        <f>IF(AND($A78&lt;&gt;"",BS$3&gt;=$J78,BS$3&lt;=$M78),1,"")</f>
        <v/>
      </c>
      <c r="BT78">
        <f>IF(AND($A78&lt;&gt;"",BT$3&gt;=$J78,BT$3&lt;=$M78),1,"")</f>
        <v/>
      </c>
      <c r="BU78">
        <f>IF(AND($A78&lt;&gt;"",BU$3&gt;=$J78,BU$3&lt;=$M78),1,"")</f>
        <v/>
      </c>
      <c r="BV78">
        <f>IF(AND($A78&lt;&gt;"",BV$3&gt;=$J78,BV$3&lt;=$M78),1,"")</f>
        <v/>
      </c>
    </row>
    <row r="79">
      <c r="A79">
        <f>IF(Job_Master_Ring!$A79="","",Job_Master_Ring!$A79)</f>
        <v/>
      </c>
      <c r="B79">
        <f>IF($A79="","",Job_Master_Ring!B79)</f>
        <v/>
      </c>
      <c r="C79">
        <f>IF($A79="","",Job_Master_Ring!C79)</f>
        <v/>
      </c>
      <c r="D79">
        <f>IF($A79="","",Job_Master_Ring!D79)</f>
        <v/>
      </c>
      <c r="E79">
        <f>IF($A79="","",IF($I79&lt;&gt;"",$I79,IFERROR(INDEX(Machine_List!$B$87:$B$94,MATCH(1,(Machine_List!$H$87:$H$94&lt;=IFERROR(VLOOKUP($B79,CHOOSE(MATCH($C79,Settings!$L$4:$L$10,0),OPR_BR1!$A$4:$K$18,OPR_BR2!$A$4:$K$18,OPR_CR2!$A$4:$K$18,OPR_CR3!$A$4:$K$18,OPR_CR4!$A$4:$K$18,OPR_RIM!$A$4:$K$18,OPR_BPR!$A$4:$K$18),10,0),0))*(Machine_List!$I$87:$I$94&gt;=IFERROR(VLOOKUP($B79,CHOOSE(MATCH($C79,Settings!$L$4:$L$10,0),OPR_BR1!$A$4:$K$18,OPR_BR2!$A$4:$K$18,OPR_CR2!$A$4:$K$18,OPR_CR3!$A$4:$K$18,OPR_CR4!$A$4:$K$18,OPR_RIM!$A$4:$K$18,OPR_BPR!$A$4:$K$18),11,0),9999)),0)),"NO COMPATIBLE MACHINE")))</f>
        <v/>
      </c>
      <c r="F79">
        <f>IF($E79="","",IFERROR(VLOOKUP($E79,Machine_List!$B:$G,6,0),""))</f>
        <v/>
      </c>
      <c r="G79" s="17">
        <f>IF($E79="","",IFERROR(VLOOKUP($E79,Machine_List!$B:$C,2,0),""))</f>
        <v/>
      </c>
      <c r="H79">
        <f>IF($E79="","",IFERROR(VLOOKUP($E79,Machine_List!$B:$D,3,0),""))</f>
        <v/>
      </c>
      <c r="J79" s="16">
        <f>IF($A79="","",IF($I79&lt;&gt;"",$I79,MAX(GlobalStartDate,IFERROR(LOOKUP(2,1/($E$3:INDIRECT("E"&amp;(ROW()-1))=$E79),$M$3:INDIRECT("M"&amp;(ROW()-1))),GlobalStartDate))))</f>
        <v/>
      </c>
      <c r="K79">
        <f>IF($A79="","",IFERROR(VLOOKUP(B79,CHOOSE(MATCH($C79,Settings!$L$4:$L$10,0),OPR_BR1!$A$4:$I$18,OPR_BR2!$A$4:$I$18,OPR_CR2!$A$4:$I$18,OPR_CR3!$A$4:$I$18,OPR_CR4!$A$4:$I$18,OPR_RIM!$A$4:$I$18,OPR_BPR!$A$4:$I$18),2,0),0))</f>
        <v/>
      </c>
      <c r="L79">
        <f>IF($A79="","",K79*D79)</f>
        <v/>
      </c>
      <c r="M79" s="16">
        <f>IF($A79="","",IF(AND(ISNUMBER(G79),G79&gt;=J79,G79&lt;=(J79+(L79/(IF(F79="Contract Workman",Settings!$K$5,Settings!$K$4))))),J79+(L79/(IF(F79="Contract Workman",Settings!$K$5,Settings!$K$4)))+(H79/(IF(F79="Contract Workman",Settings!$K$5,Settings!$K$4))),J79+(L79/(IF(F79="Contract Workman",Settings!$K$5,Settings!$K$4)))))</f>
        <v/>
      </c>
      <c r="N79">
        <f>IF($A79="","",IF(F79="Contract Workman",IF(AND(MOD(M79,1)&gt;=8/24,MOD(M79,1)&lt;20/24),"Shift S1","Shift S2"),IF(AND(MOD(M79,1)&gt;=7/24,MOD(M79,1)&lt;15/24),"Shift A",IF(AND(MOD(M79,1)&gt;=15/24,MOD(M79,1)&lt;23/24),"Shift B","Shift C"))))</f>
        <v/>
      </c>
      <c r="O79">
        <f>IF(B79="","",IF(IFERROR(ISNUMBER(SEARCH(TEXT(B79,"0"),VLOOKUP(E79,Machine_List!$B:$J,9,0))),FALSE),"✅ "&amp;E79,"❌ ?"))</f>
        <v/>
      </c>
      <c r="P79">
        <f>IF(AND($A79&lt;&gt;"",P$3&gt;=$J79,P$3&lt;=$M79),1,"")</f>
        <v/>
      </c>
      <c r="Q79">
        <f>IF(AND($A79&lt;&gt;"",Q$3&gt;=$J79,Q$3&lt;=$M79),1,"")</f>
        <v/>
      </c>
      <c r="R79">
        <f>IF(AND($A79&lt;&gt;"",R$3&gt;=$J79,R$3&lt;=$M79),1,"")</f>
        <v/>
      </c>
      <c r="S79">
        <f>IF(AND($A79&lt;&gt;"",S$3&gt;=$J79,S$3&lt;=$M79),1,"")</f>
        <v/>
      </c>
      <c r="T79">
        <f>IF(AND($A79&lt;&gt;"",T$3&gt;=$J79,T$3&lt;=$M79),1,"")</f>
        <v/>
      </c>
      <c r="U79">
        <f>IF(AND($A79&lt;&gt;"",U$3&gt;=$J79,U$3&lt;=$M79),1,"")</f>
        <v/>
      </c>
      <c r="V79">
        <f>IF(AND($A79&lt;&gt;"",V$3&gt;=$J79,V$3&lt;=$M79),1,"")</f>
        <v/>
      </c>
      <c r="W79">
        <f>IF(AND($A79&lt;&gt;"",W$3&gt;=$J79,W$3&lt;=$M79),1,"")</f>
        <v/>
      </c>
      <c r="X79">
        <f>IF(AND($A79&lt;&gt;"",X$3&gt;=$J79,X$3&lt;=$M79),1,"")</f>
        <v/>
      </c>
      <c r="Y79">
        <f>IF(AND($A79&lt;&gt;"",Y$3&gt;=$J79,Y$3&lt;=$M79),1,"")</f>
        <v/>
      </c>
      <c r="Z79">
        <f>IF(AND($A79&lt;&gt;"",Z$3&gt;=$J79,Z$3&lt;=$M79),1,"")</f>
        <v/>
      </c>
      <c r="AA79">
        <f>IF(AND($A79&lt;&gt;"",AA$3&gt;=$J79,AA$3&lt;=$M79),1,"")</f>
        <v/>
      </c>
      <c r="AB79">
        <f>IF(AND($A79&lt;&gt;"",AB$3&gt;=$J79,AB$3&lt;=$M79),1,"")</f>
        <v/>
      </c>
      <c r="AC79">
        <f>IF(AND($A79&lt;&gt;"",AC$3&gt;=$J79,AC$3&lt;=$M79),1,"")</f>
        <v/>
      </c>
      <c r="AD79">
        <f>IF(AND($A79&lt;&gt;"",AD$3&gt;=$J79,AD$3&lt;=$M79),1,"")</f>
        <v/>
      </c>
      <c r="AE79">
        <f>IF(AND($A79&lt;&gt;"",AE$3&gt;=$J79,AE$3&lt;=$M79),1,"")</f>
        <v/>
      </c>
      <c r="AF79">
        <f>IF(AND($A79&lt;&gt;"",AF$3&gt;=$J79,AF$3&lt;=$M79),1,"")</f>
        <v/>
      </c>
      <c r="AG79">
        <f>IF(AND($A79&lt;&gt;"",AG$3&gt;=$J79,AG$3&lt;=$M79),1,"")</f>
        <v/>
      </c>
      <c r="AH79">
        <f>IF(AND($A79&lt;&gt;"",AH$3&gt;=$J79,AH$3&lt;=$M79),1,"")</f>
        <v/>
      </c>
      <c r="AI79">
        <f>IF(AND($A79&lt;&gt;"",AI$3&gt;=$J79,AI$3&lt;=$M79),1,"")</f>
        <v/>
      </c>
      <c r="AJ79">
        <f>IF(AND($A79&lt;&gt;"",AJ$3&gt;=$J79,AJ$3&lt;=$M79),1,"")</f>
        <v/>
      </c>
      <c r="AK79">
        <f>IF(AND($A79&lt;&gt;"",AK$3&gt;=$J79,AK$3&lt;=$M79),1,"")</f>
        <v/>
      </c>
      <c r="AL79">
        <f>IF(AND($A79&lt;&gt;"",AL$3&gt;=$J79,AL$3&lt;=$M79),1,"")</f>
        <v/>
      </c>
      <c r="AM79">
        <f>IF(AND($A79&lt;&gt;"",AM$3&gt;=$J79,AM$3&lt;=$M79),1,"")</f>
        <v/>
      </c>
      <c r="AN79">
        <f>IF(AND($A79&lt;&gt;"",AN$3&gt;=$J79,AN$3&lt;=$M79),1,"")</f>
        <v/>
      </c>
      <c r="AO79">
        <f>IF(AND($A79&lt;&gt;"",AO$3&gt;=$J79,AO$3&lt;=$M79),1,"")</f>
        <v/>
      </c>
      <c r="AP79">
        <f>IF(AND($A79&lt;&gt;"",AP$3&gt;=$J79,AP$3&lt;=$M79),1,"")</f>
        <v/>
      </c>
      <c r="AQ79">
        <f>IF(AND($A79&lt;&gt;"",AQ$3&gt;=$J79,AQ$3&lt;=$M79),1,"")</f>
        <v/>
      </c>
      <c r="AR79">
        <f>IF(AND($A79&lt;&gt;"",AR$3&gt;=$J79,AR$3&lt;=$M79),1,"")</f>
        <v/>
      </c>
      <c r="AS79">
        <f>IF(AND($A79&lt;&gt;"",AS$3&gt;=$J79,AS$3&lt;=$M79),1,"")</f>
        <v/>
      </c>
      <c r="AT79">
        <f>IF(AND($A79&lt;&gt;"",AT$3&gt;=$J79,AT$3&lt;=$M79),1,"")</f>
        <v/>
      </c>
      <c r="AU79">
        <f>IF(AND($A79&lt;&gt;"",AU$3&gt;=$J79,AU$3&lt;=$M79),1,"")</f>
        <v/>
      </c>
      <c r="AV79">
        <f>IF(AND($A79&lt;&gt;"",AV$3&gt;=$J79,AV$3&lt;=$M79),1,"")</f>
        <v/>
      </c>
      <c r="AW79">
        <f>IF(AND($A79&lt;&gt;"",AW$3&gt;=$J79,AW$3&lt;=$M79),1,"")</f>
        <v/>
      </c>
      <c r="AX79">
        <f>IF(AND($A79&lt;&gt;"",AX$3&gt;=$J79,AX$3&lt;=$M79),1,"")</f>
        <v/>
      </c>
      <c r="AY79">
        <f>IF(AND($A79&lt;&gt;"",AY$3&gt;=$J79,AY$3&lt;=$M79),1,"")</f>
        <v/>
      </c>
      <c r="AZ79">
        <f>IF(AND($A79&lt;&gt;"",AZ$3&gt;=$J79,AZ$3&lt;=$M79),1,"")</f>
        <v/>
      </c>
      <c r="BA79">
        <f>IF(AND($A79&lt;&gt;"",BA$3&gt;=$J79,BA$3&lt;=$M79),1,"")</f>
        <v/>
      </c>
      <c r="BB79">
        <f>IF(AND($A79&lt;&gt;"",BB$3&gt;=$J79,BB$3&lt;=$M79),1,"")</f>
        <v/>
      </c>
      <c r="BC79">
        <f>IF(AND($A79&lt;&gt;"",BC$3&gt;=$J79,BC$3&lt;=$M79),1,"")</f>
        <v/>
      </c>
      <c r="BD79">
        <f>IF(AND($A79&lt;&gt;"",BD$3&gt;=$J79,BD$3&lt;=$M79),1,"")</f>
        <v/>
      </c>
      <c r="BE79">
        <f>IF(AND($A79&lt;&gt;"",BE$3&gt;=$J79,BE$3&lt;=$M79),1,"")</f>
        <v/>
      </c>
      <c r="BF79">
        <f>IF(AND($A79&lt;&gt;"",BF$3&gt;=$J79,BF$3&lt;=$M79),1,"")</f>
        <v/>
      </c>
      <c r="BG79">
        <f>IF(AND($A79&lt;&gt;"",BG$3&gt;=$J79,BG$3&lt;=$M79),1,"")</f>
        <v/>
      </c>
      <c r="BH79">
        <f>IF(AND($A79&lt;&gt;"",BH$3&gt;=$J79,BH$3&lt;=$M79),1,"")</f>
        <v/>
      </c>
      <c r="BI79">
        <f>IF(AND($A79&lt;&gt;"",BI$3&gt;=$J79,BI$3&lt;=$M79),1,"")</f>
        <v/>
      </c>
      <c r="BJ79">
        <f>IF(AND($A79&lt;&gt;"",BJ$3&gt;=$J79,BJ$3&lt;=$M79),1,"")</f>
        <v/>
      </c>
      <c r="BK79">
        <f>IF(AND($A79&lt;&gt;"",BK$3&gt;=$J79,BK$3&lt;=$M79),1,"")</f>
        <v/>
      </c>
      <c r="BL79">
        <f>IF(AND($A79&lt;&gt;"",BL$3&gt;=$J79,BL$3&lt;=$M79),1,"")</f>
        <v/>
      </c>
      <c r="BM79">
        <f>IF(AND($A79&lt;&gt;"",BM$3&gt;=$J79,BM$3&lt;=$M79),1,"")</f>
        <v/>
      </c>
      <c r="BN79">
        <f>IF(AND($A79&lt;&gt;"",BN$3&gt;=$J79,BN$3&lt;=$M79),1,"")</f>
        <v/>
      </c>
      <c r="BO79">
        <f>IF(AND($A79&lt;&gt;"",BO$3&gt;=$J79,BO$3&lt;=$M79),1,"")</f>
        <v/>
      </c>
      <c r="BP79">
        <f>IF(AND($A79&lt;&gt;"",BP$3&gt;=$J79,BP$3&lt;=$M79),1,"")</f>
        <v/>
      </c>
      <c r="BQ79">
        <f>IF(AND($A79&lt;&gt;"",BQ$3&gt;=$J79,BQ$3&lt;=$M79),1,"")</f>
        <v/>
      </c>
      <c r="BR79">
        <f>IF(AND($A79&lt;&gt;"",BR$3&gt;=$J79,BR$3&lt;=$M79),1,"")</f>
        <v/>
      </c>
      <c r="BS79">
        <f>IF(AND($A79&lt;&gt;"",BS$3&gt;=$J79,BS$3&lt;=$M79),1,"")</f>
        <v/>
      </c>
      <c r="BT79">
        <f>IF(AND($A79&lt;&gt;"",BT$3&gt;=$J79,BT$3&lt;=$M79),1,"")</f>
        <v/>
      </c>
      <c r="BU79">
        <f>IF(AND($A79&lt;&gt;"",BU$3&gt;=$J79,BU$3&lt;=$M79),1,"")</f>
        <v/>
      </c>
      <c r="BV79">
        <f>IF(AND($A79&lt;&gt;"",BV$3&gt;=$J79,BV$3&lt;=$M79),1,"")</f>
        <v/>
      </c>
    </row>
    <row r="80">
      <c r="A80">
        <f>IF(Job_Master_Ring!$A80="","",Job_Master_Ring!$A80)</f>
        <v/>
      </c>
      <c r="B80">
        <f>IF($A80="","",Job_Master_Ring!B80)</f>
        <v/>
      </c>
      <c r="C80">
        <f>IF($A80="","",Job_Master_Ring!C80)</f>
        <v/>
      </c>
      <c r="D80">
        <f>IF($A80="","",Job_Master_Ring!D80)</f>
        <v/>
      </c>
      <c r="E80">
        <f>IF($A80="","",IF($I80&lt;&gt;"",$I80,IFERROR(INDEX(Machine_List!$B$87:$B$94,MATCH(1,(Machine_List!$H$87:$H$94&lt;=IFERROR(VLOOKUP($B80,CHOOSE(MATCH($C80,Settings!$L$4:$L$10,0),OPR_BR1!$A$4:$K$18,OPR_BR2!$A$4:$K$18,OPR_CR2!$A$4:$K$18,OPR_CR3!$A$4:$K$18,OPR_CR4!$A$4:$K$18,OPR_RIM!$A$4:$K$18,OPR_BPR!$A$4:$K$18),10,0),0))*(Machine_List!$I$87:$I$94&gt;=IFERROR(VLOOKUP($B80,CHOOSE(MATCH($C80,Settings!$L$4:$L$10,0),OPR_BR1!$A$4:$K$18,OPR_BR2!$A$4:$K$18,OPR_CR2!$A$4:$K$18,OPR_CR3!$A$4:$K$18,OPR_CR4!$A$4:$K$18,OPR_RIM!$A$4:$K$18,OPR_BPR!$A$4:$K$18),11,0),9999)),0)),"NO COMPATIBLE MACHINE")))</f>
        <v/>
      </c>
      <c r="F80">
        <f>IF($E80="","",IFERROR(VLOOKUP($E80,Machine_List!$B:$G,6,0),""))</f>
        <v/>
      </c>
      <c r="G80" s="17">
        <f>IF($E80="","",IFERROR(VLOOKUP($E80,Machine_List!$B:$C,2,0),""))</f>
        <v/>
      </c>
      <c r="H80">
        <f>IF($E80="","",IFERROR(VLOOKUP($E80,Machine_List!$B:$D,3,0),""))</f>
        <v/>
      </c>
      <c r="J80" s="16">
        <f>IF($A80="","",IF($I80&lt;&gt;"",$I80,MAX(GlobalStartDate,IFERROR(LOOKUP(2,1/($E$3:INDIRECT("E"&amp;(ROW()-1))=$E80),$M$3:INDIRECT("M"&amp;(ROW()-1))),GlobalStartDate))))</f>
        <v/>
      </c>
      <c r="K80">
        <f>IF($A80="","",IFERROR(VLOOKUP(B80,CHOOSE(MATCH($C80,Settings!$L$4:$L$10,0),OPR_BR1!$A$4:$I$18,OPR_BR2!$A$4:$I$18,OPR_CR2!$A$4:$I$18,OPR_CR3!$A$4:$I$18,OPR_CR4!$A$4:$I$18,OPR_RIM!$A$4:$I$18,OPR_BPR!$A$4:$I$18),2,0),0))</f>
        <v/>
      </c>
      <c r="L80">
        <f>IF($A80="","",K80*D80)</f>
        <v/>
      </c>
      <c r="M80" s="16">
        <f>IF($A80="","",IF(AND(ISNUMBER(G80),G80&gt;=J80,G80&lt;=(J80+(L80/(IF(F80="Contract Workman",Settings!$K$5,Settings!$K$4))))),J80+(L80/(IF(F80="Contract Workman",Settings!$K$5,Settings!$K$4)))+(H80/(IF(F80="Contract Workman",Settings!$K$5,Settings!$K$4))),J80+(L80/(IF(F80="Contract Workman",Settings!$K$5,Settings!$K$4)))))</f>
        <v/>
      </c>
      <c r="N80">
        <f>IF($A80="","",IF(F80="Contract Workman",IF(AND(MOD(M80,1)&gt;=8/24,MOD(M80,1)&lt;20/24),"Shift S1","Shift S2"),IF(AND(MOD(M80,1)&gt;=7/24,MOD(M80,1)&lt;15/24),"Shift A",IF(AND(MOD(M80,1)&gt;=15/24,MOD(M80,1)&lt;23/24),"Shift B","Shift C"))))</f>
        <v/>
      </c>
      <c r="O80">
        <f>IF(B80="","",IF(IFERROR(ISNUMBER(SEARCH(TEXT(B80,"0"),VLOOKUP(E80,Machine_List!$B:$J,9,0))),FALSE),"✅ "&amp;E80,"❌ ?"))</f>
        <v/>
      </c>
      <c r="P80">
        <f>IF(AND($A80&lt;&gt;"",P$3&gt;=$J80,P$3&lt;=$M80),1,"")</f>
        <v/>
      </c>
      <c r="Q80">
        <f>IF(AND($A80&lt;&gt;"",Q$3&gt;=$J80,Q$3&lt;=$M80),1,"")</f>
        <v/>
      </c>
      <c r="R80">
        <f>IF(AND($A80&lt;&gt;"",R$3&gt;=$J80,R$3&lt;=$M80),1,"")</f>
        <v/>
      </c>
      <c r="S80">
        <f>IF(AND($A80&lt;&gt;"",S$3&gt;=$J80,S$3&lt;=$M80),1,"")</f>
        <v/>
      </c>
      <c r="T80">
        <f>IF(AND($A80&lt;&gt;"",T$3&gt;=$J80,T$3&lt;=$M80),1,"")</f>
        <v/>
      </c>
      <c r="U80">
        <f>IF(AND($A80&lt;&gt;"",U$3&gt;=$J80,U$3&lt;=$M80),1,"")</f>
        <v/>
      </c>
      <c r="V80">
        <f>IF(AND($A80&lt;&gt;"",V$3&gt;=$J80,V$3&lt;=$M80),1,"")</f>
        <v/>
      </c>
      <c r="W80">
        <f>IF(AND($A80&lt;&gt;"",W$3&gt;=$J80,W$3&lt;=$M80),1,"")</f>
        <v/>
      </c>
      <c r="X80">
        <f>IF(AND($A80&lt;&gt;"",X$3&gt;=$J80,X$3&lt;=$M80),1,"")</f>
        <v/>
      </c>
      <c r="Y80">
        <f>IF(AND($A80&lt;&gt;"",Y$3&gt;=$J80,Y$3&lt;=$M80),1,"")</f>
        <v/>
      </c>
      <c r="Z80">
        <f>IF(AND($A80&lt;&gt;"",Z$3&gt;=$J80,Z$3&lt;=$M80),1,"")</f>
        <v/>
      </c>
      <c r="AA80">
        <f>IF(AND($A80&lt;&gt;"",AA$3&gt;=$J80,AA$3&lt;=$M80),1,"")</f>
        <v/>
      </c>
      <c r="AB80">
        <f>IF(AND($A80&lt;&gt;"",AB$3&gt;=$J80,AB$3&lt;=$M80),1,"")</f>
        <v/>
      </c>
      <c r="AC80">
        <f>IF(AND($A80&lt;&gt;"",AC$3&gt;=$J80,AC$3&lt;=$M80),1,"")</f>
        <v/>
      </c>
      <c r="AD80">
        <f>IF(AND($A80&lt;&gt;"",AD$3&gt;=$J80,AD$3&lt;=$M80),1,"")</f>
        <v/>
      </c>
      <c r="AE80">
        <f>IF(AND($A80&lt;&gt;"",AE$3&gt;=$J80,AE$3&lt;=$M80),1,"")</f>
        <v/>
      </c>
      <c r="AF80">
        <f>IF(AND($A80&lt;&gt;"",AF$3&gt;=$J80,AF$3&lt;=$M80),1,"")</f>
        <v/>
      </c>
      <c r="AG80">
        <f>IF(AND($A80&lt;&gt;"",AG$3&gt;=$J80,AG$3&lt;=$M80),1,"")</f>
        <v/>
      </c>
      <c r="AH80">
        <f>IF(AND($A80&lt;&gt;"",AH$3&gt;=$J80,AH$3&lt;=$M80),1,"")</f>
        <v/>
      </c>
      <c r="AI80">
        <f>IF(AND($A80&lt;&gt;"",AI$3&gt;=$J80,AI$3&lt;=$M80),1,"")</f>
        <v/>
      </c>
      <c r="AJ80">
        <f>IF(AND($A80&lt;&gt;"",AJ$3&gt;=$J80,AJ$3&lt;=$M80),1,"")</f>
        <v/>
      </c>
      <c r="AK80">
        <f>IF(AND($A80&lt;&gt;"",AK$3&gt;=$J80,AK$3&lt;=$M80),1,"")</f>
        <v/>
      </c>
      <c r="AL80">
        <f>IF(AND($A80&lt;&gt;"",AL$3&gt;=$J80,AL$3&lt;=$M80),1,"")</f>
        <v/>
      </c>
      <c r="AM80">
        <f>IF(AND($A80&lt;&gt;"",AM$3&gt;=$J80,AM$3&lt;=$M80),1,"")</f>
        <v/>
      </c>
      <c r="AN80">
        <f>IF(AND($A80&lt;&gt;"",AN$3&gt;=$J80,AN$3&lt;=$M80),1,"")</f>
        <v/>
      </c>
      <c r="AO80">
        <f>IF(AND($A80&lt;&gt;"",AO$3&gt;=$J80,AO$3&lt;=$M80),1,"")</f>
        <v/>
      </c>
      <c r="AP80">
        <f>IF(AND($A80&lt;&gt;"",AP$3&gt;=$J80,AP$3&lt;=$M80),1,"")</f>
        <v/>
      </c>
      <c r="AQ80">
        <f>IF(AND($A80&lt;&gt;"",AQ$3&gt;=$J80,AQ$3&lt;=$M80),1,"")</f>
        <v/>
      </c>
      <c r="AR80">
        <f>IF(AND($A80&lt;&gt;"",AR$3&gt;=$J80,AR$3&lt;=$M80),1,"")</f>
        <v/>
      </c>
      <c r="AS80">
        <f>IF(AND($A80&lt;&gt;"",AS$3&gt;=$J80,AS$3&lt;=$M80),1,"")</f>
        <v/>
      </c>
      <c r="AT80">
        <f>IF(AND($A80&lt;&gt;"",AT$3&gt;=$J80,AT$3&lt;=$M80),1,"")</f>
        <v/>
      </c>
      <c r="AU80">
        <f>IF(AND($A80&lt;&gt;"",AU$3&gt;=$J80,AU$3&lt;=$M80),1,"")</f>
        <v/>
      </c>
      <c r="AV80">
        <f>IF(AND($A80&lt;&gt;"",AV$3&gt;=$J80,AV$3&lt;=$M80),1,"")</f>
        <v/>
      </c>
      <c r="AW80">
        <f>IF(AND($A80&lt;&gt;"",AW$3&gt;=$J80,AW$3&lt;=$M80),1,"")</f>
        <v/>
      </c>
      <c r="AX80">
        <f>IF(AND($A80&lt;&gt;"",AX$3&gt;=$J80,AX$3&lt;=$M80),1,"")</f>
        <v/>
      </c>
      <c r="AY80">
        <f>IF(AND($A80&lt;&gt;"",AY$3&gt;=$J80,AY$3&lt;=$M80),1,"")</f>
        <v/>
      </c>
      <c r="AZ80">
        <f>IF(AND($A80&lt;&gt;"",AZ$3&gt;=$J80,AZ$3&lt;=$M80),1,"")</f>
        <v/>
      </c>
      <c r="BA80">
        <f>IF(AND($A80&lt;&gt;"",BA$3&gt;=$J80,BA$3&lt;=$M80),1,"")</f>
        <v/>
      </c>
      <c r="BB80">
        <f>IF(AND($A80&lt;&gt;"",BB$3&gt;=$J80,BB$3&lt;=$M80),1,"")</f>
        <v/>
      </c>
      <c r="BC80">
        <f>IF(AND($A80&lt;&gt;"",BC$3&gt;=$J80,BC$3&lt;=$M80),1,"")</f>
        <v/>
      </c>
      <c r="BD80">
        <f>IF(AND($A80&lt;&gt;"",BD$3&gt;=$J80,BD$3&lt;=$M80),1,"")</f>
        <v/>
      </c>
      <c r="BE80">
        <f>IF(AND($A80&lt;&gt;"",BE$3&gt;=$J80,BE$3&lt;=$M80),1,"")</f>
        <v/>
      </c>
      <c r="BF80">
        <f>IF(AND($A80&lt;&gt;"",BF$3&gt;=$J80,BF$3&lt;=$M80),1,"")</f>
        <v/>
      </c>
      <c r="BG80">
        <f>IF(AND($A80&lt;&gt;"",BG$3&gt;=$J80,BG$3&lt;=$M80),1,"")</f>
        <v/>
      </c>
      <c r="BH80">
        <f>IF(AND($A80&lt;&gt;"",BH$3&gt;=$J80,BH$3&lt;=$M80),1,"")</f>
        <v/>
      </c>
      <c r="BI80">
        <f>IF(AND($A80&lt;&gt;"",BI$3&gt;=$J80,BI$3&lt;=$M80),1,"")</f>
        <v/>
      </c>
      <c r="BJ80">
        <f>IF(AND($A80&lt;&gt;"",BJ$3&gt;=$J80,BJ$3&lt;=$M80),1,"")</f>
        <v/>
      </c>
      <c r="BK80">
        <f>IF(AND($A80&lt;&gt;"",BK$3&gt;=$J80,BK$3&lt;=$M80),1,"")</f>
        <v/>
      </c>
      <c r="BL80">
        <f>IF(AND($A80&lt;&gt;"",BL$3&gt;=$J80,BL$3&lt;=$M80),1,"")</f>
        <v/>
      </c>
      <c r="BM80">
        <f>IF(AND($A80&lt;&gt;"",BM$3&gt;=$J80,BM$3&lt;=$M80),1,"")</f>
        <v/>
      </c>
      <c r="BN80">
        <f>IF(AND($A80&lt;&gt;"",BN$3&gt;=$J80,BN$3&lt;=$M80),1,"")</f>
        <v/>
      </c>
      <c r="BO80">
        <f>IF(AND($A80&lt;&gt;"",BO$3&gt;=$J80,BO$3&lt;=$M80),1,"")</f>
        <v/>
      </c>
      <c r="BP80">
        <f>IF(AND($A80&lt;&gt;"",BP$3&gt;=$J80,BP$3&lt;=$M80),1,"")</f>
        <v/>
      </c>
      <c r="BQ80">
        <f>IF(AND($A80&lt;&gt;"",BQ$3&gt;=$J80,BQ$3&lt;=$M80),1,"")</f>
        <v/>
      </c>
      <c r="BR80">
        <f>IF(AND($A80&lt;&gt;"",BR$3&gt;=$J80,BR$3&lt;=$M80),1,"")</f>
        <v/>
      </c>
      <c r="BS80">
        <f>IF(AND($A80&lt;&gt;"",BS$3&gt;=$J80,BS$3&lt;=$M80),1,"")</f>
        <v/>
      </c>
      <c r="BT80">
        <f>IF(AND($A80&lt;&gt;"",BT$3&gt;=$J80,BT$3&lt;=$M80),1,"")</f>
        <v/>
      </c>
      <c r="BU80">
        <f>IF(AND($A80&lt;&gt;"",BU$3&gt;=$J80,BU$3&lt;=$M80),1,"")</f>
        <v/>
      </c>
      <c r="BV80">
        <f>IF(AND($A80&lt;&gt;"",BV$3&gt;=$J80,BV$3&lt;=$M80),1,"")</f>
        <v/>
      </c>
    </row>
    <row r="81">
      <c r="A81">
        <f>IF(Job_Master_Ring!$A81="","",Job_Master_Ring!$A81)</f>
        <v/>
      </c>
      <c r="B81">
        <f>IF($A81="","",Job_Master_Ring!B81)</f>
        <v/>
      </c>
      <c r="C81">
        <f>IF($A81="","",Job_Master_Ring!C81)</f>
        <v/>
      </c>
      <c r="D81">
        <f>IF($A81="","",Job_Master_Ring!D81)</f>
        <v/>
      </c>
      <c r="E81">
        <f>IF($A81="","",IF($I81&lt;&gt;"",$I81,IFERROR(INDEX(Machine_List!$B$87:$B$94,MATCH(1,(Machine_List!$H$87:$H$94&lt;=IFERROR(VLOOKUP($B81,CHOOSE(MATCH($C81,Settings!$L$4:$L$10,0),OPR_BR1!$A$4:$K$18,OPR_BR2!$A$4:$K$18,OPR_CR2!$A$4:$K$18,OPR_CR3!$A$4:$K$18,OPR_CR4!$A$4:$K$18,OPR_RIM!$A$4:$K$18,OPR_BPR!$A$4:$K$18),10,0),0))*(Machine_List!$I$87:$I$94&gt;=IFERROR(VLOOKUP($B81,CHOOSE(MATCH($C81,Settings!$L$4:$L$10,0),OPR_BR1!$A$4:$K$18,OPR_BR2!$A$4:$K$18,OPR_CR2!$A$4:$K$18,OPR_CR3!$A$4:$K$18,OPR_CR4!$A$4:$K$18,OPR_RIM!$A$4:$K$18,OPR_BPR!$A$4:$K$18),11,0),9999)),0)),"NO COMPATIBLE MACHINE")))</f>
        <v/>
      </c>
      <c r="F81">
        <f>IF($E81="","",IFERROR(VLOOKUP($E81,Machine_List!$B:$G,6,0),""))</f>
        <v/>
      </c>
      <c r="G81" s="17">
        <f>IF($E81="","",IFERROR(VLOOKUP($E81,Machine_List!$B:$C,2,0),""))</f>
        <v/>
      </c>
      <c r="H81">
        <f>IF($E81="","",IFERROR(VLOOKUP($E81,Machine_List!$B:$D,3,0),""))</f>
        <v/>
      </c>
      <c r="J81" s="16">
        <f>IF($A81="","",IF($I81&lt;&gt;"",$I81,MAX(GlobalStartDate,IFERROR(LOOKUP(2,1/($E$3:INDIRECT("E"&amp;(ROW()-1))=$E81),$M$3:INDIRECT("M"&amp;(ROW()-1))),GlobalStartDate))))</f>
        <v/>
      </c>
      <c r="K81">
        <f>IF($A81="","",IFERROR(VLOOKUP(B81,CHOOSE(MATCH($C81,Settings!$L$4:$L$10,0),OPR_BR1!$A$4:$I$18,OPR_BR2!$A$4:$I$18,OPR_CR2!$A$4:$I$18,OPR_CR3!$A$4:$I$18,OPR_CR4!$A$4:$I$18,OPR_RIM!$A$4:$I$18,OPR_BPR!$A$4:$I$18),2,0),0))</f>
        <v/>
      </c>
      <c r="L81">
        <f>IF($A81="","",K81*D81)</f>
        <v/>
      </c>
      <c r="M81" s="16">
        <f>IF($A81="","",IF(AND(ISNUMBER(G81),G81&gt;=J81,G81&lt;=(J81+(L81/(IF(F81="Contract Workman",Settings!$K$5,Settings!$K$4))))),J81+(L81/(IF(F81="Contract Workman",Settings!$K$5,Settings!$K$4)))+(H81/(IF(F81="Contract Workman",Settings!$K$5,Settings!$K$4))),J81+(L81/(IF(F81="Contract Workman",Settings!$K$5,Settings!$K$4)))))</f>
        <v/>
      </c>
      <c r="N81">
        <f>IF($A81="","",IF(F81="Contract Workman",IF(AND(MOD(M81,1)&gt;=8/24,MOD(M81,1)&lt;20/24),"Shift S1","Shift S2"),IF(AND(MOD(M81,1)&gt;=7/24,MOD(M81,1)&lt;15/24),"Shift A",IF(AND(MOD(M81,1)&gt;=15/24,MOD(M81,1)&lt;23/24),"Shift B","Shift C"))))</f>
        <v/>
      </c>
      <c r="O81">
        <f>IF(B81="","",IF(IFERROR(ISNUMBER(SEARCH(TEXT(B81,"0"),VLOOKUP(E81,Machine_List!$B:$J,9,0))),FALSE),"✅ "&amp;E81,"❌ ?"))</f>
        <v/>
      </c>
      <c r="P81">
        <f>IF(AND($A81&lt;&gt;"",P$3&gt;=$J81,P$3&lt;=$M81),1,"")</f>
        <v/>
      </c>
      <c r="Q81">
        <f>IF(AND($A81&lt;&gt;"",Q$3&gt;=$J81,Q$3&lt;=$M81),1,"")</f>
        <v/>
      </c>
      <c r="R81">
        <f>IF(AND($A81&lt;&gt;"",R$3&gt;=$J81,R$3&lt;=$M81),1,"")</f>
        <v/>
      </c>
      <c r="S81">
        <f>IF(AND($A81&lt;&gt;"",S$3&gt;=$J81,S$3&lt;=$M81),1,"")</f>
        <v/>
      </c>
      <c r="T81">
        <f>IF(AND($A81&lt;&gt;"",T$3&gt;=$J81,T$3&lt;=$M81),1,"")</f>
        <v/>
      </c>
      <c r="U81">
        <f>IF(AND($A81&lt;&gt;"",U$3&gt;=$J81,U$3&lt;=$M81),1,"")</f>
        <v/>
      </c>
      <c r="V81">
        <f>IF(AND($A81&lt;&gt;"",V$3&gt;=$J81,V$3&lt;=$M81),1,"")</f>
        <v/>
      </c>
      <c r="W81">
        <f>IF(AND($A81&lt;&gt;"",W$3&gt;=$J81,W$3&lt;=$M81),1,"")</f>
        <v/>
      </c>
      <c r="X81">
        <f>IF(AND($A81&lt;&gt;"",X$3&gt;=$J81,X$3&lt;=$M81),1,"")</f>
        <v/>
      </c>
      <c r="Y81">
        <f>IF(AND($A81&lt;&gt;"",Y$3&gt;=$J81,Y$3&lt;=$M81),1,"")</f>
        <v/>
      </c>
      <c r="Z81">
        <f>IF(AND($A81&lt;&gt;"",Z$3&gt;=$J81,Z$3&lt;=$M81),1,"")</f>
        <v/>
      </c>
      <c r="AA81">
        <f>IF(AND($A81&lt;&gt;"",AA$3&gt;=$J81,AA$3&lt;=$M81),1,"")</f>
        <v/>
      </c>
      <c r="AB81">
        <f>IF(AND($A81&lt;&gt;"",AB$3&gt;=$J81,AB$3&lt;=$M81),1,"")</f>
        <v/>
      </c>
      <c r="AC81">
        <f>IF(AND($A81&lt;&gt;"",AC$3&gt;=$J81,AC$3&lt;=$M81),1,"")</f>
        <v/>
      </c>
      <c r="AD81">
        <f>IF(AND($A81&lt;&gt;"",AD$3&gt;=$J81,AD$3&lt;=$M81),1,"")</f>
        <v/>
      </c>
      <c r="AE81">
        <f>IF(AND($A81&lt;&gt;"",AE$3&gt;=$J81,AE$3&lt;=$M81),1,"")</f>
        <v/>
      </c>
      <c r="AF81">
        <f>IF(AND($A81&lt;&gt;"",AF$3&gt;=$J81,AF$3&lt;=$M81),1,"")</f>
        <v/>
      </c>
      <c r="AG81">
        <f>IF(AND($A81&lt;&gt;"",AG$3&gt;=$J81,AG$3&lt;=$M81),1,"")</f>
        <v/>
      </c>
      <c r="AH81">
        <f>IF(AND($A81&lt;&gt;"",AH$3&gt;=$J81,AH$3&lt;=$M81),1,"")</f>
        <v/>
      </c>
      <c r="AI81">
        <f>IF(AND($A81&lt;&gt;"",AI$3&gt;=$J81,AI$3&lt;=$M81),1,"")</f>
        <v/>
      </c>
      <c r="AJ81">
        <f>IF(AND($A81&lt;&gt;"",AJ$3&gt;=$J81,AJ$3&lt;=$M81),1,"")</f>
        <v/>
      </c>
      <c r="AK81">
        <f>IF(AND($A81&lt;&gt;"",AK$3&gt;=$J81,AK$3&lt;=$M81),1,"")</f>
        <v/>
      </c>
      <c r="AL81">
        <f>IF(AND($A81&lt;&gt;"",AL$3&gt;=$J81,AL$3&lt;=$M81),1,"")</f>
        <v/>
      </c>
      <c r="AM81">
        <f>IF(AND($A81&lt;&gt;"",AM$3&gt;=$J81,AM$3&lt;=$M81),1,"")</f>
        <v/>
      </c>
      <c r="AN81">
        <f>IF(AND($A81&lt;&gt;"",AN$3&gt;=$J81,AN$3&lt;=$M81),1,"")</f>
        <v/>
      </c>
      <c r="AO81">
        <f>IF(AND($A81&lt;&gt;"",AO$3&gt;=$J81,AO$3&lt;=$M81),1,"")</f>
        <v/>
      </c>
      <c r="AP81">
        <f>IF(AND($A81&lt;&gt;"",AP$3&gt;=$J81,AP$3&lt;=$M81),1,"")</f>
        <v/>
      </c>
      <c r="AQ81">
        <f>IF(AND($A81&lt;&gt;"",AQ$3&gt;=$J81,AQ$3&lt;=$M81),1,"")</f>
        <v/>
      </c>
      <c r="AR81">
        <f>IF(AND($A81&lt;&gt;"",AR$3&gt;=$J81,AR$3&lt;=$M81),1,"")</f>
        <v/>
      </c>
      <c r="AS81">
        <f>IF(AND($A81&lt;&gt;"",AS$3&gt;=$J81,AS$3&lt;=$M81),1,"")</f>
        <v/>
      </c>
      <c r="AT81">
        <f>IF(AND($A81&lt;&gt;"",AT$3&gt;=$J81,AT$3&lt;=$M81),1,"")</f>
        <v/>
      </c>
      <c r="AU81">
        <f>IF(AND($A81&lt;&gt;"",AU$3&gt;=$J81,AU$3&lt;=$M81),1,"")</f>
        <v/>
      </c>
      <c r="AV81">
        <f>IF(AND($A81&lt;&gt;"",AV$3&gt;=$J81,AV$3&lt;=$M81),1,"")</f>
        <v/>
      </c>
      <c r="AW81">
        <f>IF(AND($A81&lt;&gt;"",AW$3&gt;=$J81,AW$3&lt;=$M81),1,"")</f>
        <v/>
      </c>
      <c r="AX81">
        <f>IF(AND($A81&lt;&gt;"",AX$3&gt;=$J81,AX$3&lt;=$M81),1,"")</f>
        <v/>
      </c>
      <c r="AY81">
        <f>IF(AND($A81&lt;&gt;"",AY$3&gt;=$J81,AY$3&lt;=$M81),1,"")</f>
        <v/>
      </c>
      <c r="AZ81">
        <f>IF(AND($A81&lt;&gt;"",AZ$3&gt;=$J81,AZ$3&lt;=$M81),1,"")</f>
        <v/>
      </c>
      <c r="BA81">
        <f>IF(AND($A81&lt;&gt;"",BA$3&gt;=$J81,BA$3&lt;=$M81),1,"")</f>
        <v/>
      </c>
      <c r="BB81">
        <f>IF(AND($A81&lt;&gt;"",BB$3&gt;=$J81,BB$3&lt;=$M81),1,"")</f>
        <v/>
      </c>
      <c r="BC81">
        <f>IF(AND($A81&lt;&gt;"",BC$3&gt;=$J81,BC$3&lt;=$M81),1,"")</f>
        <v/>
      </c>
      <c r="BD81">
        <f>IF(AND($A81&lt;&gt;"",BD$3&gt;=$J81,BD$3&lt;=$M81),1,"")</f>
        <v/>
      </c>
      <c r="BE81">
        <f>IF(AND($A81&lt;&gt;"",BE$3&gt;=$J81,BE$3&lt;=$M81),1,"")</f>
        <v/>
      </c>
      <c r="BF81">
        <f>IF(AND($A81&lt;&gt;"",BF$3&gt;=$J81,BF$3&lt;=$M81),1,"")</f>
        <v/>
      </c>
      <c r="BG81">
        <f>IF(AND($A81&lt;&gt;"",BG$3&gt;=$J81,BG$3&lt;=$M81),1,"")</f>
        <v/>
      </c>
      <c r="BH81">
        <f>IF(AND($A81&lt;&gt;"",BH$3&gt;=$J81,BH$3&lt;=$M81),1,"")</f>
        <v/>
      </c>
      <c r="BI81">
        <f>IF(AND($A81&lt;&gt;"",BI$3&gt;=$J81,BI$3&lt;=$M81),1,"")</f>
        <v/>
      </c>
      <c r="BJ81">
        <f>IF(AND($A81&lt;&gt;"",BJ$3&gt;=$J81,BJ$3&lt;=$M81),1,"")</f>
        <v/>
      </c>
      <c r="BK81">
        <f>IF(AND($A81&lt;&gt;"",BK$3&gt;=$J81,BK$3&lt;=$M81),1,"")</f>
        <v/>
      </c>
      <c r="BL81">
        <f>IF(AND($A81&lt;&gt;"",BL$3&gt;=$J81,BL$3&lt;=$M81),1,"")</f>
        <v/>
      </c>
      <c r="BM81">
        <f>IF(AND($A81&lt;&gt;"",BM$3&gt;=$J81,BM$3&lt;=$M81),1,"")</f>
        <v/>
      </c>
      <c r="BN81">
        <f>IF(AND($A81&lt;&gt;"",BN$3&gt;=$J81,BN$3&lt;=$M81),1,"")</f>
        <v/>
      </c>
      <c r="BO81">
        <f>IF(AND($A81&lt;&gt;"",BO$3&gt;=$J81,BO$3&lt;=$M81),1,"")</f>
        <v/>
      </c>
      <c r="BP81">
        <f>IF(AND($A81&lt;&gt;"",BP$3&gt;=$J81,BP$3&lt;=$M81),1,"")</f>
        <v/>
      </c>
      <c r="BQ81">
        <f>IF(AND($A81&lt;&gt;"",BQ$3&gt;=$J81,BQ$3&lt;=$M81),1,"")</f>
        <v/>
      </c>
      <c r="BR81">
        <f>IF(AND($A81&lt;&gt;"",BR$3&gt;=$J81,BR$3&lt;=$M81),1,"")</f>
        <v/>
      </c>
      <c r="BS81">
        <f>IF(AND($A81&lt;&gt;"",BS$3&gt;=$J81,BS$3&lt;=$M81),1,"")</f>
        <v/>
      </c>
      <c r="BT81">
        <f>IF(AND($A81&lt;&gt;"",BT$3&gt;=$J81,BT$3&lt;=$M81),1,"")</f>
        <v/>
      </c>
      <c r="BU81">
        <f>IF(AND($A81&lt;&gt;"",BU$3&gt;=$J81,BU$3&lt;=$M81),1,"")</f>
        <v/>
      </c>
      <c r="BV81">
        <f>IF(AND($A81&lt;&gt;"",BV$3&gt;=$J81,BV$3&lt;=$M81),1,"")</f>
        <v/>
      </c>
    </row>
    <row r="82">
      <c r="A82">
        <f>IF(Job_Master_Ring!$A82="","",Job_Master_Ring!$A82)</f>
        <v/>
      </c>
      <c r="B82">
        <f>IF($A82="","",Job_Master_Ring!B82)</f>
        <v/>
      </c>
      <c r="C82">
        <f>IF($A82="","",Job_Master_Ring!C82)</f>
        <v/>
      </c>
      <c r="D82">
        <f>IF($A82="","",Job_Master_Ring!D82)</f>
        <v/>
      </c>
      <c r="E82">
        <f>IF($A82="","",IF($I82&lt;&gt;"",$I82,IFERROR(INDEX(Machine_List!$B$87:$B$94,MATCH(1,(Machine_List!$H$87:$H$94&lt;=IFERROR(VLOOKUP($B82,CHOOSE(MATCH($C82,Settings!$L$4:$L$10,0),OPR_BR1!$A$4:$K$18,OPR_BR2!$A$4:$K$18,OPR_CR2!$A$4:$K$18,OPR_CR3!$A$4:$K$18,OPR_CR4!$A$4:$K$18,OPR_RIM!$A$4:$K$18,OPR_BPR!$A$4:$K$18),10,0),0))*(Machine_List!$I$87:$I$94&gt;=IFERROR(VLOOKUP($B82,CHOOSE(MATCH($C82,Settings!$L$4:$L$10,0),OPR_BR1!$A$4:$K$18,OPR_BR2!$A$4:$K$18,OPR_CR2!$A$4:$K$18,OPR_CR3!$A$4:$K$18,OPR_CR4!$A$4:$K$18,OPR_RIM!$A$4:$K$18,OPR_BPR!$A$4:$K$18),11,0),9999)),0)),"NO COMPATIBLE MACHINE")))</f>
        <v/>
      </c>
      <c r="F82">
        <f>IF($E82="","",IFERROR(VLOOKUP($E82,Machine_List!$B:$G,6,0),""))</f>
        <v/>
      </c>
      <c r="G82" s="17">
        <f>IF($E82="","",IFERROR(VLOOKUP($E82,Machine_List!$B:$C,2,0),""))</f>
        <v/>
      </c>
      <c r="H82">
        <f>IF($E82="","",IFERROR(VLOOKUP($E82,Machine_List!$B:$D,3,0),""))</f>
        <v/>
      </c>
      <c r="J82" s="16">
        <f>IF($A82="","",IF($I82&lt;&gt;"",$I82,MAX(GlobalStartDate,IFERROR(LOOKUP(2,1/($E$3:INDIRECT("E"&amp;(ROW()-1))=$E82),$M$3:INDIRECT("M"&amp;(ROW()-1))),GlobalStartDate))))</f>
        <v/>
      </c>
      <c r="K82">
        <f>IF($A82="","",IFERROR(VLOOKUP(B82,CHOOSE(MATCH($C82,Settings!$L$4:$L$10,0),OPR_BR1!$A$4:$I$18,OPR_BR2!$A$4:$I$18,OPR_CR2!$A$4:$I$18,OPR_CR3!$A$4:$I$18,OPR_CR4!$A$4:$I$18,OPR_RIM!$A$4:$I$18,OPR_BPR!$A$4:$I$18),2,0),0))</f>
        <v/>
      </c>
      <c r="L82">
        <f>IF($A82="","",K82*D82)</f>
        <v/>
      </c>
      <c r="M82" s="16">
        <f>IF($A82="","",IF(AND(ISNUMBER(G82),G82&gt;=J82,G82&lt;=(J82+(L82/(IF(F82="Contract Workman",Settings!$K$5,Settings!$K$4))))),J82+(L82/(IF(F82="Contract Workman",Settings!$K$5,Settings!$K$4)))+(H82/(IF(F82="Contract Workman",Settings!$K$5,Settings!$K$4))),J82+(L82/(IF(F82="Contract Workman",Settings!$K$5,Settings!$K$4)))))</f>
        <v/>
      </c>
      <c r="N82">
        <f>IF($A82="","",IF(F82="Contract Workman",IF(AND(MOD(M82,1)&gt;=8/24,MOD(M82,1)&lt;20/24),"Shift S1","Shift S2"),IF(AND(MOD(M82,1)&gt;=7/24,MOD(M82,1)&lt;15/24),"Shift A",IF(AND(MOD(M82,1)&gt;=15/24,MOD(M82,1)&lt;23/24),"Shift B","Shift C"))))</f>
        <v/>
      </c>
      <c r="O82">
        <f>IF(B82="","",IF(IFERROR(ISNUMBER(SEARCH(TEXT(B82,"0"),VLOOKUP(E82,Machine_List!$B:$J,9,0))),FALSE),"✅ "&amp;E82,"❌ ?"))</f>
        <v/>
      </c>
      <c r="P82">
        <f>IF(AND($A82&lt;&gt;"",P$3&gt;=$J82,P$3&lt;=$M82),1,"")</f>
        <v/>
      </c>
      <c r="Q82">
        <f>IF(AND($A82&lt;&gt;"",Q$3&gt;=$J82,Q$3&lt;=$M82),1,"")</f>
        <v/>
      </c>
      <c r="R82">
        <f>IF(AND($A82&lt;&gt;"",R$3&gt;=$J82,R$3&lt;=$M82),1,"")</f>
        <v/>
      </c>
      <c r="S82">
        <f>IF(AND($A82&lt;&gt;"",S$3&gt;=$J82,S$3&lt;=$M82),1,"")</f>
        <v/>
      </c>
      <c r="T82">
        <f>IF(AND($A82&lt;&gt;"",T$3&gt;=$J82,T$3&lt;=$M82),1,"")</f>
        <v/>
      </c>
      <c r="U82">
        <f>IF(AND($A82&lt;&gt;"",U$3&gt;=$J82,U$3&lt;=$M82),1,"")</f>
        <v/>
      </c>
      <c r="V82">
        <f>IF(AND($A82&lt;&gt;"",V$3&gt;=$J82,V$3&lt;=$M82),1,"")</f>
        <v/>
      </c>
      <c r="W82">
        <f>IF(AND($A82&lt;&gt;"",W$3&gt;=$J82,W$3&lt;=$M82),1,"")</f>
        <v/>
      </c>
      <c r="X82">
        <f>IF(AND($A82&lt;&gt;"",X$3&gt;=$J82,X$3&lt;=$M82),1,"")</f>
        <v/>
      </c>
      <c r="Y82">
        <f>IF(AND($A82&lt;&gt;"",Y$3&gt;=$J82,Y$3&lt;=$M82),1,"")</f>
        <v/>
      </c>
      <c r="Z82">
        <f>IF(AND($A82&lt;&gt;"",Z$3&gt;=$J82,Z$3&lt;=$M82),1,"")</f>
        <v/>
      </c>
      <c r="AA82">
        <f>IF(AND($A82&lt;&gt;"",AA$3&gt;=$J82,AA$3&lt;=$M82),1,"")</f>
        <v/>
      </c>
      <c r="AB82">
        <f>IF(AND($A82&lt;&gt;"",AB$3&gt;=$J82,AB$3&lt;=$M82),1,"")</f>
        <v/>
      </c>
      <c r="AC82">
        <f>IF(AND($A82&lt;&gt;"",AC$3&gt;=$J82,AC$3&lt;=$M82),1,"")</f>
        <v/>
      </c>
      <c r="AD82">
        <f>IF(AND($A82&lt;&gt;"",AD$3&gt;=$J82,AD$3&lt;=$M82),1,"")</f>
        <v/>
      </c>
      <c r="AE82">
        <f>IF(AND($A82&lt;&gt;"",AE$3&gt;=$J82,AE$3&lt;=$M82),1,"")</f>
        <v/>
      </c>
      <c r="AF82">
        <f>IF(AND($A82&lt;&gt;"",AF$3&gt;=$J82,AF$3&lt;=$M82),1,"")</f>
        <v/>
      </c>
      <c r="AG82">
        <f>IF(AND($A82&lt;&gt;"",AG$3&gt;=$J82,AG$3&lt;=$M82),1,"")</f>
        <v/>
      </c>
      <c r="AH82">
        <f>IF(AND($A82&lt;&gt;"",AH$3&gt;=$J82,AH$3&lt;=$M82),1,"")</f>
        <v/>
      </c>
      <c r="AI82">
        <f>IF(AND($A82&lt;&gt;"",AI$3&gt;=$J82,AI$3&lt;=$M82),1,"")</f>
        <v/>
      </c>
      <c r="AJ82">
        <f>IF(AND($A82&lt;&gt;"",AJ$3&gt;=$J82,AJ$3&lt;=$M82),1,"")</f>
        <v/>
      </c>
      <c r="AK82">
        <f>IF(AND($A82&lt;&gt;"",AK$3&gt;=$J82,AK$3&lt;=$M82),1,"")</f>
        <v/>
      </c>
      <c r="AL82">
        <f>IF(AND($A82&lt;&gt;"",AL$3&gt;=$J82,AL$3&lt;=$M82),1,"")</f>
        <v/>
      </c>
      <c r="AM82">
        <f>IF(AND($A82&lt;&gt;"",AM$3&gt;=$J82,AM$3&lt;=$M82),1,"")</f>
        <v/>
      </c>
      <c r="AN82">
        <f>IF(AND($A82&lt;&gt;"",AN$3&gt;=$J82,AN$3&lt;=$M82),1,"")</f>
        <v/>
      </c>
      <c r="AO82">
        <f>IF(AND($A82&lt;&gt;"",AO$3&gt;=$J82,AO$3&lt;=$M82),1,"")</f>
        <v/>
      </c>
      <c r="AP82">
        <f>IF(AND($A82&lt;&gt;"",AP$3&gt;=$J82,AP$3&lt;=$M82),1,"")</f>
        <v/>
      </c>
      <c r="AQ82">
        <f>IF(AND($A82&lt;&gt;"",AQ$3&gt;=$J82,AQ$3&lt;=$M82),1,"")</f>
        <v/>
      </c>
      <c r="AR82">
        <f>IF(AND($A82&lt;&gt;"",AR$3&gt;=$J82,AR$3&lt;=$M82),1,"")</f>
        <v/>
      </c>
      <c r="AS82">
        <f>IF(AND($A82&lt;&gt;"",AS$3&gt;=$J82,AS$3&lt;=$M82),1,"")</f>
        <v/>
      </c>
      <c r="AT82">
        <f>IF(AND($A82&lt;&gt;"",AT$3&gt;=$J82,AT$3&lt;=$M82),1,"")</f>
        <v/>
      </c>
      <c r="AU82">
        <f>IF(AND($A82&lt;&gt;"",AU$3&gt;=$J82,AU$3&lt;=$M82),1,"")</f>
        <v/>
      </c>
      <c r="AV82">
        <f>IF(AND($A82&lt;&gt;"",AV$3&gt;=$J82,AV$3&lt;=$M82),1,"")</f>
        <v/>
      </c>
      <c r="AW82">
        <f>IF(AND($A82&lt;&gt;"",AW$3&gt;=$J82,AW$3&lt;=$M82),1,"")</f>
        <v/>
      </c>
      <c r="AX82">
        <f>IF(AND($A82&lt;&gt;"",AX$3&gt;=$J82,AX$3&lt;=$M82),1,"")</f>
        <v/>
      </c>
      <c r="AY82">
        <f>IF(AND($A82&lt;&gt;"",AY$3&gt;=$J82,AY$3&lt;=$M82),1,"")</f>
        <v/>
      </c>
      <c r="AZ82">
        <f>IF(AND($A82&lt;&gt;"",AZ$3&gt;=$J82,AZ$3&lt;=$M82),1,"")</f>
        <v/>
      </c>
      <c r="BA82">
        <f>IF(AND($A82&lt;&gt;"",BA$3&gt;=$J82,BA$3&lt;=$M82),1,"")</f>
        <v/>
      </c>
      <c r="BB82">
        <f>IF(AND($A82&lt;&gt;"",BB$3&gt;=$J82,BB$3&lt;=$M82),1,"")</f>
        <v/>
      </c>
      <c r="BC82">
        <f>IF(AND($A82&lt;&gt;"",BC$3&gt;=$J82,BC$3&lt;=$M82),1,"")</f>
        <v/>
      </c>
      <c r="BD82">
        <f>IF(AND($A82&lt;&gt;"",BD$3&gt;=$J82,BD$3&lt;=$M82),1,"")</f>
        <v/>
      </c>
      <c r="BE82">
        <f>IF(AND($A82&lt;&gt;"",BE$3&gt;=$J82,BE$3&lt;=$M82),1,"")</f>
        <v/>
      </c>
      <c r="BF82">
        <f>IF(AND($A82&lt;&gt;"",BF$3&gt;=$J82,BF$3&lt;=$M82),1,"")</f>
        <v/>
      </c>
      <c r="BG82">
        <f>IF(AND($A82&lt;&gt;"",BG$3&gt;=$J82,BG$3&lt;=$M82),1,"")</f>
        <v/>
      </c>
      <c r="BH82">
        <f>IF(AND($A82&lt;&gt;"",BH$3&gt;=$J82,BH$3&lt;=$M82),1,"")</f>
        <v/>
      </c>
      <c r="BI82">
        <f>IF(AND($A82&lt;&gt;"",BI$3&gt;=$J82,BI$3&lt;=$M82),1,"")</f>
        <v/>
      </c>
      <c r="BJ82">
        <f>IF(AND($A82&lt;&gt;"",BJ$3&gt;=$J82,BJ$3&lt;=$M82),1,"")</f>
        <v/>
      </c>
      <c r="BK82">
        <f>IF(AND($A82&lt;&gt;"",BK$3&gt;=$J82,BK$3&lt;=$M82),1,"")</f>
        <v/>
      </c>
      <c r="BL82">
        <f>IF(AND($A82&lt;&gt;"",BL$3&gt;=$J82,BL$3&lt;=$M82),1,"")</f>
        <v/>
      </c>
      <c r="BM82">
        <f>IF(AND($A82&lt;&gt;"",BM$3&gt;=$J82,BM$3&lt;=$M82),1,"")</f>
        <v/>
      </c>
      <c r="BN82">
        <f>IF(AND($A82&lt;&gt;"",BN$3&gt;=$J82,BN$3&lt;=$M82),1,"")</f>
        <v/>
      </c>
      <c r="BO82">
        <f>IF(AND($A82&lt;&gt;"",BO$3&gt;=$J82,BO$3&lt;=$M82),1,"")</f>
        <v/>
      </c>
      <c r="BP82">
        <f>IF(AND($A82&lt;&gt;"",BP$3&gt;=$J82,BP$3&lt;=$M82),1,"")</f>
        <v/>
      </c>
      <c r="BQ82">
        <f>IF(AND($A82&lt;&gt;"",BQ$3&gt;=$J82,BQ$3&lt;=$M82),1,"")</f>
        <v/>
      </c>
      <c r="BR82">
        <f>IF(AND($A82&lt;&gt;"",BR$3&gt;=$J82,BR$3&lt;=$M82),1,"")</f>
        <v/>
      </c>
      <c r="BS82">
        <f>IF(AND($A82&lt;&gt;"",BS$3&gt;=$J82,BS$3&lt;=$M82),1,"")</f>
        <v/>
      </c>
      <c r="BT82">
        <f>IF(AND($A82&lt;&gt;"",BT$3&gt;=$J82,BT$3&lt;=$M82),1,"")</f>
        <v/>
      </c>
      <c r="BU82">
        <f>IF(AND($A82&lt;&gt;"",BU$3&gt;=$J82,BU$3&lt;=$M82),1,"")</f>
        <v/>
      </c>
      <c r="BV82">
        <f>IF(AND($A82&lt;&gt;"",BV$3&gt;=$J82,BV$3&lt;=$M82),1,"")</f>
        <v/>
      </c>
    </row>
    <row r="83">
      <c r="A83">
        <f>IF(Job_Master_Ring!$A83="","",Job_Master_Ring!$A83)</f>
        <v/>
      </c>
      <c r="B83">
        <f>IF($A83="","",Job_Master_Ring!B83)</f>
        <v/>
      </c>
      <c r="C83">
        <f>IF($A83="","",Job_Master_Ring!C83)</f>
        <v/>
      </c>
      <c r="D83">
        <f>IF($A83="","",Job_Master_Ring!D83)</f>
        <v/>
      </c>
      <c r="E83">
        <f>IF($A83="","",IF($I83&lt;&gt;"",$I83,IFERROR(INDEX(Machine_List!$B$87:$B$94,MATCH(1,(Machine_List!$H$87:$H$94&lt;=IFERROR(VLOOKUP($B83,CHOOSE(MATCH($C83,Settings!$L$4:$L$10,0),OPR_BR1!$A$4:$K$18,OPR_BR2!$A$4:$K$18,OPR_CR2!$A$4:$K$18,OPR_CR3!$A$4:$K$18,OPR_CR4!$A$4:$K$18,OPR_RIM!$A$4:$K$18,OPR_BPR!$A$4:$K$18),10,0),0))*(Machine_List!$I$87:$I$94&gt;=IFERROR(VLOOKUP($B83,CHOOSE(MATCH($C83,Settings!$L$4:$L$10,0),OPR_BR1!$A$4:$K$18,OPR_BR2!$A$4:$K$18,OPR_CR2!$A$4:$K$18,OPR_CR3!$A$4:$K$18,OPR_CR4!$A$4:$K$18,OPR_RIM!$A$4:$K$18,OPR_BPR!$A$4:$K$18),11,0),9999)),0)),"NO COMPATIBLE MACHINE")))</f>
        <v/>
      </c>
      <c r="F83">
        <f>IF($E83="","",IFERROR(VLOOKUP($E83,Machine_List!$B:$G,6,0),""))</f>
        <v/>
      </c>
      <c r="G83" s="17">
        <f>IF($E83="","",IFERROR(VLOOKUP($E83,Machine_List!$B:$C,2,0),""))</f>
        <v/>
      </c>
      <c r="H83">
        <f>IF($E83="","",IFERROR(VLOOKUP($E83,Machine_List!$B:$D,3,0),""))</f>
        <v/>
      </c>
      <c r="J83" s="16">
        <f>IF($A83="","",IF($I83&lt;&gt;"",$I83,MAX(GlobalStartDate,IFERROR(LOOKUP(2,1/($E$3:INDIRECT("E"&amp;(ROW()-1))=$E83),$M$3:INDIRECT("M"&amp;(ROW()-1))),GlobalStartDate))))</f>
        <v/>
      </c>
      <c r="K83">
        <f>IF($A83="","",IFERROR(VLOOKUP(B83,CHOOSE(MATCH($C83,Settings!$L$4:$L$10,0),OPR_BR1!$A$4:$I$18,OPR_BR2!$A$4:$I$18,OPR_CR2!$A$4:$I$18,OPR_CR3!$A$4:$I$18,OPR_CR4!$A$4:$I$18,OPR_RIM!$A$4:$I$18,OPR_BPR!$A$4:$I$18),2,0),0))</f>
        <v/>
      </c>
      <c r="L83">
        <f>IF($A83="","",K83*D83)</f>
        <v/>
      </c>
      <c r="M83" s="16">
        <f>IF($A83="","",IF(AND(ISNUMBER(G83),G83&gt;=J83,G83&lt;=(J83+(L83/(IF(F83="Contract Workman",Settings!$K$5,Settings!$K$4))))),J83+(L83/(IF(F83="Contract Workman",Settings!$K$5,Settings!$K$4)))+(H83/(IF(F83="Contract Workman",Settings!$K$5,Settings!$K$4))),J83+(L83/(IF(F83="Contract Workman",Settings!$K$5,Settings!$K$4)))))</f>
        <v/>
      </c>
      <c r="N83">
        <f>IF($A83="","",IF(F83="Contract Workman",IF(AND(MOD(M83,1)&gt;=8/24,MOD(M83,1)&lt;20/24),"Shift S1","Shift S2"),IF(AND(MOD(M83,1)&gt;=7/24,MOD(M83,1)&lt;15/24),"Shift A",IF(AND(MOD(M83,1)&gt;=15/24,MOD(M83,1)&lt;23/24),"Shift B","Shift C"))))</f>
        <v/>
      </c>
      <c r="O83">
        <f>IF(B83="","",IF(IFERROR(ISNUMBER(SEARCH(TEXT(B83,"0"),VLOOKUP(E83,Machine_List!$B:$J,9,0))),FALSE),"✅ "&amp;E83,"❌ ?"))</f>
        <v/>
      </c>
      <c r="P83">
        <f>IF(AND($A83&lt;&gt;"",P$3&gt;=$J83,P$3&lt;=$M83),1,"")</f>
        <v/>
      </c>
      <c r="Q83">
        <f>IF(AND($A83&lt;&gt;"",Q$3&gt;=$J83,Q$3&lt;=$M83),1,"")</f>
        <v/>
      </c>
      <c r="R83">
        <f>IF(AND($A83&lt;&gt;"",R$3&gt;=$J83,R$3&lt;=$M83),1,"")</f>
        <v/>
      </c>
      <c r="S83">
        <f>IF(AND($A83&lt;&gt;"",S$3&gt;=$J83,S$3&lt;=$M83),1,"")</f>
        <v/>
      </c>
      <c r="T83">
        <f>IF(AND($A83&lt;&gt;"",T$3&gt;=$J83,T$3&lt;=$M83),1,"")</f>
        <v/>
      </c>
      <c r="U83">
        <f>IF(AND($A83&lt;&gt;"",U$3&gt;=$J83,U$3&lt;=$M83),1,"")</f>
        <v/>
      </c>
      <c r="V83">
        <f>IF(AND($A83&lt;&gt;"",V$3&gt;=$J83,V$3&lt;=$M83),1,"")</f>
        <v/>
      </c>
      <c r="W83">
        <f>IF(AND($A83&lt;&gt;"",W$3&gt;=$J83,W$3&lt;=$M83),1,"")</f>
        <v/>
      </c>
      <c r="X83">
        <f>IF(AND($A83&lt;&gt;"",X$3&gt;=$J83,X$3&lt;=$M83),1,"")</f>
        <v/>
      </c>
      <c r="Y83">
        <f>IF(AND($A83&lt;&gt;"",Y$3&gt;=$J83,Y$3&lt;=$M83),1,"")</f>
        <v/>
      </c>
      <c r="Z83">
        <f>IF(AND($A83&lt;&gt;"",Z$3&gt;=$J83,Z$3&lt;=$M83),1,"")</f>
        <v/>
      </c>
      <c r="AA83">
        <f>IF(AND($A83&lt;&gt;"",AA$3&gt;=$J83,AA$3&lt;=$M83),1,"")</f>
        <v/>
      </c>
      <c r="AB83">
        <f>IF(AND($A83&lt;&gt;"",AB$3&gt;=$J83,AB$3&lt;=$M83),1,"")</f>
        <v/>
      </c>
      <c r="AC83">
        <f>IF(AND($A83&lt;&gt;"",AC$3&gt;=$J83,AC$3&lt;=$M83),1,"")</f>
        <v/>
      </c>
      <c r="AD83">
        <f>IF(AND($A83&lt;&gt;"",AD$3&gt;=$J83,AD$3&lt;=$M83),1,"")</f>
        <v/>
      </c>
      <c r="AE83">
        <f>IF(AND($A83&lt;&gt;"",AE$3&gt;=$J83,AE$3&lt;=$M83),1,"")</f>
        <v/>
      </c>
      <c r="AF83">
        <f>IF(AND($A83&lt;&gt;"",AF$3&gt;=$J83,AF$3&lt;=$M83),1,"")</f>
        <v/>
      </c>
      <c r="AG83">
        <f>IF(AND($A83&lt;&gt;"",AG$3&gt;=$J83,AG$3&lt;=$M83),1,"")</f>
        <v/>
      </c>
      <c r="AH83">
        <f>IF(AND($A83&lt;&gt;"",AH$3&gt;=$J83,AH$3&lt;=$M83),1,"")</f>
        <v/>
      </c>
      <c r="AI83">
        <f>IF(AND($A83&lt;&gt;"",AI$3&gt;=$J83,AI$3&lt;=$M83),1,"")</f>
        <v/>
      </c>
      <c r="AJ83">
        <f>IF(AND($A83&lt;&gt;"",AJ$3&gt;=$J83,AJ$3&lt;=$M83),1,"")</f>
        <v/>
      </c>
      <c r="AK83">
        <f>IF(AND($A83&lt;&gt;"",AK$3&gt;=$J83,AK$3&lt;=$M83),1,"")</f>
        <v/>
      </c>
      <c r="AL83">
        <f>IF(AND($A83&lt;&gt;"",AL$3&gt;=$J83,AL$3&lt;=$M83),1,"")</f>
        <v/>
      </c>
      <c r="AM83">
        <f>IF(AND($A83&lt;&gt;"",AM$3&gt;=$J83,AM$3&lt;=$M83),1,"")</f>
        <v/>
      </c>
      <c r="AN83">
        <f>IF(AND($A83&lt;&gt;"",AN$3&gt;=$J83,AN$3&lt;=$M83),1,"")</f>
        <v/>
      </c>
      <c r="AO83">
        <f>IF(AND($A83&lt;&gt;"",AO$3&gt;=$J83,AO$3&lt;=$M83),1,"")</f>
        <v/>
      </c>
      <c r="AP83">
        <f>IF(AND($A83&lt;&gt;"",AP$3&gt;=$J83,AP$3&lt;=$M83),1,"")</f>
        <v/>
      </c>
      <c r="AQ83">
        <f>IF(AND($A83&lt;&gt;"",AQ$3&gt;=$J83,AQ$3&lt;=$M83),1,"")</f>
        <v/>
      </c>
      <c r="AR83">
        <f>IF(AND($A83&lt;&gt;"",AR$3&gt;=$J83,AR$3&lt;=$M83),1,"")</f>
        <v/>
      </c>
      <c r="AS83">
        <f>IF(AND($A83&lt;&gt;"",AS$3&gt;=$J83,AS$3&lt;=$M83),1,"")</f>
        <v/>
      </c>
      <c r="AT83">
        <f>IF(AND($A83&lt;&gt;"",AT$3&gt;=$J83,AT$3&lt;=$M83),1,"")</f>
        <v/>
      </c>
      <c r="AU83">
        <f>IF(AND($A83&lt;&gt;"",AU$3&gt;=$J83,AU$3&lt;=$M83),1,"")</f>
        <v/>
      </c>
      <c r="AV83">
        <f>IF(AND($A83&lt;&gt;"",AV$3&gt;=$J83,AV$3&lt;=$M83),1,"")</f>
        <v/>
      </c>
      <c r="AW83">
        <f>IF(AND($A83&lt;&gt;"",AW$3&gt;=$J83,AW$3&lt;=$M83),1,"")</f>
        <v/>
      </c>
      <c r="AX83">
        <f>IF(AND($A83&lt;&gt;"",AX$3&gt;=$J83,AX$3&lt;=$M83),1,"")</f>
        <v/>
      </c>
      <c r="AY83">
        <f>IF(AND($A83&lt;&gt;"",AY$3&gt;=$J83,AY$3&lt;=$M83),1,"")</f>
        <v/>
      </c>
      <c r="AZ83">
        <f>IF(AND($A83&lt;&gt;"",AZ$3&gt;=$J83,AZ$3&lt;=$M83),1,"")</f>
        <v/>
      </c>
      <c r="BA83">
        <f>IF(AND($A83&lt;&gt;"",BA$3&gt;=$J83,BA$3&lt;=$M83),1,"")</f>
        <v/>
      </c>
      <c r="BB83">
        <f>IF(AND($A83&lt;&gt;"",BB$3&gt;=$J83,BB$3&lt;=$M83),1,"")</f>
        <v/>
      </c>
      <c r="BC83">
        <f>IF(AND($A83&lt;&gt;"",BC$3&gt;=$J83,BC$3&lt;=$M83),1,"")</f>
        <v/>
      </c>
      <c r="BD83">
        <f>IF(AND($A83&lt;&gt;"",BD$3&gt;=$J83,BD$3&lt;=$M83),1,"")</f>
        <v/>
      </c>
      <c r="BE83">
        <f>IF(AND($A83&lt;&gt;"",BE$3&gt;=$J83,BE$3&lt;=$M83),1,"")</f>
        <v/>
      </c>
      <c r="BF83">
        <f>IF(AND($A83&lt;&gt;"",BF$3&gt;=$J83,BF$3&lt;=$M83),1,"")</f>
        <v/>
      </c>
      <c r="BG83">
        <f>IF(AND($A83&lt;&gt;"",BG$3&gt;=$J83,BG$3&lt;=$M83),1,"")</f>
        <v/>
      </c>
      <c r="BH83">
        <f>IF(AND($A83&lt;&gt;"",BH$3&gt;=$J83,BH$3&lt;=$M83),1,"")</f>
        <v/>
      </c>
      <c r="BI83">
        <f>IF(AND($A83&lt;&gt;"",BI$3&gt;=$J83,BI$3&lt;=$M83),1,"")</f>
        <v/>
      </c>
      <c r="BJ83">
        <f>IF(AND($A83&lt;&gt;"",BJ$3&gt;=$J83,BJ$3&lt;=$M83),1,"")</f>
        <v/>
      </c>
      <c r="BK83">
        <f>IF(AND($A83&lt;&gt;"",BK$3&gt;=$J83,BK$3&lt;=$M83),1,"")</f>
        <v/>
      </c>
      <c r="BL83">
        <f>IF(AND($A83&lt;&gt;"",BL$3&gt;=$J83,BL$3&lt;=$M83),1,"")</f>
        <v/>
      </c>
      <c r="BM83">
        <f>IF(AND($A83&lt;&gt;"",BM$3&gt;=$J83,BM$3&lt;=$M83),1,"")</f>
        <v/>
      </c>
      <c r="BN83">
        <f>IF(AND($A83&lt;&gt;"",BN$3&gt;=$J83,BN$3&lt;=$M83),1,"")</f>
        <v/>
      </c>
      <c r="BO83">
        <f>IF(AND($A83&lt;&gt;"",BO$3&gt;=$J83,BO$3&lt;=$M83),1,"")</f>
        <v/>
      </c>
      <c r="BP83">
        <f>IF(AND($A83&lt;&gt;"",BP$3&gt;=$J83,BP$3&lt;=$M83),1,"")</f>
        <v/>
      </c>
      <c r="BQ83">
        <f>IF(AND($A83&lt;&gt;"",BQ$3&gt;=$J83,BQ$3&lt;=$M83),1,"")</f>
        <v/>
      </c>
      <c r="BR83">
        <f>IF(AND($A83&lt;&gt;"",BR$3&gt;=$J83,BR$3&lt;=$M83),1,"")</f>
        <v/>
      </c>
      <c r="BS83">
        <f>IF(AND($A83&lt;&gt;"",BS$3&gt;=$J83,BS$3&lt;=$M83),1,"")</f>
        <v/>
      </c>
      <c r="BT83">
        <f>IF(AND($A83&lt;&gt;"",BT$3&gt;=$J83,BT$3&lt;=$M83),1,"")</f>
        <v/>
      </c>
      <c r="BU83">
        <f>IF(AND($A83&lt;&gt;"",BU$3&gt;=$J83,BU$3&lt;=$M83),1,"")</f>
        <v/>
      </c>
      <c r="BV83">
        <f>IF(AND($A83&lt;&gt;"",BV$3&gt;=$J83,BV$3&lt;=$M83),1,"")</f>
        <v/>
      </c>
    </row>
    <row r="84">
      <c r="A84">
        <f>IF(Job_Master_Ring!$A84="","",Job_Master_Ring!$A84)</f>
        <v/>
      </c>
      <c r="B84">
        <f>IF($A84="","",Job_Master_Ring!B84)</f>
        <v/>
      </c>
      <c r="C84">
        <f>IF($A84="","",Job_Master_Ring!C84)</f>
        <v/>
      </c>
      <c r="D84">
        <f>IF($A84="","",Job_Master_Ring!D84)</f>
        <v/>
      </c>
      <c r="E84">
        <f>IF($A84="","",IF($I84&lt;&gt;"",$I84,IFERROR(INDEX(Machine_List!$B$87:$B$94,MATCH(1,(Machine_List!$H$87:$H$94&lt;=IFERROR(VLOOKUP($B84,CHOOSE(MATCH($C84,Settings!$L$4:$L$10,0),OPR_BR1!$A$4:$K$18,OPR_BR2!$A$4:$K$18,OPR_CR2!$A$4:$K$18,OPR_CR3!$A$4:$K$18,OPR_CR4!$A$4:$K$18,OPR_RIM!$A$4:$K$18,OPR_BPR!$A$4:$K$18),10,0),0))*(Machine_List!$I$87:$I$94&gt;=IFERROR(VLOOKUP($B84,CHOOSE(MATCH($C84,Settings!$L$4:$L$10,0),OPR_BR1!$A$4:$K$18,OPR_BR2!$A$4:$K$18,OPR_CR2!$A$4:$K$18,OPR_CR3!$A$4:$K$18,OPR_CR4!$A$4:$K$18,OPR_RIM!$A$4:$K$18,OPR_BPR!$A$4:$K$18),11,0),9999)),0)),"NO COMPATIBLE MACHINE")))</f>
        <v/>
      </c>
      <c r="F84">
        <f>IF($E84="","",IFERROR(VLOOKUP($E84,Machine_List!$B:$G,6,0),""))</f>
        <v/>
      </c>
      <c r="G84" s="17">
        <f>IF($E84="","",IFERROR(VLOOKUP($E84,Machine_List!$B:$C,2,0),""))</f>
        <v/>
      </c>
      <c r="H84">
        <f>IF($E84="","",IFERROR(VLOOKUP($E84,Machine_List!$B:$D,3,0),""))</f>
        <v/>
      </c>
      <c r="J84" s="16">
        <f>IF($A84="","",IF($I84&lt;&gt;"",$I84,MAX(GlobalStartDate,IFERROR(LOOKUP(2,1/($E$3:INDIRECT("E"&amp;(ROW()-1))=$E84),$M$3:INDIRECT("M"&amp;(ROW()-1))),GlobalStartDate))))</f>
        <v/>
      </c>
      <c r="K84">
        <f>IF($A84="","",IFERROR(VLOOKUP(B84,CHOOSE(MATCH($C84,Settings!$L$4:$L$10,0),OPR_BR1!$A$4:$I$18,OPR_BR2!$A$4:$I$18,OPR_CR2!$A$4:$I$18,OPR_CR3!$A$4:$I$18,OPR_CR4!$A$4:$I$18,OPR_RIM!$A$4:$I$18,OPR_BPR!$A$4:$I$18),2,0),0))</f>
        <v/>
      </c>
      <c r="L84">
        <f>IF($A84="","",K84*D84)</f>
        <v/>
      </c>
      <c r="M84" s="16">
        <f>IF($A84="","",IF(AND(ISNUMBER(G84),G84&gt;=J84,G84&lt;=(J84+(L84/(IF(F84="Contract Workman",Settings!$K$5,Settings!$K$4))))),J84+(L84/(IF(F84="Contract Workman",Settings!$K$5,Settings!$K$4)))+(H84/(IF(F84="Contract Workman",Settings!$K$5,Settings!$K$4))),J84+(L84/(IF(F84="Contract Workman",Settings!$K$5,Settings!$K$4)))))</f>
        <v/>
      </c>
      <c r="N84">
        <f>IF($A84="","",IF(F84="Contract Workman",IF(AND(MOD(M84,1)&gt;=8/24,MOD(M84,1)&lt;20/24),"Shift S1","Shift S2"),IF(AND(MOD(M84,1)&gt;=7/24,MOD(M84,1)&lt;15/24),"Shift A",IF(AND(MOD(M84,1)&gt;=15/24,MOD(M84,1)&lt;23/24),"Shift B","Shift C"))))</f>
        <v/>
      </c>
      <c r="O84">
        <f>IF(B84="","",IF(IFERROR(ISNUMBER(SEARCH(TEXT(B84,"0"),VLOOKUP(E84,Machine_List!$B:$J,9,0))),FALSE),"✅ "&amp;E84,"❌ ?"))</f>
        <v/>
      </c>
      <c r="P84">
        <f>IF(AND($A84&lt;&gt;"",P$3&gt;=$J84,P$3&lt;=$M84),1,"")</f>
        <v/>
      </c>
      <c r="Q84">
        <f>IF(AND($A84&lt;&gt;"",Q$3&gt;=$J84,Q$3&lt;=$M84),1,"")</f>
        <v/>
      </c>
      <c r="R84">
        <f>IF(AND($A84&lt;&gt;"",R$3&gt;=$J84,R$3&lt;=$M84),1,"")</f>
        <v/>
      </c>
      <c r="S84">
        <f>IF(AND($A84&lt;&gt;"",S$3&gt;=$J84,S$3&lt;=$M84),1,"")</f>
        <v/>
      </c>
      <c r="T84">
        <f>IF(AND($A84&lt;&gt;"",T$3&gt;=$J84,T$3&lt;=$M84),1,"")</f>
        <v/>
      </c>
      <c r="U84">
        <f>IF(AND($A84&lt;&gt;"",U$3&gt;=$J84,U$3&lt;=$M84),1,"")</f>
        <v/>
      </c>
      <c r="V84">
        <f>IF(AND($A84&lt;&gt;"",V$3&gt;=$J84,V$3&lt;=$M84),1,"")</f>
        <v/>
      </c>
      <c r="W84">
        <f>IF(AND($A84&lt;&gt;"",W$3&gt;=$J84,W$3&lt;=$M84),1,"")</f>
        <v/>
      </c>
      <c r="X84">
        <f>IF(AND($A84&lt;&gt;"",X$3&gt;=$J84,X$3&lt;=$M84),1,"")</f>
        <v/>
      </c>
      <c r="Y84">
        <f>IF(AND($A84&lt;&gt;"",Y$3&gt;=$J84,Y$3&lt;=$M84),1,"")</f>
        <v/>
      </c>
      <c r="Z84">
        <f>IF(AND($A84&lt;&gt;"",Z$3&gt;=$J84,Z$3&lt;=$M84),1,"")</f>
        <v/>
      </c>
      <c r="AA84">
        <f>IF(AND($A84&lt;&gt;"",AA$3&gt;=$J84,AA$3&lt;=$M84),1,"")</f>
        <v/>
      </c>
      <c r="AB84">
        <f>IF(AND($A84&lt;&gt;"",AB$3&gt;=$J84,AB$3&lt;=$M84),1,"")</f>
        <v/>
      </c>
      <c r="AC84">
        <f>IF(AND($A84&lt;&gt;"",AC$3&gt;=$J84,AC$3&lt;=$M84),1,"")</f>
        <v/>
      </c>
      <c r="AD84">
        <f>IF(AND($A84&lt;&gt;"",AD$3&gt;=$J84,AD$3&lt;=$M84),1,"")</f>
        <v/>
      </c>
      <c r="AE84">
        <f>IF(AND($A84&lt;&gt;"",AE$3&gt;=$J84,AE$3&lt;=$M84),1,"")</f>
        <v/>
      </c>
      <c r="AF84">
        <f>IF(AND($A84&lt;&gt;"",AF$3&gt;=$J84,AF$3&lt;=$M84),1,"")</f>
        <v/>
      </c>
      <c r="AG84">
        <f>IF(AND($A84&lt;&gt;"",AG$3&gt;=$J84,AG$3&lt;=$M84),1,"")</f>
        <v/>
      </c>
      <c r="AH84">
        <f>IF(AND($A84&lt;&gt;"",AH$3&gt;=$J84,AH$3&lt;=$M84),1,"")</f>
        <v/>
      </c>
      <c r="AI84">
        <f>IF(AND($A84&lt;&gt;"",AI$3&gt;=$J84,AI$3&lt;=$M84),1,"")</f>
        <v/>
      </c>
      <c r="AJ84">
        <f>IF(AND($A84&lt;&gt;"",AJ$3&gt;=$J84,AJ$3&lt;=$M84),1,"")</f>
        <v/>
      </c>
      <c r="AK84">
        <f>IF(AND($A84&lt;&gt;"",AK$3&gt;=$J84,AK$3&lt;=$M84),1,"")</f>
        <v/>
      </c>
      <c r="AL84">
        <f>IF(AND($A84&lt;&gt;"",AL$3&gt;=$J84,AL$3&lt;=$M84),1,"")</f>
        <v/>
      </c>
      <c r="AM84">
        <f>IF(AND($A84&lt;&gt;"",AM$3&gt;=$J84,AM$3&lt;=$M84),1,"")</f>
        <v/>
      </c>
      <c r="AN84">
        <f>IF(AND($A84&lt;&gt;"",AN$3&gt;=$J84,AN$3&lt;=$M84),1,"")</f>
        <v/>
      </c>
      <c r="AO84">
        <f>IF(AND($A84&lt;&gt;"",AO$3&gt;=$J84,AO$3&lt;=$M84),1,"")</f>
        <v/>
      </c>
      <c r="AP84">
        <f>IF(AND($A84&lt;&gt;"",AP$3&gt;=$J84,AP$3&lt;=$M84),1,"")</f>
        <v/>
      </c>
      <c r="AQ84">
        <f>IF(AND($A84&lt;&gt;"",AQ$3&gt;=$J84,AQ$3&lt;=$M84),1,"")</f>
        <v/>
      </c>
      <c r="AR84">
        <f>IF(AND($A84&lt;&gt;"",AR$3&gt;=$J84,AR$3&lt;=$M84),1,"")</f>
        <v/>
      </c>
      <c r="AS84">
        <f>IF(AND($A84&lt;&gt;"",AS$3&gt;=$J84,AS$3&lt;=$M84),1,"")</f>
        <v/>
      </c>
      <c r="AT84">
        <f>IF(AND($A84&lt;&gt;"",AT$3&gt;=$J84,AT$3&lt;=$M84),1,"")</f>
        <v/>
      </c>
      <c r="AU84">
        <f>IF(AND($A84&lt;&gt;"",AU$3&gt;=$J84,AU$3&lt;=$M84),1,"")</f>
        <v/>
      </c>
      <c r="AV84">
        <f>IF(AND($A84&lt;&gt;"",AV$3&gt;=$J84,AV$3&lt;=$M84),1,"")</f>
        <v/>
      </c>
      <c r="AW84">
        <f>IF(AND($A84&lt;&gt;"",AW$3&gt;=$J84,AW$3&lt;=$M84),1,"")</f>
        <v/>
      </c>
      <c r="AX84">
        <f>IF(AND($A84&lt;&gt;"",AX$3&gt;=$J84,AX$3&lt;=$M84),1,"")</f>
        <v/>
      </c>
      <c r="AY84">
        <f>IF(AND($A84&lt;&gt;"",AY$3&gt;=$J84,AY$3&lt;=$M84),1,"")</f>
        <v/>
      </c>
      <c r="AZ84">
        <f>IF(AND($A84&lt;&gt;"",AZ$3&gt;=$J84,AZ$3&lt;=$M84),1,"")</f>
        <v/>
      </c>
      <c r="BA84">
        <f>IF(AND($A84&lt;&gt;"",BA$3&gt;=$J84,BA$3&lt;=$M84),1,"")</f>
        <v/>
      </c>
      <c r="BB84">
        <f>IF(AND($A84&lt;&gt;"",BB$3&gt;=$J84,BB$3&lt;=$M84),1,"")</f>
        <v/>
      </c>
      <c r="BC84">
        <f>IF(AND($A84&lt;&gt;"",BC$3&gt;=$J84,BC$3&lt;=$M84),1,"")</f>
        <v/>
      </c>
      <c r="BD84">
        <f>IF(AND($A84&lt;&gt;"",BD$3&gt;=$J84,BD$3&lt;=$M84),1,"")</f>
        <v/>
      </c>
      <c r="BE84">
        <f>IF(AND($A84&lt;&gt;"",BE$3&gt;=$J84,BE$3&lt;=$M84),1,"")</f>
        <v/>
      </c>
      <c r="BF84">
        <f>IF(AND($A84&lt;&gt;"",BF$3&gt;=$J84,BF$3&lt;=$M84),1,"")</f>
        <v/>
      </c>
      <c r="BG84">
        <f>IF(AND($A84&lt;&gt;"",BG$3&gt;=$J84,BG$3&lt;=$M84),1,"")</f>
        <v/>
      </c>
      <c r="BH84">
        <f>IF(AND($A84&lt;&gt;"",BH$3&gt;=$J84,BH$3&lt;=$M84),1,"")</f>
        <v/>
      </c>
      <c r="BI84">
        <f>IF(AND($A84&lt;&gt;"",BI$3&gt;=$J84,BI$3&lt;=$M84),1,"")</f>
        <v/>
      </c>
      <c r="BJ84">
        <f>IF(AND($A84&lt;&gt;"",BJ$3&gt;=$J84,BJ$3&lt;=$M84),1,"")</f>
        <v/>
      </c>
      <c r="BK84">
        <f>IF(AND($A84&lt;&gt;"",BK$3&gt;=$J84,BK$3&lt;=$M84),1,"")</f>
        <v/>
      </c>
      <c r="BL84">
        <f>IF(AND($A84&lt;&gt;"",BL$3&gt;=$J84,BL$3&lt;=$M84),1,"")</f>
        <v/>
      </c>
      <c r="BM84">
        <f>IF(AND($A84&lt;&gt;"",BM$3&gt;=$J84,BM$3&lt;=$M84),1,"")</f>
        <v/>
      </c>
      <c r="BN84">
        <f>IF(AND($A84&lt;&gt;"",BN$3&gt;=$J84,BN$3&lt;=$M84),1,"")</f>
        <v/>
      </c>
      <c r="BO84">
        <f>IF(AND($A84&lt;&gt;"",BO$3&gt;=$J84,BO$3&lt;=$M84),1,"")</f>
        <v/>
      </c>
      <c r="BP84">
        <f>IF(AND($A84&lt;&gt;"",BP$3&gt;=$J84,BP$3&lt;=$M84),1,"")</f>
        <v/>
      </c>
      <c r="BQ84">
        <f>IF(AND($A84&lt;&gt;"",BQ$3&gt;=$J84,BQ$3&lt;=$M84),1,"")</f>
        <v/>
      </c>
      <c r="BR84">
        <f>IF(AND($A84&lt;&gt;"",BR$3&gt;=$J84,BR$3&lt;=$M84),1,"")</f>
        <v/>
      </c>
      <c r="BS84">
        <f>IF(AND($A84&lt;&gt;"",BS$3&gt;=$J84,BS$3&lt;=$M84),1,"")</f>
        <v/>
      </c>
      <c r="BT84">
        <f>IF(AND($A84&lt;&gt;"",BT$3&gt;=$J84,BT$3&lt;=$M84),1,"")</f>
        <v/>
      </c>
      <c r="BU84">
        <f>IF(AND($A84&lt;&gt;"",BU$3&gt;=$J84,BU$3&lt;=$M84),1,"")</f>
        <v/>
      </c>
      <c r="BV84">
        <f>IF(AND($A84&lt;&gt;"",BV$3&gt;=$J84,BV$3&lt;=$M84),1,"")</f>
        <v/>
      </c>
    </row>
    <row r="85">
      <c r="A85">
        <f>IF(Job_Master_Ring!$A85="","",Job_Master_Ring!$A85)</f>
        <v/>
      </c>
      <c r="B85">
        <f>IF($A85="","",Job_Master_Ring!B85)</f>
        <v/>
      </c>
      <c r="C85">
        <f>IF($A85="","",Job_Master_Ring!C85)</f>
        <v/>
      </c>
      <c r="D85">
        <f>IF($A85="","",Job_Master_Ring!D85)</f>
        <v/>
      </c>
      <c r="E85">
        <f>IF($A85="","",IF($I85&lt;&gt;"",$I85,IFERROR(INDEX(Machine_List!$B$87:$B$94,MATCH(1,(Machine_List!$H$87:$H$94&lt;=IFERROR(VLOOKUP($B85,CHOOSE(MATCH($C85,Settings!$L$4:$L$10,0),OPR_BR1!$A$4:$K$18,OPR_BR2!$A$4:$K$18,OPR_CR2!$A$4:$K$18,OPR_CR3!$A$4:$K$18,OPR_CR4!$A$4:$K$18,OPR_RIM!$A$4:$K$18,OPR_BPR!$A$4:$K$18),10,0),0))*(Machine_List!$I$87:$I$94&gt;=IFERROR(VLOOKUP($B85,CHOOSE(MATCH($C85,Settings!$L$4:$L$10,0),OPR_BR1!$A$4:$K$18,OPR_BR2!$A$4:$K$18,OPR_CR2!$A$4:$K$18,OPR_CR3!$A$4:$K$18,OPR_CR4!$A$4:$K$18,OPR_RIM!$A$4:$K$18,OPR_BPR!$A$4:$K$18),11,0),9999)),0)),"NO COMPATIBLE MACHINE")))</f>
        <v/>
      </c>
      <c r="F85">
        <f>IF($E85="","",IFERROR(VLOOKUP($E85,Machine_List!$B:$G,6,0),""))</f>
        <v/>
      </c>
      <c r="G85" s="17">
        <f>IF($E85="","",IFERROR(VLOOKUP($E85,Machine_List!$B:$C,2,0),""))</f>
        <v/>
      </c>
      <c r="H85">
        <f>IF($E85="","",IFERROR(VLOOKUP($E85,Machine_List!$B:$D,3,0),""))</f>
        <v/>
      </c>
      <c r="J85" s="16">
        <f>IF($A85="","",IF($I85&lt;&gt;"",$I85,MAX(GlobalStartDate,IFERROR(LOOKUP(2,1/($E$3:INDIRECT("E"&amp;(ROW()-1))=$E85),$M$3:INDIRECT("M"&amp;(ROW()-1))),GlobalStartDate))))</f>
        <v/>
      </c>
      <c r="K85">
        <f>IF($A85="","",IFERROR(VLOOKUP(B85,CHOOSE(MATCH($C85,Settings!$L$4:$L$10,0),OPR_BR1!$A$4:$I$18,OPR_BR2!$A$4:$I$18,OPR_CR2!$A$4:$I$18,OPR_CR3!$A$4:$I$18,OPR_CR4!$A$4:$I$18,OPR_RIM!$A$4:$I$18,OPR_BPR!$A$4:$I$18),2,0),0))</f>
        <v/>
      </c>
      <c r="L85">
        <f>IF($A85="","",K85*D85)</f>
        <v/>
      </c>
      <c r="M85" s="16">
        <f>IF($A85="","",IF(AND(ISNUMBER(G85),G85&gt;=J85,G85&lt;=(J85+(L85/(IF(F85="Contract Workman",Settings!$K$5,Settings!$K$4))))),J85+(L85/(IF(F85="Contract Workman",Settings!$K$5,Settings!$K$4)))+(H85/(IF(F85="Contract Workman",Settings!$K$5,Settings!$K$4))),J85+(L85/(IF(F85="Contract Workman",Settings!$K$5,Settings!$K$4)))))</f>
        <v/>
      </c>
      <c r="N85">
        <f>IF($A85="","",IF(F85="Contract Workman",IF(AND(MOD(M85,1)&gt;=8/24,MOD(M85,1)&lt;20/24),"Shift S1","Shift S2"),IF(AND(MOD(M85,1)&gt;=7/24,MOD(M85,1)&lt;15/24),"Shift A",IF(AND(MOD(M85,1)&gt;=15/24,MOD(M85,1)&lt;23/24),"Shift B","Shift C"))))</f>
        <v/>
      </c>
      <c r="O85">
        <f>IF(B85="","",IF(IFERROR(ISNUMBER(SEARCH(TEXT(B85,"0"),VLOOKUP(E85,Machine_List!$B:$J,9,0))),FALSE),"✅ "&amp;E85,"❌ ?"))</f>
        <v/>
      </c>
      <c r="P85">
        <f>IF(AND($A85&lt;&gt;"",P$3&gt;=$J85,P$3&lt;=$M85),1,"")</f>
        <v/>
      </c>
      <c r="Q85">
        <f>IF(AND($A85&lt;&gt;"",Q$3&gt;=$J85,Q$3&lt;=$M85),1,"")</f>
        <v/>
      </c>
      <c r="R85">
        <f>IF(AND($A85&lt;&gt;"",R$3&gt;=$J85,R$3&lt;=$M85),1,"")</f>
        <v/>
      </c>
      <c r="S85">
        <f>IF(AND($A85&lt;&gt;"",S$3&gt;=$J85,S$3&lt;=$M85),1,"")</f>
        <v/>
      </c>
      <c r="T85">
        <f>IF(AND($A85&lt;&gt;"",T$3&gt;=$J85,T$3&lt;=$M85),1,"")</f>
        <v/>
      </c>
      <c r="U85">
        <f>IF(AND($A85&lt;&gt;"",U$3&gt;=$J85,U$3&lt;=$M85),1,"")</f>
        <v/>
      </c>
      <c r="V85">
        <f>IF(AND($A85&lt;&gt;"",V$3&gt;=$J85,V$3&lt;=$M85),1,"")</f>
        <v/>
      </c>
      <c r="W85">
        <f>IF(AND($A85&lt;&gt;"",W$3&gt;=$J85,W$3&lt;=$M85),1,"")</f>
        <v/>
      </c>
      <c r="X85">
        <f>IF(AND($A85&lt;&gt;"",X$3&gt;=$J85,X$3&lt;=$M85),1,"")</f>
        <v/>
      </c>
      <c r="Y85">
        <f>IF(AND($A85&lt;&gt;"",Y$3&gt;=$J85,Y$3&lt;=$M85),1,"")</f>
        <v/>
      </c>
      <c r="Z85">
        <f>IF(AND($A85&lt;&gt;"",Z$3&gt;=$J85,Z$3&lt;=$M85),1,"")</f>
        <v/>
      </c>
      <c r="AA85">
        <f>IF(AND($A85&lt;&gt;"",AA$3&gt;=$J85,AA$3&lt;=$M85),1,"")</f>
        <v/>
      </c>
      <c r="AB85">
        <f>IF(AND($A85&lt;&gt;"",AB$3&gt;=$J85,AB$3&lt;=$M85),1,"")</f>
        <v/>
      </c>
      <c r="AC85">
        <f>IF(AND($A85&lt;&gt;"",AC$3&gt;=$J85,AC$3&lt;=$M85),1,"")</f>
        <v/>
      </c>
      <c r="AD85">
        <f>IF(AND($A85&lt;&gt;"",AD$3&gt;=$J85,AD$3&lt;=$M85),1,"")</f>
        <v/>
      </c>
      <c r="AE85">
        <f>IF(AND($A85&lt;&gt;"",AE$3&gt;=$J85,AE$3&lt;=$M85),1,"")</f>
        <v/>
      </c>
      <c r="AF85">
        <f>IF(AND($A85&lt;&gt;"",AF$3&gt;=$J85,AF$3&lt;=$M85),1,"")</f>
        <v/>
      </c>
      <c r="AG85">
        <f>IF(AND($A85&lt;&gt;"",AG$3&gt;=$J85,AG$3&lt;=$M85),1,"")</f>
        <v/>
      </c>
      <c r="AH85">
        <f>IF(AND($A85&lt;&gt;"",AH$3&gt;=$J85,AH$3&lt;=$M85),1,"")</f>
        <v/>
      </c>
      <c r="AI85">
        <f>IF(AND($A85&lt;&gt;"",AI$3&gt;=$J85,AI$3&lt;=$M85),1,"")</f>
        <v/>
      </c>
      <c r="AJ85">
        <f>IF(AND($A85&lt;&gt;"",AJ$3&gt;=$J85,AJ$3&lt;=$M85),1,"")</f>
        <v/>
      </c>
      <c r="AK85">
        <f>IF(AND($A85&lt;&gt;"",AK$3&gt;=$J85,AK$3&lt;=$M85),1,"")</f>
        <v/>
      </c>
      <c r="AL85">
        <f>IF(AND($A85&lt;&gt;"",AL$3&gt;=$J85,AL$3&lt;=$M85),1,"")</f>
        <v/>
      </c>
      <c r="AM85">
        <f>IF(AND($A85&lt;&gt;"",AM$3&gt;=$J85,AM$3&lt;=$M85),1,"")</f>
        <v/>
      </c>
      <c r="AN85">
        <f>IF(AND($A85&lt;&gt;"",AN$3&gt;=$J85,AN$3&lt;=$M85),1,"")</f>
        <v/>
      </c>
      <c r="AO85">
        <f>IF(AND($A85&lt;&gt;"",AO$3&gt;=$J85,AO$3&lt;=$M85),1,"")</f>
        <v/>
      </c>
      <c r="AP85">
        <f>IF(AND($A85&lt;&gt;"",AP$3&gt;=$J85,AP$3&lt;=$M85),1,"")</f>
        <v/>
      </c>
      <c r="AQ85">
        <f>IF(AND($A85&lt;&gt;"",AQ$3&gt;=$J85,AQ$3&lt;=$M85),1,"")</f>
        <v/>
      </c>
      <c r="AR85">
        <f>IF(AND($A85&lt;&gt;"",AR$3&gt;=$J85,AR$3&lt;=$M85),1,"")</f>
        <v/>
      </c>
      <c r="AS85">
        <f>IF(AND($A85&lt;&gt;"",AS$3&gt;=$J85,AS$3&lt;=$M85),1,"")</f>
        <v/>
      </c>
      <c r="AT85">
        <f>IF(AND($A85&lt;&gt;"",AT$3&gt;=$J85,AT$3&lt;=$M85),1,"")</f>
        <v/>
      </c>
      <c r="AU85">
        <f>IF(AND($A85&lt;&gt;"",AU$3&gt;=$J85,AU$3&lt;=$M85),1,"")</f>
        <v/>
      </c>
      <c r="AV85">
        <f>IF(AND($A85&lt;&gt;"",AV$3&gt;=$J85,AV$3&lt;=$M85),1,"")</f>
        <v/>
      </c>
      <c r="AW85">
        <f>IF(AND($A85&lt;&gt;"",AW$3&gt;=$J85,AW$3&lt;=$M85),1,"")</f>
        <v/>
      </c>
      <c r="AX85">
        <f>IF(AND($A85&lt;&gt;"",AX$3&gt;=$J85,AX$3&lt;=$M85),1,"")</f>
        <v/>
      </c>
      <c r="AY85">
        <f>IF(AND($A85&lt;&gt;"",AY$3&gt;=$J85,AY$3&lt;=$M85),1,"")</f>
        <v/>
      </c>
      <c r="AZ85">
        <f>IF(AND($A85&lt;&gt;"",AZ$3&gt;=$J85,AZ$3&lt;=$M85),1,"")</f>
        <v/>
      </c>
      <c r="BA85">
        <f>IF(AND($A85&lt;&gt;"",BA$3&gt;=$J85,BA$3&lt;=$M85),1,"")</f>
        <v/>
      </c>
      <c r="BB85">
        <f>IF(AND($A85&lt;&gt;"",BB$3&gt;=$J85,BB$3&lt;=$M85),1,"")</f>
        <v/>
      </c>
      <c r="BC85">
        <f>IF(AND($A85&lt;&gt;"",BC$3&gt;=$J85,BC$3&lt;=$M85),1,"")</f>
        <v/>
      </c>
      <c r="BD85">
        <f>IF(AND($A85&lt;&gt;"",BD$3&gt;=$J85,BD$3&lt;=$M85),1,"")</f>
        <v/>
      </c>
      <c r="BE85">
        <f>IF(AND($A85&lt;&gt;"",BE$3&gt;=$J85,BE$3&lt;=$M85),1,"")</f>
        <v/>
      </c>
      <c r="BF85">
        <f>IF(AND($A85&lt;&gt;"",BF$3&gt;=$J85,BF$3&lt;=$M85),1,"")</f>
        <v/>
      </c>
      <c r="BG85">
        <f>IF(AND($A85&lt;&gt;"",BG$3&gt;=$J85,BG$3&lt;=$M85),1,"")</f>
        <v/>
      </c>
      <c r="BH85">
        <f>IF(AND($A85&lt;&gt;"",BH$3&gt;=$J85,BH$3&lt;=$M85),1,"")</f>
        <v/>
      </c>
      <c r="BI85">
        <f>IF(AND($A85&lt;&gt;"",BI$3&gt;=$J85,BI$3&lt;=$M85),1,"")</f>
        <v/>
      </c>
      <c r="BJ85">
        <f>IF(AND($A85&lt;&gt;"",BJ$3&gt;=$J85,BJ$3&lt;=$M85),1,"")</f>
        <v/>
      </c>
      <c r="BK85">
        <f>IF(AND($A85&lt;&gt;"",BK$3&gt;=$J85,BK$3&lt;=$M85),1,"")</f>
        <v/>
      </c>
      <c r="BL85">
        <f>IF(AND($A85&lt;&gt;"",BL$3&gt;=$J85,BL$3&lt;=$M85),1,"")</f>
        <v/>
      </c>
      <c r="BM85">
        <f>IF(AND($A85&lt;&gt;"",BM$3&gt;=$J85,BM$3&lt;=$M85),1,"")</f>
        <v/>
      </c>
      <c r="BN85">
        <f>IF(AND($A85&lt;&gt;"",BN$3&gt;=$J85,BN$3&lt;=$M85),1,"")</f>
        <v/>
      </c>
      <c r="BO85">
        <f>IF(AND($A85&lt;&gt;"",BO$3&gt;=$J85,BO$3&lt;=$M85),1,"")</f>
        <v/>
      </c>
      <c r="BP85">
        <f>IF(AND($A85&lt;&gt;"",BP$3&gt;=$J85,BP$3&lt;=$M85),1,"")</f>
        <v/>
      </c>
      <c r="BQ85">
        <f>IF(AND($A85&lt;&gt;"",BQ$3&gt;=$J85,BQ$3&lt;=$M85),1,"")</f>
        <v/>
      </c>
      <c r="BR85">
        <f>IF(AND($A85&lt;&gt;"",BR$3&gt;=$J85,BR$3&lt;=$M85),1,"")</f>
        <v/>
      </c>
      <c r="BS85">
        <f>IF(AND($A85&lt;&gt;"",BS$3&gt;=$J85,BS$3&lt;=$M85),1,"")</f>
        <v/>
      </c>
      <c r="BT85">
        <f>IF(AND($A85&lt;&gt;"",BT$3&gt;=$J85,BT$3&lt;=$M85),1,"")</f>
        <v/>
      </c>
      <c r="BU85">
        <f>IF(AND($A85&lt;&gt;"",BU$3&gt;=$J85,BU$3&lt;=$M85),1,"")</f>
        <v/>
      </c>
      <c r="BV85">
        <f>IF(AND($A85&lt;&gt;"",BV$3&gt;=$J85,BV$3&lt;=$M85),1,"")</f>
        <v/>
      </c>
    </row>
    <row r="86">
      <c r="A86">
        <f>IF(Job_Master_Ring!$A86="","",Job_Master_Ring!$A86)</f>
        <v/>
      </c>
      <c r="B86">
        <f>IF($A86="","",Job_Master_Ring!B86)</f>
        <v/>
      </c>
      <c r="C86">
        <f>IF($A86="","",Job_Master_Ring!C86)</f>
        <v/>
      </c>
      <c r="D86">
        <f>IF($A86="","",Job_Master_Ring!D86)</f>
        <v/>
      </c>
      <c r="E86">
        <f>IF($A86="","",IF($I86&lt;&gt;"",$I86,IFERROR(INDEX(Machine_List!$B$87:$B$94,MATCH(1,(Machine_List!$H$87:$H$94&lt;=IFERROR(VLOOKUP($B86,CHOOSE(MATCH($C86,Settings!$L$4:$L$10,0),OPR_BR1!$A$4:$K$18,OPR_BR2!$A$4:$K$18,OPR_CR2!$A$4:$K$18,OPR_CR3!$A$4:$K$18,OPR_CR4!$A$4:$K$18,OPR_RIM!$A$4:$K$18,OPR_BPR!$A$4:$K$18),10,0),0))*(Machine_List!$I$87:$I$94&gt;=IFERROR(VLOOKUP($B86,CHOOSE(MATCH($C86,Settings!$L$4:$L$10,0),OPR_BR1!$A$4:$K$18,OPR_BR2!$A$4:$K$18,OPR_CR2!$A$4:$K$18,OPR_CR3!$A$4:$K$18,OPR_CR4!$A$4:$K$18,OPR_RIM!$A$4:$K$18,OPR_BPR!$A$4:$K$18),11,0),9999)),0)),"NO COMPATIBLE MACHINE")))</f>
        <v/>
      </c>
      <c r="F86">
        <f>IF($E86="","",IFERROR(VLOOKUP($E86,Machine_List!$B:$G,6,0),""))</f>
        <v/>
      </c>
      <c r="G86" s="17">
        <f>IF($E86="","",IFERROR(VLOOKUP($E86,Machine_List!$B:$C,2,0),""))</f>
        <v/>
      </c>
      <c r="H86">
        <f>IF($E86="","",IFERROR(VLOOKUP($E86,Machine_List!$B:$D,3,0),""))</f>
        <v/>
      </c>
      <c r="J86" s="16">
        <f>IF($A86="","",IF($I86&lt;&gt;"",$I86,MAX(GlobalStartDate,IFERROR(LOOKUP(2,1/($E$3:INDIRECT("E"&amp;(ROW()-1))=$E86),$M$3:INDIRECT("M"&amp;(ROW()-1))),GlobalStartDate))))</f>
        <v/>
      </c>
      <c r="K86">
        <f>IF($A86="","",IFERROR(VLOOKUP(B86,CHOOSE(MATCH($C86,Settings!$L$4:$L$10,0),OPR_BR1!$A$4:$I$18,OPR_BR2!$A$4:$I$18,OPR_CR2!$A$4:$I$18,OPR_CR3!$A$4:$I$18,OPR_CR4!$A$4:$I$18,OPR_RIM!$A$4:$I$18,OPR_BPR!$A$4:$I$18),2,0),0))</f>
        <v/>
      </c>
      <c r="L86">
        <f>IF($A86="","",K86*D86)</f>
        <v/>
      </c>
      <c r="M86" s="16">
        <f>IF($A86="","",IF(AND(ISNUMBER(G86),G86&gt;=J86,G86&lt;=(J86+(L86/(IF(F86="Contract Workman",Settings!$K$5,Settings!$K$4))))),J86+(L86/(IF(F86="Contract Workman",Settings!$K$5,Settings!$K$4)))+(H86/(IF(F86="Contract Workman",Settings!$K$5,Settings!$K$4))),J86+(L86/(IF(F86="Contract Workman",Settings!$K$5,Settings!$K$4)))))</f>
        <v/>
      </c>
      <c r="N86">
        <f>IF($A86="","",IF(F86="Contract Workman",IF(AND(MOD(M86,1)&gt;=8/24,MOD(M86,1)&lt;20/24),"Shift S1","Shift S2"),IF(AND(MOD(M86,1)&gt;=7/24,MOD(M86,1)&lt;15/24),"Shift A",IF(AND(MOD(M86,1)&gt;=15/24,MOD(M86,1)&lt;23/24),"Shift B","Shift C"))))</f>
        <v/>
      </c>
      <c r="O86">
        <f>IF(B86="","",IF(IFERROR(ISNUMBER(SEARCH(TEXT(B86,"0"),VLOOKUP(E86,Machine_List!$B:$J,9,0))),FALSE),"✅ "&amp;E86,"❌ ?"))</f>
        <v/>
      </c>
      <c r="P86">
        <f>IF(AND($A86&lt;&gt;"",P$3&gt;=$J86,P$3&lt;=$M86),1,"")</f>
        <v/>
      </c>
      <c r="Q86">
        <f>IF(AND($A86&lt;&gt;"",Q$3&gt;=$J86,Q$3&lt;=$M86),1,"")</f>
        <v/>
      </c>
      <c r="R86">
        <f>IF(AND($A86&lt;&gt;"",R$3&gt;=$J86,R$3&lt;=$M86),1,"")</f>
        <v/>
      </c>
      <c r="S86">
        <f>IF(AND($A86&lt;&gt;"",S$3&gt;=$J86,S$3&lt;=$M86),1,"")</f>
        <v/>
      </c>
      <c r="T86">
        <f>IF(AND($A86&lt;&gt;"",T$3&gt;=$J86,T$3&lt;=$M86),1,"")</f>
        <v/>
      </c>
      <c r="U86">
        <f>IF(AND($A86&lt;&gt;"",U$3&gt;=$J86,U$3&lt;=$M86),1,"")</f>
        <v/>
      </c>
      <c r="V86">
        <f>IF(AND($A86&lt;&gt;"",V$3&gt;=$J86,V$3&lt;=$M86),1,"")</f>
        <v/>
      </c>
      <c r="W86">
        <f>IF(AND($A86&lt;&gt;"",W$3&gt;=$J86,W$3&lt;=$M86),1,"")</f>
        <v/>
      </c>
      <c r="X86">
        <f>IF(AND($A86&lt;&gt;"",X$3&gt;=$J86,X$3&lt;=$M86),1,"")</f>
        <v/>
      </c>
      <c r="Y86">
        <f>IF(AND($A86&lt;&gt;"",Y$3&gt;=$J86,Y$3&lt;=$M86),1,"")</f>
        <v/>
      </c>
      <c r="Z86">
        <f>IF(AND($A86&lt;&gt;"",Z$3&gt;=$J86,Z$3&lt;=$M86),1,"")</f>
        <v/>
      </c>
      <c r="AA86">
        <f>IF(AND($A86&lt;&gt;"",AA$3&gt;=$J86,AA$3&lt;=$M86),1,"")</f>
        <v/>
      </c>
      <c r="AB86">
        <f>IF(AND($A86&lt;&gt;"",AB$3&gt;=$J86,AB$3&lt;=$M86),1,"")</f>
        <v/>
      </c>
      <c r="AC86">
        <f>IF(AND($A86&lt;&gt;"",AC$3&gt;=$J86,AC$3&lt;=$M86),1,"")</f>
        <v/>
      </c>
      <c r="AD86">
        <f>IF(AND($A86&lt;&gt;"",AD$3&gt;=$J86,AD$3&lt;=$M86),1,"")</f>
        <v/>
      </c>
      <c r="AE86">
        <f>IF(AND($A86&lt;&gt;"",AE$3&gt;=$J86,AE$3&lt;=$M86),1,"")</f>
        <v/>
      </c>
      <c r="AF86">
        <f>IF(AND($A86&lt;&gt;"",AF$3&gt;=$J86,AF$3&lt;=$M86),1,"")</f>
        <v/>
      </c>
      <c r="AG86">
        <f>IF(AND($A86&lt;&gt;"",AG$3&gt;=$J86,AG$3&lt;=$M86),1,"")</f>
        <v/>
      </c>
      <c r="AH86">
        <f>IF(AND($A86&lt;&gt;"",AH$3&gt;=$J86,AH$3&lt;=$M86),1,"")</f>
        <v/>
      </c>
      <c r="AI86">
        <f>IF(AND($A86&lt;&gt;"",AI$3&gt;=$J86,AI$3&lt;=$M86),1,"")</f>
        <v/>
      </c>
      <c r="AJ86">
        <f>IF(AND($A86&lt;&gt;"",AJ$3&gt;=$J86,AJ$3&lt;=$M86),1,"")</f>
        <v/>
      </c>
      <c r="AK86">
        <f>IF(AND($A86&lt;&gt;"",AK$3&gt;=$J86,AK$3&lt;=$M86),1,"")</f>
        <v/>
      </c>
      <c r="AL86">
        <f>IF(AND($A86&lt;&gt;"",AL$3&gt;=$J86,AL$3&lt;=$M86),1,"")</f>
        <v/>
      </c>
      <c r="AM86">
        <f>IF(AND($A86&lt;&gt;"",AM$3&gt;=$J86,AM$3&lt;=$M86),1,"")</f>
        <v/>
      </c>
      <c r="AN86">
        <f>IF(AND($A86&lt;&gt;"",AN$3&gt;=$J86,AN$3&lt;=$M86),1,"")</f>
        <v/>
      </c>
      <c r="AO86">
        <f>IF(AND($A86&lt;&gt;"",AO$3&gt;=$J86,AO$3&lt;=$M86),1,"")</f>
        <v/>
      </c>
      <c r="AP86">
        <f>IF(AND($A86&lt;&gt;"",AP$3&gt;=$J86,AP$3&lt;=$M86),1,"")</f>
        <v/>
      </c>
      <c r="AQ86">
        <f>IF(AND($A86&lt;&gt;"",AQ$3&gt;=$J86,AQ$3&lt;=$M86),1,"")</f>
        <v/>
      </c>
      <c r="AR86">
        <f>IF(AND($A86&lt;&gt;"",AR$3&gt;=$J86,AR$3&lt;=$M86),1,"")</f>
        <v/>
      </c>
      <c r="AS86">
        <f>IF(AND($A86&lt;&gt;"",AS$3&gt;=$J86,AS$3&lt;=$M86),1,"")</f>
        <v/>
      </c>
      <c r="AT86">
        <f>IF(AND($A86&lt;&gt;"",AT$3&gt;=$J86,AT$3&lt;=$M86),1,"")</f>
        <v/>
      </c>
      <c r="AU86">
        <f>IF(AND($A86&lt;&gt;"",AU$3&gt;=$J86,AU$3&lt;=$M86),1,"")</f>
        <v/>
      </c>
      <c r="AV86">
        <f>IF(AND($A86&lt;&gt;"",AV$3&gt;=$J86,AV$3&lt;=$M86),1,"")</f>
        <v/>
      </c>
      <c r="AW86">
        <f>IF(AND($A86&lt;&gt;"",AW$3&gt;=$J86,AW$3&lt;=$M86),1,"")</f>
        <v/>
      </c>
      <c r="AX86">
        <f>IF(AND($A86&lt;&gt;"",AX$3&gt;=$J86,AX$3&lt;=$M86),1,"")</f>
        <v/>
      </c>
      <c r="AY86">
        <f>IF(AND($A86&lt;&gt;"",AY$3&gt;=$J86,AY$3&lt;=$M86),1,"")</f>
        <v/>
      </c>
      <c r="AZ86">
        <f>IF(AND($A86&lt;&gt;"",AZ$3&gt;=$J86,AZ$3&lt;=$M86),1,"")</f>
        <v/>
      </c>
      <c r="BA86">
        <f>IF(AND($A86&lt;&gt;"",BA$3&gt;=$J86,BA$3&lt;=$M86),1,"")</f>
        <v/>
      </c>
      <c r="BB86">
        <f>IF(AND($A86&lt;&gt;"",BB$3&gt;=$J86,BB$3&lt;=$M86),1,"")</f>
        <v/>
      </c>
      <c r="BC86">
        <f>IF(AND($A86&lt;&gt;"",BC$3&gt;=$J86,BC$3&lt;=$M86),1,"")</f>
        <v/>
      </c>
      <c r="BD86">
        <f>IF(AND($A86&lt;&gt;"",BD$3&gt;=$J86,BD$3&lt;=$M86),1,"")</f>
        <v/>
      </c>
      <c r="BE86">
        <f>IF(AND($A86&lt;&gt;"",BE$3&gt;=$J86,BE$3&lt;=$M86),1,"")</f>
        <v/>
      </c>
      <c r="BF86">
        <f>IF(AND($A86&lt;&gt;"",BF$3&gt;=$J86,BF$3&lt;=$M86),1,"")</f>
        <v/>
      </c>
      <c r="BG86">
        <f>IF(AND($A86&lt;&gt;"",BG$3&gt;=$J86,BG$3&lt;=$M86),1,"")</f>
        <v/>
      </c>
      <c r="BH86">
        <f>IF(AND($A86&lt;&gt;"",BH$3&gt;=$J86,BH$3&lt;=$M86),1,"")</f>
        <v/>
      </c>
      <c r="BI86">
        <f>IF(AND($A86&lt;&gt;"",BI$3&gt;=$J86,BI$3&lt;=$M86),1,"")</f>
        <v/>
      </c>
      <c r="BJ86">
        <f>IF(AND($A86&lt;&gt;"",BJ$3&gt;=$J86,BJ$3&lt;=$M86),1,"")</f>
        <v/>
      </c>
      <c r="BK86">
        <f>IF(AND($A86&lt;&gt;"",BK$3&gt;=$J86,BK$3&lt;=$M86),1,"")</f>
        <v/>
      </c>
      <c r="BL86">
        <f>IF(AND($A86&lt;&gt;"",BL$3&gt;=$J86,BL$3&lt;=$M86),1,"")</f>
        <v/>
      </c>
      <c r="BM86">
        <f>IF(AND($A86&lt;&gt;"",BM$3&gt;=$J86,BM$3&lt;=$M86),1,"")</f>
        <v/>
      </c>
      <c r="BN86">
        <f>IF(AND($A86&lt;&gt;"",BN$3&gt;=$J86,BN$3&lt;=$M86),1,"")</f>
        <v/>
      </c>
      <c r="BO86">
        <f>IF(AND($A86&lt;&gt;"",BO$3&gt;=$J86,BO$3&lt;=$M86),1,"")</f>
        <v/>
      </c>
      <c r="BP86">
        <f>IF(AND($A86&lt;&gt;"",BP$3&gt;=$J86,BP$3&lt;=$M86),1,"")</f>
        <v/>
      </c>
      <c r="BQ86">
        <f>IF(AND($A86&lt;&gt;"",BQ$3&gt;=$J86,BQ$3&lt;=$M86),1,"")</f>
        <v/>
      </c>
      <c r="BR86">
        <f>IF(AND($A86&lt;&gt;"",BR$3&gt;=$J86,BR$3&lt;=$M86),1,"")</f>
        <v/>
      </c>
      <c r="BS86">
        <f>IF(AND($A86&lt;&gt;"",BS$3&gt;=$J86,BS$3&lt;=$M86),1,"")</f>
        <v/>
      </c>
      <c r="BT86">
        <f>IF(AND($A86&lt;&gt;"",BT$3&gt;=$J86,BT$3&lt;=$M86),1,"")</f>
        <v/>
      </c>
      <c r="BU86">
        <f>IF(AND($A86&lt;&gt;"",BU$3&gt;=$J86,BU$3&lt;=$M86),1,"")</f>
        <v/>
      </c>
      <c r="BV86">
        <f>IF(AND($A86&lt;&gt;"",BV$3&gt;=$J86,BV$3&lt;=$M86),1,"")</f>
        <v/>
      </c>
    </row>
    <row r="87">
      <c r="A87">
        <f>IF(Job_Master_Ring!$A87="","",Job_Master_Ring!$A87)</f>
        <v/>
      </c>
      <c r="B87">
        <f>IF($A87="","",Job_Master_Ring!B87)</f>
        <v/>
      </c>
      <c r="C87">
        <f>IF($A87="","",Job_Master_Ring!C87)</f>
        <v/>
      </c>
      <c r="D87">
        <f>IF($A87="","",Job_Master_Ring!D87)</f>
        <v/>
      </c>
      <c r="E87">
        <f>IF($A87="","",IF($I87&lt;&gt;"",$I87,IFERROR(INDEX(Machine_List!$B$87:$B$94,MATCH(1,(Machine_List!$H$87:$H$94&lt;=IFERROR(VLOOKUP($B87,CHOOSE(MATCH($C87,Settings!$L$4:$L$10,0),OPR_BR1!$A$4:$K$18,OPR_BR2!$A$4:$K$18,OPR_CR2!$A$4:$K$18,OPR_CR3!$A$4:$K$18,OPR_CR4!$A$4:$K$18,OPR_RIM!$A$4:$K$18,OPR_BPR!$A$4:$K$18),10,0),0))*(Machine_List!$I$87:$I$94&gt;=IFERROR(VLOOKUP($B87,CHOOSE(MATCH($C87,Settings!$L$4:$L$10,0),OPR_BR1!$A$4:$K$18,OPR_BR2!$A$4:$K$18,OPR_CR2!$A$4:$K$18,OPR_CR3!$A$4:$K$18,OPR_CR4!$A$4:$K$18,OPR_RIM!$A$4:$K$18,OPR_BPR!$A$4:$K$18),11,0),9999)),0)),"NO COMPATIBLE MACHINE")))</f>
        <v/>
      </c>
      <c r="F87">
        <f>IF($E87="","",IFERROR(VLOOKUP($E87,Machine_List!$B:$G,6,0),""))</f>
        <v/>
      </c>
      <c r="G87" s="17">
        <f>IF($E87="","",IFERROR(VLOOKUP($E87,Machine_List!$B:$C,2,0),""))</f>
        <v/>
      </c>
      <c r="H87">
        <f>IF($E87="","",IFERROR(VLOOKUP($E87,Machine_List!$B:$D,3,0),""))</f>
        <v/>
      </c>
      <c r="J87" s="16">
        <f>IF($A87="","",IF($I87&lt;&gt;"",$I87,MAX(GlobalStartDate,IFERROR(LOOKUP(2,1/($E$3:INDIRECT("E"&amp;(ROW()-1))=$E87),$M$3:INDIRECT("M"&amp;(ROW()-1))),GlobalStartDate))))</f>
        <v/>
      </c>
      <c r="K87">
        <f>IF($A87="","",IFERROR(VLOOKUP(B87,CHOOSE(MATCH($C87,Settings!$L$4:$L$10,0),OPR_BR1!$A$4:$I$18,OPR_BR2!$A$4:$I$18,OPR_CR2!$A$4:$I$18,OPR_CR3!$A$4:$I$18,OPR_CR4!$A$4:$I$18,OPR_RIM!$A$4:$I$18,OPR_BPR!$A$4:$I$18),2,0),0))</f>
        <v/>
      </c>
      <c r="L87">
        <f>IF($A87="","",K87*D87)</f>
        <v/>
      </c>
      <c r="M87" s="16">
        <f>IF($A87="","",IF(AND(ISNUMBER(G87),G87&gt;=J87,G87&lt;=(J87+(L87/(IF(F87="Contract Workman",Settings!$K$5,Settings!$K$4))))),J87+(L87/(IF(F87="Contract Workman",Settings!$K$5,Settings!$K$4)))+(H87/(IF(F87="Contract Workman",Settings!$K$5,Settings!$K$4))),J87+(L87/(IF(F87="Contract Workman",Settings!$K$5,Settings!$K$4)))))</f>
        <v/>
      </c>
      <c r="N87">
        <f>IF($A87="","",IF(F87="Contract Workman",IF(AND(MOD(M87,1)&gt;=8/24,MOD(M87,1)&lt;20/24),"Shift S1","Shift S2"),IF(AND(MOD(M87,1)&gt;=7/24,MOD(M87,1)&lt;15/24),"Shift A",IF(AND(MOD(M87,1)&gt;=15/24,MOD(M87,1)&lt;23/24),"Shift B","Shift C"))))</f>
        <v/>
      </c>
      <c r="O87">
        <f>IF(B87="","",IF(IFERROR(ISNUMBER(SEARCH(TEXT(B87,"0"),VLOOKUP(E87,Machine_List!$B:$J,9,0))),FALSE),"✅ "&amp;E87,"❌ ?"))</f>
        <v/>
      </c>
      <c r="P87">
        <f>IF(AND($A87&lt;&gt;"",P$3&gt;=$J87,P$3&lt;=$M87),1,"")</f>
        <v/>
      </c>
      <c r="Q87">
        <f>IF(AND($A87&lt;&gt;"",Q$3&gt;=$J87,Q$3&lt;=$M87),1,"")</f>
        <v/>
      </c>
      <c r="R87">
        <f>IF(AND($A87&lt;&gt;"",R$3&gt;=$J87,R$3&lt;=$M87),1,"")</f>
        <v/>
      </c>
      <c r="S87">
        <f>IF(AND($A87&lt;&gt;"",S$3&gt;=$J87,S$3&lt;=$M87),1,"")</f>
        <v/>
      </c>
      <c r="T87">
        <f>IF(AND($A87&lt;&gt;"",T$3&gt;=$J87,T$3&lt;=$M87),1,"")</f>
        <v/>
      </c>
      <c r="U87">
        <f>IF(AND($A87&lt;&gt;"",U$3&gt;=$J87,U$3&lt;=$M87),1,"")</f>
        <v/>
      </c>
      <c r="V87">
        <f>IF(AND($A87&lt;&gt;"",V$3&gt;=$J87,V$3&lt;=$M87),1,"")</f>
        <v/>
      </c>
      <c r="W87">
        <f>IF(AND($A87&lt;&gt;"",W$3&gt;=$J87,W$3&lt;=$M87),1,"")</f>
        <v/>
      </c>
      <c r="X87">
        <f>IF(AND($A87&lt;&gt;"",X$3&gt;=$J87,X$3&lt;=$M87),1,"")</f>
        <v/>
      </c>
      <c r="Y87">
        <f>IF(AND($A87&lt;&gt;"",Y$3&gt;=$J87,Y$3&lt;=$M87),1,"")</f>
        <v/>
      </c>
      <c r="Z87">
        <f>IF(AND($A87&lt;&gt;"",Z$3&gt;=$J87,Z$3&lt;=$M87),1,"")</f>
        <v/>
      </c>
      <c r="AA87">
        <f>IF(AND($A87&lt;&gt;"",AA$3&gt;=$J87,AA$3&lt;=$M87),1,"")</f>
        <v/>
      </c>
      <c r="AB87">
        <f>IF(AND($A87&lt;&gt;"",AB$3&gt;=$J87,AB$3&lt;=$M87),1,"")</f>
        <v/>
      </c>
      <c r="AC87">
        <f>IF(AND($A87&lt;&gt;"",AC$3&gt;=$J87,AC$3&lt;=$M87),1,"")</f>
        <v/>
      </c>
      <c r="AD87">
        <f>IF(AND($A87&lt;&gt;"",AD$3&gt;=$J87,AD$3&lt;=$M87),1,"")</f>
        <v/>
      </c>
      <c r="AE87">
        <f>IF(AND($A87&lt;&gt;"",AE$3&gt;=$J87,AE$3&lt;=$M87),1,"")</f>
        <v/>
      </c>
      <c r="AF87">
        <f>IF(AND($A87&lt;&gt;"",AF$3&gt;=$J87,AF$3&lt;=$M87),1,"")</f>
        <v/>
      </c>
      <c r="AG87">
        <f>IF(AND($A87&lt;&gt;"",AG$3&gt;=$J87,AG$3&lt;=$M87),1,"")</f>
        <v/>
      </c>
      <c r="AH87">
        <f>IF(AND($A87&lt;&gt;"",AH$3&gt;=$J87,AH$3&lt;=$M87),1,"")</f>
        <v/>
      </c>
      <c r="AI87">
        <f>IF(AND($A87&lt;&gt;"",AI$3&gt;=$J87,AI$3&lt;=$M87),1,"")</f>
        <v/>
      </c>
      <c r="AJ87">
        <f>IF(AND($A87&lt;&gt;"",AJ$3&gt;=$J87,AJ$3&lt;=$M87),1,"")</f>
        <v/>
      </c>
      <c r="AK87">
        <f>IF(AND($A87&lt;&gt;"",AK$3&gt;=$J87,AK$3&lt;=$M87),1,"")</f>
        <v/>
      </c>
      <c r="AL87">
        <f>IF(AND($A87&lt;&gt;"",AL$3&gt;=$J87,AL$3&lt;=$M87),1,"")</f>
        <v/>
      </c>
      <c r="AM87">
        <f>IF(AND($A87&lt;&gt;"",AM$3&gt;=$J87,AM$3&lt;=$M87),1,"")</f>
        <v/>
      </c>
      <c r="AN87">
        <f>IF(AND($A87&lt;&gt;"",AN$3&gt;=$J87,AN$3&lt;=$M87),1,"")</f>
        <v/>
      </c>
      <c r="AO87">
        <f>IF(AND($A87&lt;&gt;"",AO$3&gt;=$J87,AO$3&lt;=$M87),1,"")</f>
        <v/>
      </c>
      <c r="AP87">
        <f>IF(AND($A87&lt;&gt;"",AP$3&gt;=$J87,AP$3&lt;=$M87),1,"")</f>
        <v/>
      </c>
      <c r="AQ87">
        <f>IF(AND($A87&lt;&gt;"",AQ$3&gt;=$J87,AQ$3&lt;=$M87),1,"")</f>
        <v/>
      </c>
      <c r="AR87">
        <f>IF(AND($A87&lt;&gt;"",AR$3&gt;=$J87,AR$3&lt;=$M87),1,"")</f>
        <v/>
      </c>
      <c r="AS87">
        <f>IF(AND($A87&lt;&gt;"",AS$3&gt;=$J87,AS$3&lt;=$M87),1,"")</f>
        <v/>
      </c>
      <c r="AT87">
        <f>IF(AND($A87&lt;&gt;"",AT$3&gt;=$J87,AT$3&lt;=$M87),1,"")</f>
        <v/>
      </c>
      <c r="AU87">
        <f>IF(AND($A87&lt;&gt;"",AU$3&gt;=$J87,AU$3&lt;=$M87),1,"")</f>
        <v/>
      </c>
      <c r="AV87">
        <f>IF(AND($A87&lt;&gt;"",AV$3&gt;=$J87,AV$3&lt;=$M87),1,"")</f>
        <v/>
      </c>
      <c r="AW87">
        <f>IF(AND($A87&lt;&gt;"",AW$3&gt;=$J87,AW$3&lt;=$M87),1,"")</f>
        <v/>
      </c>
      <c r="AX87">
        <f>IF(AND($A87&lt;&gt;"",AX$3&gt;=$J87,AX$3&lt;=$M87),1,"")</f>
        <v/>
      </c>
      <c r="AY87">
        <f>IF(AND($A87&lt;&gt;"",AY$3&gt;=$J87,AY$3&lt;=$M87),1,"")</f>
        <v/>
      </c>
      <c r="AZ87">
        <f>IF(AND($A87&lt;&gt;"",AZ$3&gt;=$J87,AZ$3&lt;=$M87),1,"")</f>
        <v/>
      </c>
      <c r="BA87">
        <f>IF(AND($A87&lt;&gt;"",BA$3&gt;=$J87,BA$3&lt;=$M87),1,"")</f>
        <v/>
      </c>
      <c r="BB87">
        <f>IF(AND($A87&lt;&gt;"",BB$3&gt;=$J87,BB$3&lt;=$M87),1,"")</f>
        <v/>
      </c>
      <c r="BC87">
        <f>IF(AND($A87&lt;&gt;"",BC$3&gt;=$J87,BC$3&lt;=$M87),1,"")</f>
        <v/>
      </c>
      <c r="BD87">
        <f>IF(AND($A87&lt;&gt;"",BD$3&gt;=$J87,BD$3&lt;=$M87),1,"")</f>
        <v/>
      </c>
      <c r="BE87">
        <f>IF(AND($A87&lt;&gt;"",BE$3&gt;=$J87,BE$3&lt;=$M87),1,"")</f>
        <v/>
      </c>
      <c r="BF87">
        <f>IF(AND($A87&lt;&gt;"",BF$3&gt;=$J87,BF$3&lt;=$M87),1,"")</f>
        <v/>
      </c>
      <c r="BG87">
        <f>IF(AND($A87&lt;&gt;"",BG$3&gt;=$J87,BG$3&lt;=$M87),1,"")</f>
        <v/>
      </c>
      <c r="BH87">
        <f>IF(AND($A87&lt;&gt;"",BH$3&gt;=$J87,BH$3&lt;=$M87),1,"")</f>
        <v/>
      </c>
      <c r="BI87">
        <f>IF(AND($A87&lt;&gt;"",BI$3&gt;=$J87,BI$3&lt;=$M87),1,"")</f>
        <v/>
      </c>
      <c r="BJ87">
        <f>IF(AND($A87&lt;&gt;"",BJ$3&gt;=$J87,BJ$3&lt;=$M87),1,"")</f>
        <v/>
      </c>
      <c r="BK87">
        <f>IF(AND($A87&lt;&gt;"",BK$3&gt;=$J87,BK$3&lt;=$M87),1,"")</f>
        <v/>
      </c>
      <c r="BL87">
        <f>IF(AND($A87&lt;&gt;"",BL$3&gt;=$J87,BL$3&lt;=$M87),1,"")</f>
        <v/>
      </c>
      <c r="BM87">
        <f>IF(AND($A87&lt;&gt;"",BM$3&gt;=$J87,BM$3&lt;=$M87),1,"")</f>
        <v/>
      </c>
      <c r="BN87">
        <f>IF(AND($A87&lt;&gt;"",BN$3&gt;=$J87,BN$3&lt;=$M87),1,"")</f>
        <v/>
      </c>
      <c r="BO87">
        <f>IF(AND($A87&lt;&gt;"",BO$3&gt;=$J87,BO$3&lt;=$M87),1,"")</f>
        <v/>
      </c>
      <c r="BP87">
        <f>IF(AND($A87&lt;&gt;"",BP$3&gt;=$J87,BP$3&lt;=$M87),1,"")</f>
        <v/>
      </c>
      <c r="BQ87">
        <f>IF(AND($A87&lt;&gt;"",BQ$3&gt;=$J87,BQ$3&lt;=$M87),1,"")</f>
        <v/>
      </c>
      <c r="BR87">
        <f>IF(AND($A87&lt;&gt;"",BR$3&gt;=$J87,BR$3&lt;=$M87),1,"")</f>
        <v/>
      </c>
      <c r="BS87">
        <f>IF(AND($A87&lt;&gt;"",BS$3&gt;=$J87,BS$3&lt;=$M87),1,"")</f>
        <v/>
      </c>
      <c r="BT87">
        <f>IF(AND($A87&lt;&gt;"",BT$3&gt;=$J87,BT$3&lt;=$M87),1,"")</f>
        <v/>
      </c>
      <c r="BU87">
        <f>IF(AND($A87&lt;&gt;"",BU$3&gt;=$J87,BU$3&lt;=$M87),1,"")</f>
        <v/>
      </c>
      <c r="BV87">
        <f>IF(AND($A87&lt;&gt;"",BV$3&gt;=$J87,BV$3&lt;=$M87),1,"")</f>
        <v/>
      </c>
    </row>
    <row r="88">
      <c r="A88">
        <f>IF(Job_Master_Ring!$A88="","",Job_Master_Ring!$A88)</f>
        <v/>
      </c>
      <c r="B88">
        <f>IF($A88="","",Job_Master_Ring!B88)</f>
        <v/>
      </c>
      <c r="C88">
        <f>IF($A88="","",Job_Master_Ring!C88)</f>
        <v/>
      </c>
      <c r="D88">
        <f>IF($A88="","",Job_Master_Ring!D88)</f>
        <v/>
      </c>
      <c r="E88">
        <f>IF($A88="","",IF($I88&lt;&gt;"",$I88,IFERROR(INDEX(Machine_List!$B$87:$B$94,MATCH(1,(Machine_List!$H$87:$H$94&lt;=IFERROR(VLOOKUP($B88,CHOOSE(MATCH($C88,Settings!$L$4:$L$10,0),OPR_BR1!$A$4:$K$18,OPR_BR2!$A$4:$K$18,OPR_CR2!$A$4:$K$18,OPR_CR3!$A$4:$K$18,OPR_CR4!$A$4:$K$18,OPR_RIM!$A$4:$K$18,OPR_BPR!$A$4:$K$18),10,0),0))*(Machine_List!$I$87:$I$94&gt;=IFERROR(VLOOKUP($B88,CHOOSE(MATCH($C88,Settings!$L$4:$L$10,0),OPR_BR1!$A$4:$K$18,OPR_BR2!$A$4:$K$18,OPR_CR2!$A$4:$K$18,OPR_CR3!$A$4:$K$18,OPR_CR4!$A$4:$K$18,OPR_RIM!$A$4:$K$18,OPR_BPR!$A$4:$K$18),11,0),9999)),0)),"NO COMPATIBLE MACHINE")))</f>
        <v/>
      </c>
      <c r="F88">
        <f>IF($E88="","",IFERROR(VLOOKUP($E88,Machine_List!$B:$G,6,0),""))</f>
        <v/>
      </c>
      <c r="G88" s="17">
        <f>IF($E88="","",IFERROR(VLOOKUP($E88,Machine_List!$B:$C,2,0),""))</f>
        <v/>
      </c>
      <c r="H88">
        <f>IF($E88="","",IFERROR(VLOOKUP($E88,Machine_List!$B:$D,3,0),""))</f>
        <v/>
      </c>
      <c r="J88" s="16">
        <f>IF($A88="","",IF($I88&lt;&gt;"",$I88,MAX(GlobalStartDate,IFERROR(LOOKUP(2,1/($E$3:INDIRECT("E"&amp;(ROW()-1))=$E88),$M$3:INDIRECT("M"&amp;(ROW()-1))),GlobalStartDate))))</f>
        <v/>
      </c>
      <c r="K88">
        <f>IF($A88="","",IFERROR(VLOOKUP(B88,CHOOSE(MATCH($C88,Settings!$L$4:$L$10,0),OPR_BR1!$A$4:$I$18,OPR_BR2!$A$4:$I$18,OPR_CR2!$A$4:$I$18,OPR_CR3!$A$4:$I$18,OPR_CR4!$A$4:$I$18,OPR_RIM!$A$4:$I$18,OPR_BPR!$A$4:$I$18),2,0),0))</f>
        <v/>
      </c>
      <c r="L88">
        <f>IF($A88="","",K88*D88)</f>
        <v/>
      </c>
      <c r="M88" s="16">
        <f>IF($A88="","",IF(AND(ISNUMBER(G88),G88&gt;=J88,G88&lt;=(J88+(L88/(IF(F88="Contract Workman",Settings!$K$5,Settings!$K$4))))),J88+(L88/(IF(F88="Contract Workman",Settings!$K$5,Settings!$K$4)))+(H88/(IF(F88="Contract Workman",Settings!$K$5,Settings!$K$4))),J88+(L88/(IF(F88="Contract Workman",Settings!$K$5,Settings!$K$4)))))</f>
        <v/>
      </c>
      <c r="N88">
        <f>IF($A88="","",IF(F88="Contract Workman",IF(AND(MOD(M88,1)&gt;=8/24,MOD(M88,1)&lt;20/24),"Shift S1","Shift S2"),IF(AND(MOD(M88,1)&gt;=7/24,MOD(M88,1)&lt;15/24),"Shift A",IF(AND(MOD(M88,1)&gt;=15/24,MOD(M88,1)&lt;23/24),"Shift B","Shift C"))))</f>
        <v/>
      </c>
      <c r="O88">
        <f>IF(B88="","",IF(IFERROR(ISNUMBER(SEARCH(TEXT(B88,"0"),VLOOKUP(E88,Machine_List!$B:$J,9,0))),FALSE),"✅ "&amp;E88,"❌ ?"))</f>
        <v/>
      </c>
      <c r="P88">
        <f>IF(AND($A88&lt;&gt;"",P$3&gt;=$J88,P$3&lt;=$M88),1,"")</f>
        <v/>
      </c>
      <c r="Q88">
        <f>IF(AND($A88&lt;&gt;"",Q$3&gt;=$J88,Q$3&lt;=$M88),1,"")</f>
        <v/>
      </c>
      <c r="R88">
        <f>IF(AND($A88&lt;&gt;"",R$3&gt;=$J88,R$3&lt;=$M88),1,"")</f>
        <v/>
      </c>
      <c r="S88">
        <f>IF(AND($A88&lt;&gt;"",S$3&gt;=$J88,S$3&lt;=$M88),1,"")</f>
        <v/>
      </c>
      <c r="T88">
        <f>IF(AND($A88&lt;&gt;"",T$3&gt;=$J88,T$3&lt;=$M88),1,"")</f>
        <v/>
      </c>
      <c r="U88">
        <f>IF(AND($A88&lt;&gt;"",U$3&gt;=$J88,U$3&lt;=$M88),1,"")</f>
        <v/>
      </c>
      <c r="V88">
        <f>IF(AND($A88&lt;&gt;"",V$3&gt;=$J88,V$3&lt;=$M88),1,"")</f>
        <v/>
      </c>
      <c r="W88">
        <f>IF(AND($A88&lt;&gt;"",W$3&gt;=$J88,W$3&lt;=$M88),1,"")</f>
        <v/>
      </c>
      <c r="X88">
        <f>IF(AND($A88&lt;&gt;"",X$3&gt;=$J88,X$3&lt;=$M88),1,"")</f>
        <v/>
      </c>
      <c r="Y88">
        <f>IF(AND($A88&lt;&gt;"",Y$3&gt;=$J88,Y$3&lt;=$M88),1,"")</f>
        <v/>
      </c>
      <c r="Z88">
        <f>IF(AND($A88&lt;&gt;"",Z$3&gt;=$J88,Z$3&lt;=$M88),1,"")</f>
        <v/>
      </c>
      <c r="AA88">
        <f>IF(AND($A88&lt;&gt;"",AA$3&gt;=$J88,AA$3&lt;=$M88),1,"")</f>
        <v/>
      </c>
      <c r="AB88">
        <f>IF(AND($A88&lt;&gt;"",AB$3&gt;=$J88,AB$3&lt;=$M88),1,"")</f>
        <v/>
      </c>
      <c r="AC88">
        <f>IF(AND($A88&lt;&gt;"",AC$3&gt;=$J88,AC$3&lt;=$M88),1,"")</f>
        <v/>
      </c>
      <c r="AD88">
        <f>IF(AND($A88&lt;&gt;"",AD$3&gt;=$J88,AD$3&lt;=$M88),1,"")</f>
        <v/>
      </c>
      <c r="AE88">
        <f>IF(AND($A88&lt;&gt;"",AE$3&gt;=$J88,AE$3&lt;=$M88),1,"")</f>
        <v/>
      </c>
      <c r="AF88">
        <f>IF(AND($A88&lt;&gt;"",AF$3&gt;=$J88,AF$3&lt;=$M88),1,"")</f>
        <v/>
      </c>
      <c r="AG88">
        <f>IF(AND($A88&lt;&gt;"",AG$3&gt;=$J88,AG$3&lt;=$M88),1,"")</f>
        <v/>
      </c>
      <c r="AH88">
        <f>IF(AND($A88&lt;&gt;"",AH$3&gt;=$J88,AH$3&lt;=$M88),1,"")</f>
        <v/>
      </c>
      <c r="AI88">
        <f>IF(AND($A88&lt;&gt;"",AI$3&gt;=$J88,AI$3&lt;=$M88),1,"")</f>
        <v/>
      </c>
      <c r="AJ88">
        <f>IF(AND($A88&lt;&gt;"",AJ$3&gt;=$J88,AJ$3&lt;=$M88),1,"")</f>
        <v/>
      </c>
      <c r="AK88">
        <f>IF(AND($A88&lt;&gt;"",AK$3&gt;=$J88,AK$3&lt;=$M88),1,"")</f>
        <v/>
      </c>
      <c r="AL88">
        <f>IF(AND($A88&lt;&gt;"",AL$3&gt;=$J88,AL$3&lt;=$M88),1,"")</f>
        <v/>
      </c>
      <c r="AM88">
        <f>IF(AND($A88&lt;&gt;"",AM$3&gt;=$J88,AM$3&lt;=$M88),1,"")</f>
        <v/>
      </c>
      <c r="AN88">
        <f>IF(AND($A88&lt;&gt;"",AN$3&gt;=$J88,AN$3&lt;=$M88),1,"")</f>
        <v/>
      </c>
      <c r="AO88">
        <f>IF(AND($A88&lt;&gt;"",AO$3&gt;=$J88,AO$3&lt;=$M88),1,"")</f>
        <v/>
      </c>
      <c r="AP88">
        <f>IF(AND($A88&lt;&gt;"",AP$3&gt;=$J88,AP$3&lt;=$M88),1,"")</f>
        <v/>
      </c>
      <c r="AQ88">
        <f>IF(AND($A88&lt;&gt;"",AQ$3&gt;=$J88,AQ$3&lt;=$M88),1,"")</f>
        <v/>
      </c>
      <c r="AR88">
        <f>IF(AND($A88&lt;&gt;"",AR$3&gt;=$J88,AR$3&lt;=$M88),1,"")</f>
        <v/>
      </c>
      <c r="AS88">
        <f>IF(AND($A88&lt;&gt;"",AS$3&gt;=$J88,AS$3&lt;=$M88),1,"")</f>
        <v/>
      </c>
      <c r="AT88">
        <f>IF(AND($A88&lt;&gt;"",AT$3&gt;=$J88,AT$3&lt;=$M88),1,"")</f>
        <v/>
      </c>
      <c r="AU88">
        <f>IF(AND($A88&lt;&gt;"",AU$3&gt;=$J88,AU$3&lt;=$M88),1,"")</f>
        <v/>
      </c>
      <c r="AV88">
        <f>IF(AND($A88&lt;&gt;"",AV$3&gt;=$J88,AV$3&lt;=$M88),1,"")</f>
        <v/>
      </c>
      <c r="AW88">
        <f>IF(AND($A88&lt;&gt;"",AW$3&gt;=$J88,AW$3&lt;=$M88),1,"")</f>
        <v/>
      </c>
      <c r="AX88">
        <f>IF(AND($A88&lt;&gt;"",AX$3&gt;=$J88,AX$3&lt;=$M88),1,"")</f>
        <v/>
      </c>
      <c r="AY88">
        <f>IF(AND($A88&lt;&gt;"",AY$3&gt;=$J88,AY$3&lt;=$M88),1,"")</f>
        <v/>
      </c>
      <c r="AZ88">
        <f>IF(AND($A88&lt;&gt;"",AZ$3&gt;=$J88,AZ$3&lt;=$M88),1,"")</f>
        <v/>
      </c>
      <c r="BA88">
        <f>IF(AND($A88&lt;&gt;"",BA$3&gt;=$J88,BA$3&lt;=$M88),1,"")</f>
        <v/>
      </c>
      <c r="BB88">
        <f>IF(AND($A88&lt;&gt;"",BB$3&gt;=$J88,BB$3&lt;=$M88),1,"")</f>
        <v/>
      </c>
      <c r="BC88">
        <f>IF(AND($A88&lt;&gt;"",BC$3&gt;=$J88,BC$3&lt;=$M88),1,"")</f>
        <v/>
      </c>
      <c r="BD88">
        <f>IF(AND($A88&lt;&gt;"",BD$3&gt;=$J88,BD$3&lt;=$M88),1,"")</f>
        <v/>
      </c>
      <c r="BE88">
        <f>IF(AND($A88&lt;&gt;"",BE$3&gt;=$J88,BE$3&lt;=$M88),1,"")</f>
        <v/>
      </c>
      <c r="BF88">
        <f>IF(AND($A88&lt;&gt;"",BF$3&gt;=$J88,BF$3&lt;=$M88),1,"")</f>
        <v/>
      </c>
      <c r="BG88">
        <f>IF(AND($A88&lt;&gt;"",BG$3&gt;=$J88,BG$3&lt;=$M88),1,"")</f>
        <v/>
      </c>
      <c r="BH88">
        <f>IF(AND($A88&lt;&gt;"",BH$3&gt;=$J88,BH$3&lt;=$M88),1,"")</f>
        <v/>
      </c>
      <c r="BI88">
        <f>IF(AND($A88&lt;&gt;"",BI$3&gt;=$J88,BI$3&lt;=$M88),1,"")</f>
        <v/>
      </c>
      <c r="BJ88">
        <f>IF(AND($A88&lt;&gt;"",BJ$3&gt;=$J88,BJ$3&lt;=$M88),1,"")</f>
        <v/>
      </c>
      <c r="BK88">
        <f>IF(AND($A88&lt;&gt;"",BK$3&gt;=$J88,BK$3&lt;=$M88),1,"")</f>
        <v/>
      </c>
      <c r="BL88">
        <f>IF(AND($A88&lt;&gt;"",BL$3&gt;=$J88,BL$3&lt;=$M88),1,"")</f>
        <v/>
      </c>
      <c r="BM88">
        <f>IF(AND($A88&lt;&gt;"",BM$3&gt;=$J88,BM$3&lt;=$M88),1,"")</f>
        <v/>
      </c>
      <c r="BN88">
        <f>IF(AND($A88&lt;&gt;"",BN$3&gt;=$J88,BN$3&lt;=$M88),1,"")</f>
        <v/>
      </c>
      <c r="BO88">
        <f>IF(AND($A88&lt;&gt;"",BO$3&gt;=$J88,BO$3&lt;=$M88),1,"")</f>
        <v/>
      </c>
      <c r="BP88">
        <f>IF(AND($A88&lt;&gt;"",BP$3&gt;=$J88,BP$3&lt;=$M88),1,"")</f>
        <v/>
      </c>
      <c r="BQ88">
        <f>IF(AND($A88&lt;&gt;"",BQ$3&gt;=$J88,BQ$3&lt;=$M88),1,"")</f>
        <v/>
      </c>
      <c r="BR88">
        <f>IF(AND($A88&lt;&gt;"",BR$3&gt;=$J88,BR$3&lt;=$M88),1,"")</f>
        <v/>
      </c>
      <c r="BS88">
        <f>IF(AND($A88&lt;&gt;"",BS$3&gt;=$J88,BS$3&lt;=$M88),1,"")</f>
        <v/>
      </c>
      <c r="BT88">
        <f>IF(AND($A88&lt;&gt;"",BT$3&gt;=$J88,BT$3&lt;=$M88),1,"")</f>
        <v/>
      </c>
      <c r="BU88">
        <f>IF(AND($A88&lt;&gt;"",BU$3&gt;=$J88,BU$3&lt;=$M88),1,"")</f>
        <v/>
      </c>
      <c r="BV88">
        <f>IF(AND($A88&lt;&gt;"",BV$3&gt;=$J88,BV$3&lt;=$M88),1,"")</f>
        <v/>
      </c>
    </row>
    <row r="89">
      <c r="A89">
        <f>IF(Job_Master_Ring!$A89="","",Job_Master_Ring!$A89)</f>
        <v/>
      </c>
      <c r="B89">
        <f>IF($A89="","",Job_Master_Ring!B89)</f>
        <v/>
      </c>
      <c r="C89">
        <f>IF($A89="","",Job_Master_Ring!C89)</f>
        <v/>
      </c>
      <c r="D89">
        <f>IF($A89="","",Job_Master_Ring!D89)</f>
        <v/>
      </c>
      <c r="E89">
        <f>IF($A89="","",IF($I89&lt;&gt;"",$I89,IFERROR(INDEX(Machine_List!$B$87:$B$94,MATCH(1,(Machine_List!$H$87:$H$94&lt;=IFERROR(VLOOKUP($B89,CHOOSE(MATCH($C89,Settings!$L$4:$L$10,0),OPR_BR1!$A$4:$K$18,OPR_BR2!$A$4:$K$18,OPR_CR2!$A$4:$K$18,OPR_CR3!$A$4:$K$18,OPR_CR4!$A$4:$K$18,OPR_RIM!$A$4:$K$18,OPR_BPR!$A$4:$K$18),10,0),0))*(Machine_List!$I$87:$I$94&gt;=IFERROR(VLOOKUP($B89,CHOOSE(MATCH($C89,Settings!$L$4:$L$10,0),OPR_BR1!$A$4:$K$18,OPR_BR2!$A$4:$K$18,OPR_CR2!$A$4:$K$18,OPR_CR3!$A$4:$K$18,OPR_CR4!$A$4:$K$18,OPR_RIM!$A$4:$K$18,OPR_BPR!$A$4:$K$18),11,0),9999)),0)),"NO COMPATIBLE MACHINE")))</f>
        <v/>
      </c>
      <c r="F89">
        <f>IF($E89="","",IFERROR(VLOOKUP($E89,Machine_List!$B:$G,6,0),""))</f>
        <v/>
      </c>
      <c r="G89" s="17">
        <f>IF($E89="","",IFERROR(VLOOKUP($E89,Machine_List!$B:$C,2,0),""))</f>
        <v/>
      </c>
      <c r="H89">
        <f>IF($E89="","",IFERROR(VLOOKUP($E89,Machine_List!$B:$D,3,0),""))</f>
        <v/>
      </c>
      <c r="J89" s="16">
        <f>IF($A89="","",IF($I89&lt;&gt;"",$I89,MAX(GlobalStartDate,IFERROR(LOOKUP(2,1/($E$3:INDIRECT("E"&amp;(ROW()-1))=$E89),$M$3:INDIRECT("M"&amp;(ROW()-1))),GlobalStartDate))))</f>
        <v/>
      </c>
      <c r="K89">
        <f>IF($A89="","",IFERROR(VLOOKUP(B89,CHOOSE(MATCH($C89,Settings!$L$4:$L$10,0),OPR_BR1!$A$4:$I$18,OPR_BR2!$A$4:$I$18,OPR_CR2!$A$4:$I$18,OPR_CR3!$A$4:$I$18,OPR_CR4!$A$4:$I$18,OPR_RIM!$A$4:$I$18,OPR_BPR!$A$4:$I$18),2,0),0))</f>
        <v/>
      </c>
      <c r="L89">
        <f>IF($A89="","",K89*D89)</f>
        <v/>
      </c>
      <c r="M89" s="16">
        <f>IF($A89="","",IF(AND(ISNUMBER(G89),G89&gt;=J89,G89&lt;=(J89+(L89/(IF(F89="Contract Workman",Settings!$K$5,Settings!$K$4))))),J89+(L89/(IF(F89="Contract Workman",Settings!$K$5,Settings!$K$4)))+(H89/(IF(F89="Contract Workman",Settings!$K$5,Settings!$K$4))),J89+(L89/(IF(F89="Contract Workman",Settings!$K$5,Settings!$K$4)))))</f>
        <v/>
      </c>
      <c r="N89">
        <f>IF($A89="","",IF(F89="Contract Workman",IF(AND(MOD(M89,1)&gt;=8/24,MOD(M89,1)&lt;20/24),"Shift S1","Shift S2"),IF(AND(MOD(M89,1)&gt;=7/24,MOD(M89,1)&lt;15/24),"Shift A",IF(AND(MOD(M89,1)&gt;=15/24,MOD(M89,1)&lt;23/24),"Shift B","Shift C"))))</f>
        <v/>
      </c>
      <c r="O89">
        <f>IF(B89="","",IF(IFERROR(ISNUMBER(SEARCH(TEXT(B89,"0"),VLOOKUP(E89,Machine_List!$B:$J,9,0))),FALSE),"✅ "&amp;E89,"❌ ?"))</f>
        <v/>
      </c>
      <c r="P89">
        <f>IF(AND($A89&lt;&gt;"",P$3&gt;=$J89,P$3&lt;=$M89),1,"")</f>
        <v/>
      </c>
      <c r="Q89">
        <f>IF(AND($A89&lt;&gt;"",Q$3&gt;=$J89,Q$3&lt;=$M89),1,"")</f>
        <v/>
      </c>
      <c r="R89">
        <f>IF(AND($A89&lt;&gt;"",R$3&gt;=$J89,R$3&lt;=$M89),1,"")</f>
        <v/>
      </c>
      <c r="S89">
        <f>IF(AND($A89&lt;&gt;"",S$3&gt;=$J89,S$3&lt;=$M89),1,"")</f>
        <v/>
      </c>
      <c r="T89">
        <f>IF(AND($A89&lt;&gt;"",T$3&gt;=$J89,T$3&lt;=$M89),1,"")</f>
        <v/>
      </c>
      <c r="U89">
        <f>IF(AND($A89&lt;&gt;"",U$3&gt;=$J89,U$3&lt;=$M89),1,"")</f>
        <v/>
      </c>
      <c r="V89">
        <f>IF(AND($A89&lt;&gt;"",V$3&gt;=$J89,V$3&lt;=$M89),1,"")</f>
        <v/>
      </c>
      <c r="W89">
        <f>IF(AND($A89&lt;&gt;"",W$3&gt;=$J89,W$3&lt;=$M89),1,"")</f>
        <v/>
      </c>
      <c r="X89">
        <f>IF(AND($A89&lt;&gt;"",X$3&gt;=$J89,X$3&lt;=$M89),1,"")</f>
        <v/>
      </c>
      <c r="Y89">
        <f>IF(AND($A89&lt;&gt;"",Y$3&gt;=$J89,Y$3&lt;=$M89),1,"")</f>
        <v/>
      </c>
      <c r="Z89">
        <f>IF(AND($A89&lt;&gt;"",Z$3&gt;=$J89,Z$3&lt;=$M89),1,"")</f>
        <v/>
      </c>
      <c r="AA89">
        <f>IF(AND($A89&lt;&gt;"",AA$3&gt;=$J89,AA$3&lt;=$M89),1,"")</f>
        <v/>
      </c>
      <c r="AB89">
        <f>IF(AND($A89&lt;&gt;"",AB$3&gt;=$J89,AB$3&lt;=$M89),1,"")</f>
        <v/>
      </c>
      <c r="AC89">
        <f>IF(AND($A89&lt;&gt;"",AC$3&gt;=$J89,AC$3&lt;=$M89),1,"")</f>
        <v/>
      </c>
      <c r="AD89">
        <f>IF(AND($A89&lt;&gt;"",AD$3&gt;=$J89,AD$3&lt;=$M89),1,"")</f>
        <v/>
      </c>
      <c r="AE89">
        <f>IF(AND($A89&lt;&gt;"",AE$3&gt;=$J89,AE$3&lt;=$M89),1,"")</f>
        <v/>
      </c>
      <c r="AF89">
        <f>IF(AND($A89&lt;&gt;"",AF$3&gt;=$J89,AF$3&lt;=$M89),1,"")</f>
        <v/>
      </c>
      <c r="AG89">
        <f>IF(AND($A89&lt;&gt;"",AG$3&gt;=$J89,AG$3&lt;=$M89),1,"")</f>
        <v/>
      </c>
      <c r="AH89">
        <f>IF(AND($A89&lt;&gt;"",AH$3&gt;=$J89,AH$3&lt;=$M89),1,"")</f>
        <v/>
      </c>
      <c r="AI89">
        <f>IF(AND($A89&lt;&gt;"",AI$3&gt;=$J89,AI$3&lt;=$M89),1,"")</f>
        <v/>
      </c>
      <c r="AJ89">
        <f>IF(AND($A89&lt;&gt;"",AJ$3&gt;=$J89,AJ$3&lt;=$M89),1,"")</f>
        <v/>
      </c>
      <c r="AK89">
        <f>IF(AND($A89&lt;&gt;"",AK$3&gt;=$J89,AK$3&lt;=$M89),1,"")</f>
        <v/>
      </c>
      <c r="AL89">
        <f>IF(AND($A89&lt;&gt;"",AL$3&gt;=$J89,AL$3&lt;=$M89),1,"")</f>
        <v/>
      </c>
      <c r="AM89">
        <f>IF(AND($A89&lt;&gt;"",AM$3&gt;=$J89,AM$3&lt;=$M89),1,"")</f>
        <v/>
      </c>
      <c r="AN89">
        <f>IF(AND($A89&lt;&gt;"",AN$3&gt;=$J89,AN$3&lt;=$M89),1,"")</f>
        <v/>
      </c>
      <c r="AO89">
        <f>IF(AND($A89&lt;&gt;"",AO$3&gt;=$J89,AO$3&lt;=$M89),1,"")</f>
        <v/>
      </c>
      <c r="AP89">
        <f>IF(AND($A89&lt;&gt;"",AP$3&gt;=$J89,AP$3&lt;=$M89),1,"")</f>
        <v/>
      </c>
      <c r="AQ89">
        <f>IF(AND($A89&lt;&gt;"",AQ$3&gt;=$J89,AQ$3&lt;=$M89),1,"")</f>
        <v/>
      </c>
      <c r="AR89">
        <f>IF(AND($A89&lt;&gt;"",AR$3&gt;=$J89,AR$3&lt;=$M89),1,"")</f>
        <v/>
      </c>
      <c r="AS89">
        <f>IF(AND($A89&lt;&gt;"",AS$3&gt;=$J89,AS$3&lt;=$M89),1,"")</f>
        <v/>
      </c>
      <c r="AT89">
        <f>IF(AND($A89&lt;&gt;"",AT$3&gt;=$J89,AT$3&lt;=$M89),1,"")</f>
        <v/>
      </c>
      <c r="AU89">
        <f>IF(AND($A89&lt;&gt;"",AU$3&gt;=$J89,AU$3&lt;=$M89),1,"")</f>
        <v/>
      </c>
      <c r="AV89">
        <f>IF(AND($A89&lt;&gt;"",AV$3&gt;=$J89,AV$3&lt;=$M89),1,"")</f>
        <v/>
      </c>
      <c r="AW89">
        <f>IF(AND($A89&lt;&gt;"",AW$3&gt;=$J89,AW$3&lt;=$M89),1,"")</f>
        <v/>
      </c>
      <c r="AX89">
        <f>IF(AND($A89&lt;&gt;"",AX$3&gt;=$J89,AX$3&lt;=$M89),1,"")</f>
        <v/>
      </c>
      <c r="AY89">
        <f>IF(AND($A89&lt;&gt;"",AY$3&gt;=$J89,AY$3&lt;=$M89),1,"")</f>
        <v/>
      </c>
      <c r="AZ89">
        <f>IF(AND($A89&lt;&gt;"",AZ$3&gt;=$J89,AZ$3&lt;=$M89),1,"")</f>
        <v/>
      </c>
      <c r="BA89">
        <f>IF(AND($A89&lt;&gt;"",BA$3&gt;=$J89,BA$3&lt;=$M89),1,"")</f>
        <v/>
      </c>
      <c r="BB89">
        <f>IF(AND($A89&lt;&gt;"",BB$3&gt;=$J89,BB$3&lt;=$M89),1,"")</f>
        <v/>
      </c>
      <c r="BC89">
        <f>IF(AND($A89&lt;&gt;"",BC$3&gt;=$J89,BC$3&lt;=$M89),1,"")</f>
        <v/>
      </c>
      <c r="BD89">
        <f>IF(AND($A89&lt;&gt;"",BD$3&gt;=$J89,BD$3&lt;=$M89),1,"")</f>
        <v/>
      </c>
      <c r="BE89">
        <f>IF(AND($A89&lt;&gt;"",BE$3&gt;=$J89,BE$3&lt;=$M89),1,"")</f>
        <v/>
      </c>
      <c r="BF89">
        <f>IF(AND($A89&lt;&gt;"",BF$3&gt;=$J89,BF$3&lt;=$M89),1,"")</f>
        <v/>
      </c>
      <c r="BG89">
        <f>IF(AND($A89&lt;&gt;"",BG$3&gt;=$J89,BG$3&lt;=$M89),1,"")</f>
        <v/>
      </c>
      <c r="BH89">
        <f>IF(AND($A89&lt;&gt;"",BH$3&gt;=$J89,BH$3&lt;=$M89),1,"")</f>
        <v/>
      </c>
      <c r="BI89">
        <f>IF(AND($A89&lt;&gt;"",BI$3&gt;=$J89,BI$3&lt;=$M89),1,"")</f>
        <v/>
      </c>
      <c r="BJ89">
        <f>IF(AND($A89&lt;&gt;"",BJ$3&gt;=$J89,BJ$3&lt;=$M89),1,"")</f>
        <v/>
      </c>
      <c r="BK89">
        <f>IF(AND($A89&lt;&gt;"",BK$3&gt;=$J89,BK$3&lt;=$M89),1,"")</f>
        <v/>
      </c>
      <c r="BL89">
        <f>IF(AND($A89&lt;&gt;"",BL$3&gt;=$J89,BL$3&lt;=$M89),1,"")</f>
        <v/>
      </c>
      <c r="BM89">
        <f>IF(AND($A89&lt;&gt;"",BM$3&gt;=$J89,BM$3&lt;=$M89),1,"")</f>
        <v/>
      </c>
      <c r="BN89">
        <f>IF(AND($A89&lt;&gt;"",BN$3&gt;=$J89,BN$3&lt;=$M89),1,"")</f>
        <v/>
      </c>
      <c r="BO89">
        <f>IF(AND($A89&lt;&gt;"",BO$3&gt;=$J89,BO$3&lt;=$M89),1,"")</f>
        <v/>
      </c>
      <c r="BP89">
        <f>IF(AND($A89&lt;&gt;"",BP$3&gt;=$J89,BP$3&lt;=$M89),1,"")</f>
        <v/>
      </c>
      <c r="BQ89">
        <f>IF(AND($A89&lt;&gt;"",BQ$3&gt;=$J89,BQ$3&lt;=$M89),1,"")</f>
        <v/>
      </c>
      <c r="BR89">
        <f>IF(AND($A89&lt;&gt;"",BR$3&gt;=$J89,BR$3&lt;=$M89),1,"")</f>
        <v/>
      </c>
      <c r="BS89">
        <f>IF(AND($A89&lt;&gt;"",BS$3&gt;=$J89,BS$3&lt;=$M89),1,"")</f>
        <v/>
      </c>
      <c r="BT89">
        <f>IF(AND($A89&lt;&gt;"",BT$3&gt;=$J89,BT$3&lt;=$M89),1,"")</f>
        <v/>
      </c>
      <c r="BU89">
        <f>IF(AND($A89&lt;&gt;"",BU$3&gt;=$J89,BU$3&lt;=$M89),1,"")</f>
        <v/>
      </c>
      <c r="BV89">
        <f>IF(AND($A89&lt;&gt;"",BV$3&gt;=$J89,BV$3&lt;=$M89),1,"")</f>
        <v/>
      </c>
    </row>
    <row r="90">
      <c r="A90">
        <f>IF(Job_Master_Ring!$A90="","",Job_Master_Ring!$A90)</f>
        <v/>
      </c>
      <c r="B90">
        <f>IF($A90="","",Job_Master_Ring!B90)</f>
        <v/>
      </c>
      <c r="C90">
        <f>IF($A90="","",Job_Master_Ring!C90)</f>
        <v/>
      </c>
      <c r="D90">
        <f>IF($A90="","",Job_Master_Ring!D90)</f>
        <v/>
      </c>
      <c r="E90">
        <f>IF($A90="","",IF($I90&lt;&gt;"",$I90,IFERROR(INDEX(Machine_List!$B$87:$B$94,MATCH(1,(Machine_List!$H$87:$H$94&lt;=IFERROR(VLOOKUP($B90,CHOOSE(MATCH($C90,Settings!$L$4:$L$10,0),OPR_BR1!$A$4:$K$18,OPR_BR2!$A$4:$K$18,OPR_CR2!$A$4:$K$18,OPR_CR3!$A$4:$K$18,OPR_CR4!$A$4:$K$18,OPR_RIM!$A$4:$K$18,OPR_BPR!$A$4:$K$18),10,0),0))*(Machine_List!$I$87:$I$94&gt;=IFERROR(VLOOKUP($B90,CHOOSE(MATCH($C90,Settings!$L$4:$L$10,0),OPR_BR1!$A$4:$K$18,OPR_BR2!$A$4:$K$18,OPR_CR2!$A$4:$K$18,OPR_CR3!$A$4:$K$18,OPR_CR4!$A$4:$K$18,OPR_RIM!$A$4:$K$18,OPR_BPR!$A$4:$K$18),11,0),9999)),0)),"NO COMPATIBLE MACHINE")))</f>
        <v/>
      </c>
      <c r="F90">
        <f>IF($E90="","",IFERROR(VLOOKUP($E90,Machine_List!$B:$G,6,0),""))</f>
        <v/>
      </c>
      <c r="G90" s="17">
        <f>IF($E90="","",IFERROR(VLOOKUP($E90,Machine_List!$B:$C,2,0),""))</f>
        <v/>
      </c>
      <c r="H90">
        <f>IF($E90="","",IFERROR(VLOOKUP($E90,Machine_List!$B:$D,3,0),""))</f>
        <v/>
      </c>
      <c r="J90" s="16">
        <f>IF($A90="","",IF($I90&lt;&gt;"",$I90,MAX(GlobalStartDate,IFERROR(LOOKUP(2,1/($E$3:INDIRECT("E"&amp;(ROW()-1))=$E90),$M$3:INDIRECT("M"&amp;(ROW()-1))),GlobalStartDate))))</f>
        <v/>
      </c>
      <c r="K90">
        <f>IF($A90="","",IFERROR(VLOOKUP(B90,CHOOSE(MATCH($C90,Settings!$L$4:$L$10,0),OPR_BR1!$A$4:$I$18,OPR_BR2!$A$4:$I$18,OPR_CR2!$A$4:$I$18,OPR_CR3!$A$4:$I$18,OPR_CR4!$A$4:$I$18,OPR_RIM!$A$4:$I$18,OPR_BPR!$A$4:$I$18),2,0),0))</f>
        <v/>
      </c>
      <c r="L90">
        <f>IF($A90="","",K90*D90)</f>
        <v/>
      </c>
      <c r="M90" s="16">
        <f>IF($A90="","",IF(AND(ISNUMBER(G90),G90&gt;=J90,G90&lt;=(J90+(L90/(IF(F90="Contract Workman",Settings!$K$5,Settings!$K$4))))),J90+(L90/(IF(F90="Contract Workman",Settings!$K$5,Settings!$K$4)))+(H90/(IF(F90="Contract Workman",Settings!$K$5,Settings!$K$4))),J90+(L90/(IF(F90="Contract Workman",Settings!$K$5,Settings!$K$4)))))</f>
        <v/>
      </c>
      <c r="N90">
        <f>IF($A90="","",IF(F90="Contract Workman",IF(AND(MOD(M90,1)&gt;=8/24,MOD(M90,1)&lt;20/24),"Shift S1","Shift S2"),IF(AND(MOD(M90,1)&gt;=7/24,MOD(M90,1)&lt;15/24),"Shift A",IF(AND(MOD(M90,1)&gt;=15/24,MOD(M90,1)&lt;23/24),"Shift B","Shift C"))))</f>
        <v/>
      </c>
      <c r="O90">
        <f>IF(B90="","",IF(IFERROR(ISNUMBER(SEARCH(TEXT(B90,"0"),VLOOKUP(E90,Machine_List!$B:$J,9,0))),FALSE),"✅ "&amp;E90,"❌ ?"))</f>
        <v/>
      </c>
      <c r="P90">
        <f>IF(AND($A90&lt;&gt;"",P$3&gt;=$J90,P$3&lt;=$M90),1,"")</f>
        <v/>
      </c>
      <c r="Q90">
        <f>IF(AND($A90&lt;&gt;"",Q$3&gt;=$J90,Q$3&lt;=$M90),1,"")</f>
        <v/>
      </c>
      <c r="R90">
        <f>IF(AND($A90&lt;&gt;"",R$3&gt;=$J90,R$3&lt;=$M90),1,"")</f>
        <v/>
      </c>
      <c r="S90">
        <f>IF(AND($A90&lt;&gt;"",S$3&gt;=$J90,S$3&lt;=$M90),1,"")</f>
        <v/>
      </c>
      <c r="T90">
        <f>IF(AND($A90&lt;&gt;"",T$3&gt;=$J90,T$3&lt;=$M90),1,"")</f>
        <v/>
      </c>
      <c r="U90">
        <f>IF(AND($A90&lt;&gt;"",U$3&gt;=$J90,U$3&lt;=$M90),1,"")</f>
        <v/>
      </c>
      <c r="V90">
        <f>IF(AND($A90&lt;&gt;"",V$3&gt;=$J90,V$3&lt;=$M90),1,"")</f>
        <v/>
      </c>
      <c r="W90">
        <f>IF(AND($A90&lt;&gt;"",W$3&gt;=$J90,W$3&lt;=$M90),1,"")</f>
        <v/>
      </c>
      <c r="X90">
        <f>IF(AND($A90&lt;&gt;"",X$3&gt;=$J90,X$3&lt;=$M90),1,"")</f>
        <v/>
      </c>
      <c r="Y90">
        <f>IF(AND($A90&lt;&gt;"",Y$3&gt;=$J90,Y$3&lt;=$M90),1,"")</f>
        <v/>
      </c>
      <c r="Z90">
        <f>IF(AND($A90&lt;&gt;"",Z$3&gt;=$J90,Z$3&lt;=$M90),1,"")</f>
        <v/>
      </c>
      <c r="AA90">
        <f>IF(AND($A90&lt;&gt;"",AA$3&gt;=$J90,AA$3&lt;=$M90),1,"")</f>
        <v/>
      </c>
      <c r="AB90">
        <f>IF(AND($A90&lt;&gt;"",AB$3&gt;=$J90,AB$3&lt;=$M90),1,"")</f>
        <v/>
      </c>
      <c r="AC90">
        <f>IF(AND($A90&lt;&gt;"",AC$3&gt;=$J90,AC$3&lt;=$M90),1,"")</f>
        <v/>
      </c>
      <c r="AD90">
        <f>IF(AND($A90&lt;&gt;"",AD$3&gt;=$J90,AD$3&lt;=$M90),1,"")</f>
        <v/>
      </c>
      <c r="AE90">
        <f>IF(AND($A90&lt;&gt;"",AE$3&gt;=$J90,AE$3&lt;=$M90),1,"")</f>
        <v/>
      </c>
      <c r="AF90">
        <f>IF(AND($A90&lt;&gt;"",AF$3&gt;=$J90,AF$3&lt;=$M90),1,"")</f>
        <v/>
      </c>
      <c r="AG90">
        <f>IF(AND($A90&lt;&gt;"",AG$3&gt;=$J90,AG$3&lt;=$M90),1,"")</f>
        <v/>
      </c>
      <c r="AH90">
        <f>IF(AND($A90&lt;&gt;"",AH$3&gt;=$J90,AH$3&lt;=$M90),1,"")</f>
        <v/>
      </c>
      <c r="AI90">
        <f>IF(AND($A90&lt;&gt;"",AI$3&gt;=$J90,AI$3&lt;=$M90),1,"")</f>
        <v/>
      </c>
      <c r="AJ90">
        <f>IF(AND($A90&lt;&gt;"",AJ$3&gt;=$J90,AJ$3&lt;=$M90),1,"")</f>
        <v/>
      </c>
      <c r="AK90">
        <f>IF(AND($A90&lt;&gt;"",AK$3&gt;=$J90,AK$3&lt;=$M90),1,"")</f>
        <v/>
      </c>
      <c r="AL90">
        <f>IF(AND($A90&lt;&gt;"",AL$3&gt;=$J90,AL$3&lt;=$M90),1,"")</f>
        <v/>
      </c>
      <c r="AM90">
        <f>IF(AND($A90&lt;&gt;"",AM$3&gt;=$J90,AM$3&lt;=$M90),1,"")</f>
        <v/>
      </c>
      <c r="AN90">
        <f>IF(AND($A90&lt;&gt;"",AN$3&gt;=$J90,AN$3&lt;=$M90),1,"")</f>
        <v/>
      </c>
      <c r="AO90">
        <f>IF(AND($A90&lt;&gt;"",AO$3&gt;=$J90,AO$3&lt;=$M90),1,"")</f>
        <v/>
      </c>
      <c r="AP90">
        <f>IF(AND($A90&lt;&gt;"",AP$3&gt;=$J90,AP$3&lt;=$M90),1,"")</f>
        <v/>
      </c>
      <c r="AQ90">
        <f>IF(AND($A90&lt;&gt;"",AQ$3&gt;=$J90,AQ$3&lt;=$M90),1,"")</f>
        <v/>
      </c>
      <c r="AR90">
        <f>IF(AND($A90&lt;&gt;"",AR$3&gt;=$J90,AR$3&lt;=$M90),1,"")</f>
        <v/>
      </c>
      <c r="AS90">
        <f>IF(AND($A90&lt;&gt;"",AS$3&gt;=$J90,AS$3&lt;=$M90),1,"")</f>
        <v/>
      </c>
      <c r="AT90">
        <f>IF(AND($A90&lt;&gt;"",AT$3&gt;=$J90,AT$3&lt;=$M90),1,"")</f>
        <v/>
      </c>
      <c r="AU90">
        <f>IF(AND($A90&lt;&gt;"",AU$3&gt;=$J90,AU$3&lt;=$M90),1,"")</f>
        <v/>
      </c>
      <c r="AV90">
        <f>IF(AND($A90&lt;&gt;"",AV$3&gt;=$J90,AV$3&lt;=$M90),1,"")</f>
        <v/>
      </c>
      <c r="AW90">
        <f>IF(AND($A90&lt;&gt;"",AW$3&gt;=$J90,AW$3&lt;=$M90),1,"")</f>
        <v/>
      </c>
      <c r="AX90">
        <f>IF(AND($A90&lt;&gt;"",AX$3&gt;=$J90,AX$3&lt;=$M90),1,"")</f>
        <v/>
      </c>
      <c r="AY90">
        <f>IF(AND($A90&lt;&gt;"",AY$3&gt;=$J90,AY$3&lt;=$M90),1,"")</f>
        <v/>
      </c>
      <c r="AZ90">
        <f>IF(AND($A90&lt;&gt;"",AZ$3&gt;=$J90,AZ$3&lt;=$M90),1,"")</f>
        <v/>
      </c>
      <c r="BA90">
        <f>IF(AND($A90&lt;&gt;"",BA$3&gt;=$J90,BA$3&lt;=$M90),1,"")</f>
        <v/>
      </c>
      <c r="BB90">
        <f>IF(AND($A90&lt;&gt;"",BB$3&gt;=$J90,BB$3&lt;=$M90),1,"")</f>
        <v/>
      </c>
      <c r="BC90">
        <f>IF(AND($A90&lt;&gt;"",BC$3&gt;=$J90,BC$3&lt;=$M90),1,"")</f>
        <v/>
      </c>
      <c r="BD90">
        <f>IF(AND($A90&lt;&gt;"",BD$3&gt;=$J90,BD$3&lt;=$M90),1,"")</f>
        <v/>
      </c>
      <c r="BE90">
        <f>IF(AND($A90&lt;&gt;"",BE$3&gt;=$J90,BE$3&lt;=$M90),1,"")</f>
        <v/>
      </c>
      <c r="BF90">
        <f>IF(AND($A90&lt;&gt;"",BF$3&gt;=$J90,BF$3&lt;=$M90),1,"")</f>
        <v/>
      </c>
      <c r="BG90">
        <f>IF(AND($A90&lt;&gt;"",BG$3&gt;=$J90,BG$3&lt;=$M90),1,"")</f>
        <v/>
      </c>
      <c r="BH90">
        <f>IF(AND($A90&lt;&gt;"",BH$3&gt;=$J90,BH$3&lt;=$M90),1,"")</f>
        <v/>
      </c>
      <c r="BI90">
        <f>IF(AND($A90&lt;&gt;"",BI$3&gt;=$J90,BI$3&lt;=$M90),1,"")</f>
        <v/>
      </c>
      <c r="BJ90">
        <f>IF(AND($A90&lt;&gt;"",BJ$3&gt;=$J90,BJ$3&lt;=$M90),1,"")</f>
        <v/>
      </c>
      <c r="BK90">
        <f>IF(AND($A90&lt;&gt;"",BK$3&gt;=$J90,BK$3&lt;=$M90),1,"")</f>
        <v/>
      </c>
      <c r="BL90">
        <f>IF(AND($A90&lt;&gt;"",BL$3&gt;=$J90,BL$3&lt;=$M90),1,"")</f>
        <v/>
      </c>
      <c r="BM90">
        <f>IF(AND($A90&lt;&gt;"",BM$3&gt;=$J90,BM$3&lt;=$M90),1,"")</f>
        <v/>
      </c>
      <c r="BN90">
        <f>IF(AND($A90&lt;&gt;"",BN$3&gt;=$J90,BN$3&lt;=$M90),1,"")</f>
        <v/>
      </c>
      <c r="BO90">
        <f>IF(AND($A90&lt;&gt;"",BO$3&gt;=$J90,BO$3&lt;=$M90),1,"")</f>
        <v/>
      </c>
      <c r="BP90">
        <f>IF(AND($A90&lt;&gt;"",BP$3&gt;=$J90,BP$3&lt;=$M90),1,"")</f>
        <v/>
      </c>
      <c r="BQ90">
        <f>IF(AND($A90&lt;&gt;"",BQ$3&gt;=$J90,BQ$3&lt;=$M90),1,"")</f>
        <v/>
      </c>
      <c r="BR90">
        <f>IF(AND($A90&lt;&gt;"",BR$3&gt;=$J90,BR$3&lt;=$M90),1,"")</f>
        <v/>
      </c>
      <c r="BS90">
        <f>IF(AND($A90&lt;&gt;"",BS$3&gt;=$J90,BS$3&lt;=$M90),1,"")</f>
        <v/>
      </c>
      <c r="BT90">
        <f>IF(AND($A90&lt;&gt;"",BT$3&gt;=$J90,BT$3&lt;=$M90),1,"")</f>
        <v/>
      </c>
      <c r="BU90">
        <f>IF(AND($A90&lt;&gt;"",BU$3&gt;=$J90,BU$3&lt;=$M90),1,"")</f>
        <v/>
      </c>
      <c r="BV90">
        <f>IF(AND($A90&lt;&gt;"",BV$3&gt;=$J90,BV$3&lt;=$M90),1,"")</f>
        <v/>
      </c>
    </row>
    <row r="91">
      <c r="A91">
        <f>IF(Job_Master_Ring!$A91="","",Job_Master_Ring!$A91)</f>
        <v/>
      </c>
      <c r="B91">
        <f>IF($A91="","",Job_Master_Ring!B91)</f>
        <v/>
      </c>
      <c r="C91">
        <f>IF($A91="","",Job_Master_Ring!C91)</f>
        <v/>
      </c>
      <c r="D91">
        <f>IF($A91="","",Job_Master_Ring!D91)</f>
        <v/>
      </c>
      <c r="E91">
        <f>IF($A91="","",IF($I91&lt;&gt;"",$I91,IFERROR(INDEX(Machine_List!$B$87:$B$94,MATCH(1,(Machine_List!$H$87:$H$94&lt;=IFERROR(VLOOKUP($B91,CHOOSE(MATCH($C91,Settings!$L$4:$L$10,0),OPR_BR1!$A$4:$K$18,OPR_BR2!$A$4:$K$18,OPR_CR2!$A$4:$K$18,OPR_CR3!$A$4:$K$18,OPR_CR4!$A$4:$K$18,OPR_RIM!$A$4:$K$18,OPR_BPR!$A$4:$K$18),10,0),0))*(Machine_List!$I$87:$I$94&gt;=IFERROR(VLOOKUP($B91,CHOOSE(MATCH($C91,Settings!$L$4:$L$10,0),OPR_BR1!$A$4:$K$18,OPR_BR2!$A$4:$K$18,OPR_CR2!$A$4:$K$18,OPR_CR3!$A$4:$K$18,OPR_CR4!$A$4:$K$18,OPR_RIM!$A$4:$K$18,OPR_BPR!$A$4:$K$18),11,0),9999)),0)),"NO COMPATIBLE MACHINE")))</f>
        <v/>
      </c>
      <c r="F91">
        <f>IF($E91="","",IFERROR(VLOOKUP($E91,Machine_List!$B:$G,6,0),""))</f>
        <v/>
      </c>
      <c r="G91" s="17">
        <f>IF($E91="","",IFERROR(VLOOKUP($E91,Machine_List!$B:$C,2,0),""))</f>
        <v/>
      </c>
      <c r="H91">
        <f>IF($E91="","",IFERROR(VLOOKUP($E91,Machine_List!$B:$D,3,0),""))</f>
        <v/>
      </c>
      <c r="J91" s="16">
        <f>IF($A91="","",IF($I91&lt;&gt;"",$I91,MAX(GlobalStartDate,IFERROR(LOOKUP(2,1/($E$3:INDIRECT("E"&amp;(ROW()-1))=$E91),$M$3:INDIRECT("M"&amp;(ROW()-1))),GlobalStartDate))))</f>
        <v/>
      </c>
      <c r="K91">
        <f>IF($A91="","",IFERROR(VLOOKUP(B91,CHOOSE(MATCH($C91,Settings!$L$4:$L$10,0),OPR_BR1!$A$4:$I$18,OPR_BR2!$A$4:$I$18,OPR_CR2!$A$4:$I$18,OPR_CR3!$A$4:$I$18,OPR_CR4!$A$4:$I$18,OPR_RIM!$A$4:$I$18,OPR_BPR!$A$4:$I$18),2,0),0))</f>
        <v/>
      </c>
      <c r="L91">
        <f>IF($A91="","",K91*D91)</f>
        <v/>
      </c>
      <c r="M91" s="16">
        <f>IF($A91="","",IF(AND(ISNUMBER(G91),G91&gt;=J91,G91&lt;=(J91+(L91/(IF(F91="Contract Workman",Settings!$K$5,Settings!$K$4))))),J91+(L91/(IF(F91="Contract Workman",Settings!$K$5,Settings!$K$4)))+(H91/(IF(F91="Contract Workman",Settings!$K$5,Settings!$K$4))),J91+(L91/(IF(F91="Contract Workman",Settings!$K$5,Settings!$K$4)))))</f>
        <v/>
      </c>
      <c r="N91">
        <f>IF($A91="","",IF(F91="Contract Workman",IF(AND(MOD(M91,1)&gt;=8/24,MOD(M91,1)&lt;20/24),"Shift S1","Shift S2"),IF(AND(MOD(M91,1)&gt;=7/24,MOD(M91,1)&lt;15/24),"Shift A",IF(AND(MOD(M91,1)&gt;=15/24,MOD(M91,1)&lt;23/24),"Shift B","Shift C"))))</f>
        <v/>
      </c>
      <c r="O91">
        <f>IF(B91="","",IF(IFERROR(ISNUMBER(SEARCH(TEXT(B91,"0"),VLOOKUP(E91,Machine_List!$B:$J,9,0))),FALSE),"✅ "&amp;E91,"❌ ?"))</f>
        <v/>
      </c>
      <c r="P91">
        <f>IF(AND($A91&lt;&gt;"",P$3&gt;=$J91,P$3&lt;=$M91),1,"")</f>
        <v/>
      </c>
      <c r="Q91">
        <f>IF(AND($A91&lt;&gt;"",Q$3&gt;=$J91,Q$3&lt;=$M91),1,"")</f>
        <v/>
      </c>
      <c r="R91">
        <f>IF(AND($A91&lt;&gt;"",R$3&gt;=$J91,R$3&lt;=$M91),1,"")</f>
        <v/>
      </c>
      <c r="S91">
        <f>IF(AND($A91&lt;&gt;"",S$3&gt;=$J91,S$3&lt;=$M91),1,"")</f>
        <v/>
      </c>
      <c r="T91">
        <f>IF(AND($A91&lt;&gt;"",T$3&gt;=$J91,T$3&lt;=$M91),1,"")</f>
        <v/>
      </c>
      <c r="U91">
        <f>IF(AND($A91&lt;&gt;"",U$3&gt;=$J91,U$3&lt;=$M91),1,"")</f>
        <v/>
      </c>
      <c r="V91">
        <f>IF(AND($A91&lt;&gt;"",V$3&gt;=$J91,V$3&lt;=$M91),1,"")</f>
        <v/>
      </c>
      <c r="W91">
        <f>IF(AND($A91&lt;&gt;"",W$3&gt;=$J91,W$3&lt;=$M91),1,"")</f>
        <v/>
      </c>
      <c r="X91">
        <f>IF(AND($A91&lt;&gt;"",X$3&gt;=$J91,X$3&lt;=$M91),1,"")</f>
        <v/>
      </c>
      <c r="Y91">
        <f>IF(AND($A91&lt;&gt;"",Y$3&gt;=$J91,Y$3&lt;=$M91),1,"")</f>
        <v/>
      </c>
      <c r="Z91">
        <f>IF(AND($A91&lt;&gt;"",Z$3&gt;=$J91,Z$3&lt;=$M91),1,"")</f>
        <v/>
      </c>
      <c r="AA91">
        <f>IF(AND($A91&lt;&gt;"",AA$3&gt;=$J91,AA$3&lt;=$M91),1,"")</f>
        <v/>
      </c>
      <c r="AB91">
        <f>IF(AND($A91&lt;&gt;"",AB$3&gt;=$J91,AB$3&lt;=$M91),1,"")</f>
        <v/>
      </c>
      <c r="AC91">
        <f>IF(AND($A91&lt;&gt;"",AC$3&gt;=$J91,AC$3&lt;=$M91),1,"")</f>
        <v/>
      </c>
      <c r="AD91">
        <f>IF(AND($A91&lt;&gt;"",AD$3&gt;=$J91,AD$3&lt;=$M91),1,"")</f>
        <v/>
      </c>
      <c r="AE91">
        <f>IF(AND($A91&lt;&gt;"",AE$3&gt;=$J91,AE$3&lt;=$M91),1,"")</f>
        <v/>
      </c>
      <c r="AF91">
        <f>IF(AND($A91&lt;&gt;"",AF$3&gt;=$J91,AF$3&lt;=$M91),1,"")</f>
        <v/>
      </c>
      <c r="AG91">
        <f>IF(AND($A91&lt;&gt;"",AG$3&gt;=$J91,AG$3&lt;=$M91),1,"")</f>
        <v/>
      </c>
      <c r="AH91">
        <f>IF(AND($A91&lt;&gt;"",AH$3&gt;=$J91,AH$3&lt;=$M91),1,"")</f>
        <v/>
      </c>
      <c r="AI91">
        <f>IF(AND($A91&lt;&gt;"",AI$3&gt;=$J91,AI$3&lt;=$M91),1,"")</f>
        <v/>
      </c>
      <c r="AJ91">
        <f>IF(AND($A91&lt;&gt;"",AJ$3&gt;=$J91,AJ$3&lt;=$M91),1,"")</f>
        <v/>
      </c>
      <c r="AK91">
        <f>IF(AND($A91&lt;&gt;"",AK$3&gt;=$J91,AK$3&lt;=$M91),1,"")</f>
        <v/>
      </c>
      <c r="AL91">
        <f>IF(AND($A91&lt;&gt;"",AL$3&gt;=$J91,AL$3&lt;=$M91),1,"")</f>
        <v/>
      </c>
      <c r="AM91">
        <f>IF(AND($A91&lt;&gt;"",AM$3&gt;=$J91,AM$3&lt;=$M91),1,"")</f>
        <v/>
      </c>
      <c r="AN91">
        <f>IF(AND($A91&lt;&gt;"",AN$3&gt;=$J91,AN$3&lt;=$M91),1,"")</f>
        <v/>
      </c>
      <c r="AO91">
        <f>IF(AND($A91&lt;&gt;"",AO$3&gt;=$J91,AO$3&lt;=$M91),1,"")</f>
        <v/>
      </c>
      <c r="AP91">
        <f>IF(AND($A91&lt;&gt;"",AP$3&gt;=$J91,AP$3&lt;=$M91),1,"")</f>
        <v/>
      </c>
      <c r="AQ91">
        <f>IF(AND($A91&lt;&gt;"",AQ$3&gt;=$J91,AQ$3&lt;=$M91),1,"")</f>
        <v/>
      </c>
      <c r="AR91">
        <f>IF(AND($A91&lt;&gt;"",AR$3&gt;=$J91,AR$3&lt;=$M91),1,"")</f>
        <v/>
      </c>
      <c r="AS91">
        <f>IF(AND($A91&lt;&gt;"",AS$3&gt;=$J91,AS$3&lt;=$M91),1,"")</f>
        <v/>
      </c>
      <c r="AT91">
        <f>IF(AND($A91&lt;&gt;"",AT$3&gt;=$J91,AT$3&lt;=$M91),1,"")</f>
        <v/>
      </c>
      <c r="AU91">
        <f>IF(AND($A91&lt;&gt;"",AU$3&gt;=$J91,AU$3&lt;=$M91),1,"")</f>
        <v/>
      </c>
      <c r="AV91">
        <f>IF(AND($A91&lt;&gt;"",AV$3&gt;=$J91,AV$3&lt;=$M91),1,"")</f>
        <v/>
      </c>
      <c r="AW91">
        <f>IF(AND($A91&lt;&gt;"",AW$3&gt;=$J91,AW$3&lt;=$M91),1,"")</f>
        <v/>
      </c>
      <c r="AX91">
        <f>IF(AND($A91&lt;&gt;"",AX$3&gt;=$J91,AX$3&lt;=$M91),1,"")</f>
        <v/>
      </c>
      <c r="AY91">
        <f>IF(AND($A91&lt;&gt;"",AY$3&gt;=$J91,AY$3&lt;=$M91),1,"")</f>
        <v/>
      </c>
      <c r="AZ91">
        <f>IF(AND($A91&lt;&gt;"",AZ$3&gt;=$J91,AZ$3&lt;=$M91),1,"")</f>
        <v/>
      </c>
      <c r="BA91">
        <f>IF(AND($A91&lt;&gt;"",BA$3&gt;=$J91,BA$3&lt;=$M91),1,"")</f>
        <v/>
      </c>
      <c r="BB91">
        <f>IF(AND($A91&lt;&gt;"",BB$3&gt;=$J91,BB$3&lt;=$M91),1,"")</f>
        <v/>
      </c>
      <c r="BC91">
        <f>IF(AND($A91&lt;&gt;"",BC$3&gt;=$J91,BC$3&lt;=$M91),1,"")</f>
        <v/>
      </c>
      <c r="BD91">
        <f>IF(AND($A91&lt;&gt;"",BD$3&gt;=$J91,BD$3&lt;=$M91),1,"")</f>
        <v/>
      </c>
      <c r="BE91">
        <f>IF(AND($A91&lt;&gt;"",BE$3&gt;=$J91,BE$3&lt;=$M91),1,"")</f>
        <v/>
      </c>
      <c r="BF91">
        <f>IF(AND($A91&lt;&gt;"",BF$3&gt;=$J91,BF$3&lt;=$M91),1,"")</f>
        <v/>
      </c>
      <c r="BG91">
        <f>IF(AND($A91&lt;&gt;"",BG$3&gt;=$J91,BG$3&lt;=$M91),1,"")</f>
        <v/>
      </c>
      <c r="BH91">
        <f>IF(AND($A91&lt;&gt;"",BH$3&gt;=$J91,BH$3&lt;=$M91),1,"")</f>
        <v/>
      </c>
      <c r="BI91">
        <f>IF(AND($A91&lt;&gt;"",BI$3&gt;=$J91,BI$3&lt;=$M91),1,"")</f>
        <v/>
      </c>
      <c r="BJ91">
        <f>IF(AND($A91&lt;&gt;"",BJ$3&gt;=$J91,BJ$3&lt;=$M91),1,"")</f>
        <v/>
      </c>
      <c r="BK91">
        <f>IF(AND($A91&lt;&gt;"",BK$3&gt;=$J91,BK$3&lt;=$M91),1,"")</f>
        <v/>
      </c>
      <c r="BL91">
        <f>IF(AND($A91&lt;&gt;"",BL$3&gt;=$J91,BL$3&lt;=$M91),1,"")</f>
        <v/>
      </c>
      <c r="BM91">
        <f>IF(AND($A91&lt;&gt;"",BM$3&gt;=$J91,BM$3&lt;=$M91),1,"")</f>
        <v/>
      </c>
      <c r="BN91">
        <f>IF(AND($A91&lt;&gt;"",BN$3&gt;=$J91,BN$3&lt;=$M91),1,"")</f>
        <v/>
      </c>
      <c r="BO91">
        <f>IF(AND($A91&lt;&gt;"",BO$3&gt;=$J91,BO$3&lt;=$M91),1,"")</f>
        <v/>
      </c>
      <c r="BP91">
        <f>IF(AND($A91&lt;&gt;"",BP$3&gt;=$J91,BP$3&lt;=$M91),1,"")</f>
        <v/>
      </c>
      <c r="BQ91">
        <f>IF(AND($A91&lt;&gt;"",BQ$3&gt;=$J91,BQ$3&lt;=$M91),1,"")</f>
        <v/>
      </c>
      <c r="BR91">
        <f>IF(AND($A91&lt;&gt;"",BR$3&gt;=$J91,BR$3&lt;=$M91),1,"")</f>
        <v/>
      </c>
      <c r="BS91">
        <f>IF(AND($A91&lt;&gt;"",BS$3&gt;=$J91,BS$3&lt;=$M91),1,"")</f>
        <v/>
      </c>
      <c r="BT91">
        <f>IF(AND($A91&lt;&gt;"",BT$3&gt;=$J91,BT$3&lt;=$M91),1,"")</f>
        <v/>
      </c>
      <c r="BU91">
        <f>IF(AND($A91&lt;&gt;"",BU$3&gt;=$J91,BU$3&lt;=$M91),1,"")</f>
        <v/>
      </c>
      <c r="BV91">
        <f>IF(AND($A91&lt;&gt;"",BV$3&gt;=$J91,BV$3&lt;=$M91),1,"")</f>
        <v/>
      </c>
    </row>
    <row r="92">
      <c r="A92">
        <f>IF(Job_Master_Ring!$A92="","",Job_Master_Ring!$A92)</f>
        <v/>
      </c>
      <c r="B92">
        <f>IF($A92="","",Job_Master_Ring!B92)</f>
        <v/>
      </c>
      <c r="C92">
        <f>IF($A92="","",Job_Master_Ring!C92)</f>
        <v/>
      </c>
      <c r="D92">
        <f>IF($A92="","",Job_Master_Ring!D92)</f>
        <v/>
      </c>
      <c r="E92">
        <f>IF($A92="","",IF($I92&lt;&gt;"",$I92,IFERROR(INDEX(Machine_List!$B$87:$B$94,MATCH(1,(Machine_List!$H$87:$H$94&lt;=IFERROR(VLOOKUP($B92,CHOOSE(MATCH($C92,Settings!$L$4:$L$10,0),OPR_BR1!$A$4:$K$18,OPR_BR2!$A$4:$K$18,OPR_CR2!$A$4:$K$18,OPR_CR3!$A$4:$K$18,OPR_CR4!$A$4:$K$18,OPR_RIM!$A$4:$K$18,OPR_BPR!$A$4:$K$18),10,0),0))*(Machine_List!$I$87:$I$94&gt;=IFERROR(VLOOKUP($B92,CHOOSE(MATCH($C92,Settings!$L$4:$L$10,0),OPR_BR1!$A$4:$K$18,OPR_BR2!$A$4:$K$18,OPR_CR2!$A$4:$K$18,OPR_CR3!$A$4:$K$18,OPR_CR4!$A$4:$K$18,OPR_RIM!$A$4:$K$18,OPR_BPR!$A$4:$K$18),11,0),9999)),0)),"NO COMPATIBLE MACHINE")))</f>
        <v/>
      </c>
      <c r="F92">
        <f>IF($E92="","",IFERROR(VLOOKUP($E92,Machine_List!$B:$G,6,0),""))</f>
        <v/>
      </c>
      <c r="G92" s="17">
        <f>IF($E92="","",IFERROR(VLOOKUP($E92,Machine_List!$B:$C,2,0),""))</f>
        <v/>
      </c>
      <c r="H92">
        <f>IF($E92="","",IFERROR(VLOOKUP($E92,Machine_List!$B:$D,3,0),""))</f>
        <v/>
      </c>
      <c r="J92" s="16">
        <f>IF($A92="","",IF($I92&lt;&gt;"",$I92,MAX(GlobalStartDate,IFERROR(LOOKUP(2,1/($E$3:INDIRECT("E"&amp;(ROW()-1))=$E92),$M$3:INDIRECT("M"&amp;(ROW()-1))),GlobalStartDate))))</f>
        <v/>
      </c>
      <c r="K92">
        <f>IF($A92="","",IFERROR(VLOOKUP(B92,CHOOSE(MATCH($C92,Settings!$L$4:$L$10,0),OPR_BR1!$A$4:$I$18,OPR_BR2!$A$4:$I$18,OPR_CR2!$A$4:$I$18,OPR_CR3!$A$4:$I$18,OPR_CR4!$A$4:$I$18,OPR_RIM!$A$4:$I$18,OPR_BPR!$A$4:$I$18),2,0),0))</f>
        <v/>
      </c>
      <c r="L92">
        <f>IF($A92="","",K92*D92)</f>
        <v/>
      </c>
      <c r="M92" s="16">
        <f>IF($A92="","",IF(AND(ISNUMBER(G92),G92&gt;=J92,G92&lt;=(J92+(L92/(IF(F92="Contract Workman",Settings!$K$5,Settings!$K$4))))),J92+(L92/(IF(F92="Contract Workman",Settings!$K$5,Settings!$K$4)))+(H92/(IF(F92="Contract Workman",Settings!$K$5,Settings!$K$4))),J92+(L92/(IF(F92="Contract Workman",Settings!$K$5,Settings!$K$4)))))</f>
        <v/>
      </c>
      <c r="N92">
        <f>IF($A92="","",IF(F92="Contract Workman",IF(AND(MOD(M92,1)&gt;=8/24,MOD(M92,1)&lt;20/24),"Shift S1","Shift S2"),IF(AND(MOD(M92,1)&gt;=7/24,MOD(M92,1)&lt;15/24),"Shift A",IF(AND(MOD(M92,1)&gt;=15/24,MOD(M92,1)&lt;23/24),"Shift B","Shift C"))))</f>
        <v/>
      </c>
      <c r="O92">
        <f>IF(B92="","",IF(IFERROR(ISNUMBER(SEARCH(TEXT(B92,"0"),VLOOKUP(E92,Machine_List!$B:$J,9,0))),FALSE),"✅ "&amp;E92,"❌ ?"))</f>
        <v/>
      </c>
      <c r="P92">
        <f>IF(AND($A92&lt;&gt;"",P$3&gt;=$J92,P$3&lt;=$M92),1,"")</f>
        <v/>
      </c>
      <c r="Q92">
        <f>IF(AND($A92&lt;&gt;"",Q$3&gt;=$J92,Q$3&lt;=$M92),1,"")</f>
        <v/>
      </c>
      <c r="R92">
        <f>IF(AND($A92&lt;&gt;"",R$3&gt;=$J92,R$3&lt;=$M92),1,"")</f>
        <v/>
      </c>
      <c r="S92">
        <f>IF(AND($A92&lt;&gt;"",S$3&gt;=$J92,S$3&lt;=$M92),1,"")</f>
        <v/>
      </c>
      <c r="T92">
        <f>IF(AND($A92&lt;&gt;"",T$3&gt;=$J92,T$3&lt;=$M92),1,"")</f>
        <v/>
      </c>
      <c r="U92">
        <f>IF(AND($A92&lt;&gt;"",U$3&gt;=$J92,U$3&lt;=$M92),1,"")</f>
        <v/>
      </c>
      <c r="V92">
        <f>IF(AND($A92&lt;&gt;"",V$3&gt;=$J92,V$3&lt;=$M92),1,"")</f>
        <v/>
      </c>
      <c r="W92">
        <f>IF(AND($A92&lt;&gt;"",W$3&gt;=$J92,W$3&lt;=$M92),1,"")</f>
        <v/>
      </c>
      <c r="X92">
        <f>IF(AND($A92&lt;&gt;"",X$3&gt;=$J92,X$3&lt;=$M92),1,"")</f>
        <v/>
      </c>
      <c r="Y92">
        <f>IF(AND($A92&lt;&gt;"",Y$3&gt;=$J92,Y$3&lt;=$M92),1,"")</f>
        <v/>
      </c>
      <c r="Z92">
        <f>IF(AND($A92&lt;&gt;"",Z$3&gt;=$J92,Z$3&lt;=$M92),1,"")</f>
        <v/>
      </c>
      <c r="AA92">
        <f>IF(AND($A92&lt;&gt;"",AA$3&gt;=$J92,AA$3&lt;=$M92),1,"")</f>
        <v/>
      </c>
      <c r="AB92">
        <f>IF(AND($A92&lt;&gt;"",AB$3&gt;=$J92,AB$3&lt;=$M92),1,"")</f>
        <v/>
      </c>
      <c r="AC92">
        <f>IF(AND($A92&lt;&gt;"",AC$3&gt;=$J92,AC$3&lt;=$M92),1,"")</f>
        <v/>
      </c>
      <c r="AD92">
        <f>IF(AND($A92&lt;&gt;"",AD$3&gt;=$J92,AD$3&lt;=$M92),1,"")</f>
        <v/>
      </c>
      <c r="AE92">
        <f>IF(AND($A92&lt;&gt;"",AE$3&gt;=$J92,AE$3&lt;=$M92),1,"")</f>
        <v/>
      </c>
      <c r="AF92">
        <f>IF(AND($A92&lt;&gt;"",AF$3&gt;=$J92,AF$3&lt;=$M92),1,"")</f>
        <v/>
      </c>
      <c r="AG92">
        <f>IF(AND($A92&lt;&gt;"",AG$3&gt;=$J92,AG$3&lt;=$M92),1,"")</f>
        <v/>
      </c>
      <c r="AH92">
        <f>IF(AND($A92&lt;&gt;"",AH$3&gt;=$J92,AH$3&lt;=$M92),1,"")</f>
        <v/>
      </c>
      <c r="AI92">
        <f>IF(AND($A92&lt;&gt;"",AI$3&gt;=$J92,AI$3&lt;=$M92),1,"")</f>
        <v/>
      </c>
      <c r="AJ92">
        <f>IF(AND($A92&lt;&gt;"",AJ$3&gt;=$J92,AJ$3&lt;=$M92),1,"")</f>
        <v/>
      </c>
      <c r="AK92">
        <f>IF(AND($A92&lt;&gt;"",AK$3&gt;=$J92,AK$3&lt;=$M92),1,"")</f>
        <v/>
      </c>
      <c r="AL92">
        <f>IF(AND($A92&lt;&gt;"",AL$3&gt;=$J92,AL$3&lt;=$M92),1,"")</f>
        <v/>
      </c>
      <c r="AM92">
        <f>IF(AND($A92&lt;&gt;"",AM$3&gt;=$J92,AM$3&lt;=$M92),1,"")</f>
        <v/>
      </c>
      <c r="AN92">
        <f>IF(AND($A92&lt;&gt;"",AN$3&gt;=$J92,AN$3&lt;=$M92),1,"")</f>
        <v/>
      </c>
      <c r="AO92">
        <f>IF(AND($A92&lt;&gt;"",AO$3&gt;=$J92,AO$3&lt;=$M92),1,"")</f>
        <v/>
      </c>
      <c r="AP92">
        <f>IF(AND($A92&lt;&gt;"",AP$3&gt;=$J92,AP$3&lt;=$M92),1,"")</f>
        <v/>
      </c>
      <c r="AQ92">
        <f>IF(AND($A92&lt;&gt;"",AQ$3&gt;=$J92,AQ$3&lt;=$M92),1,"")</f>
        <v/>
      </c>
      <c r="AR92">
        <f>IF(AND($A92&lt;&gt;"",AR$3&gt;=$J92,AR$3&lt;=$M92),1,"")</f>
        <v/>
      </c>
      <c r="AS92">
        <f>IF(AND($A92&lt;&gt;"",AS$3&gt;=$J92,AS$3&lt;=$M92),1,"")</f>
        <v/>
      </c>
      <c r="AT92">
        <f>IF(AND($A92&lt;&gt;"",AT$3&gt;=$J92,AT$3&lt;=$M92),1,"")</f>
        <v/>
      </c>
      <c r="AU92">
        <f>IF(AND($A92&lt;&gt;"",AU$3&gt;=$J92,AU$3&lt;=$M92),1,"")</f>
        <v/>
      </c>
      <c r="AV92">
        <f>IF(AND($A92&lt;&gt;"",AV$3&gt;=$J92,AV$3&lt;=$M92),1,"")</f>
        <v/>
      </c>
      <c r="AW92">
        <f>IF(AND($A92&lt;&gt;"",AW$3&gt;=$J92,AW$3&lt;=$M92),1,"")</f>
        <v/>
      </c>
      <c r="AX92">
        <f>IF(AND($A92&lt;&gt;"",AX$3&gt;=$J92,AX$3&lt;=$M92),1,"")</f>
        <v/>
      </c>
      <c r="AY92">
        <f>IF(AND($A92&lt;&gt;"",AY$3&gt;=$J92,AY$3&lt;=$M92),1,"")</f>
        <v/>
      </c>
      <c r="AZ92">
        <f>IF(AND($A92&lt;&gt;"",AZ$3&gt;=$J92,AZ$3&lt;=$M92),1,"")</f>
        <v/>
      </c>
      <c r="BA92">
        <f>IF(AND($A92&lt;&gt;"",BA$3&gt;=$J92,BA$3&lt;=$M92),1,"")</f>
        <v/>
      </c>
      <c r="BB92">
        <f>IF(AND($A92&lt;&gt;"",BB$3&gt;=$J92,BB$3&lt;=$M92),1,"")</f>
        <v/>
      </c>
      <c r="BC92">
        <f>IF(AND($A92&lt;&gt;"",BC$3&gt;=$J92,BC$3&lt;=$M92),1,"")</f>
        <v/>
      </c>
      <c r="BD92">
        <f>IF(AND($A92&lt;&gt;"",BD$3&gt;=$J92,BD$3&lt;=$M92),1,"")</f>
        <v/>
      </c>
      <c r="BE92">
        <f>IF(AND($A92&lt;&gt;"",BE$3&gt;=$J92,BE$3&lt;=$M92),1,"")</f>
        <v/>
      </c>
      <c r="BF92">
        <f>IF(AND($A92&lt;&gt;"",BF$3&gt;=$J92,BF$3&lt;=$M92),1,"")</f>
        <v/>
      </c>
      <c r="BG92">
        <f>IF(AND($A92&lt;&gt;"",BG$3&gt;=$J92,BG$3&lt;=$M92),1,"")</f>
        <v/>
      </c>
      <c r="BH92">
        <f>IF(AND($A92&lt;&gt;"",BH$3&gt;=$J92,BH$3&lt;=$M92),1,"")</f>
        <v/>
      </c>
      <c r="BI92">
        <f>IF(AND($A92&lt;&gt;"",BI$3&gt;=$J92,BI$3&lt;=$M92),1,"")</f>
        <v/>
      </c>
      <c r="BJ92">
        <f>IF(AND($A92&lt;&gt;"",BJ$3&gt;=$J92,BJ$3&lt;=$M92),1,"")</f>
        <v/>
      </c>
      <c r="BK92">
        <f>IF(AND($A92&lt;&gt;"",BK$3&gt;=$J92,BK$3&lt;=$M92),1,"")</f>
        <v/>
      </c>
      <c r="BL92">
        <f>IF(AND($A92&lt;&gt;"",BL$3&gt;=$J92,BL$3&lt;=$M92),1,"")</f>
        <v/>
      </c>
      <c r="BM92">
        <f>IF(AND($A92&lt;&gt;"",BM$3&gt;=$J92,BM$3&lt;=$M92),1,"")</f>
        <v/>
      </c>
      <c r="BN92">
        <f>IF(AND($A92&lt;&gt;"",BN$3&gt;=$J92,BN$3&lt;=$M92),1,"")</f>
        <v/>
      </c>
      <c r="BO92">
        <f>IF(AND($A92&lt;&gt;"",BO$3&gt;=$J92,BO$3&lt;=$M92),1,"")</f>
        <v/>
      </c>
      <c r="BP92">
        <f>IF(AND($A92&lt;&gt;"",BP$3&gt;=$J92,BP$3&lt;=$M92),1,"")</f>
        <v/>
      </c>
      <c r="BQ92">
        <f>IF(AND($A92&lt;&gt;"",BQ$3&gt;=$J92,BQ$3&lt;=$M92),1,"")</f>
        <v/>
      </c>
      <c r="BR92">
        <f>IF(AND($A92&lt;&gt;"",BR$3&gt;=$J92,BR$3&lt;=$M92),1,"")</f>
        <v/>
      </c>
      <c r="BS92">
        <f>IF(AND($A92&lt;&gt;"",BS$3&gt;=$J92,BS$3&lt;=$M92),1,"")</f>
        <v/>
      </c>
      <c r="BT92">
        <f>IF(AND($A92&lt;&gt;"",BT$3&gt;=$J92,BT$3&lt;=$M92),1,"")</f>
        <v/>
      </c>
      <c r="BU92">
        <f>IF(AND($A92&lt;&gt;"",BU$3&gt;=$J92,BU$3&lt;=$M92),1,"")</f>
        <v/>
      </c>
      <c r="BV92">
        <f>IF(AND($A92&lt;&gt;"",BV$3&gt;=$J92,BV$3&lt;=$M92),1,"")</f>
        <v/>
      </c>
    </row>
    <row r="93">
      <c r="A93">
        <f>IF(Job_Master_Ring!$A93="","",Job_Master_Ring!$A93)</f>
        <v/>
      </c>
      <c r="B93">
        <f>IF($A93="","",Job_Master_Ring!B93)</f>
        <v/>
      </c>
      <c r="C93">
        <f>IF($A93="","",Job_Master_Ring!C93)</f>
        <v/>
      </c>
      <c r="D93">
        <f>IF($A93="","",Job_Master_Ring!D93)</f>
        <v/>
      </c>
      <c r="E93">
        <f>IF($A93="","",IF($I93&lt;&gt;"",$I93,IFERROR(INDEX(Machine_List!$B$87:$B$94,MATCH(1,(Machine_List!$H$87:$H$94&lt;=IFERROR(VLOOKUP($B93,CHOOSE(MATCH($C93,Settings!$L$4:$L$10,0),OPR_BR1!$A$4:$K$18,OPR_BR2!$A$4:$K$18,OPR_CR2!$A$4:$K$18,OPR_CR3!$A$4:$K$18,OPR_CR4!$A$4:$K$18,OPR_RIM!$A$4:$K$18,OPR_BPR!$A$4:$K$18),10,0),0))*(Machine_List!$I$87:$I$94&gt;=IFERROR(VLOOKUP($B93,CHOOSE(MATCH($C93,Settings!$L$4:$L$10,0),OPR_BR1!$A$4:$K$18,OPR_BR2!$A$4:$K$18,OPR_CR2!$A$4:$K$18,OPR_CR3!$A$4:$K$18,OPR_CR4!$A$4:$K$18,OPR_RIM!$A$4:$K$18,OPR_BPR!$A$4:$K$18),11,0),9999)),0)),"NO COMPATIBLE MACHINE")))</f>
        <v/>
      </c>
      <c r="F93">
        <f>IF($E93="","",IFERROR(VLOOKUP($E93,Machine_List!$B:$G,6,0),""))</f>
        <v/>
      </c>
      <c r="G93" s="17">
        <f>IF($E93="","",IFERROR(VLOOKUP($E93,Machine_List!$B:$C,2,0),""))</f>
        <v/>
      </c>
      <c r="H93">
        <f>IF($E93="","",IFERROR(VLOOKUP($E93,Machine_List!$B:$D,3,0),""))</f>
        <v/>
      </c>
      <c r="J93" s="16">
        <f>IF($A93="","",IF($I93&lt;&gt;"",$I93,MAX(GlobalStartDate,IFERROR(LOOKUP(2,1/($E$3:INDIRECT("E"&amp;(ROW()-1))=$E93),$M$3:INDIRECT("M"&amp;(ROW()-1))),GlobalStartDate))))</f>
        <v/>
      </c>
      <c r="K93">
        <f>IF($A93="","",IFERROR(VLOOKUP(B93,CHOOSE(MATCH($C93,Settings!$L$4:$L$10,0),OPR_BR1!$A$4:$I$18,OPR_BR2!$A$4:$I$18,OPR_CR2!$A$4:$I$18,OPR_CR3!$A$4:$I$18,OPR_CR4!$A$4:$I$18,OPR_RIM!$A$4:$I$18,OPR_BPR!$A$4:$I$18),2,0),0))</f>
        <v/>
      </c>
      <c r="L93">
        <f>IF($A93="","",K93*D93)</f>
        <v/>
      </c>
      <c r="M93" s="16">
        <f>IF($A93="","",IF(AND(ISNUMBER(G93),G93&gt;=J93,G93&lt;=(J93+(L93/(IF(F93="Contract Workman",Settings!$K$5,Settings!$K$4))))),J93+(L93/(IF(F93="Contract Workman",Settings!$K$5,Settings!$K$4)))+(H93/(IF(F93="Contract Workman",Settings!$K$5,Settings!$K$4))),J93+(L93/(IF(F93="Contract Workman",Settings!$K$5,Settings!$K$4)))))</f>
        <v/>
      </c>
      <c r="N93">
        <f>IF($A93="","",IF(F93="Contract Workman",IF(AND(MOD(M93,1)&gt;=8/24,MOD(M93,1)&lt;20/24),"Shift S1","Shift S2"),IF(AND(MOD(M93,1)&gt;=7/24,MOD(M93,1)&lt;15/24),"Shift A",IF(AND(MOD(M93,1)&gt;=15/24,MOD(M93,1)&lt;23/24),"Shift B","Shift C"))))</f>
        <v/>
      </c>
      <c r="O93">
        <f>IF(B93="","",IF(IFERROR(ISNUMBER(SEARCH(TEXT(B93,"0"),VLOOKUP(E93,Machine_List!$B:$J,9,0))),FALSE),"✅ "&amp;E93,"❌ ?"))</f>
        <v/>
      </c>
      <c r="P93">
        <f>IF(AND($A93&lt;&gt;"",P$3&gt;=$J93,P$3&lt;=$M93),1,"")</f>
        <v/>
      </c>
      <c r="Q93">
        <f>IF(AND($A93&lt;&gt;"",Q$3&gt;=$J93,Q$3&lt;=$M93),1,"")</f>
        <v/>
      </c>
      <c r="R93">
        <f>IF(AND($A93&lt;&gt;"",R$3&gt;=$J93,R$3&lt;=$M93),1,"")</f>
        <v/>
      </c>
      <c r="S93">
        <f>IF(AND($A93&lt;&gt;"",S$3&gt;=$J93,S$3&lt;=$M93),1,"")</f>
        <v/>
      </c>
      <c r="T93">
        <f>IF(AND($A93&lt;&gt;"",T$3&gt;=$J93,T$3&lt;=$M93),1,"")</f>
        <v/>
      </c>
      <c r="U93">
        <f>IF(AND($A93&lt;&gt;"",U$3&gt;=$J93,U$3&lt;=$M93),1,"")</f>
        <v/>
      </c>
      <c r="V93">
        <f>IF(AND($A93&lt;&gt;"",V$3&gt;=$J93,V$3&lt;=$M93),1,"")</f>
        <v/>
      </c>
      <c r="W93">
        <f>IF(AND($A93&lt;&gt;"",W$3&gt;=$J93,W$3&lt;=$M93),1,"")</f>
        <v/>
      </c>
      <c r="X93">
        <f>IF(AND($A93&lt;&gt;"",X$3&gt;=$J93,X$3&lt;=$M93),1,"")</f>
        <v/>
      </c>
      <c r="Y93">
        <f>IF(AND($A93&lt;&gt;"",Y$3&gt;=$J93,Y$3&lt;=$M93),1,"")</f>
        <v/>
      </c>
      <c r="Z93">
        <f>IF(AND($A93&lt;&gt;"",Z$3&gt;=$J93,Z$3&lt;=$M93),1,"")</f>
        <v/>
      </c>
      <c r="AA93">
        <f>IF(AND($A93&lt;&gt;"",AA$3&gt;=$J93,AA$3&lt;=$M93),1,"")</f>
        <v/>
      </c>
      <c r="AB93">
        <f>IF(AND($A93&lt;&gt;"",AB$3&gt;=$J93,AB$3&lt;=$M93),1,"")</f>
        <v/>
      </c>
      <c r="AC93">
        <f>IF(AND($A93&lt;&gt;"",AC$3&gt;=$J93,AC$3&lt;=$M93),1,"")</f>
        <v/>
      </c>
      <c r="AD93">
        <f>IF(AND($A93&lt;&gt;"",AD$3&gt;=$J93,AD$3&lt;=$M93),1,"")</f>
        <v/>
      </c>
      <c r="AE93">
        <f>IF(AND($A93&lt;&gt;"",AE$3&gt;=$J93,AE$3&lt;=$M93),1,"")</f>
        <v/>
      </c>
      <c r="AF93">
        <f>IF(AND($A93&lt;&gt;"",AF$3&gt;=$J93,AF$3&lt;=$M93),1,"")</f>
        <v/>
      </c>
      <c r="AG93">
        <f>IF(AND($A93&lt;&gt;"",AG$3&gt;=$J93,AG$3&lt;=$M93),1,"")</f>
        <v/>
      </c>
      <c r="AH93">
        <f>IF(AND($A93&lt;&gt;"",AH$3&gt;=$J93,AH$3&lt;=$M93),1,"")</f>
        <v/>
      </c>
      <c r="AI93">
        <f>IF(AND($A93&lt;&gt;"",AI$3&gt;=$J93,AI$3&lt;=$M93),1,"")</f>
        <v/>
      </c>
      <c r="AJ93">
        <f>IF(AND($A93&lt;&gt;"",AJ$3&gt;=$J93,AJ$3&lt;=$M93),1,"")</f>
        <v/>
      </c>
      <c r="AK93">
        <f>IF(AND($A93&lt;&gt;"",AK$3&gt;=$J93,AK$3&lt;=$M93),1,"")</f>
        <v/>
      </c>
      <c r="AL93">
        <f>IF(AND($A93&lt;&gt;"",AL$3&gt;=$J93,AL$3&lt;=$M93),1,"")</f>
        <v/>
      </c>
      <c r="AM93">
        <f>IF(AND($A93&lt;&gt;"",AM$3&gt;=$J93,AM$3&lt;=$M93),1,"")</f>
        <v/>
      </c>
      <c r="AN93">
        <f>IF(AND($A93&lt;&gt;"",AN$3&gt;=$J93,AN$3&lt;=$M93),1,"")</f>
        <v/>
      </c>
      <c r="AO93">
        <f>IF(AND($A93&lt;&gt;"",AO$3&gt;=$J93,AO$3&lt;=$M93),1,"")</f>
        <v/>
      </c>
      <c r="AP93">
        <f>IF(AND($A93&lt;&gt;"",AP$3&gt;=$J93,AP$3&lt;=$M93),1,"")</f>
        <v/>
      </c>
      <c r="AQ93">
        <f>IF(AND($A93&lt;&gt;"",AQ$3&gt;=$J93,AQ$3&lt;=$M93),1,"")</f>
        <v/>
      </c>
      <c r="AR93">
        <f>IF(AND($A93&lt;&gt;"",AR$3&gt;=$J93,AR$3&lt;=$M93),1,"")</f>
        <v/>
      </c>
      <c r="AS93">
        <f>IF(AND($A93&lt;&gt;"",AS$3&gt;=$J93,AS$3&lt;=$M93),1,"")</f>
        <v/>
      </c>
      <c r="AT93">
        <f>IF(AND($A93&lt;&gt;"",AT$3&gt;=$J93,AT$3&lt;=$M93),1,"")</f>
        <v/>
      </c>
      <c r="AU93">
        <f>IF(AND($A93&lt;&gt;"",AU$3&gt;=$J93,AU$3&lt;=$M93),1,"")</f>
        <v/>
      </c>
      <c r="AV93">
        <f>IF(AND($A93&lt;&gt;"",AV$3&gt;=$J93,AV$3&lt;=$M93),1,"")</f>
        <v/>
      </c>
      <c r="AW93">
        <f>IF(AND($A93&lt;&gt;"",AW$3&gt;=$J93,AW$3&lt;=$M93),1,"")</f>
        <v/>
      </c>
      <c r="AX93">
        <f>IF(AND($A93&lt;&gt;"",AX$3&gt;=$J93,AX$3&lt;=$M93),1,"")</f>
        <v/>
      </c>
      <c r="AY93">
        <f>IF(AND($A93&lt;&gt;"",AY$3&gt;=$J93,AY$3&lt;=$M93),1,"")</f>
        <v/>
      </c>
      <c r="AZ93">
        <f>IF(AND($A93&lt;&gt;"",AZ$3&gt;=$J93,AZ$3&lt;=$M93),1,"")</f>
        <v/>
      </c>
      <c r="BA93">
        <f>IF(AND($A93&lt;&gt;"",BA$3&gt;=$J93,BA$3&lt;=$M93),1,"")</f>
        <v/>
      </c>
      <c r="BB93">
        <f>IF(AND($A93&lt;&gt;"",BB$3&gt;=$J93,BB$3&lt;=$M93),1,"")</f>
        <v/>
      </c>
      <c r="BC93">
        <f>IF(AND($A93&lt;&gt;"",BC$3&gt;=$J93,BC$3&lt;=$M93),1,"")</f>
        <v/>
      </c>
      <c r="BD93">
        <f>IF(AND($A93&lt;&gt;"",BD$3&gt;=$J93,BD$3&lt;=$M93),1,"")</f>
        <v/>
      </c>
      <c r="BE93">
        <f>IF(AND($A93&lt;&gt;"",BE$3&gt;=$J93,BE$3&lt;=$M93),1,"")</f>
        <v/>
      </c>
      <c r="BF93">
        <f>IF(AND($A93&lt;&gt;"",BF$3&gt;=$J93,BF$3&lt;=$M93),1,"")</f>
        <v/>
      </c>
      <c r="BG93">
        <f>IF(AND($A93&lt;&gt;"",BG$3&gt;=$J93,BG$3&lt;=$M93),1,"")</f>
        <v/>
      </c>
      <c r="BH93">
        <f>IF(AND($A93&lt;&gt;"",BH$3&gt;=$J93,BH$3&lt;=$M93),1,"")</f>
        <v/>
      </c>
      <c r="BI93">
        <f>IF(AND($A93&lt;&gt;"",BI$3&gt;=$J93,BI$3&lt;=$M93),1,"")</f>
        <v/>
      </c>
      <c r="BJ93">
        <f>IF(AND($A93&lt;&gt;"",BJ$3&gt;=$J93,BJ$3&lt;=$M93),1,"")</f>
        <v/>
      </c>
      <c r="BK93">
        <f>IF(AND($A93&lt;&gt;"",BK$3&gt;=$J93,BK$3&lt;=$M93),1,"")</f>
        <v/>
      </c>
      <c r="BL93">
        <f>IF(AND($A93&lt;&gt;"",BL$3&gt;=$J93,BL$3&lt;=$M93),1,"")</f>
        <v/>
      </c>
      <c r="BM93">
        <f>IF(AND($A93&lt;&gt;"",BM$3&gt;=$J93,BM$3&lt;=$M93),1,"")</f>
        <v/>
      </c>
      <c r="BN93">
        <f>IF(AND($A93&lt;&gt;"",BN$3&gt;=$J93,BN$3&lt;=$M93),1,"")</f>
        <v/>
      </c>
      <c r="BO93">
        <f>IF(AND($A93&lt;&gt;"",BO$3&gt;=$J93,BO$3&lt;=$M93),1,"")</f>
        <v/>
      </c>
      <c r="BP93">
        <f>IF(AND($A93&lt;&gt;"",BP$3&gt;=$J93,BP$3&lt;=$M93),1,"")</f>
        <v/>
      </c>
      <c r="BQ93">
        <f>IF(AND($A93&lt;&gt;"",BQ$3&gt;=$J93,BQ$3&lt;=$M93),1,"")</f>
        <v/>
      </c>
      <c r="BR93">
        <f>IF(AND($A93&lt;&gt;"",BR$3&gt;=$J93,BR$3&lt;=$M93),1,"")</f>
        <v/>
      </c>
      <c r="BS93">
        <f>IF(AND($A93&lt;&gt;"",BS$3&gt;=$J93,BS$3&lt;=$M93),1,"")</f>
        <v/>
      </c>
      <c r="BT93">
        <f>IF(AND($A93&lt;&gt;"",BT$3&gt;=$J93,BT$3&lt;=$M93),1,"")</f>
        <v/>
      </c>
      <c r="BU93">
        <f>IF(AND($A93&lt;&gt;"",BU$3&gt;=$J93,BU$3&lt;=$M93),1,"")</f>
        <v/>
      </c>
      <c r="BV93">
        <f>IF(AND($A93&lt;&gt;"",BV$3&gt;=$J93,BV$3&lt;=$M93),1,"")</f>
        <v/>
      </c>
    </row>
    <row r="94">
      <c r="A94">
        <f>IF(Job_Master_Ring!$A94="","",Job_Master_Ring!$A94)</f>
        <v/>
      </c>
      <c r="B94">
        <f>IF($A94="","",Job_Master_Ring!B94)</f>
        <v/>
      </c>
      <c r="C94">
        <f>IF($A94="","",Job_Master_Ring!C94)</f>
        <v/>
      </c>
      <c r="D94">
        <f>IF($A94="","",Job_Master_Ring!D94)</f>
        <v/>
      </c>
      <c r="E94">
        <f>IF($A94="","",IF($I94&lt;&gt;"",$I94,IFERROR(INDEX(Machine_List!$B$87:$B$94,MATCH(1,(Machine_List!$H$87:$H$94&lt;=IFERROR(VLOOKUP($B94,CHOOSE(MATCH($C94,Settings!$L$4:$L$10,0),OPR_BR1!$A$4:$K$18,OPR_BR2!$A$4:$K$18,OPR_CR2!$A$4:$K$18,OPR_CR3!$A$4:$K$18,OPR_CR4!$A$4:$K$18,OPR_RIM!$A$4:$K$18,OPR_BPR!$A$4:$K$18),10,0),0))*(Machine_List!$I$87:$I$94&gt;=IFERROR(VLOOKUP($B94,CHOOSE(MATCH($C94,Settings!$L$4:$L$10,0),OPR_BR1!$A$4:$K$18,OPR_BR2!$A$4:$K$18,OPR_CR2!$A$4:$K$18,OPR_CR3!$A$4:$K$18,OPR_CR4!$A$4:$K$18,OPR_RIM!$A$4:$K$18,OPR_BPR!$A$4:$K$18),11,0),9999)),0)),"NO COMPATIBLE MACHINE")))</f>
        <v/>
      </c>
      <c r="F94">
        <f>IF($E94="","",IFERROR(VLOOKUP($E94,Machine_List!$B:$G,6,0),""))</f>
        <v/>
      </c>
      <c r="G94" s="17">
        <f>IF($E94="","",IFERROR(VLOOKUP($E94,Machine_List!$B:$C,2,0),""))</f>
        <v/>
      </c>
      <c r="H94">
        <f>IF($E94="","",IFERROR(VLOOKUP($E94,Machine_List!$B:$D,3,0),""))</f>
        <v/>
      </c>
      <c r="J94" s="16">
        <f>IF($A94="","",IF($I94&lt;&gt;"",$I94,MAX(GlobalStartDate,IFERROR(LOOKUP(2,1/($E$3:INDIRECT("E"&amp;(ROW()-1))=$E94),$M$3:INDIRECT("M"&amp;(ROW()-1))),GlobalStartDate))))</f>
        <v/>
      </c>
      <c r="K94">
        <f>IF($A94="","",IFERROR(VLOOKUP(B94,CHOOSE(MATCH($C94,Settings!$L$4:$L$10,0),OPR_BR1!$A$4:$I$18,OPR_BR2!$A$4:$I$18,OPR_CR2!$A$4:$I$18,OPR_CR3!$A$4:$I$18,OPR_CR4!$A$4:$I$18,OPR_RIM!$A$4:$I$18,OPR_BPR!$A$4:$I$18),2,0),0))</f>
        <v/>
      </c>
      <c r="L94">
        <f>IF($A94="","",K94*D94)</f>
        <v/>
      </c>
      <c r="M94" s="16">
        <f>IF($A94="","",IF(AND(ISNUMBER(G94),G94&gt;=J94,G94&lt;=(J94+(L94/(IF(F94="Contract Workman",Settings!$K$5,Settings!$K$4))))),J94+(L94/(IF(F94="Contract Workman",Settings!$K$5,Settings!$K$4)))+(H94/(IF(F94="Contract Workman",Settings!$K$5,Settings!$K$4))),J94+(L94/(IF(F94="Contract Workman",Settings!$K$5,Settings!$K$4)))))</f>
        <v/>
      </c>
      <c r="N94">
        <f>IF($A94="","",IF(F94="Contract Workman",IF(AND(MOD(M94,1)&gt;=8/24,MOD(M94,1)&lt;20/24),"Shift S1","Shift S2"),IF(AND(MOD(M94,1)&gt;=7/24,MOD(M94,1)&lt;15/24),"Shift A",IF(AND(MOD(M94,1)&gt;=15/24,MOD(M94,1)&lt;23/24),"Shift B","Shift C"))))</f>
        <v/>
      </c>
      <c r="O94">
        <f>IF(B94="","",IF(IFERROR(ISNUMBER(SEARCH(TEXT(B94,"0"),VLOOKUP(E94,Machine_List!$B:$J,9,0))),FALSE),"✅ "&amp;E94,"❌ ?"))</f>
        <v/>
      </c>
      <c r="P94">
        <f>IF(AND($A94&lt;&gt;"",P$3&gt;=$J94,P$3&lt;=$M94),1,"")</f>
        <v/>
      </c>
      <c r="Q94">
        <f>IF(AND($A94&lt;&gt;"",Q$3&gt;=$J94,Q$3&lt;=$M94),1,"")</f>
        <v/>
      </c>
      <c r="R94">
        <f>IF(AND($A94&lt;&gt;"",R$3&gt;=$J94,R$3&lt;=$M94),1,"")</f>
        <v/>
      </c>
      <c r="S94">
        <f>IF(AND($A94&lt;&gt;"",S$3&gt;=$J94,S$3&lt;=$M94),1,"")</f>
        <v/>
      </c>
      <c r="T94">
        <f>IF(AND($A94&lt;&gt;"",T$3&gt;=$J94,T$3&lt;=$M94),1,"")</f>
        <v/>
      </c>
      <c r="U94">
        <f>IF(AND($A94&lt;&gt;"",U$3&gt;=$J94,U$3&lt;=$M94),1,"")</f>
        <v/>
      </c>
      <c r="V94">
        <f>IF(AND($A94&lt;&gt;"",V$3&gt;=$J94,V$3&lt;=$M94),1,"")</f>
        <v/>
      </c>
      <c r="W94">
        <f>IF(AND($A94&lt;&gt;"",W$3&gt;=$J94,W$3&lt;=$M94),1,"")</f>
        <v/>
      </c>
      <c r="X94">
        <f>IF(AND($A94&lt;&gt;"",X$3&gt;=$J94,X$3&lt;=$M94),1,"")</f>
        <v/>
      </c>
      <c r="Y94">
        <f>IF(AND($A94&lt;&gt;"",Y$3&gt;=$J94,Y$3&lt;=$M94),1,"")</f>
        <v/>
      </c>
      <c r="Z94">
        <f>IF(AND($A94&lt;&gt;"",Z$3&gt;=$J94,Z$3&lt;=$M94),1,"")</f>
        <v/>
      </c>
      <c r="AA94">
        <f>IF(AND($A94&lt;&gt;"",AA$3&gt;=$J94,AA$3&lt;=$M94),1,"")</f>
        <v/>
      </c>
      <c r="AB94">
        <f>IF(AND($A94&lt;&gt;"",AB$3&gt;=$J94,AB$3&lt;=$M94),1,"")</f>
        <v/>
      </c>
      <c r="AC94">
        <f>IF(AND($A94&lt;&gt;"",AC$3&gt;=$J94,AC$3&lt;=$M94),1,"")</f>
        <v/>
      </c>
      <c r="AD94">
        <f>IF(AND($A94&lt;&gt;"",AD$3&gt;=$J94,AD$3&lt;=$M94),1,"")</f>
        <v/>
      </c>
      <c r="AE94">
        <f>IF(AND($A94&lt;&gt;"",AE$3&gt;=$J94,AE$3&lt;=$M94),1,"")</f>
        <v/>
      </c>
      <c r="AF94">
        <f>IF(AND($A94&lt;&gt;"",AF$3&gt;=$J94,AF$3&lt;=$M94),1,"")</f>
        <v/>
      </c>
      <c r="AG94">
        <f>IF(AND($A94&lt;&gt;"",AG$3&gt;=$J94,AG$3&lt;=$M94),1,"")</f>
        <v/>
      </c>
      <c r="AH94">
        <f>IF(AND($A94&lt;&gt;"",AH$3&gt;=$J94,AH$3&lt;=$M94),1,"")</f>
        <v/>
      </c>
      <c r="AI94">
        <f>IF(AND($A94&lt;&gt;"",AI$3&gt;=$J94,AI$3&lt;=$M94),1,"")</f>
        <v/>
      </c>
      <c r="AJ94">
        <f>IF(AND($A94&lt;&gt;"",AJ$3&gt;=$J94,AJ$3&lt;=$M94),1,"")</f>
        <v/>
      </c>
      <c r="AK94">
        <f>IF(AND($A94&lt;&gt;"",AK$3&gt;=$J94,AK$3&lt;=$M94),1,"")</f>
        <v/>
      </c>
      <c r="AL94">
        <f>IF(AND($A94&lt;&gt;"",AL$3&gt;=$J94,AL$3&lt;=$M94),1,"")</f>
        <v/>
      </c>
      <c r="AM94">
        <f>IF(AND($A94&lt;&gt;"",AM$3&gt;=$J94,AM$3&lt;=$M94),1,"")</f>
        <v/>
      </c>
      <c r="AN94">
        <f>IF(AND($A94&lt;&gt;"",AN$3&gt;=$J94,AN$3&lt;=$M94),1,"")</f>
        <v/>
      </c>
      <c r="AO94">
        <f>IF(AND($A94&lt;&gt;"",AO$3&gt;=$J94,AO$3&lt;=$M94),1,"")</f>
        <v/>
      </c>
      <c r="AP94">
        <f>IF(AND($A94&lt;&gt;"",AP$3&gt;=$J94,AP$3&lt;=$M94),1,"")</f>
        <v/>
      </c>
      <c r="AQ94">
        <f>IF(AND($A94&lt;&gt;"",AQ$3&gt;=$J94,AQ$3&lt;=$M94),1,"")</f>
        <v/>
      </c>
      <c r="AR94">
        <f>IF(AND($A94&lt;&gt;"",AR$3&gt;=$J94,AR$3&lt;=$M94),1,"")</f>
        <v/>
      </c>
      <c r="AS94">
        <f>IF(AND($A94&lt;&gt;"",AS$3&gt;=$J94,AS$3&lt;=$M94),1,"")</f>
        <v/>
      </c>
      <c r="AT94">
        <f>IF(AND($A94&lt;&gt;"",AT$3&gt;=$J94,AT$3&lt;=$M94),1,"")</f>
        <v/>
      </c>
      <c r="AU94">
        <f>IF(AND($A94&lt;&gt;"",AU$3&gt;=$J94,AU$3&lt;=$M94),1,"")</f>
        <v/>
      </c>
      <c r="AV94">
        <f>IF(AND($A94&lt;&gt;"",AV$3&gt;=$J94,AV$3&lt;=$M94),1,"")</f>
        <v/>
      </c>
      <c r="AW94">
        <f>IF(AND($A94&lt;&gt;"",AW$3&gt;=$J94,AW$3&lt;=$M94),1,"")</f>
        <v/>
      </c>
      <c r="AX94">
        <f>IF(AND($A94&lt;&gt;"",AX$3&gt;=$J94,AX$3&lt;=$M94),1,"")</f>
        <v/>
      </c>
      <c r="AY94">
        <f>IF(AND($A94&lt;&gt;"",AY$3&gt;=$J94,AY$3&lt;=$M94),1,"")</f>
        <v/>
      </c>
      <c r="AZ94">
        <f>IF(AND($A94&lt;&gt;"",AZ$3&gt;=$J94,AZ$3&lt;=$M94),1,"")</f>
        <v/>
      </c>
      <c r="BA94">
        <f>IF(AND($A94&lt;&gt;"",BA$3&gt;=$J94,BA$3&lt;=$M94),1,"")</f>
        <v/>
      </c>
      <c r="BB94">
        <f>IF(AND($A94&lt;&gt;"",BB$3&gt;=$J94,BB$3&lt;=$M94),1,"")</f>
        <v/>
      </c>
      <c r="BC94">
        <f>IF(AND($A94&lt;&gt;"",BC$3&gt;=$J94,BC$3&lt;=$M94),1,"")</f>
        <v/>
      </c>
      <c r="BD94">
        <f>IF(AND($A94&lt;&gt;"",BD$3&gt;=$J94,BD$3&lt;=$M94),1,"")</f>
        <v/>
      </c>
      <c r="BE94">
        <f>IF(AND($A94&lt;&gt;"",BE$3&gt;=$J94,BE$3&lt;=$M94),1,"")</f>
        <v/>
      </c>
      <c r="BF94">
        <f>IF(AND($A94&lt;&gt;"",BF$3&gt;=$J94,BF$3&lt;=$M94),1,"")</f>
        <v/>
      </c>
      <c r="BG94">
        <f>IF(AND($A94&lt;&gt;"",BG$3&gt;=$J94,BG$3&lt;=$M94),1,"")</f>
        <v/>
      </c>
      <c r="BH94">
        <f>IF(AND($A94&lt;&gt;"",BH$3&gt;=$J94,BH$3&lt;=$M94),1,"")</f>
        <v/>
      </c>
      <c r="BI94">
        <f>IF(AND($A94&lt;&gt;"",BI$3&gt;=$J94,BI$3&lt;=$M94),1,"")</f>
        <v/>
      </c>
      <c r="BJ94">
        <f>IF(AND($A94&lt;&gt;"",BJ$3&gt;=$J94,BJ$3&lt;=$M94),1,"")</f>
        <v/>
      </c>
      <c r="BK94">
        <f>IF(AND($A94&lt;&gt;"",BK$3&gt;=$J94,BK$3&lt;=$M94),1,"")</f>
        <v/>
      </c>
      <c r="BL94">
        <f>IF(AND($A94&lt;&gt;"",BL$3&gt;=$J94,BL$3&lt;=$M94),1,"")</f>
        <v/>
      </c>
      <c r="BM94">
        <f>IF(AND($A94&lt;&gt;"",BM$3&gt;=$J94,BM$3&lt;=$M94),1,"")</f>
        <v/>
      </c>
      <c r="BN94">
        <f>IF(AND($A94&lt;&gt;"",BN$3&gt;=$J94,BN$3&lt;=$M94),1,"")</f>
        <v/>
      </c>
      <c r="BO94">
        <f>IF(AND($A94&lt;&gt;"",BO$3&gt;=$J94,BO$3&lt;=$M94),1,"")</f>
        <v/>
      </c>
      <c r="BP94">
        <f>IF(AND($A94&lt;&gt;"",BP$3&gt;=$J94,BP$3&lt;=$M94),1,"")</f>
        <v/>
      </c>
      <c r="BQ94">
        <f>IF(AND($A94&lt;&gt;"",BQ$3&gt;=$J94,BQ$3&lt;=$M94),1,"")</f>
        <v/>
      </c>
      <c r="BR94">
        <f>IF(AND($A94&lt;&gt;"",BR$3&gt;=$J94,BR$3&lt;=$M94),1,"")</f>
        <v/>
      </c>
      <c r="BS94">
        <f>IF(AND($A94&lt;&gt;"",BS$3&gt;=$J94,BS$3&lt;=$M94),1,"")</f>
        <v/>
      </c>
      <c r="BT94">
        <f>IF(AND($A94&lt;&gt;"",BT$3&gt;=$J94,BT$3&lt;=$M94),1,"")</f>
        <v/>
      </c>
      <c r="BU94">
        <f>IF(AND($A94&lt;&gt;"",BU$3&gt;=$J94,BU$3&lt;=$M94),1,"")</f>
        <v/>
      </c>
      <c r="BV94">
        <f>IF(AND($A94&lt;&gt;"",BV$3&gt;=$J94,BV$3&lt;=$M94),1,"")</f>
        <v/>
      </c>
    </row>
    <row r="95">
      <c r="A95">
        <f>IF(Job_Master_Ring!$A95="","",Job_Master_Ring!$A95)</f>
        <v/>
      </c>
      <c r="B95">
        <f>IF($A95="","",Job_Master_Ring!B95)</f>
        <v/>
      </c>
      <c r="C95">
        <f>IF($A95="","",Job_Master_Ring!C95)</f>
        <v/>
      </c>
      <c r="D95">
        <f>IF($A95="","",Job_Master_Ring!D95)</f>
        <v/>
      </c>
      <c r="E95">
        <f>IF($A95="","",IF($I95&lt;&gt;"",$I95,IFERROR(INDEX(Machine_List!$B$87:$B$94,MATCH(1,(Machine_List!$H$87:$H$94&lt;=IFERROR(VLOOKUP($B95,CHOOSE(MATCH($C95,Settings!$L$4:$L$10,0),OPR_BR1!$A$4:$K$18,OPR_BR2!$A$4:$K$18,OPR_CR2!$A$4:$K$18,OPR_CR3!$A$4:$K$18,OPR_CR4!$A$4:$K$18,OPR_RIM!$A$4:$K$18,OPR_BPR!$A$4:$K$18),10,0),0))*(Machine_List!$I$87:$I$94&gt;=IFERROR(VLOOKUP($B95,CHOOSE(MATCH($C95,Settings!$L$4:$L$10,0),OPR_BR1!$A$4:$K$18,OPR_BR2!$A$4:$K$18,OPR_CR2!$A$4:$K$18,OPR_CR3!$A$4:$K$18,OPR_CR4!$A$4:$K$18,OPR_RIM!$A$4:$K$18,OPR_BPR!$A$4:$K$18),11,0),9999)),0)),"NO COMPATIBLE MACHINE")))</f>
        <v/>
      </c>
      <c r="F95">
        <f>IF($E95="","",IFERROR(VLOOKUP($E95,Machine_List!$B:$G,6,0),""))</f>
        <v/>
      </c>
      <c r="G95" s="17">
        <f>IF($E95="","",IFERROR(VLOOKUP($E95,Machine_List!$B:$C,2,0),""))</f>
        <v/>
      </c>
      <c r="H95">
        <f>IF($E95="","",IFERROR(VLOOKUP($E95,Machine_List!$B:$D,3,0),""))</f>
        <v/>
      </c>
      <c r="J95" s="16">
        <f>IF($A95="","",IF($I95&lt;&gt;"",$I95,MAX(GlobalStartDate,IFERROR(LOOKUP(2,1/($E$3:INDIRECT("E"&amp;(ROW()-1))=$E95),$M$3:INDIRECT("M"&amp;(ROW()-1))),GlobalStartDate))))</f>
        <v/>
      </c>
      <c r="K95">
        <f>IF($A95="","",IFERROR(VLOOKUP(B95,CHOOSE(MATCH($C95,Settings!$L$4:$L$10,0),OPR_BR1!$A$4:$I$18,OPR_BR2!$A$4:$I$18,OPR_CR2!$A$4:$I$18,OPR_CR3!$A$4:$I$18,OPR_CR4!$A$4:$I$18,OPR_RIM!$A$4:$I$18,OPR_BPR!$A$4:$I$18),2,0),0))</f>
        <v/>
      </c>
      <c r="L95">
        <f>IF($A95="","",K95*D95)</f>
        <v/>
      </c>
      <c r="M95" s="16">
        <f>IF($A95="","",IF(AND(ISNUMBER(G95),G95&gt;=J95,G95&lt;=(J95+(L95/(IF(F95="Contract Workman",Settings!$K$5,Settings!$K$4))))),J95+(L95/(IF(F95="Contract Workman",Settings!$K$5,Settings!$K$4)))+(H95/(IF(F95="Contract Workman",Settings!$K$5,Settings!$K$4))),J95+(L95/(IF(F95="Contract Workman",Settings!$K$5,Settings!$K$4)))))</f>
        <v/>
      </c>
      <c r="N95">
        <f>IF($A95="","",IF(F95="Contract Workman",IF(AND(MOD(M95,1)&gt;=8/24,MOD(M95,1)&lt;20/24),"Shift S1","Shift S2"),IF(AND(MOD(M95,1)&gt;=7/24,MOD(M95,1)&lt;15/24),"Shift A",IF(AND(MOD(M95,1)&gt;=15/24,MOD(M95,1)&lt;23/24),"Shift B","Shift C"))))</f>
        <v/>
      </c>
      <c r="O95">
        <f>IF(B95="","",IF(IFERROR(ISNUMBER(SEARCH(TEXT(B95,"0"),VLOOKUP(E95,Machine_List!$B:$J,9,0))),FALSE),"✅ "&amp;E95,"❌ ?"))</f>
        <v/>
      </c>
      <c r="P95">
        <f>IF(AND($A95&lt;&gt;"",P$3&gt;=$J95,P$3&lt;=$M95),1,"")</f>
        <v/>
      </c>
      <c r="Q95">
        <f>IF(AND($A95&lt;&gt;"",Q$3&gt;=$J95,Q$3&lt;=$M95),1,"")</f>
        <v/>
      </c>
      <c r="R95">
        <f>IF(AND($A95&lt;&gt;"",R$3&gt;=$J95,R$3&lt;=$M95),1,"")</f>
        <v/>
      </c>
      <c r="S95">
        <f>IF(AND($A95&lt;&gt;"",S$3&gt;=$J95,S$3&lt;=$M95),1,"")</f>
        <v/>
      </c>
      <c r="T95">
        <f>IF(AND($A95&lt;&gt;"",T$3&gt;=$J95,T$3&lt;=$M95),1,"")</f>
        <v/>
      </c>
      <c r="U95">
        <f>IF(AND($A95&lt;&gt;"",U$3&gt;=$J95,U$3&lt;=$M95),1,"")</f>
        <v/>
      </c>
      <c r="V95">
        <f>IF(AND($A95&lt;&gt;"",V$3&gt;=$J95,V$3&lt;=$M95),1,"")</f>
        <v/>
      </c>
      <c r="W95">
        <f>IF(AND($A95&lt;&gt;"",W$3&gt;=$J95,W$3&lt;=$M95),1,"")</f>
        <v/>
      </c>
      <c r="X95">
        <f>IF(AND($A95&lt;&gt;"",X$3&gt;=$J95,X$3&lt;=$M95),1,"")</f>
        <v/>
      </c>
      <c r="Y95">
        <f>IF(AND($A95&lt;&gt;"",Y$3&gt;=$J95,Y$3&lt;=$M95),1,"")</f>
        <v/>
      </c>
      <c r="Z95">
        <f>IF(AND($A95&lt;&gt;"",Z$3&gt;=$J95,Z$3&lt;=$M95),1,"")</f>
        <v/>
      </c>
      <c r="AA95">
        <f>IF(AND($A95&lt;&gt;"",AA$3&gt;=$J95,AA$3&lt;=$M95),1,"")</f>
        <v/>
      </c>
      <c r="AB95">
        <f>IF(AND($A95&lt;&gt;"",AB$3&gt;=$J95,AB$3&lt;=$M95),1,"")</f>
        <v/>
      </c>
      <c r="AC95">
        <f>IF(AND($A95&lt;&gt;"",AC$3&gt;=$J95,AC$3&lt;=$M95),1,"")</f>
        <v/>
      </c>
      <c r="AD95">
        <f>IF(AND($A95&lt;&gt;"",AD$3&gt;=$J95,AD$3&lt;=$M95),1,"")</f>
        <v/>
      </c>
      <c r="AE95">
        <f>IF(AND($A95&lt;&gt;"",AE$3&gt;=$J95,AE$3&lt;=$M95),1,"")</f>
        <v/>
      </c>
      <c r="AF95">
        <f>IF(AND($A95&lt;&gt;"",AF$3&gt;=$J95,AF$3&lt;=$M95),1,"")</f>
        <v/>
      </c>
      <c r="AG95">
        <f>IF(AND($A95&lt;&gt;"",AG$3&gt;=$J95,AG$3&lt;=$M95),1,"")</f>
        <v/>
      </c>
      <c r="AH95">
        <f>IF(AND($A95&lt;&gt;"",AH$3&gt;=$J95,AH$3&lt;=$M95),1,"")</f>
        <v/>
      </c>
      <c r="AI95">
        <f>IF(AND($A95&lt;&gt;"",AI$3&gt;=$J95,AI$3&lt;=$M95),1,"")</f>
        <v/>
      </c>
      <c r="AJ95">
        <f>IF(AND($A95&lt;&gt;"",AJ$3&gt;=$J95,AJ$3&lt;=$M95),1,"")</f>
        <v/>
      </c>
      <c r="AK95">
        <f>IF(AND($A95&lt;&gt;"",AK$3&gt;=$J95,AK$3&lt;=$M95),1,"")</f>
        <v/>
      </c>
      <c r="AL95">
        <f>IF(AND($A95&lt;&gt;"",AL$3&gt;=$J95,AL$3&lt;=$M95),1,"")</f>
        <v/>
      </c>
      <c r="AM95">
        <f>IF(AND($A95&lt;&gt;"",AM$3&gt;=$J95,AM$3&lt;=$M95),1,"")</f>
        <v/>
      </c>
      <c r="AN95">
        <f>IF(AND($A95&lt;&gt;"",AN$3&gt;=$J95,AN$3&lt;=$M95),1,"")</f>
        <v/>
      </c>
      <c r="AO95">
        <f>IF(AND($A95&lt;&gt;"",AO$3&gt;=$J95,AO$3&lt;=$M95),1,"")</f>
        <v/>
      </c>
      <c r="AP95">
        <f>IF(AND($A95&lt;&gt;"",AP$3&gt;=$J95,AP$3&lt;=$M95),1,"")</f>
        <v/>
      </c>
      <c r="AQ95">
        <f>IF(AND($A95&lt;&gt;"",AQ$3&gt;=$J95,AQ$3&lt;=$M95),1,"")</f>
        <v/>
      </c>
      <c r="AR95">
        <f>IF(AND($A95&lt;&gt;"",AR$3&gt;=$J95,AR$3&lt;=$M95),1,"")</f>
        <v/>
      </c>
      <c r="AS95">
        <f>IF(AND($A95&lt;&gt;"",AS$3&gt;=$J95,AS$3&lt;=$M95),1,"")</f>
        <v/>
      </c>
      <c r="AT95">
        <f>IF(AND($A95&lt;&gt;"",AT$3&gt;=$J95,AT$3&lt;=$M95),1,"")</f>
        <v/>
      </c>
      <c r="AU95">
        <f>IF(AND($A95&lt;&gt;"",AU$3&gt;=$J95,AU$3&lt;=$M95),1,"")</f>
        <v/>
      </c>
      <c r="AV95">
        <f>IF(AND($A95&lt;&gt;"",AV$3&gt;=$J95,AV$3&lt;=$M95),1,"")</f>
        <v/>
      </c>
      <c r="AW95">
        <f>IF(AND($A95&lt;&gt;"",AW$3&gt;=$J95,AW$3&lt;=$M95),1,"")</f>
        <v/>
      </c>
      <c r="AX95">
        <f>IF(AND($A95&lt;&gt;"",AX$3&gt;=$J95,AX$3&lt;=$M95),1,"")</f>
        <v/>
      </c>
      <c r="AY95">
        <f>IF(AND($A95&lt;&gt;"",AY$3&gt;=$J95,AY$3&lt;=$M95),1,"")</f>
        <v/>
      </c>
      <c r="AZ95">
        <f>IF(AND($A95&lt;&gt;"",AZ$3&gt;=$J95,AZ$3&lt;=$M95),1,"")</f>
        <v/>
      </c>
      <c r="BA95">
        <f>IF(AND($A95&lt;&gt;"",BA$3&gt;=$J95,BA$3&lt;=$M95),1,"")</f>
        <v/>
      </c>
      <c r="BB95">
        <f>IF(AND($A95&lt;&gt;"",BB$3&gt;=$J95,BB$3&lt;=$M95),1,"")</f>
        <v/>
      </c>
      <c r="BC95">
        <f>IF(AND($A95&lt;&gt;"",BC$3&gt;=$J95,BC$3&lt;=$M95),1,"")</f>
        <v/>
      </c>
      <c r="BD95">
        <f>IF(AND($A95&lt;&gt;"",BD$3&gt;=$J95,BD$3&lt;=$M95),1,"")</f>
        <v/>
      </c>
      <c r="BE95">
        <f>IF(AND($A95&lt;&gt;"",BE$3&gt;=$J95,BE$3&lt;=$M95),1,"")</f>
        <v/>
      </c>
      <c r="BF95">
        <f>IF(AND($A95&lt;&gt;"",BF$3&gt;=$J95,BF$3&lt;=$M95),1,"")</f>
        <v/>
      </c>
      <c r="BG95">
        <f>IF(AND($A95&lt;&gt;"",BG$3&gt;=$J95,BG$3&lt;=$M95),1,"")</f>
        <v/>
      </c>
      <c r="BH95">
        <f>IF(AND($A95&lt;&gt;"",BH$3&gt;=$J95,BH$3&lt;=$M95),1,"")</f>
        <v/>
      </c>
      <c r="BI95">
        <f>IF(AND($A95&lt;&gt;"",BI$3&gt;=$J95,BI$3&lt;=$M95),1,"")</f>
        <v/>
      </c>
      <c r="BJ95">
        <f>IF(AND($A95&lt;&gt;"",BJ$3&gt;=$J95,BJ$3&lt;=$M95),1,"")</f>
        <v/>
      </c>
      <c r="BK95">
        <f>IF(AND($A95&lt;&gt;"",BK$3&gt;=$J95,BK$3&lt;=$M95),1,"")</f>
        <v/>
      </c>
      <c r="BL95">
        <f>IF(AND($A95&lt;&gt;"",BL$3&gt;=$J95,BL$3&lt;=$M95),1,"")</f>
        <v/>
      </c>
      <c r="BM95">
        <f>IF(AND($A95&lt;&gt;"",BM$3&gt;=$J95,BM$3&lt;=$M95),1,"")</f>
        <v/>
      </c>
      <c r="BN95">
        <f>IF(AND($A95&lt;&gt;"",BN$3&gt;=$J95,BN$3&lt;=$M95),1,"")</f>
        <v/>
      </c>
      <c r="BO95">
        <f>IF(AND($A95&lt;&gt;"",BO$3&gt;=$J95,BO$3&lt;=$M95),1,"")</f>
        <v/>
      </c>
      <c r="BP95">
        <f>IF(AND($A95&lt;&gt;"",BP$3&gt;=$J95,BP$3&lt;=$M95),1,"")</f>
        <v/>
      </c>
      <c r="BQ95">
        <f>IF(AND($A95&lt;&gt;"",BQ$3&gt;=$J95,BQ$3&lt;=$M95),1,"")</f>
        <v/>
      </c>
      <c r="BR95">
        <f>IF(AND($A95&lt;&gt;"",BR$3&gt;=$J95,BR$3&lt;=$M95),1,"")</f>
        <v/>
      </c>
      <c r="BS95">
        <f>IF(AND($A95&lt;&gt;"",BS$3&gt;=$J95,BS$3&lt;=$M95),1,"")</f>
        <v/>
      </c>
      <c r="BT95">
        <f>IF(AND($A95&lt;&gt;"",BT$3&gt;=$J95,BT$3&lt;=$M95),1,"")</f>
        <v/>
      </c>
      <c r="BU95">
        <f>IF(AND($A95&lt;&gt;"",BU$3&gt;=$J95,BU$3&lt;=$M95),1,"")</f>
        <v/>
      </c>
      <c r="BV95">
        <f>IF(AND($A95&lt;&gt;"",BV$3&gt;=$J95,BV$3&lt;=$M95),1,"")</f>
        <v/>
      </c>
    </row>
    <row r="96">
      <c r="A96">
        <f>IF(Job_Master_Ring!$A96="","",Job_Master_Ring!$A96)</f>
        <v/>
      </c>
      <c r="B96">
        <f>IF($A96="","",Job_Master_Ring!B96)</f>
        <v/>
      </c>
      <c r="C96">
        <f>IF($A96="","",Job_Master_Ring!C96)</f>
        <v/>
      </c>
      <c r="D96">
        <f>IF($A96="","",Job_Master_Ring!D96)</f>
        <v/>
      </c>
      <c r="E96">
        <f>IF($A96="","",IF($I96&lt;&gt;"",$I96,IFERROR(INDEX(Machine_List!$B$87:$B$94,MATCH(1,(Machine_List!$H$87:$H$94&lt;=IFERROR(VLOOKUP($B96,CHOOSE(MATCH($C96,Settings!$L$4:$L$10,0),OPR_BR1!$A$4:$K$18,OPR_BR2!$A$4:$K$18,OPR_CR2!$A$4:$K$18,OPR_CR3!$A$4:$K$18,OPR_CR4!$A$4:$K$18,OPR_RIM!$A$4:$K$18,OPR_BPR!$A$4:$K$18),10,0),0))*(Machine_List!$I$87:$I$94&gt;=IFERROR(VLOOKUP($B96,CHOOSE(MATCH($C96,Settings!$L$4:$L$10,0),OPR_BR1!$A$4:$K$18,OPR_BR2!$A$4:$K$18,OPR_CR2!$A$4:$K$18,OPR_CR3!$A$4:$K$18,OPR_CR4!$A$4:$K$18,OPR_RIM!$A$4:$K$18,OPR_BPR!$A$4:$K$18),11,0),9999)),0)),"NO COMPATIBLE MACHINE")))</f>
        <v/>
      </c>
      <c r="F96">
        <f>IF($E96="","",IFERROR(VLOOKUP($E96,Machine_List!$B:$G,6,0),""))</f>
        <v/>
      </c>
      <c r="G96" s="17">
        <f>IF($E96="","",IFERROR(VLOOKUP($E96,Machine_List!$B:$C,2,0),""))</f>
        <v/>
      </c>
      <c r="H96">
        <f>IF($E96="","",IFERROR(VLOOKUP($E96,Machine_List!$B:$D,3,0),""))</f>
        <v/>
      </c>
      <c r="J96" s="16">
        <f>IF($A96="","",IF($I96&lt;&gt;"",$I96,MAX(GlobalStartDate,IFERROR(LOOKUP(2,1/($E$3:INDIRECT("E"&amp;(ROW()-1))=$E96),$M$3:INDIRECT("M"&amp;(ROW()-1))),GlobalStartDate))))</f>
        <v/>
      </c>
      <c r="K96">
        <f>IF($A96="","",IFERROR(VLOOKUP(B96,CHOOSE(MATCH($C96,Settings!$L$4:$L$10,0),OPR_BR1!$A$4:$I$18,OPR_BR2!$A$4:$I$18,OPR_CR2!$A$4:$I$18,OPR_CR3!$A$4:$I$18,OPR_CR4!$A$4:$I$18,OPR_RIM!$A$4:$I$18,OPR_BPR!$A$4:$I$18),2,0),0))</f>
        <v/>
      </c>
      <c r="L96">
        <f>IF($A96="","",K96*D96)</f>
        <v/>
      </c>
      <c r="M96" s="16">
        <f>IF($A96="","",IF(AND(ISNUMBER(G96),G96&gt;=J96,G96&lt;=(J96+(L96/(IF(F96="Contract Workman",Settings!$K$5,Settings!$K$4))))),J96+(L96/(IF(F96="Contract Workman",Settings!$K$5,Settings!$K$4)))+(H96/(IF(F96="Contract Workman",Settings!$K$5,Settings!$K$4))),J96+(L96/(IF(F96="Contract Workman",Settings!$K$5,Settings!$K$4)))))</f>
        <v/>
      </c>
      <c r="N96">
        <f>IF($A96="","",IF(F96="Contract Workman",IF(AND(MOD(M96,1)&gt;=8/24,MOD(M96,1)&lt;20/24),"Shift S1","Shift S2"),IF(AND(MOD(M96,1)&gt;=7/24,MOD(M96,1)&lt;15/24),"Shift A",IF(AND(MOD(M96,1)&gt;=15/24,MOD(M96,1)&lt;23/24),"Shift B","Shift C"))))</f>
        <v/>
      </c>
      <c r="O96">
        <f>IF(B96="","",IF(IFERROR(ISNUMBER(SEARCH(TEXT(B96,"0"),VLOOKUP(E96,Machine_List!$B:$J,9,0))),FALSE),"✅ "&amp;E96,"❌ ?"))</f>
        <v/>
      </c>
      <c r="P96">
        <f>IF(AND($A96&lt;&gt;"",P$3&gt;=$J96,P$3&lt;=$M96),1,"")</f>
        <v/>
      </c>
      <c r="Q96">
        <f>IF(AND($A96&lt;&gt;"",Q$3&gt;=$J96,Q$3&lt;=$M96),1,"")</f>
        <v/>
      </c>
      <c r="R96">
        <f>IF(AND($A96&lt;&gt;"",R$3&gt;=$J96,R$3&lt;=$M96),1,"")</f>
        <v/>
      </c>
      <c r="S96">
        <f>IF(AND($A96&lt;&gt;"",S$3&gt;=$J96,S$3&lt;=$M96),1,"")</f>
        <v/>
      </c>
      <c r="T96">
        <f>IF(AND($A96&lt;&gt;"",T$3&gt;=$J96,T$3&lt;=$M96),1,"")</f>
        <v/>
      </c>
      <c r="U96">
        <f>IF(AND($A96&lt;&gt;"",U$3&gt;=$J96,U$3&lt;=$M96),1,"")</f>
        <v/>
      </c>
      <c r="V96">
        <f>IF(AND($A96&lt;&gt;"",V$3&gt;=$J96,V$3&lt;=$M96),1,"")</f>
        <v/>
      </c>
      <c r="W96">
        <f>IF(AND($A96&lt;&gt;"",W$3&gt;=$J96,W$3&lt;=$M96),1,"")</f>
        <v/>
      </c>
      <c r="X96">
        <f>IF(AND($A96&lt;&gt;"",X$3&gt;=$J96,X$3&lt;=$M96),1,"")</f>
        <v/>
      </c>
      <c r="Y96">
        <f>IF(AND($A96&lt;&gt;"",Y$3&gt;=$J96,Y$3&lt;=$M96),1,"")</f>
        <v/>
      </c>
      <c r="Z96">
        <f>IF(AND($A96&lt;&gt;"",Z$3&gt;=$J96,Z$3&lt;=$M96),1,"")</f>
        <v/>
      </c>
      <c r="AA96">
        <f>IF(AND($A96&lt;&gt;"",AA$3&gt;=$J96,AA$3&lt;=$M96),1,"")</f>
        <v/>
      </c>
      <c r="AB96">
        <f>IF(AND($A96&lt;&gt;"",AB$3&gt;=$J96,AB$3&lt;=$M96),1,"")</f>
        <v/>
      </c>
      <c r="AC96">
        <f>IF(AND($A96&lt;&gt;"",AC$3&gt;=$J96,AC$3&lt;=$M96),1,"")</f>
        <v/>
      </c>
      <c r="AD96">
        <f>IF(AND($A96&lt;&gt;"",AD$3&gt;=$J96,AD$3&lt;=$M96),1,"")</f>
        <v/>
      </c>
      <c r="AE96">
        <f>IF(AND($A96&lt;&gt;"",AE$3&gt;=$J96,AE$3&lt;=$M96),1,"")</f>
        <v/>
      </c>
      <c r="AF96">
        <f>IF(AND($A96&lt;&gt;"",AF$3&gt;=$J96,AF$3&lt;=$M96),1,"")</f>
        <v/>
      </c>
      <c r="AG96">
        <f>IF(AND($A96&lt;&gt;"",AG$3&gt;=$J96,AG$3&lt;=$M96),1,"")</f>
        <v/>
      </c>
      <c r="AH96">
        <f>IF(AND($A96&lt;&gt;"",AH$3&gt;=$J96,AH$3&lt;=$M96),1,"")</f>
        <v/>
      </c>
      <c r="AI96">
        <f>IF(AND($A96&lt;&gt;"",AI$3&gt;=$J96,AI$3&lt;=$M96),1,"")</f>
        <v/>
      </c>
      <c r="AJ96">
        <f>IF(AND($A96&lt;&gt;"",AJ$3&gt;=$J96,AJ$3&lt;=$M96),1,"")</f>
        <v/>
      </c>
      <c r="AK96">
        <f>IF(AND($A96&lt;&gt;"",AK$3&gt;=$J96,AK$3&lt;=$M96),1,"")</f>
        <v/>
      </c>
      <c r="AL96">
        <f>IF(AND($A96&lt;&gt;"",AL$3&gt;=$J96,AL$3&lt;=$M96),1,"")</f>
        <v/>
      </c>
      <c r="AM96">
        <f>IF(AND($A96&lt;&gt;"",AM$3&gt;=$J96,AM$3&lt;=$M96),1,"")</f>
        <v/>
      </c>
      <c r="AN96">
        <f>IF(AND($A96&lt;&gt;"",AN$3&gt;=$J96,AN$3&lt;=$M96),1,"")</f>
        <v/>
      </c>
      <c r="AO96">
        <f>IF(AND($A96&lt;&gt;"",AO$3&gt;=$J96,AO$3&lt;=$M96),1,"")</f>
        <v/>
      </c>
      <c r="AP96">
        <f>IF(AND($A96&lt;&gt;"",AP$3&gt;=$J96,AP$3&lt;=$M96),1,"")</f>
        <v/>
      </c>
      <c r="AQ96">
        <f>IF(AND($A96&lt;&gt;"",AQ$3&gt;=$J96,AQ$3&lt;=$M96),1,"")</f>
        <v/>
      </c>
      <c r="AR96">
        <f>IF(AND($A96&lt;&gt;"",AR$3&gt;=$J96,AR$3&lt;=$M96),1,"")</f>
        <v/>
      </c>
      <c r="AS96">
        <f>IF(AND($A96&lt;&gt;"",AS$3&gt;=$J96,AS$3&lt;=$M96),1,"")</f>
        <v/>
      </c>
      <c r="AT96">
        <f>IF(AND($A96&lt;&gt;"",AT$3&gt;=$J96,AT$3&lt;=$M96),1,"")</f>
        <v/>
      </c>
      <c r="AU96">
        <f>IF(AND($A96&lt;&gt;"",AU$3&gt;=$J96,AU$3&lt;=$M96),1,"")</f>
        <v/>
      </c>
      <c r="AV96">
        <f>IF(AND($A96&lt;&gt;"",AV$3&gt;=$J96,AV$3&lt;=$M96),1,"")</f>
        <v/>
      </c>
      <c r="AW96">
        <f>IF(AND($A96&lt;&gt;"",AW$3&gt;=$J96,AW$3&lt;=$M96),1,"")</f>
        <v/>
      </c>
      <c r="AX96">
        <f>IF(AND($A96&lt;&gt;"",AX$3&gt;=$J96,AX$3&lt;=$M96),1,"")</f>
        <v/>
      </c>
      <c r="AY96">
        <f>IF(AND($A96&lt;&gt;"",AY$3&gt;=$J96,AY$3&lt;=$M96),1,"")</f>
        <v/>
      </c>
      <c r="AZ96">
        <f>IF(AND($A96&lt;&gt;"",AZ$3&gt;=$J96,AZ$3&lt;=$M96),1,"")</f>
        <v/>
      </c>
      <c r="BA96">
        <f>IF(AND($A96&lt;&gt;"",BA$3&gt;=$J96,BA$3&lt;=$M96),1,"")</f>
        <v/>
      </c>
      <c r="BB96">
        <f>IF(AND($A96&lt;&gt;"",BB$3&gt;=$J96,BB$3&lt;=$M96),1,"")</f>
        <v/>
      </c>
      <c r="BC96">
        <f>IF(AND($A96&lt;&gt;"",BC$3&gt;=$J96,BC$3&lt;=$M96),1,"")</f>
        <v/>
      </c>
      <c r="BD96">
        <f>IF(AND($A96&lt;&gt;"",BD$3&gt;=$J96,BD$3&lt;=$M96),1,"")</f>
        <v/>
      </c>
      <c r="BE96">
        <f>IF(AND($A96&lt;&gt;"",BE$3&gt;=$J96,BE$3&lt;=$M96),1,"")</f>
        <v/>
      </c>
      <c r="BF96">
        <f>IF(AND($A96&lt;&gt;"",BF$3&gt;=$J96,BF$3&lt;=$M96),1,"")</f>
        <v/>
      </c>
      <c r="BG96">
        <f>IF(AND($A96&lt;&gt;"",BG$3&gt;=$J96,BG$3&lt;=$M96),1,"")</f>
        <v/>
      </c>
      <c r="BH96">
        <f>IF(AND($A96&lt;&gt;"",BH$3&gt;=$J96,BH$3&lt;=$M96),1,"")</f>
        <v/>
      </c>
      <c r="BI96">
        <f>IF(AND($A96&lt;&gt;"",BI$3&gt;=$J96,BI$3&lt;=$M96),1,"")</f>
        <v/>
      </c>
      <c r="BJ96">
        <f>IF(AND($A96&lt;&gt;"",BJ$3&gt;=$J96,BJ$3&lt;=$M96),1,"")</f>
        <v/>
      </c>
      <c r="BK96">
        <f>IF(AND($A96&lt;&gt;"",BK$3&gt;=$J96,BK$3&lt;=$M96),1,"")</f>
        <v/>
      </c>
      <c r="BL96">
        <f>IF(AND($A96&lt;&gt;"",BL$3&gt;=$J96,BL$3&lt;=$M96),1,"")</f>
        <v/>
      </c>
      <c r="BM96">
        <f>IF(AND($A96&lt;&gt;"",BM$3&gt;=$J96,BM$3&lt;=$M96),1,"")</f>
        <v/>
      </c>
      <c r="BN96">
        <f>IF(AND($A96&lt;&gt;"",BN$3&gt;=$J96,BN$3&lt;=$M96),1,"")</f>
        <v/>
      </c>
      <c r="BO96">
        <f>IF(AND($A96&lt;&gt;"",BO$3&gt;=$J96,BO$3&lt;=$M96),1,"")</f>
        <v/>
      </c>
      <c r="BP96">
        <f>IF(AND($A96&lt;&gt;"",BP$3&gt;=$J96,BP$3&lt;=$M96),1,"")</f>
        <v/>
      </c>
      <c r="BQ96">
        <f>IF(AND($A96&lt;&gt;"",BQ$3&gt;=$J96,BQ$3&lt;=$M96),1,"")</f>
        <v/>
      </c>
      <c r="BR96">
        <f>IF(AND($A96&lt;&gt;"",BR$3&gt;=$J96,BR$3&lt;=$M96),1,"")</f>
        <v/>
      </c>
      <c r="BS96">
        <f>IF(AND($A96&lt;&gt;"",BS$3&gt;=$J96,BS$3&lt;=$M96),1,"")</f>
        <v/>
      </c>
      <c r="BT96">
        <f>IF(AND($A96&lt;&gt;"",BT$3&gt;=$J96,BT$3&lt;=$M96),1,"")</f>
        <v/>
      </c>
      <c r="BU96">
        <f>IF(AND($A96&lt;&gt;"",BU$3&gt;=$J96,BU$3&lt;=$M96),1,"")</f>
        <v/>
      </c>
      <c r="BV96">
        <f>IF(AND($A96&lt;&gt;"",BV$3&gt;=$J96,BV$3&lt;=$M96),1,"")</f>
        <v/>
      </c>
    </row>
    <row r="97">
      <c r="A97">
        <f>IF(Job_Master_Ring!$A97="","",Job_Master_Ring!$A97)</f>
        <v/>
      </c>
      <c r="B97">
        <f>IF($A97="","",Job_Master_Ring!B97)</f>
        <v/>
      </c>
      <c r="C97">
        <f>IF($A97="","",Job_Master_Ring!C97)</f>
        <v/>
      </c>
      <c r="D97">
        <f>IF($A97="","",Job_Master_Ring!D97)</f>
        <v/>
      </c>
      <c r="E97">
        <f>IF($A97="","",IF($I97&lt;&gt;"",$I97,IFERROR(INDEX(Machine_List!$B$87:$B$94,MATCH(1,(Machine_List!$H$87:$H$94&lt;=IFERROR(VLOOKUP($B97,CHOOSE(MATCH($C97,Settings!$L$4:$L$10,0),OPR_BR1!$A$4:$K$18,OPR_BR2!$A$4:$K$18,OPR_CR2!$A$4:$K$18,OPR_CR3!$A$4:$K$18,OPR_CR4!$A$4:$K$18,OPR_RIM!$A$4:$K$18,OPR_BPR!$A$4:$K$18),10,0),0))*(Machine_List!$I$87:$I$94&gt;=IFERROR(VLOOKUP($B97,CHOOSE(MATCH($C97,Settings!$L$4:$L$10,0),OPR_BR1!$A$4:$K$18,OPR_BR2!$A$4:$K$18,OPR_CR2!$A$4:$K$18,OPR_CR3!$A$4:$K$18,OPR_CR4!$A$4:$K$18,OPR_RIM!$A$4:$K$18,OPR_BPR!$A$4:$K$18),11,0),9999)),0)),"NO COMPATIBLE MACHINE")))</f>
        <v/>
      </c>
      <c r="F97">
        <f>IF($E97="","",IFERROR(VLOOKUP($E97,Machine_List!$B:$G,6,0),""))</f>
        <v/>
      </c>
      <c r="G97" s="17">
        <f>IF($E97="","",IFERROR(VLOOKUP($E97,Machine_List!$B:$C,2,0),""))</f>
        <v/>
      </c>
      <c r="H97">
        <f>IF($E97="","",IFERROR(VLOOKUP($E97,Machine_List!$B:$D,3,0),""))</f>
        <v/>
      </c>
      <c r="J97" s="16">
        <f>IF($A97="","",IF($I97&lt;&gt;"",$I97,MAX(GlobalStartDate,IFERROR(LOOKUP(2,1/($E$3:INDIRECT("E"&amp;(ROW()-1))=$E97),$M$3:INDIRECT("M"&amp;(ROW()-1))),GlobalStartDate))))</f>
        <v/>
      </c>
      <c r="K97">
        <f>IF($A97="","",IFERROR(VLOOKUP(B97,CHOOSE(MATCH($C97,Settings!$L$4:$L$10,0),OPR_BR1!$A$4:$I$18,OPR_BR2!$A$4:$I$18,OPR_CR2!$A$4:$I$18,OPR_CR3!$A$4:$I$18,OPR_CR4!$A$4:$I$18,OPR_RIM!$A$4:$I$18,OPR_BPR!$A$4:$I$18),2,0),0))</f>
        <v/>
      </c>
      <c r="L97">
        <f>IF($A97="","",K97*D97)</f>
        <v/>
      </c>
      <c r="M97" s="16">
        <f>IF($A97="","",IF(AND(ISNUMBER(G97),G97&gt;=J97,G97&lt;=(J97+(L97/(IF(F97="Contract Workman",Settings!$K$5,Settings!$K$4))))),J97+(L97/(IF(F97="Contract Workman",Settings!$K$5,Settings!$K$4)))+(H97/(IF(F97="Contract Workman",Settings!$K$5,Settings!$K$4))),J97+(L97/(IF(F97="Contract Workman",Settings!$K$5,Settings!$K$4)))))</f>
        <v/>
      </c>
      <c r="N97">
        <f>IF($A97="","",IF(F97="Contract Workman",IF(AND(MOD(M97,1)&gt;=8/24,MOD(M97,1)&lt;20/24),"Shift S1","Shift S2"),IF(AND(MOD(M97,1)&gt;=7/24,MOD(M97,1)&lt;15/24),"Shift A",IF(AND(MOD(M97,1)&gt;=15/24,MOD(M97,1)&lt;23/24),"Shift B","Shift C"))))</f>
        <v/>
      </c>
      <c r="O97">
        <f>IF(B97="","",IF(IFERROR(ISNUMBER(SEARCH(TEXT(B97,"0"),VLOOKUP(E97,Machine_List!$B:$J,9,0))),FALSE),"✅ "&amp;E97,"❌ ?"))</f>
        <v/>
      </c>
      <c r="P97">
        <f>IF(AND($A97&lt;&gt;"",P$3&gt;=$J97,P$3&lt;=$M97),1,"")</f>
        <v/>
      </c>
      <c r="Q97">
        <f>IF(AND($A97&lt;&gt;"",Q$3&gt;=$J97,Q$3&lt;=$M97),1,"")</f>
        <v/>
      </c>
      <c r="R97">
        <f>IF(AND($A97&lt;&gt;"",R$3&gt;=$J97,R$3&lt;=$M97),1,"")</f>
        <v/>
      </c>
      <c r="S97">
        <f>IF(AND($A97&lt;&gt;"",S$3&gt;=$J97,S$3&lt;=$M97),1,"")</f>
        <v/>
      </c>
      <c r="T97">
        <f>IF(AND($A97&lt;&gt;"",T$3&gt;=$J97,T$3&lt;=$M97),1,"")</f>
        <v/>
      </c>
      <c r="U97">
        <f>IF(AND($A97&lt;&gt;"",U$3&gt;=$J97,U$3&lt;=$M97),1,"")</f>
        <v/>
      </c>
      <c r="V97">
        <f>IF(AND($A97&lt;&gt;"",V$3&gt;=$J97,V$3&lt;=$M97),1,"")</f>
        <v/>
      </c>
      <c r="W97">
        <f>IF(AND($A97&lt;&gt;"",W$3&gt;=$J97,W$3&lt;=$M97),1,"")</f>
        <v/>
      </c>
      <c r="X97">
        <f>IF(AND($A97&lt;&gt;"",X$3&gt;=$J97,X$3&lt;=$M97),1,"")</f>
        <v/>
      </c>
      <c r="Y97">
        <f>IF(AND($A97&lt;&gt;"",Y$3&gt;=$J97,Y$3&lt;=$M97),1,"")</f>
        <v/>
      </c>
      <c r="Z97">
        <f>IF(AND($A97&lt;&gt;"",Z$3&gt;=$J97,Z$3&lt;=$M97),1,"")</f>
        <v/>
      </c>
      <c r="AA97">
        <f>IF(AND($A97&lt;&gt;"",AA$3&gt;=$J97,AA$3&lt;=$M97),1,"")</f>
        <v/>
      </c>
      <c r="AB97">
        <f>IF(AND($A97&lt;&gt;"",AB$3&gt;=$J97,AB$3&lt;=$M97),1,"")</f>
        <v/>
      </c>
      <c r="AC97">
        <f>IF(AND($A97&lt;&gt;"",AC$3&gt;=$J97,AC$3&lt;=$M97),1,"")</f>
        <v/>
      </c>
      <c r="AD97">
        <f>IF(AND($A97&lt;&gt;"",AD$3&gt;=$J97,AD$3&lt;=$M97),1,"")</f>
        <v/>
      </c>
      <c r="AE97">
        <f>IF(AND($A97&lt;&gt;"",AE$3&gt;=$J97,AE$3&lt;=$M97),1,"")</f>
        <v/>
      </c>
      <c r="AF97">
        <f>IF(AND($A97&lt;&gt;"",AF$3&gt;=$J97,AF$3&lt;=$M97),1,"")</f>
        <v/>
      </c>
      <c r="AG97">
        <f>IF(AND($A97&lt;&gt;"",AG$3&gt;=$J97,AG$3&lt;=$M97),1,"")</f>
        <v/>
      </c>
      <c r="AH97">
        <f>IF(AND($A97&lt;&gt;"",AH$3&gt;=$J97,AH$3&lt;=$M97),1,"")</f>
        <v/>
      </c>
      <c r="AI97">
        <f>IF(AND($A97&lt;&gt;"",AI$3&gt;=$J97,AI$3&lt;=$M97),1,"")</f>
        <v/>
      </c>
      <c r="AJ97">
        <f>IF(AND($A97&lt;&gt;"",AJ$3&gt;=$J97,AJ$3&lt;=$M97),1,"")</f>
        <v/>
      </c>
      <c r="AK97">
        <f>IF(AND($A97&lt;&gt;"",AK$3&gt;=$J97,AK$3&lt;=$M97),1,"")</f>
        <v/>
      </c>
      <c r="AL97">
        <f>IF(AND($A97&lt;&gt;"",AL$3&gt;=$J97,AL$3&lt;=$M97),1,"")</f>
        <v/>
      </c>
      <c r="AM97">
        <f>IF(AND($A97&lt;&gt;"",AM$3&gt;=$J97,AM$3&lt;=$M97),1,"")</f>
        <v/>
      </c>
      <c r="AN97">
        <f>IF(AND($A97&lt;&gt;"",AN$3&gt;=$J97,AN$3&lt;=$M97),1,"")</f>
        <v/>
      </c>
      <c r="AO97">
        <f>IF(AND($A97&lt;&gt;"",AO$3&gt;=$J97,AO$3&lt;=$M97),1,"")</f>
        <v/>
      </c>
      <c r="AP97">
        <f>IF(AND($A97&lt;&gt;"",AP$3&gt;=$J97,AP$3&lt;=$M97),1,"")</f>
        <v/>
      </c>
      <c r="AQ97">
        <f>IF(AND($A97&lt;&gt;"",AQ$3&gt;=$J97,AQ$3&lt;=$M97),1,"")</f>
        <v/>
      </c>
      <c r="AR97">
        <f>IF(AND($A97&lt;&gt;"",AR$3&gt;=$J97,AR$3&lt;=$M97),1,"")</f>
        <v/>
      </c>
      <c r="AS97">
        <f>IF(AND($A97&lt;&gt;"",AS$3&gt;=$J97,AS$3&lt;=$M97),1,"")</f>
        <v/>
      </c>
      <c r="AT97">
        <f>IF(AND($A97&lt;&gt;"",AT$3&gt;=$J97,AT$3&lt;=$M97),1,"")</f>
        <v/>
      </c>
      <c r="AU97">
        <f>IF(AND($A97&lt;&gt;"",AU$3&gt;=$J97,AU$3&lt;=$M97),1,"")</f>
        <v/>
      </c>
      <c r="AV97">
        <f>IF(AND($A97&lt;&gt;"",AV$3&gt;=$J97,AV$3&lt;=$M97),1,"")</f>
        <v/>
      </c>
      <c r="AW97">
        <f>IF(AND($A97&lt;&gt;"",AW$3&gt;=$J97,AW$3&lt;=$M97),1,"")</f>
        <v/>
      </c>
      <c r="AX97">
        <f>IF(AND($A97&lt;&gt;"",AX$3&gt;=$J97,AX$3&lt;=$M97),1,"")</f>
        <v/>
      </c>
      <c r="AY97">
        <f>IF(AND($A97&lt;&gt;"",AY$3&gt;=$J97,AY$3&lt;=$M97),1,"")</f>
        <v/>
      </c>
      <c r="AZ97">
        <f>IF(AND($A97&lt;&gt;"",AZ$3&gt;=$J97,AZ$3&lt;=$M97),1,"")</f>
        <v/>
      </c>
      <c r="BA97">
        <f>IF(AND($A97&lt;&gt;"",BA$3&gt;=$J97,BA$3&lt;=$M97),1,"")</f>
        <v/>
      </c>
      <c r="BB97">
        <f>IF(AND($A97&lt;&gt;"",BB$3&gt;=$J97,BB$3&lt;=$M97),1,"")</f>
        <v/>
      </c>
      <c r="BC97">
        <f>IF(AND($A97&lt;&gt;"",BC$3&gt;=$J97,BC$3&lt;=$M97),1,"")</f>
        <v/>
      </c>
      <c r="BD97">
        <f>IF(AND($A97&lt;&gt;"",BD$3&gt;=$J97,BD$3&lt;=$M97),1,"")</f>
        <v/>
      </c>
      <c r="BE97">
        <f>IF(AND($A97&lt;&gt;"",BE$3&gt;=$J97,BE$3&lt;=$M97),1,"")</f>
        <v/>
      </c>
      <c r="BF97">
        <f>IF(AND($A97&lt;&gt;"",BF$3&gt;=$J97,BF$3&lt;=$M97),1,"")</f>
        <v/>
      </c>
      <c r="BG97">
        <f>IF(AND($A97&lt;&gt;"",BG$3&gt;=$J97,BG$3&lt;=$M97),1,"")</f>
        <v/>
      </c>
      <c r="BH97">
        <f>IF(AND($A97&lt;&gt;"",BH$3&gt;=$J97,BH$3&lt;=$M97),1,"")</f>
        <v/>
      </c>
      <c r="BI97">
        <f>IF(AND($A97&lt;&gt;"",BI$3&gt;=$J97,BI$3&lt;=$M97),1,"")</f>
        <v/>
      </c>
      <c r="BJ97">
        <f>IF(AND($A97&lt;&gt;"",BJ$3&gt;=$J97,BJ$3&lt;=$M97),1,"")</f>
        <v/>
      </c>
      <c r="BK97">
        <f>IF(AND($A97&lt;&gt;"",BK$3&gt;=$J97,BK$3&lt;=$M97),1,"")</f>
        <v/>
      </c>
      <c r="BL97">
        <f>IF(AND($A97&lt;&gt;"",BL$3&gt;=$J97,BL$3&lt;=$M97),1,"")</f>
        <v/>
      </c>
      <c r="BM97">
        <f>IF(AND($A97&lt;&gt;"",BM$3&gt;=$J97,BM$3&lt;=$M97),1,"")</f>
        <v/>
      </c>
      <c r="BN97">
        <f>IF(AND($A97&lt;&gt;"",BN$3&gt;=$J97,BN$3&lt;=$M97),1,"")</f>
        <v/>
      </c>
      <c r="BO97">
        <f>IF(AND($A97&lt;&gt;"",BO$3&gt;=$J97,BO$3&lt;=$M97),1,"")</f>
        <v/>
      </c>
      <c r="BP97">
        <f>IF(AND($A97&lt;&gt;"",BP$3&gt;=$J97,BP$3&lt;=$M97),1,"")</f>
        <v/>
      </c>
      <c r="BQ97">
        <f>IF(AND($A97&lt;&gt;"",BQ$3&gt;=$J97,BQ$3&lt;=$M97),1,"")</f>
        <v/>
      </c>
      <c r="BR97">
        <f>IF(AND($A97&lt;&gt;"",BR$3&gt;=$J97,BR$3&lt;=$M97),1,"")</f>
        <v/>
      </c>
      <c r="BS97">
        <f>IF(AND($A97&lt;&gt;"",BS$3&gt;=$J97,BS$3&lt;=$M97),1,"")</f>
        <v/>
      </c>
      <c r="BT97">
        <f>IF(AND($A97&lt;&gt;"",BT$3&gt;=$J97,BT$3&lt;=$M97),1,"")</f>
        <v/>
      </c>
      <c r="BU97">
        <f>IF(AND($A97&lt;&gt;"",BU$3&gt;=$J97,BU$3&lt;=$M97),1,"")</f>
        <v/>
      </c>
      <c r="BV97">
        <f>IF(AND($A97&lt;&gt;"",BV$3&gt;=$J97,BV$3&lt;=$M97),1,"")</f>
        <v/>
      </c>
    </row>
    <row r="98">
      <c r="A98">
        <f>IF(Job_Master_Ring!$A98="","",Job_Master_Ring!$A98)</f>
        <v/>
      </c>
      <c r="B98">
        <f>IF($A98="","",Job_Master_Ring!B98)</f>
        <v/>
      </c>
      <c r="C98">
        <f>IF($A98="","",Job_Master_Ring!C98)</f>
        <v/>
      </c>
      <c r="D98">
        <f>IF($A98="","",Job_Master_Ring!D98)</f>
        <v/>
      </c>
      <c r="E98">
        <f>IF($A98="","",IF($I98&lt;&gt;"",$I98,IFERROR(INDEX(Machine_List!$B$87:$B$94,MATCH(1,(Machine_List!$H$87:$H$94&lt;=IFERROR(VLOOKUP($B98,CHOOSE(MATCH($C98,Settings!$L$4:$L$10,0),OPR_BR1!$A$4:$K$18,OPR_BR2!$A$4:$K$18,OPR_CR2!$A$4:$K$18,OPR_CR3!$A$4:$K$18,OPR_CR4!$A$4:$K$18,OPR_RIM!$A$4:$K$18,OPR_BPR!$A$4:$K$18),10,0),0))*(Machine_List!$I$87:$I$94&gt;=IFERROR(VLOOKUP($B98,CHOOSE(MATCH($C98,Settings!$L$4:$L$10,0),OPR_BR1!$A$4:$K$18,OPR_BR2!$A$4:$K$18,OPR_CR2!$A$4:$K$18,OPR_CR3!$A$4:$K$18,OPR_CR4!$A$4:$K$18,OPR_RIM!$A$4:$K$18,OPR_BPR!$A$4:$K$18),11,0),9999)),0)),"NO COMPATIBLE MACHINE")))</f>
        <v/>
      </c>
      <c r="F98">
        <f>IF($E98="","",IFERROR(VLOOKUP($E98,Machine_List!$B:$G,6,0),""))</f>
        <v/>
      </c>
      <c r="G98" s="17">
        <f>IF($E98="","",IFERROR(VLOOKUP($E98,Machine_List!$B:$C,2,0),""))</f>
        <v/>
      </c>
      <c r="H98">
        <f>IF($E98="","",IFERROR(VLOOKUP($E98,Machine_List!$B:$D,3,0),""))</f>
        <v/>
      </c>
      <c r="J98" s="16">
        <f>IF($A98="","",IF($I98&lt;&gt;"",$I98,MAX(GlobalStartDate,IFERROR(LOOKUP(2,1/($E$3:INDIRECT("E"&amp;(ROW()-1))=$E98),$M$3:INDIRECT("M"&amp;(ROW()-1))),GlobalStartDate))))</f>
        <v/>
      </c>
      <c r="K98">
        <f>IF($A98="","",IFERROR(VLOOKUP(B98,CHOOSE(MATCH($C98,Settings!$L$4:$L$10,0),OPR_BR1!$A$4:$I$18,OPR_BR2!$A$4:$I$18,OPR_CR2!$A$4:$I$18,OPR_CR3!$A$4:$I$18,OPR_CR4!$A$4:$I$18,OPR_RIM!$A$4:$I$18,OPR_BPR!$A$4:$I$18),2,0),0))</f>
        <v/>
      </c>
      <c r="L98">
        <f>IF($A98="","",K98*D98)</f>
        <v/>
      </c>
      <c r="M98" s="16">
        <f>IF($A98="","",IF(AND(ISNUMBER(G98),G98&gt;=J98,G98&lt;=(J98+(L98/(IF(F98="Contract Workman",Settings!$K$5,Settings!$K$4))))),J98+(L98/(IF(F98="Contract Workman",Settings!$K$5,Settings!$K$4)))+(H98/(IF(F98="Contract Workman",Settings!$K$5,Settings!$K$4))),J98+(L98/(IF(F98="Contract Workman",Settings!$K$5,Settings!$K$4)))))</f>
        <v/>
      </c>
      <c r="N98">
        <f>IF($A98="","",IF(F98="Contract Workman",IF(AND(MOD(M98,1)&gt;=8/24,MOD(M98,1)&lt;20/24),"Shift S1","Shift S2"),IF(AND(MOD(M98,1)&gt;=7/24,MOD(M98,1)&lt;15/24),"Shift A",IF(AND(MOD(M98,1)&gt;=15/24,MOD(M98,1)&lt;23/24),"Shift B","Shift C"))))</f>
        <v/>
      </c>
      <c r="O98">
        <f>IF(B98="","",IF(IFERROR(ISNUMBER(SEARCH(TEXT(B98,"0"),VLOOKUP(E98,Machine_List!$B:$J,9,0))),FALSE),"✅ "&amp;E98,"❌ ?"))</f>
        <v/>
      </c>
      <c r="P98">
        <f>IF(AND($A98&lt;&gt;"",P$3&gt;=$J98,P$3&lt;=$M98),1,"")</f>
        <v/>
      </c>
      <c r="Q98">
        <f>IF(AND($A98&lt;&gt;"",Q$3&gt;=$J98,Q$3&lt;=$M98),1,"")</f>
        <v/>
      </c>
      <c r="R98">
        <f>IF(AND($A98&lt;&gt;"",R$3&gt;=$J98,R$3&lt;=$M98),1,"")</f>
        <v/>
      </c>
      <c r="S98">
        <f>IF(AND($A98&lt;&gt;"",S$3&gt;=$J98,S$3&lt;=$M98),1,"")</f>
        <v/>
      </c>
      <c r="T98">
        <f>IF(AND($A98&lt;&gt;"",T$3&gt;=$J98,T$3&lt;=$M98),1,"")</f>
        <v/>
      </c>
      <c r="U98">
        <f>IF(AND($A98&lt;&gt;"",U$3&gt;=$J98,U$3&lt;=$M98),1,"")</f>
        <v/>
      </c>
      <c r="V98">
        <f>IF(AND($A98&lt;&gt;"",V$3&gt;=$J98,V$3&lt;=$M98),1,"")</f>
        <v/>
      </c>
      <c r="W98">
        <f>IF(AND($A98&lt;&gt;"",W$3&gt;=$J98,W$3&lt;=$M98),1,"")</f>
        <v/>
      </c>
      <c r="X98">
        <f>IF(AND($A98&lt;&gt;"",X$3&gt;=$J98,X$3&lt;=$M98),1,"")</f>
        <v/>
      </c>
      <c r="Y98">
        <f>IF(AND($A98&lt;&gt;"",Y$3&gt;=$J98,Y$3&lt;=$M98),1,"")</f>
        <v/>
      </c>
      <c r="Z98">
        <f>IF(AND($A98&lt;&gt;"",Z$3&gt;=$J98,Z$3&lt;=$M98),1,"")</f>
        <v/>
      </c>
      <c r="AA98">
        <f>IF(AND($A98&lt;&gt;"",AA$3&gt;=$J98,AA$3&lt;=$M98),1,"")</f>
        <v/>
      </c>
      <c r="AB98">
        <f>IF(AND($A98&lt;&gt;"",AB$3&gt;=$J98,AB$3&lt;=$M98),1,"")</f>
        <v/>
      </c>
      <c r="AC98">
        <f>IF(AND($A98&lt;&gt;"",AC$3&gt;=$J98,AC$3&lt;=$M98),1,"")</f>
        <v/>
      </c>
      <c r="AD98">
        <f>IF(AND($A98&lt;&gt;"",AD$3&gt;=$J98,AD$3&lt;=$M98),1,"")</f>
        <v/>
      </c>
      <c r="AE98">
        <f>IF(AND($A98&lt;&gt;"",AE$3&gt;=$J98,AE$3&lt;=$M98),1,"")</f>
        <v/>
      </c>
      <c r="AF98">
        <f>IF(AND($A98&lt;&gt;"",AF$3&gt;=$J98,AF$3&lt;=$M98),1,"")</f>
        <v/>
      </c>
      <c r="AG98">
        <f>IF(AND($A98&lt;&gt;"",AG$3&gt;=$J98,AG$3&lt;=$M98),1,"")</f>
        <v/>
      </c>
      <c r="AH98">
        <f>IF(AND($A98&lt;&gt;"",AH$3&gt;=$J98,AH$3&lt;=$M98),1,"")</f>
        <v/>
      </c>
      <c r="AI98">
        <f>IF(AND($A98&lt;&gt;"",AI$3&gt;=$J98,AI$3&lt;=$M98),1,"")</f>
        <v/>
      </c>
      <c r="AJ98">
        <f>IF(AND($A98&lt;&gt;"",AJ$3&gt;=$J98,AJ$3&lt;=$M98),1,"")</f>
        <v/>
      </c>
      <c r="AK98">
        <f>IF(AND($A98&lt;&gt;"",AK$3&gt;=$J98,AK$3&lt;=$M98),1,"")</f>
        <v/>
      </c>
      <c r="AL98">
        <f>IF(AND($A98&lt;&gt;"",AL$3&gt;=$J98,AL$3&lt;=$M98),1,"")</f>
        <v/>
      </c>
      <c r="AM98">
        <f>IF(AND($A98&lt;&gt;"",AM$3&gt;=$J98,AM$3&lt;=$M98),1,"")</f>
        <v/>
      </c>
      <c r="AN98">
        <f>IF(AND($A98&lt;&gt;"",AN$3&gt;=$J98,AN$3&lt;=$M98),1,"")</f>
        <v/>
      </c>
      <c r="AO98">
        <f>IF(AND($A98&lt;&gt;"",AO$3&gt;=$J98,AO$3&lt;=$M98),1,"")</f>
        <v/>
      </c>
      <c r="AP98">
        <f>IF(AND($A98&lt;&gt;"",AP$3&gt;=$J98,AP$3&lt;=$M98),1,"")</f>
        <v/>
      </c>
      <c r="AQ98">
        <f>IF(AND($A98&lt;&gt;"",AQ$3&gt;=$J98,AQ$3&lt;=$M98),1,"")</f>
        <v/>
      </c>
      <c r="AR98">
        <f>IF(AND($A98&lt;&gt;"",AR$3&gt;=$J98,AR$3&lt;=$M98),1,"")</f>
        <v/>
      </c>
      <c r="AS98">
        <f>IF(AND($A98&lt;&gt;"",AS$3&gt;=$J98,AS$3&lt;=$M98),1,"")</f>
        <v/>
      </c>
      <c r="AT98">
        <f>IF(AND($A98&lt;&gt;"",AT$3&gt;=$J98,AT$3&lt;=$M98),1,"")</f>
        <v/>
      </c>
      <c r="AU98">
        <f>IF(AND($A98&lt;&gt;"",AU$3&gt;=$J98,AU$3&lt;=$M98),1,"")</f>
        <v/>
      </c>
      <c r="AV98">
        <f>IF(AND($A98&lt;&gt;"",AV$3&gt;=$J98,AV$3&lt;=$M98),1,"")</f>
        <v/>
      </c>
      <c r="AW98">
        <f>IF(AND($A98&lt;&gt;"",AW$3&gt;=$J98,AW$3&lt;=$M98),1,"")</f>
        <v/>
      </c>
      <c r="AX98">
        <f>IF(AND($A98&lt;&gt;"",AX$3&gt;=$J98,AX$3&lt;=$M98),1,"")</f>
        <v/>
      </c>
      <c r="AY98">
        <f>IF(AND($A98&lt;&gt;"",AY$3&gt;=$J98,AY$3&lt;=$M98),1,"")</f>
        <v/>
      </c>
      <c r="AZ98">
        <f>IF(AND($A98&lt;&gt;"",AZ$3&gt;=$J98,AZ$3&lt;=$M98),1,"")</f>
        <v/>
      </c>
      <c r="BA98">
        <f>IF(AND($A98&lt;&gt;"",BA$3&gt;=$J98,BA$3&lt;=$M98),1,"")</f>
        <v/>
      </c>
      <c r="BB98">
        <f>IF(AND($A98&lt;&gt;"",BB$3&gt;=$J98,BB$3&lt;=$M98),1,"")</f>
        <v/>
      </c>
      <c r="BC98">
        <f>IF(AND($A98&lt;&gt;"",BC$3&gt;=$J98,BC$3&lt;=$M98),1,"")</f>
        <v/>
      </c>
      <c r="BD98">
        <f>IF(AND($A98&lt;&gt;"",BD$3&gt;=$J98,BD$3&lt;=$M98),1,"")</f>
        <v/>
      </c>
      <c r="BE98">
        <f>IF(AND($A98&lt;&gt;"",BE$3&gt;=$J98,BE$3&lt;=$M98),1,"")</f>
        <v/>
      </c>
      <c r="BF98">
        <f>IF(AND($A98&lt;&gt;"",BF$3&gt;=$J98,BF$3&lt;=$M98),1,"")</f>
        <v/>
      </c>
      <c r="BG98">
        <f>IF(AND($A98&lt;&gt;"",BG$3&gt;=$J98,BG$3&lt;=$M98),1,"")</f>
        <v/>
      </c>
      <c r="BH98">
        <f>IF(AND($A98&lt;&gt;"",BH$3&gt;=$J98,BH$3&lt;=$M98),1,"")</f>
        <v/>
      </c>
      <c r="BI98">
        <f>IF(AND($A98&lt;&gt;"",BI$3&gt;=$J98,BI$3&lt;=$M98),1,"")</f>
        <v/>
      </c>
      <c r="BJ98">
        <f>IF(AND($A98&lt;&gt;"",BJ$3&gt;=$J98,BJ$3&lt;=$M98),1,"")</f>
        <v/>
      </c>
      <c r="BK98">
        <f>IF(AND($A98&lt;&gt;"",BK$3&gt;=$J98,BK$3&lt;=$M98),1,"")</f>
        <v/>
      </c>
      <c r="BL98">
        <f>IF(AND($A98&lt;&gt;"",BL$3&gt;=$J98,BL$3&lt;=$M98),1,"")</f>
        <v/>
      </c>
      <c r="BM98">
        <f>IF(AND($A98&lt;&gt;"",BM$3&gt;=$J98,BM$3&lt;=$M98),1,"")</f>
        <v/>
      </c>
      <c r="BN98">
        <f>IF(AND($A98&lt;&gt;"",BN$3&gt;=$J98,BN$3&lt;=$M98),1,"")</f>
        <v/>
      </c>
      <c r="BO98">
        <f>IF(AND($A98&lt;&gt;"",BO$3&gt;=$J98,BO$3&lt;=$M98),1,"")</f>
        <v/>
      </c>
      <c r="BP98">
        <f>IF(AND($A98&lt;&gt;"",BP$3&gt;=$J98,BP$3&lt;=$M98),1,"")</f>
        <v/>
      </c>
      <c r="BQ98">
        <f>IF(AND($A98&lt;&gt;"",BQ$3&gt;=$J98,BQ$3&lt;=$M98),1,"")</f>
        <v/>
      </c>
      <c r="BR98">
        <f>IF(AND($A98&lt;&gt;"",BR$3&gt;=$J98,BR$3&lt;=$M98),1,"")</f>
        <v/>
      </c>
      <c r="BS98">
        <f>IF(AND($A98&lt;&gt;"",BS$3&gt;=$J98,BS$3&lt;=$M98),1,"")</f>
        <v/>
      </c>
      <c r="BT98">
        <f>IF(AND($A98&lt;&gt;"",BT$3&gt;=$J98,BT$3&lt;=$M98),1,"")</f>
        <v/>
      </c>
      <c r="BU98">
        <f>IF(AND($A98&lt;&gt;"",BU$3&gt;=$J98,BU$3&lt;=$M98),1,"")</f>
        <v/>
      </c>
      <c r="BV98">
        <f>IF(AND($A98&lt;&gt;"",BV$3&gt;=$J98,BV$3&lt;=$M98),1,"")</f>
        <v/>
      </c>
    </row>
    <row r="99">
      <c r="A99">
        <f>IF(Job_Master_Ring!$A99="","",Job_Master_Ring!$A99)</f>
        <v/>
      </c>
      <c r="B99">
        <f>IF($A99="","",Job_Master_Ring!B99)</f>
        <v/>
      </c>
      <c r="C99">
        <f>IF($A99="","",Job_Master_Ring!C99)</f>
        <v/>
      </c>
      <c r="D99">
        <f>IF($A99="","",Job_Master_Ring!D99)</f>
        <v/>
      </c>
      <c r="E99">
        <f>IF($A99="","",IF($I99&lt;&gt;"",$I99,IFERROR(INDEX(Machine_List!$B$87:$B$94,MATCH(1,(Machine_List!$H$87:$H$94&lt;=IFERROR(VLOOKUP($B99,CHOOSE(MATCH($C99,Settings!$L$4:$L$10,0),OPR_BR1!$A$4:$K$18,OPR_BR2!$A$4:$K$18,OPR_CR2!$A$4:$K$18,OPR_CR3!$A$4:$K$18,OPR_CR4!$A$4:$K$18,OPR_RIM!$A$4:$K$18,OPR_BPR!$A$4:$K$18),10,0),0))*(Machine_List!$I$87:$I$94&gt;=IFERROR(VLOOKUP($B99,CHOOSE(MATCH($C99,Settings!$L$4:$L$10,0),OPR_BR1!$A$4:$K$18,OPR_BR2!$A$4:$K$18,OPR_CR2!$A$4:$K$18,OPR_CR3!$A$4:$K$18,OPR_CR4!$A$4:$K$18,OPR_RIM!$A$4:$K$18,OPR_BPR!$A$4:$K$18),11,0),9999)),0)),"NO COMPATIBLE MACHINE")))</f>
        <v/>
      </c>
      <c r="F99">
        <f>IF($E99="","",IFERROR(VLOOKUP($E99,Machine_List!$B:$G,6,0),""))</f>
        <v/>
      </c>
      <c r="G99" s="17">
        <f>IF($E99="","",IFERROR(VLOOKUP($E99,Machine_List!$B:$C,2,0),""))</f>
        <v/>
      </c>
      <c r="H99">
        <f>IF($E99="","",IFERROR(VLOOKUP($E99,Machine_List!$B:$D,3,0),""))</f>
        <v/>
      </c>
      <c r="J99" s="16">
        <f>IF($A99="","",IF($I99&lt;&gt;"",$I99,MAX(GlobalStartDate,IFERROR(LOOKUP(2,1/($E$3:INDIRECT("E"&amp;(ROW()-1))=$E99),$M$3:INDIRECT("M"&amp;(ROW()-1))),GlobalStartDate))))</f>
        <v/>
      </c>
      <c r="K99">
        <f>IF($A99="","",IFERROR(VLOOKUP(B99,CHOOSE(MATCH($C99,Settings!$L$4:$L$10,0),OPR_BR1!$A$4:$I$18,OPR_BR2!$A$4:$I$18,OPR_CR2!$A$4:$I$18,OPR_CR3!$A$4:$I$18,OPR_CR4!$A$4:$I$18,OPR_RIM!$A$4:$I$18,OPR_BPR!$A$4:$I$18),2,0),0))</f>
        <v/>
      </c>
      <c r="L99">
        <f>IF($A99="","",K99*D99)</f>
        <v/>
      </c>
      <c r="M99" s="16">
        <f>IF($A99="","",IF(AND(ISNUMBER(G99),G99&gt;=J99,G99&lt;=(J99+(L99/(IF(F99="Contract Workman",Settings!$K$5,Settings!$K$4))))),J99+(L99/(IF(F99="Contract Workman",Settings!$K$5,Settings!$K$4)))+(H99/(IF(F99="Contract Workman",Settings!$K$5,Settings!$K$4))),J99+(L99/(IF(F99="Contract Workman",Settings!$K$5,Settings!$K$4)))))</f>
        <v/>
      </c>
      <c r="N99">
        <f>IF($A99="","",IF(F99="Contract Workman",IF(AND(MOD(M99,1)&gt;=8/24,MOD(M99,1)&lt;20/24),"Shift S1","Shift S2"),IF(AND(MOD(M99,1)&gt;=7/24,MOD(M99,1)&lt;15/24),"Shift A",IF(AND(MOD(M99,1)&gt;=15/24,MOD(M99,1)&lt;23/24),"Shift B","Shift C"))))</f>
        <v/>
      </c>
      <c r="O99">
        <f>IF(B99="","",IF(IFERROR(ISNUMBER(SEARCH(TEXT(B99,"0"),VLOOKUP(E99,Machine_List!$B:$J,9,0))),FALSE),"✅ "&amp;E99,"❌ ?"))</f>
        <v/>
      </c>
      <c r="P99">
        <f>IF(AND($A99&lt;&gt;"",P$3&gt;=$J99,P$3&lt;=$M99),1,"")</f>
        <v/>
      </c>
      <c r="Q99">
        <f>IF(AND($A99&lt;&gt;"",Q$3&gt;=$J99,Q$3&lt;=$M99),1,"")</f>
        <v/>
      </c>
      <c r="R99">
        <f>IF(AND($A99&lt;&gt;"",R$3&gt;=$J99,R$3&lt;=$M99),1,"")</f>
        <v/>
      </c>
      <c r="S99">
        <f>IF(AND($A99&lt;&gt;"",S$3&gt;=$J99,S$3&lt;=$M99),1,"")</f>
        <v/>
      </c>
      <c r="T99">
        <f>IF(AND($A99&lt;&gt;"",T$3&gt;=$J99,T$3&lt;=$M99),1,"")</f>
        <v/>
      </c>
      <c r="U99">
        <f>IF(AND($A99&lt;&gt;"",U$3&gt;=$J99,U$3&lt;=$M99),1,"")</f>
        <v/>
      </c>
      <c r="V99">
        <f>IF(AND($A99&lt;&gt;"",V$3&gt;=$J99,V$3&lt;=$M99),1,"")</f>
        <v/>
      </c>
      <c r="W99">
        <f>IF(AND($A99&lt;&gt;"",W$3&gt;=$J99,W$3&lt;=$M99),1,"")</f>
        <v/>
      </c>
      <c r="X99">
        <f>IF(AND($A99&lt;&gt;"",X$3&gt;=$J99,X$3&lt;=$M99),1,"")</f>
        <v/>
      </c>
      <c r="Y99">
        <f>IF(AND($A99&lt;&gt;"",Y$3&gt;=$J99,Y$3&lt;=$M99),1,"")</f>
        <v/>
      </c>
      <c r="Z99">
        <f>IF(AND($A99&lt;&gt;"",Z$3&gt;=$J99,Z$3&lt;=$M99),1,"")</f>
        <v/>
      </c>
      <c r="AA99">
        <f>IF(AND($A99&lt;&gt;"",AA$3&gt;=$J99,AA$3&lt;=$M99),1,"")</f>
        <v/>
      </c>
      <c r="AB99">
        <f>IF(AND($A99&lt;&gt;"",AB$3&gt;=$J99,AB$3&lt;=$M99),1,"")</f>
        <v/>
      </c>
      <c r="AC99">
        <f>IF(AND($A99&lt;&gt;"",AC$3&gt;=$J99,AC$3&lt;=$M99),1,"")</f>
        <v/>
      </c>
      <c r="AD99">
        <f>IF(AND($A99&lt;&gt;"",AD$3&gt;=$J99,AD$3&lt;=$M99),1,"")</f>
        <v/>
      </c>
      <c r="AE99">
        <f>IF(AND($A99&lt;&gt;"",AE$3&gt;=$J99,AE$3&lt;=$M99),1,"")</f>
        <v/>
      </c>
      <c r="AF99">
        <f>IF(AND($A99&lt;&gt;"",AF$3&gt;=$J99,AF$3&lt;=$M99),1,"")</f>
        <v/>
      </c>
      <c r="AG99">
        <f>IF(AND($A99&lt;&gt;"",AG$3&gt;=$J99,AG$3&lt;=$M99),1,"")</f>
        <v/>
      </c>
      <c r="AH99">
        <f>IF(AND($A99&lt;&gt;"",AH$3&gt;=$J99,AH$3&lt;=$M99),1,"")</f>
        <v/>
      </c>
      <c r="AI99">
        <f>IF(AND($A99&lt;&gt;"",AI$3&gt;=$J99,AI$3&lt;=$M99),1,"")</f>
        <v/>
      </c>
      <c r="AJ99">
        <f>IF(AND($A99&lt;&gt;"",AJ$3&gt;=$J99,AJ$3&lt;=$M99),1,"")</f>
        <v/>
      </c>
      <c r="AK99">
        <f>IF(AND($A99&lt;&gt;"",AK$3&gt;=$J99,AK$3&lt;=$M99),1,"")</f>
        <v/>
      </c>
      <c r="AL99">
        <f>IF(AND($A99&lt;&gt;"",AL$3&gt;=$J99,AL$3&lt;=$M99),1,"")</f>
        <v/>
      </c>
      <c r="AM99">
        <f>IF(AND($A99&lt;&gt;"",AM$3&gt;=$J99,AM$3&lt;=$M99),1,"")</f>
        <v/>
      </c>
      <c r="AN99">
        <f>IF(AND($A99&lt;&gt;"",AN$3&gt;=$J99,AN$3&lt;=$M99),1,"")</f>
        <v/>
      </c>
      <c r="AO99">
        <f>IF(AND($A99&lt;&gt;"",AO$3&gt;=$J99,AO$3&lt;=$M99),1,"")</f>
        <v/>
      </c>
      <c r="AP99">
        <f>IF(AND($A99&lt;&gt;"",AP$3&gt;=$J99,AP$3&lt;=$M99),1,"")</f>
        <v/>
      </c>
      <c r="AQ99">
        <f>IF(AND($A99&lt;&gt;"",AQ$3&gt;=$J99,AQ$3&lt;=$M99),1,"")</f>
        <v/>
      </c>
      <c r="AR99">
        <f>IF(AND($A99&lt;&gt;"",AR$3&gt;=$J99,AR$3&lt;=$M99),1,"")</f>
        <v/>
      </c>
      <c r="AS99">
        <f>IF(AND($A99&lt;&gt;"",AS$3&gt;=$J99,AS$3&lt;=$M99),1,"")</f>
        <v/>
      </c>
      <c r="AT99">
        <f>IF(AND($A99&lt;&gt;"",AT$3&gt;=$J99,AT$3&lt;=$M99),1,"")</f>
        <v/>
      </c>
      <c r="AU99">
        <f>IF(AND($A99&lt;&gt;"",AU$3&gt;=$J99,AU$3&lt;=$M99),1,"")</f>
        <v/>
      </c>
      <c r="AV99">
        <f>IF(AND($A99&lt;&gt;"",AV$3&gt;=$J99,AV$3&lt;=$M99),1,"")</f>
        <v/>
      </c>
      <c r="AW99">
        <f>IF(AND($A99&lt;&gt;"",AW$3&gt;=$J99,AW$3&lt;=$M99),1,"")</f>
        <v/>
      </c>
      <c r="AX99">
        <f>IF(AND($A99&lt;&gt;"",AX$3&gt;=$J99,AX$3&lt;=$M99),1,"")</f>
        <v/>
      </c>
      <c r="AY99">
        <f>IF(AND($A99&lt;&gt;"",AY$3&gt;=$J99,AY$3&lt;=$M99),1,"")</f>
        <v/>
      </c>
      <c r="AZ99">
        <f>IF(AND($A99&lt;&gt;"",AZ$3&gt;=$J99,AZ$3&lt;=$M99),1,"")</f>
        <v/>
      </c>
      <c r="BA99">
        <f>IF(AND($A99&lt;&gt;"",BA$3&gt;=$J99,BA$3&lt;=$M99),1,"")</f>
        <v/>
      </c>
      <c r="BB99">
        <f>IF(AND($A99&lt;&gt;"",BB$3&gt;=$J99,BB$3&lt;=$M99),1,"")</f>
        <v/>
      </c>
      <c r="BC99">
        <f>IF(AND($A99&lt;&gt;"",BC$3&gt;=$J99,BC$3&lt;=$M99),1,"")</f>
        <v/>
      </c>
      <c r="BD99">
        <f>IF(AND($A99&lt;&gt;"",BD$3&gt;=$J99,BD$3&lt;=$M99),1,"")</f>
        <v/>
      </c>
      <c r="BE99">
        <f>IF(AND($A99&lt;&gt;"",BE$3&gt;=$J99,BE$3&lt;=$M99),1,"")</f>
        <v/>
      </c>
      <c r="BF99">
        <f>IF(AND($A99&lt;&gt;"",BF$3&gt;=$J99,BF$3&lt;=$M99),1,"")</f>
        <v/>
      </c>
      <c r="BG99">
        <f>IF(AND($A99&lt;&gt;"",BG$3&gt;=$J99,BG$3&lt;=$M99),1,"")</f>
        <v/>
      </c>
      <c r="BH99">
        <f>IF(AND($A99&lt;&gt;"",BH$3&gt;=$J99,BH$3&lt;=$M99),1,"")</f>
        <v/>
      </c>
      <c r="BI99">
        <f>IF(AND($A99&lt;&gt;"",BI$3&gt;=$J99,BI$3&lt;=$M99),1,"")</f>
        <v/>
      </c>
      <c r="BJ99">
        <f>IF(AND($A99&lt;&gt;"",BJ$3&gt;=$J99,BJ$3&lt;=$M99),1,"")</f>
        <v/>
      </c>
      <c r="BK99">
        <f>IF(AND($A99&lt;&gt;"",BK$3&gt;=$J99,BK$3&lt;=$M99),1,"")</f>
        <v/>
      </c>
      <c r="BL99">
        <f>IF(AND($A99&lt;&gt;"",BL$3&gt;=$J99,BL$3&lt;=$M99),1,"")</f>
        <v/>
      </c>
      <c r="BM99">
        <f>IF(AND($A99&lt;&gt;"",BM$3&gt;=$J99,BM$3&lt;=$M99),1,"")</f>
        <v/>
      </c>
      <c r="BN99">
        <f>IF(AND($A99&lt;&gt;"",BN$3&gt;=$J99,BN$3&lt;=$M99),1,"")</f>
        <v/>
      </c>
      <c r="BO99">
        <f>IF(AND($A99&lt;&gt;"",BO$3&gt;=$J99,BO$3&lt;=$M99),1,"")</f>
        <v/>
      </c>
      <c r="BP99">
        <f>IF(AND($A99&lt;&gt;"",BP$3&gt;=$J99,BP$3&lt;=$M99),1,"")</f>
        <v/>
      </c>
      <c r="BQ99">
        <f>IF(AND($A99&lt;&gt;"",BQ$3&gt;=$J99,BQ$3&lt;=$M99),1,"")</f>
        <v/>
      </c>
      <c r="BR99">
        <f>IF(AND($A99&lt;&gt;"",BR$3&gt;=$J99,BR$3&lt;=$M99),1,"")</f>
        <v/>
      </c>
      <c r="BS99">
        <f>IF(AND($A99&lt;&gt;"",BS$3&gt;=$J99,BS$3&lt;=$M99),1,"")</f>
        <v/>
      </c>
      <c r="BT99">
        <f>IF(AND($A99&lt;&gt;"",BT$3&gt;=$J99,BT$3&lt;=$M99),1,"")</f>
        <v/>
      </c>
      <c r="BU99">
        <f>IF(AND($A99&lt;&gt;"",BU$3&gt;=$J99,BU$3&lt;=$M99),1,"")</f>
        <v/>
      </c>
      <c r="BV99">
        <f>IF(AND($A99&lt;&gt;"",BV$3&gt;=$J99,BV$3&lt;=$M99),1,"")</f>
        <v/>
      </c>
    </row>
    <row r="100">
      <c r="A100">
        <f>IF(Job_Master_Ring!$A100="","",Job_Master_Ring!$A100)</f>
        <v/>
      </c>
      <c r="B100">
        <f>IF($A100="","",Job_Master_Ring!B100)</f>
        <v/>
      </c>
      <c r="C100">
        <f>IF($A100="","",Job_Master_Ring!C100)</f>
        <v/>
      </c>
      <c r="D100">
        <f>IF($A100="","",Job_Master_Ring!D100)</f>
        <v/>
      </c>
      <c r="E100">
        <f>IF($A100="","",IF($I100&lt;&gt;"",$I100,IFERROR(INDEX(Machine_List!$B$87:$B$94,MATCH(1,(Machine_List!$H$87:$H$94&lt;=IFERROR(VLOOKUP($B100,CHOOSE(MATCH($C100,Settings!$L$4:$L$10,0),OPR_BR1!$A$4:$K$18,OPR_BR2!$A$4:$K$18,OPR_CR2!$A$4:$K$18,OPR_CR3!$A$4:$K$18,OPR_CR4!$A$4:$K$18,OPR_RIM!$A$4:$K$18,OPR_BPR!$A$4:$K$18),10,0),0))*(Machine_List!$I$87:$I$94&gt;=IFERROR(VLOOKUP($B100,CHOOSE(MATCH($C100,Settings!$L$4:$L$10,0),OPR_BR1!$A$4:$K$18,OPR_BR2!$A$4:$K$18,OPR_CR2!$A$4:$K$18,OPR_CR3!$A$4:$K$18,OPR_CR4!$A$4:$K$18,OPR_RIM!$A$4:$K$18,OPR_BPR!$A$4:$K$18),11,0),9999)),0)),"NO COMPATIBLE MACHINE")))</f>
        <v/>
      </c>
      <c r="F100">
        <f>IF($E100="","",IFERROR(VLOOKUP($E100,Machine_List!$B:$G,6,0),""))</f>
        <v/>
      </c>
      <c r="G100" s="17">
        <f>IF($E100="","",IFERROR(VLOOKUP($E100,Machine_List!$B:$C,2,0),""))</f>
        <v/>
      </c>
      <c r="H100">
        <f>IF($E100="","",IFERROR(VLOOKUP($E100,Machine_List!$B:$D,3,0),""))</f>
        <v/>
      </c>
      <c r="J100" s="16">
        <f>IF($A100="","",IF($I100&lt;&gt;"",$I100,MAX(GlobalStartDate,IFERROR(LOOKUP(2,1/($E$3:INDIRECT("E"&amp;(ROW()-1))=$E100),$M$3:INDIRECT("M"&amp;(ROW()-1))),GlobalStartDate))))</f>
        <v/>
      </c>
      <c r="K100">
        <f>IF($A100="","",IFERROR(VLOOKUP(B100,CHOOSE(MATCH($C100,Settings!$L$4:$L$10,0),OPR_BR1!$A$4:$I$18,OPR_BR2!$A$4:$I$18,OPR_CR2!$A$4:$I$18,OPR_CR3!$A$4:$I$18,OPR_CR4!$A$4:$I$18,OPR_RIM!$A$4:$I$18,OPR_BPR!$A$4:$I$18),2,0),0))</f>
        <v/>
      </c>
      <c r="L100">
        <f>IF($A100="","",K100*D100)</f>
        <v/>
      </c>
      <c r="M100" s="16">
        <f>IF($A100="","",IF(AND(ISNUMBER(G100),G100&gt;=J100,G100&lt;=(J100+(L100/(IF(F100="Contract Workman",Settings!$K$5,Settings!$K$4))))),J100+(L100/(IF(F100="Contract Workman",Settings!$K$5,Settings!$K$4)))+(H100/(IF(F100="Contract Workman",Settings!$K$5,Settings!$K$4))),J100+(L100/(IF(F100="Contract Workman",Settings!$K$5,Settings!$K$4)))))</f>
        <v/>
      </c>
      <c r="N100">
        <f>IF($A100="","",IF(F100="Contract Workman",IF(AND(MOD(M100,1)&gt;=8/24,MOD(M100,1)&lt;20/24),"Shift S1","Shift S2"),IF(AND(MOD(M100,1)&gt;=7/24,MOD(M100,1)&lt;15/24),"Shift A",IF(AND(MOD(M100,1)&gt;=15/24,MOD(M100,1)&lt;23/24),"Shift B","Shift C"))))</f>
        <v/>
      </c>
      <c r="O100">
        <f>IF(B100="","",IF(IFERROR(ISNUMBER(SEARCH(TEXT(B100,"0"),VLOOKUP(E100,Machine_List!$B:$J,9,0))),FALSE),"✅ "&amp;E100,"❌ ?"))</f>
        <v/>
      </c>
      <c r="P100">
        <f>IF(AND($A100&lt;&gt;"",P$3&gt;=$J100,P$3&lt;=$M100),1,"")</f>
        <v/>
      </c>
      <c r="Q100">
        <f>IF(AND($A100&lt;&gt;"",Q$3&gt;=$J100,Q$3&lt;=$M100),1,"")</f>
        <v/>
      </c>
      <c r="R100">
        <f>IF(AND($A100&lt;&gt;"",R$3&gt;=$J100,R$3&lt;=$M100),1,"")</f>
        <v/>
      </c>
      <c r="S100">
        <f>IF(AND($A100&lt;&gt;"",S$3&gt;=$J100,S$3&lt;=$M100),1,"")</f>
        <v/>
      </c>
      <c r="T100">
        <f>IF(AND($A100&lt;&gt;"",T$3&gt;=$J100,T$3&lt;=$M100),1,"")</f>
        <v/>
      </c>
      <c r="U100">
        <f>IF(AND($A100&lt;&gt;"",U$3&gt;=$J100,U$3&lt;=$M100),1,"")</f>
        <v/>
      </c>
      <c r="V100">
        <f>IF(AND($A100&lt;&gt;"",V$3&gt;=$J100,V$3&lt;=$M100),1,"")</f>
        <v/>
      </c>
      <c r="W100">
        <f>IF(AND($A100&lt;&gt;"",W$3&gt;=$J100,W$3&lt;=$M100),1,"")</f>
        <v/>
      </c>
      <c r="X100">
        <f>IF(AND($A100&lt;&gt;"",X$3&gt;=$J100,X$3&lt;=$M100),1,"")</f>
        <v/>
      </c>
      <c r="Y100">
        <f>IF(AND($A100&lt;&gt;"",Y$3&gt;=$J100,Y$3&lt;=$M100),1,"")</f>
        <v/>
      </c>
      <c r="Z100">
        <f>IF(AND($A100&lt;&gt;"",Z$3&gt;=$J100,Z$3&lt;=$M100),1,"")</f>
        <v/>
      </c>
      <c r="AA100">
        <f>IF(AND($A100&lt;&gt;"",AA$3&gt;=$J100,AA$3&lt;=$M100),1,"")</f>
        <v/>
      </c>
      <c r="AB100">
        <f>IF(AND($A100&lt;&gt;"",AB$3&gt;=$J100,AB$3&lt;=$M100),1,"")</f>
        <v/>
      </c>
      <c r="AC100">
        <f>IF(AND($A100&lt;&gt;"",AC$3&gt;=$J100,AC$3&lt;=$M100),1,"")</f>
        <v/>
      </c>
      <c r="AD100">
        <f>IF(AND($A100&lt;&gt;"",AD$3&gt;=$J100,AD$3&lt;=$M100),1,"")</f>
        <v/>
      </c>
      <c r="AE100">
        <f>IF(AND($A100&lt;&gt;"",AE$3&gt;=$J100,AE$3&lt;=$M100),1,"")</f>
        <v/>
      </c>
      <c r="AF100">
        <f>IF(AND($A100&lt;&gt;"",AF$3&gt;=$J100,AF$3&lt;=$M100),1,"")</f>
        <v/>
      </c>
      <c r="AG100">
        <f>IF(AND($A100&lt;&gt;"",AG$3&gt;=$J100,AG$3&lt;=$M100),1,"")</f>
        <v/>
      </c>
      <c r="AH100">
        <f>IF(AND($A100&lt;&gt;"",AH$3&gt;=$J100,AH$3&lt;=$M100),1,"")</f>
        <v/>
      </c>
      <c r="AI100">
        <f>IF(AND($A100&lt;&gt;"",AI$3&gt;=$J100,AI$3&lt;=$M100),1,"")</f>
        <v/>
      </c>
      <c r="AJ100">
        <f>IF(AND($A100&lt;&gt;"",AJ$3&gt;=$J100,AJ$3&lt;=$M100),1,"")</f>
        <v/>
      </c>
      <c r="AK100">
        <f>IF(AND($A100&lt;&gt;"",AK$3&gt;=$J100,AK$3&lt;=$M100),1,"")</f>
        <v/>
      </c>
      <c r="AL100">
        <f>IF(AND($A100&lt;&gt;"",AL$3&gt;=$J100,AL$3&lt;=$M100),1,"")</f>
        <v/>
      </c>
      <c r="AM100">
        <f>IF(AND($A100&lt;&gt;"",AM$3&gt;=$J100,AM$3&lt;=$M100),1,"")</f>
        <v/>
      </c>
      <c r="AN100">
        <f>IF(AND($A100&lt;&gt;"",AN$3&gt;=$J100,AN$3&lt;=$M100),1,"")</f>
        <v/>
      </c>
      <c r="AO100">
        <f>IF(AND($A100&lt;&gt;"",AO$3&gt;=$J100,AO$3&lt;=$M100),1,"")</f>
        <v/>
      </c>
      <c r="AP100">
        <f>IF(AND($A100&lt;&gt;"",AP$3&gt;=$J100,AP$3&lt;=$M100),1,"")</f>
        <v/>
      </c>
      <c r="AQ100">
        <f>IF(AND($A100&lt;&gt;"",AQ$3&gt;=$J100,AQ$3&lt;=$M100),1,"")</f>
        <v/>
      </c>
      <c r="AR100">
        <f>IF(AND($A100&lt;&gt;"",AR$3&gt;=$J100,AR$3&lt;=$M100),1,"")</f>
        <v/>
      </c>
      <c r="AS100">
        <f>IF(AND($A100&lt;&gt;"",AS$3&gt;=$J100,AS$3&lt;=$M100),1,"")</f>
        <v/>
      </c>
      <c r="AT100">
        <f>IF(AND($A100&lt;&gt;"",AT$3&gt;=$J100,AT$3&lt;=$M100),1,"")</f>
        <v/>
      </c>
      <c r="AU100">
        <f>IF(AND($A100&lt;&gt;"",AU$3&gt;=$J100,AU$3&lt;=$M100),1,"")</f>
        <v/>
      </c>
      <c r="AV100">
        <f>IF(AND($A100&lt;&gt;"",AV$3&gt;=$J100,AV$3&lt;=$M100),1,"")</f>
        <v/>
      </c>
      <c r="AW100">
        <f>IF(AND($A100&lt;&gt;"",AW$3&gt;=$J100,AW$3&lt;=$M100),1,"")</f>
        <v/>
      </c>
      <c r="AX100">
        <f>IF(AND($A100&lt;&gt;"",AX$3&gt;=$J100,AX$3&lt;=$M100),1,"")</f>
        <v/>
      </c>
      <c r="AY100">
        <f>IF(AND($A100&lt;&gt;"",AY$3&gt;=$J100,AY$3&lt;=$M100),1,"")</f>
        <v/>
      </c>
      <c r="AZ100">
        <f>IF(AND($A100&lt;&gt;"",AZ$3&gt;=$J100,AZ$3&lt;=$M100),1,"")</f>
        <v/>
      </c>
      <c r="BA100">
        <f>IF(AND($A100&lt;&gt;"",BA$3&gt;=$J100,BA$3&lt;=$M100),1,"")</f>
        <v/>
      </c>
      <c r="BB100">
        <f>IF(AND($A100&lt;&gt;"",BB$3&gt;=$J100,BB$3&lt;=$M100),1,"")</f>
        <v/>
      </c>
      <c r="BC100">
        <f>IF(AND($A100&lt;&gt;"",BC$3&gt;=$J100,BC$3&lt;=$M100),1,"")</f>
        <v/>
      </c>
      <c r="BD100">
        <f>IF(AND($A100&lt;&gt;"",BD$3&gt;=$J100,BD$3&lt;=$M100),1,"")</f>
        <v/>
      </c>
      <c r="BE100">
        <f>IF(AND($A100&lt;&gt;"",BE$3&gt;=$J100,BE$3&lt;=$M100),1,"")</f>
        <v/>
      </c>
      <c r="BF100">
        <f>IF(AND($A100&lt;&gt;"",BF$3&gt;=$J100,BF$3&lt;=$M100),1,"")</f>
        <v/>
      </c>
      <c r="BG100">
        <f>IF(AND($A100&lt;&gt;"",BG$3&gt;=$J100,BG$3&lt;=$M100),1,"")</f>
        <v/>
      </c>
      <c r="BH100">
        <f>IF(AND($A100&lt;&gt;"",BH$3&gt;=$J100,BH$3&lt;=$M100),1,"")</f>
        <v/>
      </c>
      <c r="BI100">
        <f>IF(AND($A100&lt;&gt;"",BI$3&gt;=$J100,BI$3&lt;=$M100),1,"")</f>
        <v/>
      </c>
      <c r="BJ100">
        <f>IF(AND($A100&lt;&gt;"",BJ$3&gt;=$J100,BJ$3&lt;=$M100),1,"")</f>
        <v/>
      </c>
      <c r="BK100">
        <f>IF(AND($A100&lt;&gt;"",BK$3&gt;=$J100,BK$3&lt;=$M100),1,"")</f>
        <v/>
      </c>
      <c r="BL100">
        <f>IF(AND($A100&lt;&gt;"",BL$3&gt;=$J100,BL$3&lt;=$M100),1,"")</f>
        <v/>
      </c>
      <c r="BM100">
        <f>IF(AND($A100&lt;&gt;"",BM$3&gt;=$J100,BM$3&lt;=$M100),1,"")</f>
        <v/>
      </c>
      <c r="BN100">
        <f>IF(AND($A100&lt;&gt;"",BN$3&gt;=$J100,BN$3&lt;=$M100),1,"")</f>
        <v/>
      </c>
      <c r="BO100">
        <f>IF(AND($A100&lt;&gt;"",BO$3&gt;=$J100,BO$3&lt;=$M100),1,"")</f>
        <v/>
      </c>
      <c r="BP100">
        <f>IF(AND($A100&lt;&gt;"",BP$3&gt;=$J100,BP$3&lt;=$M100),1,"")</f>
        <v/>
      </c>
      <c r="BQ100">
        <f>IF(AND($A100&lt;&gt;"",BQ$3&gt;=$J100,BQ$3&lt;=$M100),1,"")</f>
        <v/>
      </c>
      <c r="BR100">
        <f>IF(AND($A100&lt;&gt;"",BR$3&gt;=$J100,BR$3&lt;=$M100),1,"")</f>
        <v/>
      </c>
      <c r="BS100">
        <f>IF(AND($A100&lt;&gt;"",BS$3&gt;=$J100,BS$3&lt;=$M100),1,"")</f>
        <v/>
      </c>
      <c r="BT100">
        <f>IF(AND($A100&lt;&gt;"",BT$3&gt;=$J100,BT$3&lt;=$M100),1,"")</f>
        <v/>
      </c>
      <c r="BU100">
        <f>IF(AND($A100&lt;&gt;"",BU$3&gt;=$J100,BU$3&lt;=$M100),1,"")</f>
        <v/>
      </c>
      <c r="BV100">
        <f>IF(AND($A100&lt;&gt;"",BV$3&gt;=$J100,BV$3&lt;=$M100),1,"")</f>
        <v/>
      </c>
    </row>
    <row r="101">
      <c r="A101">
        <f>IF(Job_Master_Ring!$A101="","",Job_Master_Ring!$A101)</f>
        <v/>
      </c>
      <c r="B101">
        <f>IF($A101="","",Job_Master_Ring!B101)</f>
        <v/>
      </c>
      <c r="C101">
        <f>IF($A101="","",Job_Master_Ring!C101)</f>
        <v/>
      </c>
      <c r="D101">
        <f>IF($A101="","",Job_Master_Ring!D101)</f>
        <v/>
      </c>
      <c r="E101">
        <f>IF($A101="","",IF($I101&lt;&gt;"",$I101,IFERROR(INDEX(Machine_List!$B$87:$B$94,MATCH(1,(Machine_List!$H$87:$H$94&lt;=IFERROR(VLOOKUP($B101,CHOOSE(MATCH($C101,Settings!$L$4:$L$10,0),OPR_BR1!$A$4:$K$18,OPR_BR2!$A$4:$K$18,OPR_CR2!$A$4:$K$18,OPR_CR3!$A$4:$K$18,OPR_CR4!$A$4:$K$18,OPR_RIM!$A$4:$K$18,OPR_BPR!$A$4:$K$18),10,0),0))*(Machine_List!$I$87:$I$94&gt;=IFERROR(VLOOKUP($B101,CHOOSE(MATCH($C101,Settings!$L$4:$L$10,0),OPR_BR1!$A$4:$K$18,OPR_BR2!$A$4:$K$18,OPR_CR2!$A$4:$K$18,OPR_CR3!$A$4:$K$18,OPR_CR4!$A$4:$K$18,OPR_RIM!$A$4:$K$18,OPR_BPR!$A$4:$K$18),11,0),9999)),0)),"NO COMPATIBLE MACHINE")))</f>
        <v/>
      </c>
      <c r="F101">
        <f>IF($E101="","",IFERROR(VLOOKUP($E101,Machine_List!$B:$G,6,0),""))</f>
        <v/>
      </c>
      <c r="G101" s="17">
        <f>IF($E101="","",IFERROR(VLOOKUP($E101,Machine_List!$B:$C,2,0),""))</f>
        <v/>
      </c>
      <c r="H101">
        <f>IF($E101="","",IFERROR(VLOOKUP($E101,Machine_List!$B:$D,3,0),""))</f>
        <v/>
      </c>
      <c r="J101" s="16">
        <f>IF($A101="","",IF($I101&lt;&gt;"",$I101,MAX(GlobalStartDate,IFERROR(LOOKUP(2,1/($E$3:INDIRECT("E"&amp;(ROW()-1))=$E101),$M$3:INDIRECT("M"&amp;(ROW()-1))),GlobalStartDate))))</f>
        <v/>
      </c>
      <c r="K101">
        <f>IF($A101="","",IFERROR(VLOOKUP(B101,CHOOSE(MATCH($C101,Settings!$L$4:$L$10,0),OPR_BR1!$A$4:$I$18,OPR_BR2!$A$4:$I$18,OPR_CR2!$A$4:$I$18,OPR_CR3!$A$4:$I$18,OPR_CR4!$A$4:$I$18,OPR_RIM!$A$4:$I$18,OPR_BPR!$A$4:$I$18),2,0),0))</f>
        <v/>
      </c>
      <c r="L101">
        <f>IF($A101="","",K101*D101)</f>
        <v/>
      </c>
      <c r="M101" s="16">
        <f>IF($A101="","",IF(AND(ISNUMBER(G101),G101&gt;=J101,G101&lt;=(J101+(L101/(IF(F101="Contract Workman",Settings!$K$5,Settings!$K$4))))),J101+(L101/(IF(F101="Contract Workman",Settings!$K$5,Settings!$K$4)))+(H101/(IF(F101="Contract Workman",Settings!$K$5,Settings!$K$4))),J101+(L101/(IF(F101="Contract Workman",Settings!$K$5,Settings!$K$4)))))</f>
        <v/>
      </c>
      <c r="N101">
        <f>IF($A101="","",IF(F101="Contract Workman",IF(AND(MOD(M101,1)&gt;=8/24,MOD(M101,1)&lt;20/24),"Shift S1","Shift S2"),IF(AND(MOD(M101,1)&gt;=7/24,MOD(M101,1)&lt;15/24),"Shift A",IF(AND(MOD(M101,1)&gt;=15/24,MOD(M101,1)&lt;23/24),"Shift B","Shift C"))))</f>
        <v/>
      </c>
      <c r="O101">
        <f>IF(B101="","",IF(IFERROR(ISNUMBER(SEARCH(TEXT(B101,"0"),VLOOKUP(E101,Machine_List!$B:$J,9,0))),FALSE),"✅ "&amp;E101,"❌ ?"))</f>
        <v/>
      </c>
      <c r="P101">
        <f>IF(AND($A101&lt;&gt;"",P$3&gt;=$J101,P$3&lt;=$M101),1,"")</f>
        <v/>
      </c>
      <c r="Q101">
        <f>IF(AND($A101&lt;&gt;"",Q$3&gt;=$J101,Q$3&lt;=$M101),1,"")</f>
        <v/>
      </c>
      <c r="R101">
        <f>IF(AND($A101&lt;&gt;"",R$3&gt;=$J101,R$3&lt;=$M101),1,"")</f>
        <v/>
      </c>
      <c r="S101">
        <f>IF(AND($A101&lt;&gt;"",S$3&gt;=$J101,S$3&lt;=$M101),1,"")</f>
        <v/>
      </c>
      <c r="T101">
        <f>IF(AND($A101&lt;&gt;"",T$3&gt;=$J101,T$3&lt;=$M101),1,"")</f>
        <v/>
      </c>
      <c r="U101">
        <f>IF(AND($A101&lt;&gt;"",U$3&gt;=$J101,U$3&lt;=$M101),1,"")</f>
        <v/>
      </c>
      <c r="V101">
        <f>IF(AND($A101&lt;&gt;"",V$3&gt;=$J101,V$3&lt;=$M101),1,"")</f>
        <v/>
      </c>
      <c r="W101">
        <f>IF(AND($A101&lt;&gt;"",W$3&gt;=$J101,W$3&lt;=$M101),1,"")</f>
        <v/>
      </c>
      <c r="X101">
        <f>IF(AND($A101&lt;&gt;"",X$3&gt;=$J101,X$3&lt;=$M101),1,"")</f>
        <v/>
      </c>
      <c r="Y101">
        <f>IF(AND($A101&lt;&gt;"",Y$3&gt;=$J101,Y$3&lt;=$M101),1,"")</f>
        <v/>
      </c>
      <c r="Z101">
        <f>IF(AND($A101&lt;&gt;"",Z$3&gt;=$J101,Z$3&lt;=$M101),1,"")</f>
        <v/>
      </c>
      <c r="AA101">
        <f>IF(AND($A101&lt;&gt;"",AA$3&gt;=$J101,AA$3&lt;=$M101),1,"")</f>
        <v/>
      </c>
      <c r="AB101">
        <f>IF(AND($A101&lt;&gt;"",AB$3&gt;=$J101,AB$3&lt;=$M101),1,"")</f>
        <v/>
      </c>
      <c r="AC101">
        <f>IF(AND($A101&lt;&gt;"",AC$3&gt;=$J101,AC$3&lt;=$M101),1,"")</f>
        <v/>
      </c>
      <c r="AD101">
        <f>IF(AND($A101&lt;&gt;"",AD$3&gt;=$J101,AD$3&lt;=$M101),1,"")</f>
        <v/>
      </c>
      <c r="AE101">
        <f>IF(AND($A101&lt;&gt;"",AE$3&gt;=$J101,AE$3&lt;=$M101),1,"")</f>
        <v/>
      </c>
      <c r="AF101">
        <f>IF(AND($A101&lt;&gt;"",AF$3&gt;=$J101,AF$3&lt;=$M101),1,"")</f>
        <v/>
      </c>
      <c r="AG101">
        <f>IF(AND($A101&lt;&gt;"",AG$3&gt;=$J101,AG$3&lt;=$M101),1,"")</f>
        <v/>
      </c>
      <c r="AH101">
        <f>IF(AND($A101&lt;&gt;"",AH$3&gt;=$J101,AH$3&lt;=$M101),1,"")</f>
        <v/>
      </c>
      <c r="AI101">
        <f>IF(AND($A101&lt;&gt;"",AI$3&gt;=$J101,AI$3&lt;=$M101),1,"")</f>
        <v/>
      </c>
      <c r="AJ101">
        <f>IF(AND($A101&lt;&gt;"",AJ$3&gt;=$J101,AJ$3&lt;=$M101),1,"")</f>
        <v/>
      </c>
      <c r="AK101">
        <f>IF(AND($A101&lt;&gt;"",AK$3&gt;=$J101,AK$3&lt;=$M101),1,"")</f>
        <v/>
      </c>
      <c r="AL101">
        <f>IF(AND($A101&lt;&gt;"",AL$3&gt;=$J101,AL$3&lt;=$M101),1,"")</f>
        <v/>
      </c>
      <c r="AM101">
        <f>IF(AND($A101&lt;&gt;"",AM$3&gt;=$J101,AM$3&lt;=$M101),1,"")</f>
        <v/>
      </c>
      <c r="AN101">
        <f>IF(AND($A101&lt;&gt;"",AN$3&gt;=$J101,AN$3&lt;=$M101),1,"")</f>
        <v/>
      </c>
      <c r="AO101">
        <f>IF(AND($A101&lt;&gt;"",AO$3&gt;=$J101,AO$3&lt;=$M101),1,"")</f>
        <v/>
      </c>
      <c r="AP101">
        <f>IF(AND($A101&lt;&gt;"",AP$3&gt;=$J101,AP$3&lt;=$M101),1,"")</f>
        <v/>
      </c>
      <c r="AQ101">
        <f>IF(AND($A101&lt;&gt;"",AQ$3&gt;=$J101,AQ$3&lt;=$M101),1,"")</f>
        <v/>
      </c>
      <c r="AR101">
        <f>IF(AND($A101&lt;&gt;"",AR$3&gt;=$J101,AR$3&lt;=$M101),1,"")</f>
        <v/>
      </c>
      <c r="AS101">
        <f>IF(AND($A101&lt;&gt;"",AS$3&gt;=$J101,AS$3&lt;=$M101),1,"")</f>
        <v/>
      </c>
      <c r="AT101">
        <f>IF(AND($A101&lt;&gt;"",AT$3&gt;=$J101,AT$3&lt;=$M101),1,"")</f>
        <v/>
      </c>
      <c r="AU101">
        <f>IF(AND($A101&lt;&gt;"",AU$3&gt;=$J101,AU$3&lt;=$M101),1,"")</f>
        <v/>
      </c>
      <c r="AV101">
        <f>IF(AND($A101&lt;&gt;"",AV$3&gt;=$J101,AV$3&lt;=$M101),1,"")</f>
        <v/>
      </c>
      <c r="AW101">
        <f>IF(AND($A101&lt;&gt;"",AW$3&gt;=$J101,AW$3&lt;=$M101),1,"")</f>
        <v/>
      </c>
      <c r="AX101">
        <f>IF(AND($A101&lt;&gt;"",AX$3&gt;=$J101,AX$3&lt;=$M101),1,"")</f>
        <v/>
      </c>
      <c r="AY101">
        <f>IF(AND($A101&lt;&gt;"",AY$3&gt;=$J101,AY$3&lt;=$M101),1,"")</f>
        <v/>
      </c>
      <c r="AZ101">
        <f>IF(AND($A101&lt;&gt;"",AZ$3&gt;=$J101,AZ$3&lt;=$M101),1,"")</f>
        <v/>
      </c>
      <c r="BA101">
        <f>IF(AND($A101&lt;&gt;"",BA$3&gt;=$J101,BA$3&lt;=$M101),1,"")</f>
        <v/>
      </c>
      <c r="BB101">
        <f>IF(AND($A101&lt;&gt;"",BB$3&gt;=$J101,BB$3&lt;=$M101),1,"")</f>
        <v/>
      </c>
      <c r="BC101">
        <f>IF(AND($A101&lt;&gt;"",BC$3&gt;=$J101,BC$3&lt;=$M101),1,"")</f>
        <v/>
      </c>
      <c r="BD101">
        <f>IF(AND($A101&lt;&gt;"",BD$3&gt;=$J101,BD$3&lt;=$M101),1,"")</f>
        <v/>
      </c>
      <c r="BE101">
        <f>IF(AND($A101&lt;&gt;"",BE$3&gt;=$J101,BE$3&lt;=$M101),1,"")</f>
        <v/>
      </c>
      <c r="BF101">
        <f>IF(AND($A101&lt;&gt;"",BF$3&gt;=$J101,BF$3&lt;=$M101),1,"")</f>
        <v/>
      </c>
      <c r="BG101">
        <f>IF(AND($A101&lt;&gt;"",BG$3&gt;=$J101,BG$3&lt;=$M101),1,"")</f>
        <v/>
      </c>
      <c r="BH101">
        <f>IF(AND($A101&lt;&gt;"",BH$3&gt;=$J101,BH$3&lt;=$M101),1,"")</f>
        <v/>
      </c>
      <c r="BI101">
        <f>IF(AND($A101&lt;&gt;"",BI$3&gt;=$J101,BI$3&lt;=$M101),1,"")</f>
        <v/>
      </c>
      <c r="BJ101">
        <f>IF(AND($A101&lt;&gt;"",BJ$3&gt;=$J101,BJ$3&lt;=$M101),1,"")</f>
        <v/>
      </c>
      <c r="BK101">
        <f>IF(AND($A101&lt;&gt;"",BK$3&gt;=$J101,BK$3&lt;=$M101),1,"")</f>
        <v/>
      </c>
      <c r="BL101">
        <f>IF(AND($A101&lt;&gt;"",BL$3&gt;=$J101,BL$3&lt;=$M101),1,"")</f>
        <v/>
      </c>
      <c r="BM101">
        <f>IF(AND($A101&lt;&gt;"",BM$3&gt;=$J101,BM$3&lt;=$M101),1,"")</f>
        <v/>
      </c>
      <c r="BN101">
        <f>IF(AND($A101&lt;&gt;"",BN$3&gt;=$J101,BN$3&lt;=$M101),1,"")</f>
        <v/>
      </c>
      <c r="BO101">
        <f>IF(AND($A101&lt;&gt;"",BO$3&gt;=$J101,BO$3&lt;=$M101),1,"")</f>
        <v/>
      </c>
      <c r="BP101">
        <f>IF(AND($A101&lt;&gt;"",BP$3&gt;=$J101,BP$3&lt;=$M101),1,"")</f>
        <v/>
      </c>
      <c r="BQ101">
        <f>IF(AND($A101&lt;&gt;"",BQ$3&gt;=$J101,BQ$3&lt;=$M101),1,"")</f>
        <v/>
      </c>
      <c r="BR101">
        <f>IF(AND($A101&lt;&gt;"",BR$3&gt;=$J101,BR$3&lt;=$M101),1,"")</f>
        <v/>
      </c>
      <c r="BS101">
        <f>IF(AND($A101&lt;&gt;"",BS$3&gt;=$J101,BS$3&lt;=$M101),1,"")</f>
        <v/>
      </c>
      <c r="BT101">
        <f>IF(AND($A101&lt;&gt;"",BT$3&gt;=$J101,BT$3&lt;=$M101),1,"")</f>
        <v/>
      </c>
      <c r="BU101">
        <f>IF(AND($A101&lt;&gt;"",BU$3&gt;=$J101,BU$3&lt;=$M101),1,"")</f>
        <v/>
      </c>
      <c r="BV101">
        <f>IF(AND($A101&lt;&gt;"",BV$3&gt;=$J101,BV$3&lt;=$M101),1,"")</f>
        <v/>
      </c>
    </row>
    <row r="102">
      <c r="A102">
        <f>IF(Job_Master_Ring!$A102="","",Job_Master_Ring!$A102)</f>
        <v/>
      </c>
      <c r="B102">
        <f>IF($A102="","",Job_Master_Ring!B102)</f>
        <v/>
      </c>
      <c r="C102">
        <f>IF($A102="","",Job_Master_Ring!C102)</f>
        <v/>
      </c>
      <c r="D102">
        <f>IF($A102="","",Job_Master_Ring!D102)</f>
        <v/>
      </c>
      <c r="E102">
        <f>IF($A102="","",IF($I102&lt;&gt;"",$I102,IFERROR(INDEX(Machine_List!$B$87:$B$94,MATCH(1,(Machine_List!$H$87:$H$94&lt;=IFERROR(VLOOKUP($B102,CHOOSE(MATCH($C102,Settings!$L$4:$L$10,0),OPR_BR1!$A$4:$K$18,OPR_BR2!$A$4:$K$18,OPR_CR2!$A$4:$K$18,OPR_CR3!$A$4:$K$18,OPR_CR4!$A$4:$K$18,OPR_RIM!$A$4:$K$18,OPR_BPR!$A$4:$K$18),10,0),0))*(Machine_List!$I$87:$I$94&gt;=IFERROR(VLOOKUP($B102,CHOOSE(MATCH($C102,Settings!$L$4:$L$10,0),OPR_BR1!$A$4:$K$18,OPR_BR2!$A$4:$K$18,OPR_CR2!$A$4:$K$18,OPR_CR3!$A$4:$K$18,OPR_CR4!$A$4:$K$18,OPR_RIM!$A$4:$K$18,OPR_BPR!$A$4:$K$18),11,0),9999)),0)),"NO COMPATIBLE MACHINE")))</f>
        <v/>
      </c>
      <c r="F102">
        <f>IF($E102="","",IFERROR(VLOOKUP($E102,Machine_List!$B:$G,6,0),""))</f>
        <v/>
      </c>
      <c r="G102" s="17">
        <f>IF($E102="","",IFERROR(VLOOKUP($E102,Machine_List!$B:$C,2,0),""))</f>
        <v/>
      </c>
      <c r="H102">
        <f>IF($E102="","",IFERROR(VLOOKUP($E102,Machine_List!$B:$D,3,0),""))</f>
        <v/>
      </c>
      <c r="J102" s="16">
        <f>IF($A102="","",IF($I102&lt;&gt;"",$I102,MAX(GlobalStartDate,IFERROR(LOOKUP(2,1/($E$3:INDIRECT("E"&amp;(ROW()-1))=$E102),$M$3:INDIRECT("M"&amp;(ROW()-1))),GlobalStartDate))))</f>
        <v/>
      </c>
      <c r="K102">
        <f>IF($A102="","",IFERROR(VLOOKUP(B102,CHOOSE(MATCH($C102,Settings!$L$4:$L$10,0),OPR_BR1!$A$4:$I$18,OPR_BR2!$A$4:$I$18,OPR_CR2!$A$4:$I$18,OPR_CR3!$A$4:$I$18,OPR_CR4!$A$4:$I$18,OPR_RIM!$A$4:$I$18,OPR_BPR!$A$4:$I$18),2,0),0))</f>
        <v/>
      </c>
      <c r="L102">
        <f>IF($A102="","",K102*D102)</f>
        <v/>
      </c>
      <c r="M102" s="16">
        <f>IF($A102="","",IF(AND(ISNUMBER(G102),G102&gt;=J102,G102&lt;=(J102+(L102/(IF(F102="Contract Workman",Settings!$K$5,Settings!$K$4))))),J102+(L102/(IF(F102="Contract Workman",Settings!$K$5,Settings!$K$4)))+(H102/(IF(F102="Contract Workman",Settings!$K$5,Settings!$K$4))),J102+(L102/(IF(F102="Contract Workman",Settings!$K$5,Settings!$K$4)))))</f>
        <v/>
      </c>
      <c r="N102">
        <f>IF($A102="","",IF(F102="Contract Workman",IF(AND(MOD(M102,1)&gt;=8/24,MOD(M102,1)&lt;20/24),"Shift S1","Shift S2"),IF(AND(MOD(M102,1)&gt;=7/24,MOD(M102,1)&lt;15/24),"Shift A",IF(AND(MOD(M102,1)&gt;=15/24,MOD(M102,1)&lt;23/24),"Shift B","Shift C"))))</f>
        <v/>
      </c>
      <c r="O102">
        <f>IF(B102="","",IF(IFERROR(ISNUMBER(SEARCH(TEXT(B102,"0"),VLOOKUP(E102,Machine_List!$B:$J,9,0))),FALSE),"✅ "&amp;E102,"❌ ?"))</f>
        <v/>
      </c>
      <c r="P102">
        <f>IF(AND($A102&lt;&gt;"",P$3&gt;=$J102,P$3&lt;=$M102),1,"")</f>
        <v/>
      </c>
      <c r="Q102">
        <f>IF(AND($A102&lt;&gt;"",Q$3&gt;=$J102,Q$3&lt;=$M102),1,"")</f>
        <v/>
      </c>
      <c r="R102">
        <f>IF(AND($A102&lt;&gt;"",R$3&gt;=$J102,R$3&lt;=$M102),1,"")</f>
        <v/>
      </c>
      <c r="S102">
        <f>IF(AND($A102&lt;&gt;"",S$3&gt;=$J102,S$3&lt;=$M102),1,"")</f>
        <v/>
      </c>
      <c r="T102">
        <f>IF(AND($A102&lt;&gt;"",T$3&gt;=$J102,T$3&lt;=$M102),1,"")</f>
        <v/>
      </c>
      <c r="U102">
        <f>IF(AND($A102&lt;&gt;"",U$3&gt;=$J102,U$3&lt;=$M102),1,"")</f>
        <v/>
      </c>
      <c r="V102">
        <f>IF(AND($A102&lt;&gt;"",V$3&gt;=$J102,V$3&lt;=$M102),1,"")</f>
        <v/>
      </c>
      <c r="W102">
        <f>IF(AND($A102&lt;&gt;"",W$3&gt;=$J102,W$3&lt;=$M102),1,"")</f>
        <v/>
      </c>
      <c r="X102">
        <f>IF(AND($A102&lt;&gt;"",X$3&gt;=$J102,X$3&lt;=$M102),1,"")</f>
        <v/>
      </c>
      <c r="Y102">
        <f>IF(AND($A102&lt;&gt;"",Y$3&gt;=$J102,Y$3&lt;=$M102),1,"")</f>
        <v/>
      </c>
      <c r="Z102">
        <f>IF(AND($A102&lt;&gt;"",Z$3&gt;=$J102,Z$3&lt;=$M102),1,"")</f>
        <v/>
      </c>
      <c r="AA102">
        <f>IF(AND($A102&lt;&gt;"",AA$3&gt;=$J102,AA$3&lt;=$M102),1,"")</f>
        <v/>
      </c>
      <c r="AB102">
        <f>IF(AND($A102&lt;&gt;"",AB$3&gt;=$J102,AB$3&lt;=$M102),1,"")</f>
        <v/>
      </c>
      <c r="AC102">
        <f>IF(AND($A102&lt;&gt;"",AC$3&gt;=$J102,AC$3&lt;=$M102),1,"")</f>
        <v/>
      </c>
      <c r="AD102">
        <f>IF(AND($A102&lt;&gt;"",AD$3&gt;=$J102,AD$3&lt;=$M102),1,"")</f>
        <v/>
      </c>
      <c r="AE102">
        <f>IF(AND($A102&lt;&gt;"",AE$3&gt;=$J102,AE$3&lt;=$M102),1,"")</f>
        <v/>
      </c>
      <c r="AF102">
        <f>IF(AND($A102&lt;&gt;"",AF$3&gt;=$J102,AF$3&lt;=$M102),1,"")</f>
        <v/>
      </c>
      <c r="AG102">
        <f>IF(AND($A102&lt;&gt;"",AG$3&gt;=$J102,AG$3&lt;=$M102),1,"")</f>
        <v/>
      </c>
      <c r="AH102">
        <f>IF(AND($A102&lt;&gt;"",AH$3&gt;=$J102,AH$3&lt;=$M102),1,"")</f>
        <v/>
      </c>
      <c r="AI102">
        <f>IF(AND($A102&lt;&gt;"",AI$3&gt;=$J102,AI$3&lt;=$M102),1,"")</f>
        <v/>
      </c>
      <c r="AJ102">
        <f>IF(AND($A102&lt;&gt;"",AJ$3&gt;=$J102,AJ$3&lt;=$M102),1,"")</f>
        <v/>
      </c>
      <c r="AK102">
        <f>IF(AND($A102&lt;&gt;"",AK$3&gt;=$J102,AK$3&lt;=$M102),1,"")</f>
        <v/>
      </c>
      <c r="AL102">
        <f>IF(AND($A102&lt;&gt;"",AL$3&gt;=$J102,AL$3&lt;=$M102),1,"")</f>
        <v/>
      </c>
      <c r="AM102">
        <f>IF(AND($A102&lt;&gt;"",AM$3&gt;=$J102,AM$3&lt;=$M102),1,"")</f>
        <v/>
      </c>
      <c r="AN102">
        <f>IF(AND($A102&lt;&gt;"",AN$3&gt;=$J102,AN$3&lt;=$M102),1,"")</f>
        <v/>
      </c>
      <c r="AO102">
        <f>IF(AND($A102&lt;&gt;"",AO$3&gt;=$J102,AO$3&lt;=$M102),1,"")</f>
        <v/>
      </c>
      <c r="AP102">
        <f>IF(AND($A102&lt;&gt;"",AP$3&gt;=$J102,AP$3&lt;=$M102),1,"")</f>
        <v/>
      </c>
      <c r="AQ102">
        <f>IF(AND($A102&lt;&gt;"",AQ$3&gt;=$J102,AQ$3&lt;=$M102),1,"")</f>
        <v/>
      </c>
      <c r="AR102">
        <f>IF(AND($A102&lt;&gt;"",AR$3&gt;=$J102,AR$3&lt;=$M102),1,"")</f>
        <v/>
      </c>
      <c r="AS102">
        <f>IF(AND($A102&lt;&gt;"",AS$3&gt;=$J102,AS$3&lt;=$M102),1,"")</f>
        <v/>
      </c>
      <c r="AT102">
        <f>IF(AND($A102&lt;&gt;"",AT$3&gt;=$J102,AT$3&lt;=$M102),1,"")</f>
        <v/>
      </c>
      <c r="AU102">
        <f>IF(AND($A102&lt;&gt;"",AU$3&gt;=$J102,AU$3&lt;=$M102),1,"")</f>
        <v/>
      </c>
      <c r="AV102">
        <f>IF(AND($A102&lt;&gt;"",AV$3&gt;=$J102,AV$3&lt;=$M102),1,"")</f>
        <v/>
      </c>
      <c r="AW102">
        <f>IF(AND($A102&lt;&gt;"",AW$3&gt;=$J102,AW$3&lt;=$M102),1,"")</f>
        <v/>
      </c>
      <c r="AX102">
        <f>IF(AND($A102&lt;&gt;"",AX$3&gt;=$J102,AX$3&lt;=$M102),1,"")</f>
        <v/>
      </c>
      <c r="AY102">
        <f>IF(AND($A102&lt;&gt;"",AY$3&gt;=$J102,AY$3&lt;=$M102),1,"")</f>
        <v/>
      </c>
      <c r="AZ102">
        <f>IF(AND($A102&lt;&gt;"",AZ$3&gt;=$J102,AZ$3&lt;=$M102),1,"")</f>
        <v/>
      </c>
      <c r="BA102">
        <f>IF(AND($A102&lt;&gt;"",BA$3&gt;=$J102,BA$3&lt;=$M102),1,"")</f>
        <v/>
      </c>
      <c r="BB102">
        <f>IF(AND($A102&lt;&gt;"",BB$3&gt;=$J102,BB$3&lt;=$M102),1,"")</f>
        <v/>
      </c>
      <c r="BC102">
        <f>IF(AND($A102&lt;&gt;"",BC$3&gt;=$J102,BC$3&lt;=$M102),1,"")</f>
        <v/>
      </c>
      <c r="BD102">
        <f>IF(AND($A102&lt;&gt;"",BD$3&gt;=$J102,BD$3&lt;=$M102),1,"")</f>
        <v/>
      </c>
      <c r="BE102">
        <f>IF(AND($A102&lt;&gt;"",BE$3&gt;=$J102,BE$3&lt;=$M102),1,"")</f>
        <v/>
      </c>
      <c r="BF102">
        <f>IF(AND($A102&lt;&gt;"",BF$3&gt;=$J102,BF$3&lt;=$M102),1,"")</f>
        <v/>
      </c>
      <c r="BG102">
        <f>IF(AND($A102&lt;&gt;"",BG$3&gt;=$J102,BG$3&lt;=$M102),1,"")</f>
        <v/>
      </c>
      <c r="BH102">
        <f>IF(AND($A102&lt;&gt;"",BH$3&gt;=$J102,BH$3&lt;=$M102),1,"")</f>
        <v/>
      </c>
      <c r="BI102">
        <f>IF(AND($A102&lt;&gt;"",BI$3&gt;=$J102,BI$3&lt;=$M102),1,"")</f>
        <v/>
      </c>
      <c r="BJ102">
        <f>IF(AND($A102&lt;&gt;"",BJ$3&gt;=$J102,BJ$3&lt;=$M102),1,"")</f>
        <v/>
      </c>
      <c r="BK102">
        <f>IF(AND($A102&lt;&gt;"",BK$3&gt;=$J102,BK$3&lt;=$M102),1,"")</f>
        <v/>
      </c>
      <c r="BL102">
        <f>IF(AND($A102&lt;&gt;"",BL$3&gt;=$J102,BL$3&lt;=$M102),1,"")</f>
        <v/>
      </c>
      <c r="BM102">
        <f>IF(AND($A102&lt;&gt;"",BM$3&gt;=$J102,BM$3&lt;=$M102),1,"")</f>
        <v/>
      </c>
      <c r="BN102">
        <f>IF(AND($A102&lt;&gt;"",BN$3&gt;=$J102,BN$3&lt;=$M102),1,"")</f>
        <v/>
      </c>
      <c r="BO102">
        <f>IF(AND($A102&lt;&gt;"",BO$3&gt;=$J102,BO$3&lt;=$M102),1,"")</f>
        <v/>
      </c>
      <c r="BP102">
        <f>IF(AND($A102&lt;&gt;"",BP$3&gt;=$J102,BP$3&lt;=$M102),1,"")</f>
        <v/>
      </c>
      <c r="BQ102">
        <f>IF(AND($A102&lt;&gt;"",BQ$3&gt;=$J102,BQ$3&lt;=$M102),1,"")</f>
        <v/>
      </c>
      <c r="BR102">
        <f>IF(AND($A102&lt;&gt;"",BR$3&gt;=$J102,BR$3&lt;=$M102),1,"")</f>
        <v/>
      </c>
      <c r="BS102">
        <f>IF(AND($A102&lt;&gt;"",BS$3&gt;=$J102,BS$3&lt;=$M102),1,"")</f>
        <v/>
      </c>
      <c r="BT102">
        <f>IF(AND($A102&lt;&gt;"",BT$3&gt;=$J102,BT$3&lt;=$M102),1,"")</f>
        <v/>
      </c>
      <c r="BU102">
        <f>IF(AND($A102&lt;&gt;"",BU$3&gt;=$J102,BU$3&lt;=$M102),1,"")</f>
        <v/>
      </c>
      <c r="BV102">
        <f>IF(AND($A102&lt;&gt;"",BV$3&gt;=$J102,BV$3&lt;=$M102),1,"")</f>
        <v/>
      </c>
    </row>
    <row r="103">
      <c r="A103">
        <f>IF(Job_Master_Ring!$A103="","",Job_Master_Ring!$A103)</f>
        <v/>
      </c>
      <c r="B103">
        <f>IF($A103="","",Job_Master_Ring!B103)</f>
        <v/>
      </c>
      <c r="C103">
        <f>IF($A103="","",Job_Master_Ring!C103)</f>
        <v/>
      </c>
      <c r="D103">
        <f>IF($A103="","",Job_Master_Ring!D103)</f>
        <v/>
      </c>
      <c r="E103">
        <f>IF($A103="","",IF($I103&lt;&gt;"",$I103,IFERROR(INDEX(Machine_List!$B$87:$B$94,MATCH(1,(Machine_List!$H$87:$H$94&lt;=IFERROR(VLOOKUP($B103,CHOOSE(MATCH($C103,Settings!$L$4:$L$10,0),OPR_BR1!$A$4:$K$18,OPR_BR2!$A$4:$K$18,OPR_CR2!$A$4:$K$18,OPR_CR3!$A$4:$K$18,OPR_CR4!$A$4:$K$18,OPR_RIM!$A$4:$K$18,OPR_BPR!$A$4:$K$18),10,0),0))*(Machine_List!$I$87:$I$94&gt;=IFERROR(VLOOKUP($B103,CHOOSE(MATCH($C103,Settings!$L$4:$L$10,0),OPR_BR1!$A$4:$K$18,OPR_BR2!$A$4:$K$18,OPR_CR2!$A$4:$K$18,OPR_CR3!$A$4:$K$18,OPR_CR4!$A$4:$K$18,OPR_RIM!$A$4:$K$18,OPR_BPR!$A$4:$K$18),11,0),9999)),0)),"NO COMPATIBLE MACHINE")))</f>
        <v/>
      </c>
      <c r="F103">
        <f>IF($E103="","",IFERROR(VLOOKUP($E103,Machine_List!$B:$G,6,0),""))</f>
        <v/>
      </c>
      <c r="G103" s="17">
        <f>IF($E103="","",IFERROR(VLOOKUP($E103,Machine_List!$B:$C,2,0),""))</f>
        <v/>
      </c>
      <c r="H103">
        <f>IF($E103="","",IFERROR(VLOOKUP($E103,Machine_List!$B:$D,3,0),""))</f>
        <v/>
      </c>
      <c r="J103" s="16">
        <f>IF($A103="","",IF($I103&lt;&gt;"",$I103,MAX(GlobalStartDate,IFERROR(LOOKUP(2,1/($E$3:INDIRECT("E"&amp;(ROW()-1))=$E103),$M$3:INDIRECT("M"&amp;(ROW()-1))),GlobalStartDate))))</f>
        <v/>
      </c>
      <c r="K103">
        <f>IF($A103="","",IFERROR(VLOOKUP(B103,CHOOSE(MATCH($C103,Settings!$L$4:$L$10,0),OPR_BR1!$A$4:$I$18,OPR_BR2!$A$4:$I$18,OPR_CR2!$A$4:$I$18,OPR_CR3!$A$4:$I$18,OPR_CR4!$A$4:$I$18,OPR_RIM!$A$4:$I$18,OPR_BPR!$A$4:$I$18),2,0),0))</f>
        <v/>
      </c>
      <c r="L103">
        <f>IF($A103="","",K103*D103)</f>
        <v/>
      </c>
      <c r="M103" s="16">
        <f>IF($A103="","",IF(AND(ISNUMBER(G103),G103&gt;=J103,G103&lt;=(J103+(L103/(IF(F103="Contract Workman",Settings!$K$5,Settings!$K$4))))),J103+(L103/(IF(F103="Contract Workman",Settings!$K$5,Settings!$K$4)))+(H103/(IF(F103="Contract Workman",Settings!$K$5,Settings!$K$4))),J103+(L103/(IF(F103="Contract Workman",Settings!$K$5,Settings!$K$4)))))</f>
        <v/>
      </c>
      <c r="N103">
        <f>IF($A103="","",IF(F103="Contract Workman",IF(AND(MOD(M103,1)&gt;=8/24,MOD(M103,1)&lt;20/24),"Shift S1","Shift S2"),IF(AND(MOD(M103,1)&gt;=7/24,MOD(M103,1)&lt;15/24),"Shift A",IF(AND(MOD(M103,1)&gt;=15/24,MOD(M103,1)&lt;23/24),"Shift B","Shift C"))))</f>
        <v/>
      </c>
      <c r="O103">
        <f>IF(B103="","",IF(IFERROR(ISNUMBER(SEARCH(TEXT(B103,"0"),VLOOKUP(E103,Machine_List!$B:$J,9,0))),FALSE),"✅ "&amp;E103,"❌ ?"))</f>
        <v/>
      </c>
      <c r="P103">
        <f>IF(AND($A103&lt;&gt;"",P$3&gt;=$J103,P$3&lt;=$M103),1,"")</f>
        <v/>
      </c>
      <c r="Q103">
        <f>IF(AND($A103&lt;&gt;"",Q$3&gt;=$J103,Q$3&lt;=$M103),1,"")</f>
        <v/>
      </c>
      <c r="R103">
        <f>IF(AND($A103&lt;&gt;"",R$3&gt;=$J103,R$3&lt;=$M103),1,"")</f>
        <v/>
      </c>
      <c r="S103">
        <f>IF(AND($A103&lt;&gt;"",S$3&gt;=$J103,S$3&lt;=$M103),1,"")</f>
        <v/>
      </c>
      <c r="T103">
        <f>IF(AND($A103&lt;&gt;"",T$3&gt;=$J103,T$3&lt;=$M103),1,"")</f>
        <v/>
      </c>
      <c r="U103">
        <f>IF(AND($A103&lt;&gt;"",U$3&gt;=$J103,U$3&lt;=$M103),1,"")</f>
        <v/>
      </c>
      <c r="V103">
        <f>IF(AND($A103&lt;&gt;"",V$3&gt;=$J103,V$3&lt;=$M103),1,"")</f>
        <v/>
      </c>
      <c r="W103">
        <f>IF(AND($A103&lt;&gt;"",W$3&gt;=$J103,W$3&lt;=$M103),1,"")</f>
        <v/>
      </c>
      <c r="X103">
        <f>IF(AND($A103&lt;&gt;"",X$3&gt;=$J103,X$3&lt;=$M103),1,"")</f>
        <v/>
      </c>
      <c r="Y103">
        <f>IF(AND($A103&lt;&gt;"",Y$3&gt;=$J103,Y$3&lt;=$M103),1,"")</f>
        <v/>
      </c>
      <c r="Z103">
        <f>IF(AND($A103&lt;&gt;"",Z$3&gt;=$J103,Z$3&lt;=$M103),1,"")</f>
        <v/>
      </c>
      <c r="AA103">
        <f>IF(AND($A103&lt;&gt;"",AA$3&gt;=$J103,AA$3&lt;=$M103),1,"")</f>
        <v/>
      </c>
      <c r="AB103">
        <f>IF(AND($A103&lt;&gt;"",AB$3&gt;=$J103,AB$3&lt;=$M103),1,"")</f>
        <v/>
      </c>
      <c r="AC103">
        <f>IF(AND($A103&lt;&gt;"",AC$3&gt;=$J103,AC$3&lt;=$M103),1,"")</f>
        <v/>
      </c>
      <c r="AD103">
        <f>IF(AND($A103&lt;&gt;"",AD$3&gt;=$J103,AD$3&lt;=$M103),1,"")</f>
        <v/>
      </c>
      <c r="AE103">
        <f>IF(AND($A103&lt;&gt;"",AE$3&gt;=$J103,AE$3&lt;=$M103),1,"")</f>
        <v/>
      </c>
      <c r="AF103">
        <f>IF(AND($A103&lt;&gt;"",AF$3&gt;=$J103,AF$3&lt;=$M103),1,"")</f>
        <v/>
      </c>
      <c r="AG103">
        <f>IF(AND($A103&lt;&gt;"",AG$3&gt;=$J103,AG$3&lt;=$M103),1,"")</f>
        <v/>
      </c>
      <c r="AH103">
        <f>IF(AND($A103&lt;&gt;"",AH$3&gt;=$J103,AH$3&lt;=$M103),1,"")</f>
        <v/>
      </c>
      <c r="AI103">
        <f>IF(AND($A103&lt;&gt;"",AI$3&gt;=$J103,AI$3&lt;=$M103),1,"")</f>
        <v/>
      </c>
      <c r="AJ103">
        <f>IF(AND($A103&lt;&gt;"",AJ$3&gt;=$J103,AJ$3&lt;=$M103),1,"")</f>
        <v/>
      </c>
      <c r="AK103">
        <f>IF(AND($A103&lt;&gt;"",AK$3&gt;=$J103,AK$3&lt;=$M103),1,"")</f>
        <v/>
      </c>
      <c r="AL103">
        <f>IF(AND($A103&lt;&gt;"",AL$3&gt;=$J103,AL$3&lt;=$M103),1,"")</f>
        <v/>
      </c>
      <c r="AM103">
        <f>IF(AND($A103&lt;&gt;"",AM$3&gt;=$J103,AM$3&lt;=$M103),1,"")</f>
        <v/>
      </c>
      <c r="AN103">
        <f>IF(AND($A103&lt;&gt;"",AN$3&gt;=$J103,AN$3&lt;=$M103),1,"")</f>
        <v/>
      </c>
      <c r="AO103">
        <f>IF(AND($A103&lt;&gt;"",AO$3&gt;=$J103,AO$3&lt;=$M103),1,"")</f>
        <v/>
      </c>
      <c r="AP103">
        <f>IF(AND($A103&lt;&gt;"",AP$3&gt;=$J103,AP$3&lt;=$M103),1,"")</f>
        <v/>
      </c>
      <c r="AQ103">
        <f>IF(AND($A103&lt;&gt;"",AQ$3&gt;=$J103,AQ$3&lt;=$M103),1,"")</f>
        <v/>
      </c>
      <c r="AR103">
        <f>IF(AND($A103&lt;&gt;"",AR$3&gt;=$J103,AR$3&lt;=$M103),1,"")</f>
        <v/>
      </c>
      <c r="AS103">
        <f>IF(AND($A103&lt;&gt;"",AS$3&gt;=$J103,AS$3&lt;=$M103),1,"")</f>
        <v/>
      </c>
      <c r="AT103">
        <f>IF(AND($A103&lt;&gt;"",AT$3&gt;=$J103,AT$3&lt;=$M103),1,"")</f>
        <v/>
      </c>
      <c r="AU103">
        <f>IF(AND($A103&lt;&gt;"",AU$3&gt;=$J103,AU$3&lt;=$M103),1,"")</f>
        <v/>
      </c>
      <c r="AV103">
        <f>IF(AND($A103&lt;&gt;"",AV$3&gt;=$J103,AV$3&lt;=$M103),1,"")</f>
        <v/>
      </c>
      <c r="AW103">
        <f>IF(AND($A103&lt;&gt;"",AW$3&gt;=$J103,AW$3&lt;=$M103),1,"")</f>
        <v/>
      </c>
      <c r="AX103">
        <f>IF(AND($A103&lt;&gt;"",AX$3&gt;=$J103,AX$3&lt;=$M103),1,"")</f>
        <v/>
      </c>
      <c r="AY103">
        <f>IF(AND($A103&lt;&gt;"",AY$3&gt;=$J103,AY$3&lt;=$M103),1,"")</f>
        <v/>
      </c>
      <c r="AZ103">
        <f>IF(AND($A103&lt;&gt;"",AZ$3&gt;=$J103,AZ$3&lt;=$M103),1,"")</f>
        <v/>
      </c>
      <c r="BA103">
        <f>IF(AND($A103&lt;&gt;"",BA$3&gt;=$J103,BA$3&lt;=$M103),1,"")</f>
        <v/>
      </c>
      <c r="BB103">
        <f>IF(AND($A103&lt;&gt;"",BB$3&gt;=$J103,BB$3&lt;=$M103),1,"")</f>
        <v/>
      </c>
      <c r="BC103">
        <f>IF(AND($A103&lt;&gt;"",BC$3&gt;=$J103,BC$3&lt;=$M103),1,"")</f>
        <v/>
      </c>
      <c r="BD103">
        <f>IF(AND($A103&lt;&gt;"",BD$3&gt;=$J103,BD$3&lt;=$M103),1,"")</f>
        <v/>
      </c>
      <c r="BE103">
        <f>IF(AND($A103&lt;&gt;"",BE$3&gt;=$J103,BE$3&lt;=$M103),1,"")</f>
        <v/>
      </c>
      <c r="BF103">
        <f>IF(AND($A103&lt;&gt;"",BF$3&gt;=$J103,BF$3&lt;=$M103),1,"")</f>
        <v/>
      </c>
      <c r="BG103">
        <f>IF(AND($A103&lt;&gt;"",BG$3&gt;=$J103,BG$3&lt;=$M103),1,"")</f>
        <v/>
      </c>
      <c r="BH103">
        <f>IF(AND($A103&lt;&gt;"",BH$3&gt;=$J103,BH$3&lt;=$M103),1,"")</f>
        <v/>
      </c>
      <c r="BI103">
        <f>IF(AND($A103&lt;&gt;"",BI$3&gt;=$J103,BI$3&lt;=$M103),1,"")</f>
        <v/>
      </c>
      <c r="BJ103">
        <f>IF(AND($A103&lt;&gt;"",BJ$3&gt;=$J103,BJ$3&lt;=$M103),1,"")</f>
        <v/>
      </c>
      <c r="BK103">
        <f>IF(AND($A103&lt;&gt;"",BK$3&gt;=$J103,BK$3&lt;=$M103),1,"")</f>
        <v/>
      </c>
      <c r="BL103">
        <f>IF(AND($A103&lt;&gt;"",BL$3&gt;=$J103,BL$3&lt;=$M103),1,"")</f>
        <v/>
      </c>
      <c r="BM103">
        <f>IF(AND($A103&lt;&gt;"",BM$3&gt;=$J103,BM$3&lt;=$M103),1,"")</f>
        <v/>
      </c>
      <c r="BN103">
        <f>IF(AND($A103&lt;&gt;"",BN$3&gt;=$J103,BN$3&lt;=$M103),1,"")</f>
        <v/>
      </c>
      <c r="BO103">
        <f>IF(AND($A103&lt;&gt;"",BO$3&gt;=$J103,BO$3&lt;=$M103),1,"")</f>
        <v/>
      </c>
      <c r="BP103">
        <f>IF(AND($A103&lt;&gt;"",BP$3&gt;=$J103,BP$3&lt;=$M103),1,"")</f>
        <v/>
      </c>
      <c r="BQ103">
        <f>IF(AND($A103&lt;&gt;"",BQ$3&gt;=$J103,BQ$3&lt;=$M103),1,"")</f>
        <v/>
      </c>
      <c r="BR103">
        <f>IF(AND($A103&lt;&gt;"",BR$3&gt;=$J103,BR$3&lt;=$M103),1,"")</f>
        <v/>
      </c>
      <c r="BS103">
        <f>IF(AND($A103&lt;&gt;"",BS$3&gt;=$J103,BS$3&lt;=$M103),1,"")</f>
        <v/>
      </c>
      <c r="BT103">
        <f>IF(AND($A103&lt;&gt;"",BT$3&gt;=$J103,BT$3&lt;=$M103),1,"")</f>
        <v/>
      </c>
      <c r="BU103">
        <f>IF(AND($A103&lt;&gt;"",BU$3&gt;=$J103,BU$3&lt;=$M103),1,"")</f>
        <v/>
      </c>
      <c r="BV103">
        <f>IF(AND($A103&lt;&gt;"",BV$3&gt;=$J103,BV$3&lt;=$M103),1,"")</f>
        <v/>
      </c>
    </row>
  </sheetData>
  <conditionalFormatting sqref="A4:A103">
    <cfRule type="expression" priority="1" dxfId="0">
      <formula>VLOOKUP($A4,Job_Master_Ring!$A:$G,7,0)="High"</formula>
    </cfRule>
    <cfRule type="expression" priority="2" dxfId="1">
      <formula>VLOOKUP($A4,Job_Master_Ring!$A:$G,7,0)="Medium"</formula>
    </cfRule>
    <cfRule type="expression" priority="3" dxfId="2">
      <formula>VLOOKUP($A4,Job_Master_Ring!$A:$G,7,0)="Low"</formula>
    </cfRule>
  </conditionalFormatting>
  <conditionalFormatting sqref="P4:BV103">
    <cfRule type="expression" priority="4" dxfId="7">
      <formula>P4=1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G103"/>
  <sheetViews>
    <sheetView workbookViewId="0">
      <pane xSplit="15" ySplit="3" topLeftCell="P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8" customWidth="1" min="3" max="3"/>
    <col width="8" customWidth="1" min="4" max="4"/>
    <col width="16" customWidth="1" min="5" max="5"/>
    <col width="14" customWidth="1" min="6" max="6"/>
    <col width="12" customWidth="1" min="7" max="7"/>
    <col width="8" customWidth="1" min="8" max="8"/>
    <col width="10" customWidth="1" min="9" max="9"/>
    <col width="14" customWidth="1" min="10" max="10"/>
    <col width="8" customWidth="1" min="11" max="11"/>
    <col width="10" customWidth="1" min="12" max="12"/>
    <col width="14" customWidth="1" min="13" max="13"/>
    <col width="12" customWidth="1" min="14" max="14"/>
    <col width="14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  <col width="3" customWidth="1" min="67" max="67"/>
    <col width="3" customWidth="1" min="68" max="68"/>
    <col width="3" customWidth="1" min="69" max="69"/>
    <col width="3" customWidth="1" min="70" max="70"/>
    <col width="3" customWidth="1" min="71" max="71"/>
    <col width="3" customWidth="1" min="72" max="72"/>
    <col width="3" customWidth="1" min="73" max="73"/>
    <col width="3" customWidth="1" min="74" max="74"/>
  </cols>
  <sheetData>
    <row r="1">
      <c r="BX1" s="24" t="inlineStr">
        <is>
          <t>ENG — Monthly Load vs Capacity</t>
        </is>
      </c>
    </row>
    <row r="2">
      <c r="BX2" s="25" t="inlineStr">
        <is>
          <t>Apr-26</t>
        </is>
      </c>
      <c r="BY2" s="25" t="inlineStr">
        <is>
          <t>May-26</t>
        </is>
      </c>
      <c r="BZ2" s="25" t="inlineStr">
        <is>
          <t>Jun-26</t>
        </is>
      </c>
      <c r="CA2" s="25" t="inlineStr">
        <is>
          <t>Jul-26</t>
        </is>
      </c>
      <c r="CB2" s="25" t="inlineStr">
        <is>
          <t>Aug-26</t>
        </is>
      </c>
      <c r="CC2" s="25" t="inlineStr">
        <is>
          <t>Sep-26</t>
        </is>
      </c>
      <c r="CD2" s="25" t="inlineStr">
        <is>
          <t>Oct-26</t>
        </is>
      </c>
      <c r="CE2" s="25" t="inlineStr">
        <is>
          <t>Nov-26</t>
        </is>
      </c>
      <c r="CF2" s="25" t="inlineStr">
        <is>
          <t>Dec-26</t>
        </is>
      </c>
      <c r="CG2" s="25" t="inlineStr">
        <is>
          <t>Jan-27</t>
        </is>
      </c>
    </row>
    <row r="3" ht="40" customHeight="1">
      <c r="A3" s="5" t="inlineStr">
        <is>
          <t>Job ID</t>
        </is>
      </c>
      <c r="B3" s="5" t="inlineStr">
        <is>
          <t>Size</t>
        </is>
      </c>
      <c r="C3" s="4" t="inlineStr">
        <is>
          <t>Type</t>
        </is>
      </c>
      <c r="D3" s="5" t="inlineStr">
        <is>
          <t>Parts</t>
        </is>
      </c>
      <c r="E3" s="22" t="inlineStr">
        <is>
          <t>Allocated Machine</t>
        </is>
      </c>
      <c r="F3" s="6" t="inlineStr">
        <is>
          <t>Worker</t>
        </is>
      </c>
      <c r="G3" s="22" t="inlineStr">
        <is>
          <t>PM Date</t>
        </is>
      </c>
      <c r="H3" s="22" t="inlineStr">
        <is>
          <t>PM Hrs</t>
        </is>
      </c>
      <c r="I3" s="4" t="inlineStr">
        <is>
          <t>Override</t>
        </is>
      </c>
      <c r="J3" s="5" t="inlineStr">
        <is>
          <t>Start Date</t>
        </is>
      </c>
      <c r="K3" s="5" t="inlineStr">
        <is>
          <t>Unit CT</t>
        </is>
      </c>
      <c r="L3" s="5" t="inlineStr">
        <is>
          <t>Total Load</t>
        </is>
      </c>
      <c r="M3" s="5" t="inlineStr">
        <is>
          <t>End Date</t>
        </is>
      </c>
      <c r="N3" s="8" t="inlineStr">
        <is>
          <t>Shift | Time</t>
        </is>
      </c>
      <c r="O3" s="23" t="inlineStr">
        <is>
          <t>Machine Helper
(Pick Compatible)</t>
        </is>
      </c>
      <c r="P3" s="15" t="n">
        <v>46113</v>
      </c>
      <c r="Q3" s="15" t="n">
        <v>46114</v>
      </c>
      <c r="R3" s="15" t="n">
        <v>46115</v>
      </c>
      <c r="S3" s="15" t="n">
        <v>46116</v>
      </c>
      <c r="T3" s="15" t="n">
        <v>46118</v>
      </c>
      <c r="U3" s="15" t="n">
        <v>46119</v>
      </c>
      <c r="V3" s="15" t="n">
        <v>46120</v>
      </c>
      <c r="W3" s="15" t="n">
        <v>46121</v>
      </c>
      <c r="X3" s="15" t="n">
        <v>46122</v>
      </c>
      <c r="Y3" s="15" t="n">
        <v>46123</v>
      </c>
      <c r="Z3" s="15" t="n">
        <v>46124</v>
      </c>
      <c r="AA3" s="15" t="n">
        <v>46125</v>
      </c>
      <c r="AB3" s="15" t="n">
        <v>46126</v>
      </c>
      <c r="AC3" s="15" t="n">
        <v>46127</v>
      </c>
      <c r="AD3" s="15" t="n">
        <v>46128</v>
      </c>
      <c r="AE3" s="15" t="n">
        <v>46129</v>
      </c>
      <c r="AF3" s="15" t="n">
        <v>46130</v>
      </c>
      <c r="AG3" s="15" t="n">
        <v>46131</v>
      </c>
      <c r="AH3" s="15" t="n">
        <v>46132</v>
      </c>
      <c r="AI3" s="15" t="n">
        <v>46133</v>
      </c>
      <c r="AJ3" s="15" t="n">
        <v>46134</v>
      </c>
      <c r="AK3" s="15" t="n">
        <v>46135</v>
      </c>
      <c r="AL3" s="15" t="n">
        <v>46136</v>
      </c>
      <c r="AM3" s="15" t="n">
        <v>46137</v>
      </c>
      <c r="AN3" s="15" t="n">
        <v>46138</v>
      </c>
      <c r="AO3" s="15" t="n">
        <v>46139</v>
      </c>
      <c r="AP3" s="15" t="n">
        <v>46140</v>
      </c>
      <c r="AQ3" s="15" t="n">
        <v>46141</v>
      </c>
      <c r="AR3" s="15" t="n">
        <v>46142</v>
      </c>
      <c r="AS3" s="15" t="n">
        <v>46143</v>
      </c>
      <c r="AT3" s="15" t="n">
        <v>46144</v>
      </c>
      <c r="AU3" s="15" t="n">
        <v>46145</v>
      </c>
      <c r="AV3" s="15" t="n">
        <v>46146</v>
      </c>
      <c r="AW3" s="15" t="n">
        <v>46147</v>
      </c>
      <c r="AX3" s="15" t="n">
        <v>46148</v>
      </c>
      <c r="AY3" s="15" t="n">
        <v>46149</v>
      </c>
      <c r="AZ3" s="15" t="n">
        <v>46150</v>
      </c>
      <c r="BA3" s="15" t="n">
        <v>46151</v>
      </c>
      <c r="BB3" s="15" t="n">
        <v>46152</v>
      </c>
      <c r="BC3" s="15" t="n">
        <v>46153</v>
      </c>
      <c r="BD3" s="15" t="n">
        <v>46154</v>
      </c>
      <c r="BE3" s="15" t="n">
        <v>46155</v>
      </c>
      <c r="BF3" s="15" t="n">
        <v>46156</v>
      </c>
      <c r="BG3" s="15" t="n">
        <v>46157</v>
      </c>
      <c r="BH3" s="15" t="n">
        <v>46158</v>
      </c>
      <c r="BI3" s="15" t="n">
        <v>46159</v>
      </c>
      <c r="BJ3" s="15" t="n">
        <v>46160</v>
      </c>
      <c r="BK3" s="15" t="n">
        <v>46161</v>
      </c>
      <c r="BL3" s="15" t="n">
        <v>46162</v>
      </c>
      <c r="BM3" s="15" t="n">
        <v>46163</v>
      </c>
      <c r="BN3" s="15" t="n">
        <v>46164</v>
      </c>
      <c r="BO3" s="15" t="n">
        <v>46165</v>
      </c>
      <c r="BP3" s="15" t="n">
        <v>46166</v>
      </c>
      <c r="BQ3" s="15" t="n">
        <v>46167</v>
      </c>
      <c r="BR3" s="15" t="n">
        <v>46168</v>
      </c>
      <c r="BS3" s="15" t="n">
        <v>46169</v>
      </c>
      <c r="BT3" s="15" t="n">
        <v>46170</v>
      </c>
      <c r="BU3" s="15" t="n">
        <v>46171</v>
      </c>
      <c r="BV3" s="15" t="n">
        <v>46172</v>
      </c>
      <c r="BW3" s="26" t="inlineStr">
        <is>
          <t>Load (Hrs)</t>
        </is>
      </c>
      <c r="BX3" s="27" t="n">
        <v>0</v>
      </c>
      <c r="BY3" s="27" t="n">
        <v>0</v>
      </c>
      <c r="BZ3" s="27" t="n">
        <v>0</v>
      </c>
      <c r="CA3" s="27" t="n">
        <v>0</v>
      </c>
      <c r="CB3" s="27" t="n">
        <v>0</v>
      </c>
      <c r="CC3" s="27" t="n">
        <v>0</v>
      </c>
      <c r="CD3" s="27" t="n">
        <v>0</v>
      </c>
      <c r="CE3" s="27" t="n">
        <v>0</v>
      </c>
      <c r="CF3" s="27" t="n">
        <v>0</v>
      </c>
      <c r="CG3" s="27" t="n">
        <v>0</v>
      </c>
    </row>
    <row r="4">
      <c r="A4">
        <f>IF(Job_Master_Ring!$A4="","",Job_Master_Ring!$A4)</f>
        <v/>
      </c>
      <c r="B4">
        <f>IF($A4="","",Job_Master_Ring!B4)</f>
        <v/>
      </c>
      <c r="C4">
        <f>IF($A4="","",Job_Master_Ring!C4)</f>
        <v/>
      </c>
      <c r="D4">
        <f>IF($A4="","",Job_Master_Ring!D4)</f>
        <v/>
      </c>
      <c r="E4">
        <f>IF($A4="","",IF($I4&lt;&gt;"",$I4,IFERROR(INDEX(Machine_List!$B$50:$B$63,MATCH(1,(Machine_List!$H$50:$H$63&lt;=IFERROR(VLOOKUP($B4,CHOOSE(MATCH($C4,Settings!$L$4:$L$10,0),OPR_BR1!$A$4:$K$18,OPR_BR2!$A$4:$K$18,OPR_CR2!$A$4:$K$18,OPR_CR3!$A$4:$K$18,OPR_CR4!$A$4:$K$18,OPR_RIM!$A$4:$K$18,OPR_BPR!$A$4:$K$18),10,0),0))*(Machine_List!$I$50:$I$63&gt;=IFERROR(VLOOKUP($B4,CHOOSE(MATCH($C4,Settings!$L$4:$L$10,0),OPR_BR1!$A$4:$K$18,OPR_BR2!$A$4:$K$18,OPR_CR2!$A$4:$K$18,OPR_CR3!$A$4:$K$18,OPR_CR4!$A$4:$K$18,OPR_RIM!$A$4:$K$18,OPR_BPR!$A$4:$K$18),11,0),9999)),0)),"NO COMPATIBLE MACHINE")))</f>
        <v/>
      </c>
      <c r="F4">
        <f>IF($E4="","",IFERROR(VLOOKUP($E4,Machine_List!$B:$G,6,0),""))</f>
        <v/>
      </c>
      <c r="G4" s="17">
        <f>IF($E4="","",IFERROR(VLOOKUP($E4,Machine_List!$B:$C,2,0),""))</f>
        <v/>
      </c>
      <c r="H4">
        <f>IF($E4="","",IFERROR(VLOOKUP($E4,Machine_List!$B:$D,3,0),""))</f>
        <v/>
      </c>
      <c r="J4" s="16">
        <f>IF($A4="","",IF($I4&lt;&gt;"",$I4,MAX(CNC_Plan!$M4,IFERROR(LOOKUP(2,1/($E$3:INDIRECT("E"&amp;(ROW()-1))=$E4),$M$3:INDIRECT("M"&amp;(ROW()-1))),CNC_Plan!$M4))))</f>
        <v/>
      </c>
      <c r="K4">
        <f>IF($A4="","",IFERROR(VLOOKUP(B4,CHOOSE(MATCH($C4,Settings!$L$4:$L$10,0),OPR_BR1!$A$4:$I$18,OPR_BR2!$A$4:$I$18,OPR_CR2!$A$4:$I$18,OPR_CR3!$A$4:$I$18,OPR_CR4!$A$4:$I$18,OPR_RIM!$A$4:$I$18,OPR_BPR!$A$4:$I$18),6,0),0))</f>
        <v/>
      </c>
      <c r="L4">
        <f>IF($A4="","",K4*D4)</f>
        <v/>
      </c>
      <c r="M4" s="16">
        <f>IF($A4="","",IF(AND(ISNUMBER(G4),G4&gt;=J4,G4&lt;=(J4+(L4/(IF(F4="Contract Workman",Settings!$K$5,Settings!$K$4))))),J4+(L4/(IF(F4="Contract Workman",Settings!$K$5,Settings!$K$4)))+(H4/(IF(F4="Contract Workman",Settings!$K$5,Settings!$K$4))),J4+(L4/(IF(F4="Contract Workman",Settings!$K$5,Settings!$K$4)))))</f>
        <v/>
      </c>
      <c r="N4">
        <f>IF($A4="","",IF(F4="Contract Workman",IF(AND(MOD(M4,1)&gt;=8/24,MOD(M4,1)&lt;20/24),"Shift S1","Shift S2"),IF(AND(MOD(M4,1)&gt;=7/24,MOD(M4,1)&lt;15/24),"Shift A",IF(AND(MOD(M4,1)&gt;=15/24,MOD(M4,1)&lt;23/24),"Shift B","Shift C"))))</f>
        <v/>
      </c>
      <c r="O4">
        <f>IF(B4="","",IF(IFERROR(ISNUMBER(SEARCH(TEXT(B4,"0"),VLOOKUP(E4,Machine_List!$B:$J,9,0))),FALSE),"✅ "&amp; E4,"❌ Sug: "&amp;IFERROR(INDEX(Machine_List!$B$50:$B$63,MATCH(1,(Machine_List!$H$50:$H$63&lt;=IFERROR(VLOOKUP($B4,OPR_BR1!$A$4:$K$18,10,0),0))*(Machine_List!$I$50:$I$63&gt;=IFERROR(VLOOKUP($B4,OPR_BR1!$A$4:$K$18,11,0),9999)),0)),"?")))</f>
        <v/>
      </c>
      <c r="P4">
        <f>IF(AND($A4&lt;&gt;"",P$3&gt;=$J4,P$3&lt;=$M4),1,"")</f>
        <v/>
      </c>
      <c r="Q4">
        <f>IF(AND($A4&lt;&gt;"",Q$3&gt;=$J4,Q$3&lt;=$M4),1,"")</f>
        <v/>
      </c>
      <c r="R4">
        <f>IF(AND($A4&lt;&gt;"",R$3&gt;=$J4,R$3&lt;=$M4),1,"")</f>
        <v/>
      </c>
      <c r="S4">
        <f>IF(AND($A4&lt;&gt;"",S$3&gt;=$J4,S$3&lt;=$M4),1,"")</f>
        <v/>
      </c>
      <c r="T4">
        <f>IF(AND($A4&lt;&gt;"",T$3&gt;=$J4,T$3&lt;=$M4),1,"")</f>
        <v/>
      </c>
      <c r="U4">
        <f>IF(AND($A4&lt;&gt;"",U$3&gt;=$J4,U$3&lt;=$M4),1,"")</f>
        <v/>
      </c>
      <c r="V4">
        <f>IF(AND($A4&lt;&gt;"",V$3&gt;=$J4,V$3&lt;=$M4),1,"")</f>
        <v/>
      </c>
      <c r="W4">
        <f>IF(AND($A4&lt;&gt;"",W$3&gt;=$J4,W$3&lt;=$M4),1,"")</f>
        <v/>
      </c>
      <c r="X4">
        <f>IF(AND($A4&lt;&gt;"",X$3&gt;=$J4,X$3&lt;=$M4),1,"")</f>
        <v/>
      </c>
      <c r="Y4">
        <f>IF(AND($A4&lt;&gt;"",Y$3&gt;=$J4,Y$3&lt;=$M4),1,"")</f>
        <v/>
      </c>
      <c r="Z4">
        <f>IF(AND($A4&lt;&gt;"",Z$3&gt;=$J4,Z$3&lt;=$M4),1,"")</f>
        <v/>
      </c>
      <c r="AA4">
        <f>IF(AND($A4&lt;&gt;"",AA$3&gt;=$J4,AA$3&lt;=$M4),1,"")</f>
        <v/>
      </c>
      <c r="AB4">
        <f>IF(AND($A4&lt;&gt;"",AB$3&gt;=$J4,AB$3&lt;=$M4),1,"")</f>
        <v/>
      </c>
      <c r="AC4">
        <f>IF(AND($A4&lt;&gt;"",AC$3&gt;=$J4,AC$3&lt;=$M4),1,"")</f>
        <v/>
      </c>
      <c r="AD4">
        <f>IF(AND($A4&lt;&gt;"",AD$3&gt;=$J4,AD$3&lt;=$M4),1,"")</f>
        <v/>
      </c>
      <c r="AE4">
        <f>IF(AND($A4&lt;&gt;"",AE$3&gt;=$J4,AE$3&lt;=$M4),1,"")</f>
        <v/>
      </c>
      <c r="AF4">
        <f>IF(AND($A4&lt;&gt;"",AF$3&gt;=$J4,AF$3&lt;=$M4),1,"")</f>
        <v/>
      </c>
      <c r="AG4">
        <f>IF(AND($A4&lt;&gt;"",AG$3&gt;=$J4,AG$3&lt;=$M4),1,"")</f>
        <v/>
      </c>
      <c r="AH4">
        <f>IF(AND($A4&lt;&gt;"",AH$3&gt;=$J4,AH$3&lt;=$M4),1,"")</f>
        <v/>
      </c>
      <c r="AI4">
        <f>IF(AND($A4&lt;&gt;"",AI$3&gt;=$J4,AI$3&lt;=$M4),1,"")</f>
        <v/>
      </c>
      <c r="AJ4">
        <f>IF(AND($A4&lt;&gt;"",AJ$3&gt;=$J4,AJ$3&lt;=$M4),1,"")</f>
        <v/>
      </c>
      <c r="AK4">
        <f>IF(AND($A4&lt;&gt;"",AK$3&gt;=$J4,AK$3&lt;=$M4),1,"")</f>
        <v/>
      </c>
      <c r="AL4">
        <f>IF(AND($A4&lt;&gt;"",AL$3&gt;=$J4,AL$3&lt;=$M4),1,"")</f>
        <v/>
      </c>
      <c r="AM4">
        <f>IF(AND($A4&lt;&gt;"",AM$3&gt;=$J4,AM$3&lt;=$M4),1,"")</f>
        <v/>
      </c>
      <c r="AN4">
        <f>IF(AND($A4&lt;&gt;"",AN$3&gt;=$J4,AN$3&lt;=$M4),1,"")</f>
        <v/>
      </c>
      <c r="AO4">
        <f>IF(AND($A4&lt;&gt;"",AO$3&gt;=$J4,AO$3&lt;=$M4),1,"")</f>
        <v/>
      </c>
      <c r="AP4">
        <f>IF(AND($A4&lt;&gt;"",AP$3&gt;=$J4,AP$3&lt;=$M4),1,"")</f>
        <v/>
      </c>
      <c r="AQ4">
        <f>IF(AND($A4&lt;&gt;"",AQ$3&gt;=$J4,AQ$3&lt;=$M4),1,"")</f>
        <v/>
      </c>
      <c r="AR4">
        <f>IF(AND($A4&lt;&gt;"",AR$3&gt;=$J4,AR$3&lt;=$M4),1,"")</f>
        <v/>
      </c>
      <c r="AS4">
        <f>IF(AND($A4&lt;&gt;"",AS$3&gt;=$J4,AS$3&lt;=$M4),1,"")</f>
        <v/>
      </c>
      <c r="AT4">
        <f>IF(AND($A4&lt;&gt;"",AT$3&gt;=$J4,AT$3&lt;=$M4),1,"")</f>
        <v/>
      </c>
      <c r="AU4">
        <f>IF(AND($A4&lt;&gt;"",AU$3&gt;=$J4,AU$3&lt;=$M4),1,"")</f>
        <v/>
      </c>
      <c r="AV4">
        <f>IF(AND($A4&lt;&gt;"",AV$3&gt;=$J4,AV$3&lt;=$M4),1,"")</f>
        <v/>
      </c>
      <c r="AW4">
        <f>IF(AND($A4&lt;&gt;"",AW$3&gt;=$J4,AW$3&lt;=$M4),1,"")</f>
        <v/>
      </c>
      <c r="AX4">
        <f>IF(AND($A4&lt;&gt;"",AX$3&gt;=$J4,AX$3&lt;=$M4),1,"")</f>
        <v/>
      </c>
      <c r="AY4">
        <f>IF(AND($A4&lt;&gt;"",AY$3&gt;=$J4,AY$3&lt;=$M4),1,"")</f>
        <v/>
      </c>
      <c r="AZ4">
        <f>IF(AND($A4&lt;&gt;"",AZ$3&gt;=$J4,AZ$3&lt;=$M4),1,"")</f>
        <v/>
      </c>
      <c r="BA4">
        <f>IF(AND($A4&lt;&gt;"",BA$3&gt;=$J4,BA$3&lt;=$M4),1,"")</f>
        <v/>
      </c>
      <c r="BB4">
        <f>IF(AND($A4&lt;&gt;"",BB$3&gt;=$J4,BB$3&lt;=$M4),1,"")</f>
        <v/>
      </c>
      <c r="BC4">
        <f>IF(AND($A4&lt;&gt;"",BC$3&gt;=$J4,BC$3&lt;=$M4),1,"")</f>
        <v/>
      </c>
      <c r="BD4">
        <f>IF(AND($A4&lt;&gt;"",BD$3&gt;=$J4,BD$3&lt;=$M4),1,"")</f>
        <v/>
      </c>
      <c r="BE4">
        <f>IF(AND($A4&lt;&gt;"",BE$3&gt;=$J4,BE$3&lt;=$M4),1,"")</f>
        <v/>
      </c>
      <c r="BF4">
        <f>IF(AND($A4&lt;&gt;"",BF$3&gt;=$J4,BF$3&lt;=$M4),1,"")</f>
        <v/>
      </c>
      <c r="BG4">
        <f>IF(AND($A4&lt;&gt;"",BG$3&gt;=$J4,BG$3&lt;=$M4),1,"")</f>
        <v/>
      </c>
      <c r="BH4">
        <f>IF(AND($A4&lt;&gt;"",BH$3&gt;=$J4,BH$3&lt;=$M4),1,"")</f>
        <v/>
      </c>
      <c r="BI4">
        <f>IF(AND($A4&lt;&gt;"",BI$3&gt;=$J4,BI$3&lt;=$M4),1,"")</f>
        <v/>
      </c>
      <c r="BJ4">
        <f>IF(AND($A4&lt;&gt;"",BJ$3&gt;=$J4,BJ$3&lt;=$M4),1,"")</f>
        <v/>
      </c>
      <c r="BK4">
        <f>IF(AND($A4&lt;&gt;"",BK$3&gt;=$J4,BK$3&lt;=$M4),1,"")</f>
        <v/>
      </c>
      <c r="BL4">
        <f>IF(AND($A4&lt;&gt;"",BL$3&gt;=$J4,BL$3&lt;=$M4),1,"")</f>
        <v/>
      </c>
      <c r="BM4">
        <f>IF(AND($A4&lt;&gt;"",BM$3&gt;=$J4,BM$3&lt;=$M4),1,"")</f>
        <v/>
      </c>
      <c r="BN4">
        <f>IF(AND($A4&lt;&gt;"",BN$3&gt;=$J4,BN$3&lt;=$M4),1,"")</f>
        <v/>
      </c>
      <c r="BO4">
        <f>IF(AND($A4&lt;&gt;"",BO$3&gt;=$J4,BO$3&lt;=$M4),1,"")</f>
        <v/>
      </c>
      <c r="BP4">
        <f>IF(AND($A4&lt;&gt;"",BP$3&gt;=$J4,BP$3&lt;=$M4),1,"")</f>
        <v/>
      </c>
      <c r="BQ4">
        <f>IF(AND($A4&lt;&gt;"",BQ$3&gt;=$J4,BQ$3&lt;=$M4),1,"")</f>
        <v/>
      </c>
      <c r="BR4">
        <f>IF(AND($A4&lt;&gt;"",BR$3&gt;=$J4,BR$3&lt;=$M4),1,"")</f>
        <v/>
      </c>
      <c r="BS4">
        <f>IF(AND($A4&lt;&gt;"",BS$3&gt;=$J4,BS$3&lt;=$M4),1,"")</f>
        <v/>
      </c>
      <c r="BT4">
        <f>IF(AND($A4&lt;&gt;"",BT$3&gt;=$J4,BT$3&lt;=$M4),1,"")</f>
        <v/>
      </c>
      <c r="BU4">
        <f>IF(AND($A4&lt;&gt;"",BU$3&gt;=$J4,BU$3&lt;=$M4),1,"")</f>
        <v/>
      </c>
      <c r="BV4">
        <f>IF(AND($A4&lt;&gt;"",BV$3&gt;=$J4,BV$3&lt;=$M4),1,"")</f>
        <v/>
      </c>
      <c r="BW4" s="26" t="inlineStr">
        <is>
          <t>Capacity (Hrs)</t>
        </is>
      </c>
      <c r="BX4" s="27" t="n">
        <v>9072</v>
      </c>
      <c r="BY4" s="27" t="n">
        <v>9374.4</v>
      </c>
      <c r="BZ4" s="27" t="n">
        <v>9072</v>
      </c>
      <c r="CA4" s="27" t="n">
        <v>9374.4</v>
      </c>
      <c r="CB4" s="27" t="n">
        <v>9374.4</v>
      </c>
      <c r="CC4" s="27" t="n">
        <v>9072</v>
      </c>
      <c r="CD4" s="27" t="n">
        <v>9374.4</v>
      </c>
      <c r="CE4" s="27" t="n">
        <v>9072</v>
      </c>
      <c r="CF4" s="27" t="n">
        <v>9374.4</v>
      </c>
      <c r="CG4" s="27" t="n">
        <v>9374.4</v>
      </c>
    </row>
    <row r="5">
      <c r="A5">
        <f>IF(Job_Master_Ring!$A5="","",Job_Master_Ring!$A5)</f>
        <v/>
      </c>
      <c r="B5">
        <f>IF($A5="","",Job_Master_Ring!B5)</f>
        <v/>
      </c>
      <c r="C5">
        <f>IF($A5="","",Job_Master_Ring!C5)</f>
        <v/>
      </c>
      <c r="D5">
        <f>IF($A5="","",Job_Master_Ring!D5)</f>
        <v/>
      </c>
      <c r="E5">
        <f>IF($A5="","",IF($I5&lt;&gt;"",$I5,IFERROR(INDEX(Machine_List!$B$50:$B$63,MATCH(1,(Machine_List!$H$50:$H$63&lt;=IFERROR(VLOOKUP($B5,CHOOSE(MATCH($C5,Settings!$L$4:$L$10,0),OPR_BR1!$A$4:$K$18,OPR_BR2!$A$4:$K$18,OPR_CR2!$A$4:$K$18,OPR_CR3!$A$4:$K$18,OPR_CR4!$A$4:$K$18,OPR_RIM!$A$4:$K$18,OPR_BPR!$A$4:$K$18),10,0),0))*(Machine_List!$I$50:$I$63&gt;=IFERROR(VLOOKUP($B5,CHOOSE(MATCH($C5,Settings!$L$4:$L$10,0),OPR_BR1!$A$4:$K$18,OPR_BR2!$A$4:$K$18,OPR_CR2!$A$4:$K$18,OPR_CR3!$A$4:$K$18,OPR_CR4!$A$4:$K$18,OPR_RIM!$A$4:$K$18,OPR_BPR!$A$4:$K$18),11,0),9999)),0)),"NO COMPATIBLE MACHINE")))</f>
        <v/>
      </c>
      <c r="F5">
        <f>IF($E5="","",IFERROR(VLOOKUP($E5,Machine_List!$B:$G,6,0),""))</f>
        <v/>
      </c>
      <c r="G5" s="17">
        <f>IF($E5="","",IFERROR(VLOOKUP($E5,Machine_List!$B:$C,2,0),""))</f>
        <v/>
      </c>
      <c r="H5">
        <f>IF($E5="","",IFERROR(VLOOKUP($E5,Machine_List!$B:$D,3,0),""))</f>
        <v/>
      </c>
      <c r="J5" s="16">
        <f>IF($A5="","",IF($I5&lt;&gt;"",$I5,MAX(CNC_Plan!$M5,IFERROR(LOOKUP(2,1/($E$3:INDIRECT("E"&amp;(ROW()-1))=$E5),$M$3:INDIRECT("M"&amp;(ROW()-1))),CNC_Plan!$M5))))</f>
        <v/>
      </c>
      <c r="K5">
        <f>IF($A5="","",IFERROR(VLOOKUP(B5,CHOOSE(MATCH($C5,Settings!$L$4:$L$10,0),OPR_BR1!$A$4:$I$18,OPR_BR2!$A$4:$I$18,OPR_CR2!$A$4:$I$18,OPR_CR3!$A$4:$I$18,OPR_CR4!$A$4:$I$18,OPR_RIM!$A$4:$I$18,OPR_BPR!$A$4:$I$18),6,0),0))</f>
        <v/>
      </c>
      <c r="L5">
        <f>IF($A5="","",K5*D5)</f>
        <v/>
      </c>
      <c r="M5" s="16">
        <f>IF($A5="","",IF(AND(ISNUMBER(G5),G5&gt;=J5,G5&lt;=(J5+(L5/(IF(F5="Contract Workman",Settings!$K$5,Settings!$K$4))))),J5+(L5/(IF(F5="Contract Workman",Settings!$K$5,Settings!$K$4)))+(H5/(IF(F5="Contract Workman",Settings!$K$5,Settings!$K$4))),J5+(L5/(IF(F5="Contract Workman",Settings!$K$5,Settings!$K$4)))))</f>
        <v/>
      </c>
      <c r="N5">
        <f>IF($A5="","",IF(F5="Contract Workman",IF(AND(MOD(M5,1)&gt;=8/24,MOD(M5,1)&lt;20/24),"Shift S1","Shift S2"),IF(AND(MOD(M5,1)&gt;=7/24,MOD(M5,1)&lt;15/24),"Shift A",IF(AND(MOD(M5,1)&gt;=15/24,MOD(M5,1)&lt;23/24),"Shift B","Shift C"))))</f>
        <v/>
      </c>
      <c r="O5">
        <f>IF(B5="","",IF(IFERROR(ISNUMBER(SEARCH(TEXT(B5,"0"),VLOOKUP(E5,Machine_List!$B:$J,9,0))),FALSE),"✅ "&amp; E5,"❌ Sug: "&amp;IFERROR(INDEX(Machine_List!$B$50:$B$63,MATCH(1,(Machine_List!$H$50:$H$63&lt;=IFERROR(VLOOKUP($B5,OPR_BR1!$A$4:$K$18,10,0),0))*(Machine_List!$I$50:$I$63&gt;=IFERROR(VLOOKUP($B5,OPR_BR1!$A$4:$K$18,11,0),9999)),0)),"?")))</f>
        <v/>
      </c>
      <c r="P5">
        <f>IF(AND($A5&lt;&gt;"",P$3&gt;=$J5,P$3&lt;=$M5),1,"")</f>
        <v/>
      </c>
      <c r="Q5">
        <f>IF(AND($A5&lt;&gt;"",Q$3&gt;=$J5,Q$3&lt;=$M5),1,"")</f>
        <v/>
      </c>
      <c r="R5">
        <f>IF(AND($A5&lt;&gt;"",R$3&gt;=$J5,R$3&lt;=$M5),1,"")</f>
        <v/>
      </c>
      <c r="S5">
        <f>IF(AND($A5&lt;&gt;"",S$3&gt;=$J5,S$3&lt;=$M5),1,"")</f>
        <v/>
      </c>
      <c r="T5">
        <f>IF(AND($A5&lt;&gt;"",T$3&gt;=$J5,T$3&lt;=$M5),1,"")</f>
        <v/>
      </c>
      <c r="U5">
        <f>IF(AND($A5&lt;&gt;"",U$3&gt;=$J5,U$3&lt;=$M5),1,"")</f>
        <v/>
      </c>
      <c r="V5">
        <f>IF(AND($A5&lt;&gt;"",V$3&gt;=$J5,V$3&lt;=$M5),1,"")</f>
        <v/>
      </c>
      <c r="W5">
        <f>IF(AND($A5&lt;&gt;"",W$3&gt;=$J5,W$3&lt;=$M5),1,"")</f>
        <v/>
      </c>
      <c r="X5">
        <f>IF(AND($A5&lt;&gt;"",X$3&gt;=$J5,X$3&lt;=$M5),1,"")</f>
        <v/>
      </c>
      <c r="Y5">
        <f>IF(AND($A5&lt;&gt;"",Y$3&gt;=$J5,Y$3&lt;=$M5),1,"")</f>
        <v/>
      </c>
      <c r="Z5">
        <f>IF(AND($A5&lt;&gt;"",Z$3&gt;=$J5,Z$3&lt;=$M5),1,"")</f>
        <v/>
      </c>
      <c r="AA5">
        <f>IF(AND($A5&lt;&gt;"",AA$3&gt;=$J5,AA$3&lt;=$M5),1,"")</f>
        <v/>
      </c>
      <c r="AB5">
        <f>IF(AND($A5&lt;&gt;"",AB$3&gt;=$J5,AB$3&lt;=$M5),1,"")</f>
        <v/>
      </c>
      <c r="AC5">
        <f>IF(AND($A5&lt;&gt;"",AC$3&gt;=$J5,AC$3&lt;=$M5),1,"")</f>
        <v/>
      </c>
      <c r="AD5">
        <f>IF(AND($A5&lt;&gt;"",AD$3&gt;=$J5,AD$3&lt;=$M5),1,"")</f>
        <v/>
      </c>
      <c r="AE5">
        <f>IF(AND($A5&lt;&gt;"",AE$3&gt;=$J5,AE$3&lt;=$M5),1,"")</f>
        <v/>
      </c>
      <c r="AF5">
        <f>IF(AND($A5&lt;&gt;"",AF$3&gt;=$J5,AF$3&lt;=$M5),1,"")</f>
        <v/>
      </c>
      <c r="AG5">
        <f>IF(AND($A5&lt;&gt;"",AG$3&gt;=$J5,AG$3&lt;=$M5),1,"")</f>
        <v/>
      </c>
      <c r="AH5">
        <f>IF(AND($A5&lt;&gt;"",AH$3&gt;=$J5,AH$3&lt;=$M5),1,"")</f>
        <v/>
      </c>
      <c r="AI5">
        <f>IF(AND($A5&lt;&gt;"",AI$3&gt;=$J5,AI$3&lt;=$M5),1,"")</f>
        <v/>
      </c>
      <c r="AJ5">
        <f>IF(AND($A5&lt;&gt;"",AJ$3&gt;=$J5,AJ$3&lt;=$M5),1,"")</f>
        <v/>
      </c>
      <c r="AK5">
        <f>IF(AND($A5&lt;&gt;"",AK$3&gt;=$J5,AK$3&lt;=$M5),1,"")</f>
        <v/>
      </c>
      <c r="AL5">
        <f>IF(AND($A5&lt;&gt;"",AL$3&gt;=$J5,AL$3&lt;=$M5),1,"")</f>
        <v/>
      </c>
      <c r="AM5">
        <f>IF(AND($A5&lt;&gt;"",AM$3&gt;=$J5,AM$3&lt;=$M5),1,"")</f>
        <v/>
      </c>
      <c r="AN5">
        <f>IF(AND($A5&lt;&gt;"",AN$3&gt;=$J5,AN$3&lt;=$M5),1,"")</f>
        <v/>
      </c>
      <c r="AO5">
        <f>IF(AND($A5&lt;&gt;"",AO$3&gt;=$J5,AO$3&lt;=$M5),1,"")</f>
        <v/>
      </c>
      <c r="AP5">
        <f>IF(AND($A5&lt;&gt;"",AP$3&gt;=$J5,AP$3&lt;=$M5),1,"")</f>
        <v/>
      </c>
      <c r="AQ5">
        <f>IF(AND($A5&lt;&gt;"",AQ$3&gt;=$J5,AQ$3&lt;=$M5),1,"")</f>
        <v/>
      </c>
      <c r="AR5">
        <f>IF(AND($A5&lt;&gt;"",AR$3&gt;=$J5,AR$3&lt;=$M5),1,"")</f>
        <v/>
      </c>
      <c r="AS5">
        <f>IF(AND($A5&lt;&gt;"",AS$3&gt;=$J5,AS$3&lt;=$M5),1,"")</f>
        <v/>
      </c>
      <c r="AT5">
        <f>IF(AND($A5&lt;&gt;"",AT$3&gt;=$J5,AT$3&lt;=$M5),1,"")</f>
        <v/>
      </c>
      <c r="AU5">
        <f>IF(AND($A5&lt;&gt;"",AU$3&gt;=$J5,AU$3&lt;=$M5),1,"")</f>
        <v/>
      </c>
      <c r="AV5">
        <f>IF(AND($A5&lt;&gt;"",AV$3&gt;=$J5,AV$3&lt;=$M5),1,"")</f>
        <v/>
      </c>
      <c r="AW5">
        <f>IF(AND($A5&lt;&gt;"",AW$3&gt;=$J5,AW$3&lt;=$M5),1,"")</f>
        <v/>
      </c>
      <c r="AX5">
        <f>IF(AND($A5&lt;&gt;"",AX$3&gt;=$J5,AX$3&lt;=$M5),1,"")</f>
        <v/>
      </c>
      <c r="AY5">
        <f>IF(AND($A5&lt;&gt;"",AY$3&gt;=$J5,AY$3&lt;=$M5),1,"")</f>
        <v/>
      </c>
      <c r="AZ5">
        <f>IF(AND($A5&lt;&gt;"",AZ$3&gt;=$J5,AZ$3&lt;=$M5),1,"")</f>
        <v/>
      </c>
      <c r="BA5">
        <f>IF(AND($A5&lt;&gt;"",BA$3&gt;=$J5,BA$3&lt;=$M5),1,"")</f>
        <v/>
      </c>
      <c r="BB5">
        <f>IF(AND($A5&lt;&gt;"",BB$3&gt;=$J5,BB$3&lt;=$M5),1,"")</f>
        <v/>
      </c>
      <c r="BC5">
        <f>IF(AND($A5&lt;&gt;"",BC$3&gt;=$J5,BC$3&lt;=$M5),1,"")</f>
        <v/>
      </c>
      <c r="BD5">
        <f>IF(AND($A5&lt;&gt;"",BD$3&gt;=$J5,BD$3&lt;=$M5),1,"")</f>
        <v/>
      </c>
      <c r="BE5">
        <f>IF(AND($A5&lt;&gt;"",BE$3&gt;=$J5,BE$3&lt;=$M5),1,"")</f>
        <v/>
      </c>
      <c r="BF5">
        <f>IF(AND($A5&lt;&gt;"",BF$3&gt;=$J5,BF$3&lt;=$M5),1,"")</f>
        <v/>
      </c>
      <c r="BG5">
        <f>IF(AND($A5&lt;&gt;"",BG$3&gt;=$J5,BG$3&lt;=$M5),1,"")</f>
        <v/>
      </c>
      <c r="BH5">
        <f>IF(AND($A5&lt;&gt;"",BH$3&gt;=$J5,BH$3&lt;=$M5),1,"")</f>
        <v/>
      </c>
      <c r="BI5">
        <f>IF(AND($A5&lt;&gt;"",BI$3&gt;=$J5,BI$3&lt;=$M5),1,"")</f>
        <v/>
      </c>
      <c r="BJ5">
        <f>IF(AND($A5&lt;&gt;"",BJ$3&gt;=$J5,BJ$3&lt;=$M5),1,"")</f>
        <v/>
      </c>
      <c r="BK5">
        <f>IF(AND($A5&lt;&gt;"",BK$3&gt;=$J5,BK$3&lt;=$M5),1,"")</f>
        <v/>
      </c>
      <c r="BL5">
        <f>IF(AND($A5&lt;&gt;"",BL$3&gt;=$J5,BL$3&lt;=$M5),1,"")</f>
        <v/>
      </c>
      <c r="BM5">
        <f>IF(AND($A5&lt;&gt;"",BM$3&gt;=$J5,BM$3&lt;=$M5),1,"")</f>
        <v/>
      </c>
      <c r="BN5">
        <f>IF(AND($A5&lt;&gt;"",BN$3&gt;=$J5,BN$3&lt;=$M5),1,"")</f>
        <v/>
      </c>
      <c r="BO5">
        <f>IF(AND($A5&lt;&gt;"",BO$3&gt;=$J5,BO$3&lt;=$M5),1,"")</f>
        <v/>
      </c>
      <c r="BP5">
        <f>IF(AND($A5&lt;&gt;"",BP$3&gt;=$J5,BP$3&lt;=$M5),1,"")</f>
        <v/>
      </c>
      <c r="BQ5">
        <f>IF(AND($A5&lt;&gt;"",BQ$3&gt;=$J5,BQ$3&lt;=$M5),1,"")</f>
        <v/>
      </c>
      <c r="BR5">
        <f>IF(AND($A5&lt;&gt;"",BR$3&gt;=$J5,BR$3&lt;=$M5),1,"")</f>
        <v/>
      </c>
      <c r="BS5">
        <f>IF(AND($A5&lt;&gt;"",BS$3&gt;=$J5,BS$3&lt;=$M5),1,"")</f>
        <v/>
      </c>
      <c r="BT5">
        <f>IF(AND($A5&lt;&gt;"",BT$3&gt;=$J5,BT$3&lt;=$M5),1,"")</f>
        <v/>
      </c>
      <c r="BU5">
        <f>IF(AND($A5&lt;&gt;"",BU$3&gt;=$J5,BU$3&lt;=$M5),1,"")</f>
        <v/>
      </c>
      <c r="BV5">
        <f>IF(AND($A5&lt;&gt;"",BV$3&gt;=$J5,BV$3&lt;=$M5),1,"")</f>
        <v/>
      </c>
    </row>
    <row r="6">
      <c r="A6">
        <f>IF(Job_Master_Ring!$A6="","",Job_Master_Ring!$A6)</f>
        <v/>
      </c>
      <c r="B6">
        <f>IF($A6="","",Job_Master_Ring!B6)</f>
        <v/>
      </c>
      <c r="C6">
        <f>IF($A6="","",Job_Master_Ring!C6)</f>
        <v/>
      </c>
      <c r="D6">
        <f>IF($A6="","",Job_Master_Ring!D6)</f>
        <v/>
      </c>
      <c r="E6">
        <f>IF($A6="","",IF($I6&lt;&gt;"",$I6,IFERROR(INDEX(Machine_List!$B$50:$B$63,MATCH(1,(Machine_List!$H$50:$H$63&lt;=IFERROR(VLOOKUP($B6,CHOOSE(MATCH($C6,Settings!$L$4:$L$10,0),OPR_BR1!$A$4:$K$18,OPR_BR2!$A$4:$K$18,OPR_CR2!$A$4:$K$18,OPR_CR3!$A$4:$K$18,OPR_CR4!$A$4:$K$18,OPR_RIM!$A$4:$K$18,OPR_BPR!$A$4:$K$18),10,0),0))*(Machine_List!$I$50:$I$63&gt;=IFERROR(VLOOKUP($B6,CHOOSE(MATCH($C6,Settings!$L$4:$L$10,0),OPR_BR1!$A$4:$K$18,OPR_BR2!$A$4:$K$18,OPR_CR2!$A$4:$K$18,OPR_CR3!$A$4:$K$18,OPR_CR4!$A$4:$K$18,OPR_RIM!$A$4:$K$18,OPR_BPR!$A$4:$K$18),11,0),9999)),0)),"NO COMPATIBLE MACHINE")))</f>
        <v/>
      </c>
      <c r="F6">
        <f>IF($E6="","",IFERROR(VLOOKUP($E6,Machine_List!$B:$G,6,0),""))</f>
        <v/>
      </c>
      <c r="G6" s="17">
        <f>IF($E6="","",IFERROR(VLOOKUP($E6,Machine_List!$B:$C,2,0),""))</f>
        <v/>
      </c>
      <c r="H6">
        <f>IF($E6="","",IFERROR(VLOOKUP($E6,Machine_List!$B:$D,3,0),""))</f>
        <v/>
      </c>
      <c r="J6" s="16">
        <f>IF($A6="","",IF($I6&lt;&gt;"",$I6,MAX(CNC_Plan!$M6,IFERROR(LOOKUP(2,1/($E$3:INDIRECT("E"&amp;(ROW()-1))=$E6),$M$3:INDIRECT("M"&amp;(ROW()-1))),CNC_Plan!$M6))))</f>
        <v/>
      </c>
      <c r="K6">
        <f>IF($A6="","",IFERROR(VLOOKUP(B6,CHOOSE(MATCH($C6,Settings!$L$4:$L$10,0),OPR_BR1!$A$4:$I$18,OPR_BR2!$A$4:$I$18,OPR_CR2!$A$4:$I$18,OPR_CR3!$A$4:$I$18,OPR_CR4!$A$4:$I$18,OPR_RIM!$A$4:$I$18,OPR_BPR!$A$4:$I$18),6,0),0))</f>
        <v/>
      </c>
      <c r="L6">
        <f>IF($A6="","",K6*D6)</f>
        <v/>
      </c>
      <c r="M6" s="16">
        <f>IF($A6="","",IF(AND(ISNUMBER(G6),G6&gt;=J6,G6&lt;=(J6+(L6/(IF(F6="Contract Workman",Settings!$K$5,Settings!$K$4))))),J6+(L6/(IF(F6="Contract Workman",Settings!$K$5,Settings!$K$4)))+(H6/(IF(F6="Contract Workman",Settings!$K$5,Settings!$K$4))),J6+(L6/(IF(F6="Contract Workman",Settings!$K$5,Settings!$K$4)))))</f>
        <v/>
      </c>
      <c r="N6">
        <f>IF($A6="","",IF(F6="Contract Workman",IF(AND(MOD(M6,1)&gt;=8/24,MOD(M6,1)&lt;20/24),"Shift S1","Shift S2"),IF(AND(MOD(M6,1)&gt;=7/24,MOD(M6,1)&lt;15/24),"Shift A",IF(AND(MOD(M6,1)&gt;=15/24,MOD(M6,1)&lt;23/24),"Shift B","Shift C"))))</f>
        <v/>
      </c>
      <c r="O6">
        <f>IF(B6="","",IF(IFERROR(ISNUMBER(SEARCH(TEXT(B6,"0"),VLOOKUP(E6,Machine_List!$B:$J,9,0))),FALSE),"✅ "&amp; E6,"❌ Sug: "&amp;IFERROR(INDEX(Machine_List!$B$50:$B$63,MATCH(1,(Machine_List!$H$50:$H$63&lt;=IFERROR(VLOOKUP($B6,OPR_BR1!$A$4:$K$18,10,0),0))*(Machine_List!$I$50:$I$63&gt;=IFERROR(VLOOKUP($B6,OPR_BR1!$A$4:$K$18,11,0),9999)),0)),"?")))</f>
        <v/>
      </c>
      <c r="P6">
        <f>IF(AND($A6&lt;&gt;"",P$3&gt;=$J6,P$3&lt;=$M6),1,"")</f>
        <v/>
      </c>
      <c r="Q6">
        <f>IF(AND($A6&lt;&gt;"",Q$3&gt;=$J6,Q$3&lt;=$M6),1,"")</f>
        <v/>
      </c>
      <c r="R6">
        <f>IF(AND($A6&lt;&gt;"",R$3&gt;=$J6,R$3&lt;=$M6),1,"")</f>
        <v/>
      </c>
      <c r="S6">
        <f>IF(AND($A6&lt;&gt;"",S$3&gt;=$J6,S$3&lt;=$M6),1,"")</f>
        <v/>
      </c>
      <c r="T6">
        <f>IF(AND($A6&lt;&gt;"",T$3&gt;=$J6,T$3&lt;=$M6),1,"")</f>
        <v/>
      </c>
      <c r="U6">
        <f>IF(AND($A6&lt;&gt;"",U$3&gt;=$J6,U$3&lt;=$M6),1,"")</f>
        <v/>
      </c>
      <c r="V6">
        <f>IF(AND($A6&lt;&gt;"",V$3&gt;=$J6,V$3&lt;=$M6),1,"")</f>
        <v/>
      </c>
      <c r="W6">
        <f>IF(AND($A6&lt;&gt;"",W$3&gt;=$J6,W$3&lt;=$M6),1,"")</f>
        <v/>
      </c>
      <c r="X6">
        <f>IF(AND($A6&lt;&gt;"",X$3&gt;=$J6,X$3&lt;=$M6),1,"")</f>
        <v/>
      </c>
      <c r="Y6">
        <f>IF(AND($A6&lt;&gt;"",Y$3&gt;=$J6,Y$3&lt;=$M6),1,"")</f>
        <v/>
      </c>
      <c r="Z6">
        <f>IF(AND($A6&lt;&gt;"",Z$3&gt;=$J6,Z$3&lt;=$M6),1,"")</f>
        <v/>
      </c>
      <c r="AA6">
        <f>IF(AND($A6&lt;&gt;"",AA$3&gt;=$J6,AA$3&lt;=$M6),1,"")</f>
        <v/>
      </c>
      <c r="AB6">
        <f>IF(AND($A6&lt;&gt;"",AB$3&gt;=$J6,AB$3&lt;=$M6),1,"")</f>
        <v/>
      </c>
      <c r="AC6">
        <f>IF(AND($A6&lt;&gt;"",AC$3&gt;=$J6,AC$3&lt;=$M6),1,"")</f>
        <v/>
      </c>
      <c r="AD6">
        <f>IF(AND($A6&lt;&gt;"",AD$3&gt;=$J6,AD$3&lt;=$M6),1,"")</f>
        <v/>
      </c>
      <c r="AE6">
        <f>IF(AND($A6&lt;&gt;"",AE$3&gt;=$J6,AE$3&lt;=$M6),1,"")</f>
        <v/>
      </c>
      <c r="AF6">
        <f>IF(AND($A6&lt;&gt;"",AF$3&gt;=$J6,AF$3&lt;=$M6),1,"")</f>
        <v/>
      </c>
      <c r="AG6">
        <f>IF(AND($A6&lt;&gt;"",AG$3&gt;=$J6,AG$3&lt;=$M6),1,"")</f>
        <v/>
      </c>
      <c r="AH6">
        <f>IF(AND($A6&lt;&gt;"",AH$3&gt;=$J6,AH$3&lt;=$M6),1,"")</f>
        <v/>
      </c>
      <c r="AI6">
        <f>IF(AND($A6&lt;&gt;"",AI$3&gt;=$J6,AI$3&lt;=$M6),1,"")</f>
        <v/>
      </c>
      <c r="AJ6">
        <f>IF(AND($A6&lt;&gt;"",AJ$3&gt;=$J6,AJ$3&lt;=$M6),1,"")</f>
        <v/>
      </c>
      <c r="AK6">
        <f>IF(AND($A6&lt;&gt;"",AK$3&gt;=$J6,AK$3&lt;=$M6),1,"")</f>
        <v/>
      </c>
      <c r="AL6">
        <f>IF(AND($A6&lt;&gt;"",AL$3&gt;=$J6,AL$3&lt;=$M6),1,"")</f>
        <v/>
      </c>
      <c r="AM6">
        <f>IF(AND($A6&lt;&gt;"",AM$3&gt;=$J6,AM$3&lt;=$M6),1,"")</f>
        <v/>
      </c>
      <c r="AN6">
        <f>IF(AND($A6&lt;&gt;"",AN$3&gt;=$J6,AN$3&lt;=$M6),1,"")</f>
        <v/>
      </c>
      <c r="AO6">
        <f>IF(AND($A6&lt;&gt;"",AO$3&gt;=$J6,AO$3&lt;=$M6),1,"")</f>
        <v/>
      </c>
      <c r="AP6">
        <f>IF(AND($A6&lt;&gt;"",AP$3&gt;=$J6,AP$3&lt;=$M6),1,"")</f>
        <v/>
      </c>
      <c r="AQ6">
        <f>IF(AND($A6&lt;&gt;"",AQ$3&gt;=$J6,AQ$3&lt;=$M6),1,"")</f>
        <v/>
      </c>
      <c r="AR6">
        <f>IF(AND($A6&lt;&gt;"",AR$3&gt;=$J6,AR$3&lt;=$M6),1,"")</f>
        <v/>
      </c>
      <c r="AS6">
        <f>IF(AND($A6&lt;&gt;"",AS$3&gt;=$J6,AS$3&lt;=$M6),1,"")</f>
        <v/>
      </c>
      <c r="AT6">
        <f>IF(AND($A6&lt;&gt;"",AT$3&gt;=$J6,AT$3&lt;=$M6),1,"")</f>
        <v/>
      </c>
      <c r="AU6">
        <f>IF(AND($A6&lt;&gt;"",AU$3&gt;=$J6,AU$3&lt;=$M6),1,"")</f>
        <v/>
      </c>
      <c r="AV6">
        <f>IF(AND($A6&lt;&gt;"",AV$3&gt;=$J6,AV$3&lt;=$M6),1,"")</f>
        <v/>
      </c>
      <c r="AW6">
        <f>IF(AND($A6&lt;&gt;"",AW$3&gt;=$J6,AW$3&lt;=$M6),1,"")</f>
        <v/>
      </c>
      <c r="AX6">
        <f>IF(AND($A6&lt;&gt;"",AX$3&gt;=$J6,AX$3&lt;=$M6),1,"")</f>
        <v/>
      </c>
      <c r="AY6">
        <f>IF(AND($A6&lt;&gt;"",AY$3&gt;=$J6,AY$3&lt;=$M6),1,"")</f>
        <v/>
      </c>
      <c r="AZ6">
        <f>IF(AND($A6&lt;&gt;"",AZ$3&gt;=$J6,AZ$3&lt;=$M6),1,"")</f>
        <v/>
      </c>
      <c r="BA6">
        <f>IF(AND($A6&lt;&gt;"",BA$3&gt;=$J6,BA$3&lt;=$M6),1,"")</f>
        <v/>
      </c>
      <c r="BB6">
        <f>IF(AND($A6&lt;&gt;"",BB$3&gt;=$J6,BB$3&lt;=$M6),1,"")</f>
        <v/>
      </c>
      <c r="BC6">
        <f>IF(AND($A6&lt;&gt;"",BC$3&gt;=$J6,BC$3&lt;=$M6),1,"")</f>
        <v/>
      </c>
      <c r="BD6">
        <f>IF(AND($A6&lt;&gt;"",BD$3&gt;=$J6,BD$3&lt;=$M6),1,"")</f>
        <v/>
      </c>
      <c r="BE6">
        <f>IF(AND($A6&lt;&gt;"",BE$3&gt;=$J6,BE$3&lt;=$M6),1,"")</f>
        <v/>
      </c>
      <c r="BF6">
        <f>IF(AND($A6&lt;&gt;"",BF$3&gt;=$J6,BF$3&lt;=$M6),1,"")</f>
        <v/>
      </c>
      <c r="BG6">
        <f>IF(AND($A6&lt;&gt;"",BG$3&gt;=$J6,BG$3&lt;=$M6),1,"")</f>
        <v/>
      </c>
      <c r="BH6">
        <f>IF(AND($A6&lt;&gt;"",BH$3&gt;=$J6,BH$3&lt;=$M6),1,"")</f>
        <v/>
      </c>
      <c r="BI6">
        <f>IF(AND($A6&lt;&gt;"",BI$3&gt;=$J6,BI$3&lt;=$M6),1,"")</f>
        <v/>
      </c>
      <c r="BJ6">
        <f>IF(AND($A6&lt;&gt;"",BJ$3&gt;=$J6,BJ$3&lt;=$M6),1,"")</f>
        <v/>
      </c>
      <c r="BK6">
        <f>IF(AND($A6&lt;&gt;"",BK$3&gt;=$J6,BK$3&lt;=$M6),1,"")</f>
        <v/>
      </c>
      <c r="BL6">
        <f>IF(AND($A6&lt;&gt;"",BL$3&gt;=$J6,BL$3&lt;=$M6),1,"")</f>
        <v/>
      </c>
      <c r="BM6">
        <f>IF(AND($A6&lt;&gt;"",BM$3&gt;=$J6,BM$3&lt;=$M6),1,"")</f>
        <v/>
      </c>
      <c r="BN6">
        <f>IF(AND($A6&lt;&gt;"",BN$3&gt;=$J6,BN$3&lt;=$M6),1,"")</f>
        <v/>
      </c>
      <c r="BO6">
        <f>IF(AND($A6&lt;&gt;"",BO$3&gt;=$J6,BO$3&lt;=$M6),1,"")</f>
        <v/>
      </c>
      <c r="BP6">
        <f>IF(AND($A6&lt;&gt;"",BP$3&gt;=$J6,BP$3&lt;=$M6),1,"")</f>
        <v/>
      </c>
      <c r="BQ6">
        <f>IF(AND($A6&lt;&gt;"",BQ$3&gt;=$J6,BQ$3&lt;=$M6),1,"")</f>
        <v/>
      </c>
      <c r="BR6">
        <f>IF(AND($A6&lt;&gt;"",BR$3&gt;=$J6,BR$3&lt;=$M6),1,"")</f>
        <v/>
      </c>
      <c r="BS6">
        <f>IF(AND($A6&lt;&gt;"",BS$3&gt;=$J6,BS$3&lt;=$M6),1,"")</f>
        <v/>
      </c>
      <c r="BT6">
        <f>IF(AND($A6&lt;&gt;"",BT$3&gt;=$J6,BT$3&lt;=$M6),1,"")</f>
        <v/>
      </c>
      <c r="BU6">
        <f>IF(AND($A6&lt;&gt;"",BU$3&gt;=$J6,BU$3&lt;=$M6),1,"")</f>
        <v/>
      </c>
      <c r="BV6">
        <f>IF(AND($A6&lt;&gt;"",BV$3&gt;=$J6,BV$3&lt;=$M6),1,"")</f>
        <v/>
      </c>
    </row>
    <row r="7">
      <c r="A7">
        <f>IF(Job_Master_Ring!$A7="","",Job_Master_Ring!$A7)</f>
        <v/>
      </c>
      <c r="B7">
        <f>IF($A7="","",Job_Master_Ring!B7)</f>
        <v/>
      </c>
      <c r="C7">
        <f>IF($A7="","",Job_Master_Ring!C7)</f>
        <v/>
      </c>
      <c r="D7">
        <f>IF($A7="","",Job_Master_Ring!D7)</f>
        <v/>
      </c>
      <c r="E7">
        <f>IF($A7="","",IF($I7&lt;&gt;"",$I7,IFERROR(INDEX(Machine_List!$B$50:$B$63,MATCH(1,(Machine_List!$H$50:$H$63&lt;=IFERROR(VLOOKUP($B7,CHOOSE(MATCH($C7,Settings!$L$4:$L$10,0),OPR_BR1!$A$4:$K$18,OPR_BR2!$A$4:$K$18,OPR_CR2!$A$4:$K$18,OPR_CR3!$A$4:$K$18,OPR_CR4!$A$4:$K$18,OPR_RIM!$A$4:$K$18,OPR_BPR!$A$4:$K$18),10,0),0))*(Machine_List!$I$50:$I$63&gt;=IFERROR(VLOOKUP($B7,CHOOSE(MATCH($C7,Settings!$L$4:$L$10,0),OPR_BR1!$A$4:$K$18,OPR_BR2!$A$4:$K$18,OPR_CR2!$A$4:$K$18,OPR_CR3!$A$4:$K$18,OPR_CR4!$A$4:$K$18,OPR_RIM!$A$4:$K$18,OPR_BPR!$A$4:$K$18),11,0),9999)),0)),"NO COMPATIBLE MACHINE")))</f>
        <v/>
      </c>
      <c r="F7">
        <f>IF($E7="","",IFERROR(VLOOKUP($E7,Machine_List!$B:$G,6,0),""))</f>
        <v/>
      </c>
      <c r="G7" s="17">
        <f>IF($E7="","",IFERROR(VLOOKUP($E7,Machine_List!$B:$C,2,0),""))</f>
        <v/>
      </c>
      <c r="H7">
        <f>IF($E7="","",IFERROR(VLOOKUP($E7,Machine_List!$B:$D,3,0),""))</f>
        <v/>
      </c>
      <c r="J7" s="16">
        <f>IF($A7="","",IF($I7&lt;&gt;"",$I7,MAX(CNC_Plan!$M7,IFERROR(LOOKUP(2,1/($E$3:INDIRECT("E"&amp;(ROW()-1))=$E7),$M$3:INDIRECT("M"&amp;(ROW()-1))),CNC_Plan!$M7))))</f>
        <v/>
      </c>
      <c r="K7">
        <f>IF($A7="","",IFERROR(VLOOKUP(B7,CHOOSE(MATCH($C7,Settings!$L$4:$L$10,0),OPR_BR1!$A$4:$I$18,OPR_BR2!$A$4:$I$18,OPR_CR2!$A$4:$I$18,OPR_CR3!$A$4:$I$18,OPR_CR4!$A$4:$I$18,OPR_RIM!$A$4:$I$18,OPR_BPR!$A$4:$I$18),6,0),0))</f>
        <v/>
      </c>
      <c r="L7">
        <f>IF($A7="","",K7*D7)</f>
        <v/>
      </c>
      <c r="M7" s="16">
        <f>IF($A7="","",IF(AND(ISNUMBER(G7),G7&gt;=J7,G7&lt;=(J7+(L7/(IF(F7="Contract Workman",Settings!$K$5,Settings!$K$4))))),J7+(L7/(IF(F7="Contract Workman",Settings!$K$5,Settings!$K$4)))+(H7/(IF(F7="Contract Workman",Settings!$K$5,Settings!$K$4))),J7+(L7/(IF(F7="Contract Workman",Settings!$K$5,Settings!$K$4)))))</f>
        <v/>
      </c>
      <c r="N7">
        <f>IF($A7="","",IF(F7="Contract Workman",IF(AND(MOD(M7,1)&gt;=8/24,MOD(M7,1)&lt;20/24),"Shift S1","Shift S2"),IF(AND(MOD(M7,1)&gt;=7/24,MOD(M7,1)&lt;15/24),"Shift A",IF(AND(MOD(M7,1)&gt;=15/24,MOD(M7,1)&lt;23/24),"Shift B","Shift C"))))</f>
        <v/>
      </c>
      <c r="O7">
        <f>IF(B7="","",IF(IFERROR(ISNUMBER(SEARCH(TEXT(B7,"0"),VLOOKUP(E7,Machine_List!$B:$J,9,0))),FALSE),"✅ "&amp; E7,"❌ Sug: "&amp;IFERROR(INDEX(Machine_List!$B$50:$B$63,MATCH(1,(Machine_List!$H$50:$H$63&lt;=IFERROR(VLOOKUP($B7,OPR_BR1!$A$4:$K$18,10,0),0))*(Machine_List!$I$50:$I$63&gt;=IFERROR(VLOOKUP($B7,OPR_BR1!$A$4:$K$18,11,0),9999)),0)),"?")))</f>
        <v/>
      </c>
      <c r="P7">
        <f>IF(AND($A7&lt;&gt;"",P$3&gt;=$J7,P$3&lt;=$M7),1,"")</f>
        <v/>
      </c>
      <c r="Q7">
        <f>IF(AND($A7&lt;&gt;"",Q$3&gt;=$J7,Q$3&lt;=$M7),1,"")</f>
        <v/>
      </c>
      <c r="R7">
        <f>IF(AND($A7&lt;&gt;"",R$3&gt;=$J7,R$3&lt;=$M7),1,"")</f>
        <v/>
      </c>
      <c r="S7">
        <f>IF(AND($A7&lt;&gt;"",S$3&gt;=$J7,S$3&lt;=$M7),1,"")</f>
        <v/>
      </c>
      <c r="T7">
        <f>IF(AND($A7&lt;&gt;"",T$3&gt;=$J7,T$3&lt;=$M7),1,"")</f>
        <v/>
      </c>
      <c r="U7">
        <f>IF(AND($A7&lt;&gt;"",U$3&gt;=$J7,U$3&lt;=$M7),1,"")</f>
        <v/>
      </c>
      <c r="V7">
        <f>IF(AND($A7&lt;&gt;"",V$3&gt;=$J7,V$3&lt;=$M7),1,"")</f>
        <v/>
      </c>
      <c r="W7">
        <f>IF(AND($A7&lt;&gt;"",W$3&gt;=$J7,W$3&lt;=$M7),1,"")</f>
        <v/>
      </c>
      <c r="X7">
        <f>IF(AND($A7&lt;&gt;"",X$3&gt;=$J7,X$3&lt;=$M7),1,"")</f>
        <v/>
      </c>
      <c r="Y7">
        <f>IF(AND($A7&lt;&gt;"",Y$3&gt;=$J7,Y$3&lt;=$M7),1,"")</f>
        <v/>
      </c>
      <c r="Z7">
        <f>IF(AND($A7&lt;&gt;"",Z$3&gt;=$J7,Z$3&lt;=$M7),1,"")</f>
        <v/>
      </c>
      <c r="AA7">
        <f>IF(AND($A7&lt;&gt;"",AA$3&gt;=$J7,AA$3&lt;=$M7),1,"")</f>
        <v/>
      </c>
      <c r="AB7">
        <f>IF(AND($A7&lt;&gt;"",AB$3&gt;=$J7,AB$3&lt;=$M7),1,"")</f>
        <v/>
      </c>
      <c r="AC7">
        <f>IF(AND($A7&lt;&gt;"",AC$3&gt;=$J7,AC$3&lt;=$M7),1,"")</f>
        <v/>
      </c>
      <c r="AD7">
        <f>IF(AND($A7&lt;&gt;"",AD$3&gt;=$J7,AD$3&lt;=$M7),1,"")</f>
        <v/>
      </c>
      <c r="AE7">
        <f>IF(AND($A7&lt;&gt;"",AE$3&gt;=$J7,AE$3&lt;=$M7),1,"")</f>
        <v/>
      </c>
      <c r="AF7">
        <f>IF(AND($A7&lt;&gt;"",AF$3&gt;=$J7,AF$3&lt;=$M7),1,"")</f>
        <v/>
      </c>
      <c r="AG7">
        <f>IF(AND($A7&lt;&gt;"",AG$3&gt;=$J7,AG$3&lt;=$M7),1,"")</f>
        <v/>
      </c>
      <c r="AH7">
        <f>IF(AND($A7&lt;&gt;"",AH$3&gt;=$J7,AH$3&lt;=$M7),1,"")</f>
        <v/>
      </c>
      <c r="AI7">
        <f>IF(AND($A7&lt;&gt;"",AI$3&gt;=$J7,AI$3&lt;=$M7),1,"")</f>
        <v/>
      </c>
      <c r="AJ7">
        <f>IF(AND($A7&lt;&gt;"",AJ$3&gt;=$J7,AJ$3&lt;=$M7),1,"")</f>
        <v/>
      </c>
      <c r="AK7">
        <f>IF(AND($A7&lt;&gt;"",AK$3&gt;=$J7,AK$3&lt;=$M7),1,"")</f>
        <v/>
      </c>
      <c r="AL7">
        <f>IF(AND($A7&lt;&gt;"",AL$3&gt;=$J7,AL$3&lt;=$M7),1,"")</f>
        <v/>
      </c>
      <c r="AM7">
        <f>IF(AND($A7&lt;&gt;"",AM$3&gt;=$J7,AM$3&lt;=$M7),1,"")</f>
        <v/>
      </c>
      <c r="AN7">
        <f>IF(AND($A7&lt;&gt;"",AN$3&gt;=$J7,AN$3&lt;=$M7),1,"")</f>
        <v/>
      </c>
      <c r="AO7">
        <f>IF(AND($A7&lt;&gt;"",AO$3&gt;=$J7,AO$3&lt;=$M7),1,"")</f>
        <v/>
      </c>
      <c r="AP7">
        <f>IF(AND($A7&lt;&gt;"",AP$3&gt;=$J7,AP$3&lt;=$M7),1,"")</f>
        <v/>
      </c>
      <c r="AQ7">
        <f>IF(AND($A7&lt;&gt;"",AQ$3&gt;=$J7,AQ$3&lt;=$M7),1,"")</f>
        <v/>
      </c>
      <c r="AR7">
        <f>IF(AND($A7&lt;&gt;"",AR$3&gt;=$J7,AR$3&lt;=$M7),1,"")</f>
        <v/>
      </c>
      <c r="AS7">
        <f>IF(AND($A7&lt;&gt;"",AS$3&gt;=$J7,AS$3&lt;=$M7),1,"")</f>
        <v/>
      </c>
      <c r="AT7">
        <f>IF(AND($A7&lt;&gt;"",AT$3&gt;=$J7,AT$3&lt;=$M7),1,"")</f>
        <v/>
      </c>
      <c r="AU7">
        <f>IF(AND($A7&lt;&gt;"",AU$3&gt;=$J7,AU$3&lt;=$M7),1,"")</f>
        <v/>
      </c>
      <c r="AV7">
        <f>IF(AND($A7&lt;&gt;"",AV$3&gt;=$J7,AV$3&lt;=$M7),1,"")</f>
        <v/>
      </c>
      <c r="AW7">
        <f>IF(AND($A7&lt;&gt;"",AW$3&gt;=$J7,AW$3&lt;=$M7),1,"")</f>
        <v/>
      </c>
      <c r="AX7">
        <f>IF(AND($A7&lt;&gt;"",AX$3&gt;=$J7,AX$3&lt;=$M7),1,"")</f>
        <v/>
      </c>
      <c r="AY7">
        <f>IF(AND($A7&lt;&gt;"",AY$3&gt;=$J7,AY$3&lt;=$M7),1,"")</f>
        <v/>
      </c>
      <c r="AZ7">
        <f>IF(AND($A7&lt;&gt;"",AZ$3&gt;=$J7,AZ$3&lt;=$M7),1,"")</f>
        <v/>
      </c>
      <c r="BA7">
        <f>IF(AND($A7&lt;&gt;"",BA$3&gt;=$J7,BA$3&lt;=$M7),1,"")</f>
        <v/>
      </c>
      <c r="BB7">
        <f>IF(AND($A7&lt;&gt;"",BB$3&gt;=$J7,BB$3&lt;=$M7),1,"")</f>
        <v/>
      </c>
      <c r="BC7">
        <f>IF(AND($A7&lt;&gt;"",BC$3&gt;=$J7,BC$3&lt;=$M7),1,"")</f>
        <v/>
      </c>
      <c r="BD7">
        <f>IF(AND($A7&lt;&gt;"",BD$3&gt;=$J7,BD$3&lt;=$M7),1,"")</f>
        <v/>
      </c>
      <c r="BE7">
        <f>IF(AND($A7&lt;&gt;"",BE$3&gt;=$J7,BE$3&lt;=$M7),1,"")</f>
        <v/>
      </c>
      <c r="BF7">
        <f>IF(AND($A7&lt;&gt;"",BF$3&gt;=$J7,BF$3&lt;=$M7),1,"")</f>
        <v/>
      </c>
      <c r="BG7">
        <f>IF(AND($A7&lt;&gt;"",BG$3&gt;=$J7,BG$3&lt;=$M7),1,"")</f>
        <v/>
      </c>
      <c r="BH7">
        <f>IF(AND($A7&lt;&gt;"",BH$3&gt;=$J7,BH$3&lt;=$M7),1,"")</f>
        <v/>
      </c>
      <c r="BI7">
        <f>IF(AND($A7&lt;&gt;"",BI$3&gt;=$J7,BI$3&lt;=$M7),1,"")</f>
        <v/>
      </c>
      <c r="BJ7">
        <f>IF(AND($A7&lt;&gt;"",BJ$3&gt;=$J7,BJ$3&lt;=$M7),1,"")</f>
        <v/>
      </c>
      <c r="BK7">
        <f>IF(AND($A7&lt;&gt;"",BK$3&gt;=$J7,BK$3&lt;=$M7),1,"")</f>
        <v/>
      </c>
      <c r="BL7">
        <f>IF(AND($A7&lt;&gt;"",BL$3&gt;=$J7,BL$3&lt;=$M7),1,"")</f>
        <v/>
      </c>
      <c r="BM7">
        <f>IF(AND($A7&lt;&gt;"",BM$3&gt;=$J7,BM$3&lt;=$M7),1,"")</f>
        <v/>
      </c>
      <c r="BN7">
        <f>IF(AND($A7&lt;&gt;"",BN$3&gt;=$J7,BN$3&lt;=$M7),1,"")</f>
        <v/>
      </c>
      <c r="BO7">
        <f>IF(AND($A7&lt;&gt;"",BO$3&gt;=$J7,BO$3&lt;=$M7),1,"")</f>
        <v/>
      </c>
      <c r="BP7">
        <f>IF(AND($A7&lt;&gt;"",BP$3&gt;=$J7,BP$3&lt;=$M7),1,"")</f>
        <v/>
      </c>
      <c r="BQ7">
        <f>IF(AND($A7&lt;&gt;"",BQ$3&gt;=$J7,BQ$3&lt;=$M7),1,"")</f>
        <v/>
      </c>
      <c r="BR7">
        <f>IF(AND($A7&lt;&gt;"",BR$3&gt;=$J7,BR$3&lt;=$M7),1,"")</f>
        <v/>
      </c>
      <c r="BS7">
        <f>IF(AND($A7&lt;&gt;"",BS$3&gt;=$J7,BS$3&lt;=$M7),1,"")</f>
        <v/>
      </c>
      <c r="BT7">
        <f>IF(AND($A7&lt;&gt;"",BT$3&gt;=$J7,BT$3&lt;=$M7),1,"")</f>
        <v/>
      </c>
      <c r="BU7">
        <f>IF(AND($A7&lt;&gt;"",BU$3&gt;=$J7,BU$3&lt;=$M7),1,"")</f>
        <v/>
      </c>
      <c r="BV7">
        <f>IF(AND($A7&lt;&gt;"",BV$3&gt;=$J7,BV$3&lt;=$M7),1,"")</f>
        <v/>
      </c>
    </row>
    <row r="8">
      <c r="A8">
        <f>IF(Job_Master_Ring!$A8="","",Job_Master_Ring!$A8)</f>
        <v/>
      </c>
      <c r="B8">
        <f>IF($A8="","",Job_Master_Ring!B8)</f>
        <v/>
      </c>
      <c r="C8">
        <f>IF($A8="","",Job_Master_Ring!C8)</f>
        <v/>
      </c>
      <c r="D8">
        <f>IF($A8="","",Job_Master_Ring!D8)</f>
        <v/>
      </c>
      <c r="E8">
        <f>IF($A8="","",IF($I8&lt;&gt;"",$I8,IFERROR(INDEX(Machine_List!$B$50:$B$63,MATCH(1,(Machine_List!$H$50:$H$63&lt;=IFERROR(VLOOKUP($B8,CHOOSE(MATCH($C8,Settings!$L$4:$L$10,0),OPR_BR1!$A$4:$K$18,OPR_BR2!$A$4:$K$18,OPR_CR2!$A$4:$K$18,OPR_CR3!$A$4:$K$18,OPR_CR4!$A$4:$K$18,OPR_RIM!$A$4:$K$18,OPR_BPR!$A$4:$K$18),10,0),0))*(Machine_List!$I$50:$I$63&gt;=IFERROR(VLOOKUP($B8,CHOOSE(MATCH($C8,Settings!$L$4:$L$10,0),OPR_BR1!$A$4:$K$18,OPR_BR2!$A$4:$K$18,OPR_CR2!$A$4:$K$18,OPR_CR3!$A$4:$K$18,OPR_CR4!$A$4:$K$18,OPR_RIM!$A$4:$K$18,OPR_BPR!$A$4:$K$18),11,0),9999)),0)),"NO COMPATIBLE MACHINE")))</f>
        <v/>
      </c>
      <c r="F8">
        <f>IF($E8="","",IFERROR(VLOOKUP($E8,Machine_List!$B:$G,6,0),""))</f>
        <v/>
      </c>
      <c r="G8" s="17">
        <f>IF($E8="","",IFERROR(VLOOKUP($E8,Machine_List!$B:$C,2,0),""))</f>
        <v/>
      </c>
      <c r="H8">
        <f>IF($E8="","",IFERROR(VLOOKUP($E8,Machine_List!$B:$D,3,0),""))</f>
        <v/>
      </c>
      <c r="J8" s="16">
        <f>IF($A8="","",IF($I8&lt;&gt;"",$I8,MAX(CNC_Plan!$M8,IFERROR(LOOKUP(2,1/($E$3:INDIRECT("E"&amp;(ROW()-1))=$E8),$M$3:INDIRECT("M"&amp;(ROW()-1))),CNC_Plan!$M8))))</f>
        <v/>
      </c>
      <c r="K8">
        <f>IF($A8="","",IFERROR(VLOOKUP(B8,CHOOSE(MATCH($C8,Settings!$L$4:$L$10,0),OPR_BR1!$A$4:$I$18,OPR_BR2!$A$4:$I$18,OPR_CR2!$A$4:$I$18,OPR_CR3!$A$4:$I$18,OPR_CR4!$A$4:$I$18,OPR_RIM!$A$4:$I$18,OPR_BPR!$A$4:$I$18),6,0),0))</f>
        <v/>
      </c>
      <c r="L8">
        <f>IF($A8="","",K8*D8)</f>
        <v/>
      </c>
      <c r="M8" s="16">
        <f>IF($A8="","",IF(AND(ISNUMBER(G8),G8&gt;=J8,G8&lt;=(J8+(L8/(IF(F8="Contract Workman",Settings!$K$5,Settings!$K$4))))),J8+(L8/(IF(F8="Contract Workman",Settings!$K$5,Settings!$K$4)))+(H8/(IF(F8="Contract Workman",Settings!$K$5,Settings!$K$4))),J8+(L8/(IF(F8="Contract Workman",Settings!$K$5,Settings!$K$4)))))</f>
        <v/>
      </c>
      <c r="N8">
        <f>IF($A8="","",IF(F8="Contract Workman",IF(AND(MOD(M8,1)&gt;=8/24,MOD(M8,1)&lt;20/24),"Shift S1","Shift S2"),IF(AND(MOD(M8,1)&gt;=7/24,MOD(M8,1)&lt;15/24),"Shift A",IF(AND(MOD(M8,1)&gt;=15/24,MOD(M8,1)&lt;23/24),"Shift B","Shift C"))))</f>
        <v/>
      </c>
      <c r="O8">
        <f>IF(B8="","",IF(IFERROR(ISNUMBER(SEARCH(TEXT(B8,"0"),VLOOKUP(E8,Machine_List!$B:$J,9,0))),FALSE),"✅ "&amp; E8,"❌ Sug: "&amp;IFERROR(INDEX(Machine_List!$B$50:$B$63,MATCH(1,(Machine_List!$H$50:$H$63&lt;=IFERROR(VLOOKUP($B8,OPR_BR1!$A$4:$K$18,10,0),0))*(Machine_List!$I$50:$I$63&gt;=IFERROR(VLOOKUP($B8,OPR_BR1!$A$4:$K$18,11,0),9999)),0)),"?")))</f>
        <v/>
      </c>
      <c r="P8">
        <f>IF(AND($A8&lt;&gt;"",P$3&gt;=$J8,P$3&lt;=$M8),1,"")</f>
        <v/>
      </c>
      <c r="Q8">
        <f>IF(AND($A8&lt;&gt;"",Q$3&gt;=$J8,Q$3&lt;=$M8),1,"")</f>
        <v/>
      </c>
      <c r="R8">
        <f>IF(AND($A8&lt;&gt;"",R$3&gt;=$J8,R$3&lt;=$M8),1,"")</f>
        <v/>
      </c>
      <c r="S8">
        <f>IF(AND($A8&lt;&gt;"",S$3&gt;=$J8,S$3&lt;=$M8),1,"")</f>
        <v/>
      </c>
      <c r="T8">
        <f>IF(AND($A8&lt;&gt;"",T$3&gt;=$J8,T$3&lt;=$M8),1,"")</f>
        <v/>
      </c>
      <c r="U8">
        <f>IF(AND($A8&lt;&gt;"",U$3&gt;=$J8,U$3&lt;=$M8),1,"")</f>
        <v/>
      </c>
      <c r="V8">
        <f>IF(AND($A8&lt;&gt;"",V$3&gt;=$J8,V$3&lt;=$M8),1,"")</f>
        <v/>
      </c>
      <c r="W8">
        <f>IF(AND($A8&lt;&gt;"",W$3&gt;=$J8,W$3&lt;=$M8),1,"")</f>
        <v/>
      </c>
      <c r="X8">
        <f>IF(AND($A8&lt;&gt;"",X$3&gt;=$J8,X$3&lt;=$M8),1,"")</f>
        <v/>
      </c>
      <c r="Y8">
        <f>IF(AND($A8&lt;&gt;"",Y$3&gt;=$J8,Y$3&lt;=$M8),1,"")</f>
        <v/>
      </c>
      <c r="Z8">
        <f>IF(AND($A8&lt;&gt;"",Z$3&gt;=$J8,Z$3&lt;=$M8),1,"")</f>
        <v/>
      </c>
      <c r="AA8">
        <f>IF(AND($A8&lt;&gt;"",AA$3&gt;=$J8,AA$3&lt;=$M8),1,"")</f>
        <v/>
      </c>
      <c r="AB8">
        <f>IF(AND($A8&lt;&gt;"",AB$3&gt;=$J8,AB$3&lt;=$M8),1,"")</f>
        <v/>
      </c>
      <c r="AC8">
        <f>IF(AND($A8&lt;&gt;"",AC$3&gt;=$J8,AC$3&lt;=$M8),1,"")</f>
        <v/>
      </c>
      <c r="AD8">
        <f>IF(AND($A8&lt;&gt;"",AD$3&gt;=$J8,AD$3&lt;=$M8),1,"")</f>
        <v/>
      </c>
      <c r="AE8">
        <f>IF(AND($A8&lt;&gt;"",AE$3&gt;=$J8,AE$3&lt;=$M8),1,"")</f>
        <v/>
      </c>
      <c r="AF8">
        <f>IF(AND($A8&lt;&gt;"",AF$3&gt;=$J8,AF$3&lt;=$M8),1,"")</f>
        <v/>
      </c>
      <c r="AG8">
        <f>IF(AND($A8&lt;&gt;"",AG$3&gt;=$J8,AG$3&lt;=$M8),1,"")</f>
        <v/>
      </c>
      <c r="AH8">
        <f>IF(AND($A8&lt;&gt;"",AH$3&gt;=$J8,AH$3&lt;=$M8),1,"")</f>
        <v/>
      </c>
      <c r="AI8">
        <f>IF(AND($A8&lt;&gt;"",AI$3&gt;=$J8,AI$3&lt;=$M8),1,"")</f>
        <v/>
      </c>
      <c r="AJ8">
        <f>IF(AND($A8&lt;&gt;"",AJ$3&gt;=$J8,AJ$3&lt;=$M8),1,"")</f>
        <v/>
      </c>
      <c r="AK8">
        <f>IF(AND($A8&lt;&gt;"",AK$3&gt;=$J8,AK$3&lt;=$M8),1,"")</f>
        <v/>
      </c>
      <c r="AL8">
        <f>IF(AND($A8&lt;&gt;"",AL$3&gt;=$J8,AL$3&lt;=$M8),1,"")</f>
        <v/>
      </c>
      <c r="AM8">
        <f>IF(AND($A8&lt;&gt;"",AM$3&gt;=$J8,AM$3&lt;=$M8),1,"")</f>
        <v/>
      </c>
      <c r="AN8">
        <f>IF(AND($A8&lt;&gt;"",AN$3&gt;=$J8,AN$3&lt;=$M8),1,"")</f>
        <v/>
      </c>
      <c r="AO8">
        <f>IF(AND($A8&lt;&gt;"",AO$3&gt;=$J8,AO$3&lt;=$M8),1,"")</f>
        <v/>
      </c>
      <c r="AP8">
        <f>IF(AND($A8&lt;&gt;"",AP$3&gt;=$J8,AP$3&lt;=$M8),1,"")</f>
        <v/>
      </c>
      <c r="AQ8">
        <f>IF(AND($A8&lt;&gt;"",AQ$3&gt;=$J8,AQ$3&lt;=$M8),1,"")</f>
        <v/>
      </c>
      <c r="AR8">
        <f>IF(AND($A8&lt;&gt;"",AR$3&gt;=$J8,AR$3&lt;=$M8),1,"")</f>
        <v/>
      </c>
      <c r="AS8">
        <f>IF(AND($A8&lt;&gt;"",AS$3&gt;=$J8,AS$3&lt;=$M8),1,"")</f>
        <v/>
      </c>
      <c r="AT8">
        <f>IF(AND($A8&lt;&gt;"",AT$3&gt;=$J8,AT$3&lt;=$M8),1,"")</f>
        <v/>
      </c>
      <c r="AU8">
        <f>IF(AND($A8&lt;&gt;"",AU$3&gt;=$J8,AU$3&lt;=$M8),1,"")</f>
        <v/>
      </c>
      <c r="AV8">
        <f>IF(AND($A8&lt;&gt;"",AV$3&gt;=$J8,AV$3&lt;=$M8),1,"")</f>
        <v/>
      </c>
      <c r="AW8">
        <f>IF(AND($A8&lt;&gt;"",AW$3&gt;=$J8,AW$3&lt;=$M8),1,"")</f>
        <v/>
      </c>
      <c r="AX8">
        <f>IF(AND($A8&lt;&gt;"",AX$3&gt;=$J8,AX$3&lt;=$M8),1,"")</f>
        <v/>
      </c>
      <c r="AY8">
        <f>IF(AND($A8&lt;&gt;"",AY$3&gt;=$J8,AY$3&lt;=$M8),1,"")</f>
        <v/>
      </c>
      <c r="AZ8">
        <f>IF(AND($A8&lt;&gt;"",AZ$3&gt;=$J8,AZ$3&lt;=$M8),1,"")</f>
        <v/>
      </c>
      <c r="BA8">
        <f>IF(AND($A8&lt;&gt;"",BA$3&gt;=$J8,BA$3&lt;=$M8),1,"")</f>
        <v/>
      </c>
      <c r="BB8">
        <f>IF(AND($A8&lt;&gt;"",BB$3&gt;=$J8,BB$3&lt;=$M8),1,"")</f>
        <v/>
      </c>
      <c r="BC8">
        <f>IF(AND($A8&lt;&gt;"",BC$3&gt;=$J8,BC$3&lt;=$M8),1,"")</f>
        <v/>
      </c>
      <c r="BD8">
        <f>IF(AND($A8&lt;&gt;"",BD$3&gt;=$J8,BD$3&lt;=$M8),1,"")</f>
        <v/>
      </c>
      <c r="BE8">
        <f>IF(AND($A8&lt;&gt;"",BE$3&gt;=$J8,BE$3&lt;=$M8),1,"")</f>
        <v/>
      </c>
      <c r="BF8">
        <f>IF(AND($A8&lt;&gt;"",BF$3&gt;=$J8,BF$3&lt;=$M8),1,"")</f>
        <v/>
      </c>
      <c r="BG8">
        <f>IF(AND($A8&lt;&gt;"",BG$3&gt;=$J8,BG$3&lt;=$M8),1,"")</f>
        <v/>
      </c>
      <c r="BH8">
        <f>IF(AND($A8&lt;&gt;"",BH$3&gt;=$J8,BH$3&lt;=$M8),1,"")</f>
        <v/>
      </c>
      <c r="BI8">
        <f>IF(AND($A8&lt;&gt;"",BI$3&gt;=$J8,BI$3&lt;=$M8),1,"")</f>
        <v/>
      </c>
      <c r="BJ8">
        <f>IF(AND($A8&lt;&gt;"",BJ$3&gt;=$J8,BJ$3&lt;=$M8),1,"")</f>
        <v/>
      </c>
      <c r="BK8">
        <f>IF(AND($A8&lt;&gt;"",BK$3&gt;=$J8,BK$3&lt;=$M8),1,"")</f>
        <v/>
      </c>
      <c r="BL8">
        <f>IF(AND($A8&lt;&gt;"",BL$3&gt;=$J8,BL$3&lt;=$M8),1,"")</f>
        <v/>
      </c>
      <c r="BM8">
        <f>IF(AND($A8&lt;&gt;"",BM$3&gt;=$J8,BM$3&lt;=$M8),1,"")</f>
        <v/>
      </c>
      <c r="BN8">
        <f>IF(AND($A8&lt;&gt;"",BN$3&gt;=$J8,BN$3&lt;=$M8),1,"")</f>
        <v/>
      </c>
      <c r="BO8">
        <f>IF(AND($A8&lt;&gt;"",BO$3&gt;=$J8,BO$3&lt;=$M8),1,"")</f>
        <v/>
      </c>
      <c r="BP8">
        <f>IF(AND($A8&lt;&gt;"",BP$3&gt;=$J8,BP$3&lt;=$M8),1,"")</f>
        <v/>
      </c>
      <c r="BQ8">
        <f>IF(AND($A8&lt;&gt;"",BQ$3&gt;=$J8,BQ$3&lt;=$M8),1,"")</f>
        <v/>
      </c>
      <c r="BR8">
        <f>IF(AND($A8&lt;&gt;"",BR$3&gt;=$J8,BR$3&lt;=$M8),1,"")</f>
        <v/>
      </c>
      <c r="BS8">
        <f>IF(AND($A8&lt;&gt;"",BS$3&gt;=$J8,BS$3&lt;=$M8),1,"")</f>
        <v/>
      </c>
      <c r="BT8">
        <f>IF(AND($A8&lt;&gt;"",BT$3&gt;=$J8,BT$3&lt;=$M8),1,"")</f>
        <v/>
      </c>
      <c r="BU8">
        <f>IF(AND($A8&lt;&gt;"",BU$3&gt;=$J8,BU$3&lt;=$M8),1,"")</f>
        <v/>
      </c>
      <c r="BV8">
        <f>IF(AND($A8&lt;&gt;"",BV$3&gt;=$J8,BV$3&lt;=$M8),1,"")</f>
        <v/>
      </c>
    </row>
    <row r="9">
      <c r="A9">
        <f>IF(Job_Master_Ring!$A9="","",Job_Master_Ring!$A9)</f>
        <v/>
      </c>
      <c r="B9">
        <f>IF($A9="","",Job_Master_Ring!B9)</f>
        <v/>
      </c>
      <c r="C9">
        <f>IF($A9="","",Job_Master_Ring!C9)</f>
        <v/>
      </c>
      <c r="D9">
        <f>IF($A9="","",Job_Master_Ring!D9)</f>
        <v/>
      </c>
      <c r="E9">
        <f>IF($A9="","",IF($I9&lt;&gt;"",$I9,IFERROR(INDEX(Machine_List!$B$50:$B$63,MATCH(1,(Machine_List!$H$50:$H$63&lt;=IFERROR(VLOOKUP($B9,CHOOSE(MATCH($C9,Settings!$L$4:$L$10,0),OPR_BR1!$A$4:$K$18,OPR_BR2!$A$4:$K$18,OPR_CR2!$A$4:$K$18,OPR_CR3!$A$4:$K$18,OPR_CR4!$A$4:$K$18,OPR_RIM!$A$4:$K$18,OPR_BPR!$A$4:$K$18),10,0),0))*(Machine_List!$I$50:$I$63&gt;=IFERROR(VLOOKUP($B9,CHOOSE(MATCH($C9,Settings!$L$4:$L$10,0),OPR_BR1!$A$4:$K$18,OPR_BR2!$A$4:$K$18,OPR_CR2!$A$4:$K$18,OPR_CR3!$A$4:$K$18,OPR_CR4!$A$4:$K$18,OPR_RIM!$A$4:$K$18,OPR_BPR!$A$4:$K$18),11,0),9999)),0)),"NO COMPATIBLE MACHINE")))</f>
        <v/>
      </c>
      <c r="F9">
        <f>IF($E9="","",IFERROR(VLOOKUP($E9,Machine_List!$B:$G,6,0),""))</f>
        <v/>
      </c>
      <c r="G9" s="17">
        <f>IF($E9="","",IFERROR(VLOOKUP($E9,Machine_List!$B:$C,2,0),""))</f>
        <v/>
      </c>
      <c r="H9">
        <f>IF($E9="","",IFERROR(VLOOKUP($E9,Machine_List!$B:$D,3,0),""))</f>
        <v/>
      </c>
      <c r="J9" s="16">
        <f>IF($A9="","",IF($I9&lt;&gt;"",$I9,MAX(CNC_Plan!$M9,IFERROR(LOOKUP(2,1/($E$3:INDIRECT("E"&amp;(ROW()-1))=$E9),$M$3:INDIRECT("M"&amp;(ROW()-1))),CNC_Plan!$M9))))</f>
        <v/>
      </c>
      <c r="K9">
        <f>IF($A9="","",IFERROR(VLOOKUP(B9,CHOOSE(MATCH($C9,Settings!$L$4:$L$10,0),OPR_BR1!$A$4:$I$18,OPR_BR2!$A$4:$I$18,OPR_CR2!$A$4:$I$18,OPR_CR3!$A$4:$I$18,OPR_CR4!$A$4:$I$18,OPR_RIM!$A$4:$I$18,OPR_BPR!$A$4:$I$18),6,0),0))</f>
        <v/>
      </c>
      <c r="L9">
        <f>IF($A9="","",K9*D9)</f>
        <v/>
      </c>
      <c r="M9" s="16">
        <f>IF($A9="","",IF(AND(ISNUMBER(G9),G9&gt;=J9,G9&lt;=(J9+(L9/(IF(F9="Contract Workman",Settings!$K$5,Settings!$K$4))))),J9+(L9/(IF(F9="Contract Workman",Settings!$K$5,Settings!$K$4)))+(H9/(IF(F9="Contract Workman",Settings!$K$5,Settings!$K$4))),J9+(L9/(IF(F9="Contract Workman",Settings!$K$5,Settings!$K$4)))))</f>
        <v/>
      </c>
      <c r="N9">
        <f>IF($A9="","",IF(F9="Contract Workman",IF(AND(MOD(M9,1)&gt;=8/24,MOD(M9,1)&lt;20/24),"Shift S1","Shift S2"),IF(AND(MOD(M9,1)&gt;=7/24,MOD(M9,1)&lt;15/24),"Shift A",IF(AND(MOD(M9,1)&gt;=15/24,MOD(M9,1)&lt;23/24),"Shift B","Shift C"))))</f>
        <v/>
      </c>
      <c r="O9">
        <f>IF(B9="","",IF(IFERROR(ISNUMBER(SEARCH(TEXT(B9,"0"),VLOOKUP(E9,Machine_List!$B:$J,9,0))),FALSE),"✅ "&amp; E9,"❌ Sug: "&amp;IFERROR(INDEX(Machine_List!$B$50:$B$63,MATCH(1,(Machine_List!$H$50:$H$63&lt;=IFERROR(VLOOKUP($B9,OPR_BR1!$A$4:$K$18,10,0),0))*(Machine_List!$I$50:$I$63&gt;=IFERROR(VLOOKUP($B9,OPR_BR1!$A$4:$K$18,11,0),9999)),0)),"?")))</f>
        <v/>
      </c>
      <c r="P9">
        <f>IF(AND($A9&lt;&gt;"",P$3&gt;=$J9,P$3&lt;=$M9),1,"")</f>
        <v/>
      </c>
      <c r="Q9">
        <f>IF(AND($A9&lt;&gt;"",Q$3&gt;=$J9,Q$3&lt;=$M9),1,"")</f>
        <v/>
      </c>
      <c r="R9">
        <f>IF(AND($A9&lt;&gt;"",R$3&gt;=$J9,R$3&lt;=$M9),1,"")</f>
        <v/>
      </c>
      <c r="S9">
        <f>IF(AND($A9&lt;&gt;"",S$3&gt;=$J9,S$3&lt;=$M9),1,"")</f>
        <v/>
      </c>
      <c r="T9">
        <f>IF(AND($A9&lt;&gt;"",T$3&gt;=$J9,T$3&lt;=$M9),1,"")</f>
        <v/>
      </c>
      <c r="U9">
        <f>IF(AND($A9&lt;&gt;"",U$3&gt;=$J9,U$3&lt;=$M9),1,"")</f>
        <v/>
      </c>
      <c r="V9">
        <f>IF(AND($A9&lt;&gt;"",V$3&gt;=$J9,V$3&lt;=$M9),1,"")</f>
        <v/>
      </c>
      <c r="W9">
        <f>IF(AND($A9&lt;&gt;"",W$3&gt;=$J9,W$3&lt;=$M9),1,"")</f>
        <v/>
      </c>
      <c r="X9">
        <f>IF(AND($A9&lt;&gt;"",X$3&gt;=$J9,X$3&lt;=$M9),1,"")</f>
        <v/>
      </c>
      <c r="Y9">
        <f>IF(AND($A9&lt;&gt;"",Y$3&gt;=$J9,Y$3&lt;=$M9),1,"")</f>
        <v/>
      </c>
      <c r="Z9">
        <f>IF(AND($A9&lt;&gt;"",Z$3&gt;=$J9,Z$3&lt;=$M9),1,"")</f>
        <v/>
      </c>
      <c r="AA9">
        <f>IF(AND($A9&lt;&gt;"",AA$3&gt;=$J9,AA$3&lt;=$M9),1,"")</f>
        <v/>
      </c>
      <c r="AB9">
        <f>IF(AND($A9&lt;&gt;"",AB$3&gt;=$J9,AB$3&lt;=$M9),1,"")</f>
        <v/>
      </c>
      <c r="AC9">
        <f>IF(AND($A9&lt;&gt;"",AC$3&gt;=$J9,AC$3&lt;=$M9),1,"")</f>
        <v/>
      </c>
      <c r="AD9">
        <f>IF(AND($A9&lt;&gt;"",AD$3&gt;=$J9,AD$3&lt;=$M9),1,"")</f>
        <v/>
      </c>
      <c r="AE9">
        <f>IF(AND($A9&lt;&gt;"",AE$3&gt;=$J9,AE$3&lt;=$M9),1,"")</f>
        <v/>
      </c>
      <c r="AF9">
        <f>IF(AND($A9&lt;&gt;"",AF$3&gt;=$J9,AF$3&lt;=$M9),1,"")</f>
        <v/>
      </c>
      <c r="AG9">
        <f>IF(AND($A9&lt;&gt;"",AG$3&gt;=$J9,AG$3&lt;=$M9),1,"")</f>
        <v/>
      </c>
      <c r="AH9">
        <f>IF(AND($A9&lt;&gt;"",AH$3&gt;=$J9,AH$3&lt;=$M9),1,"")</f>
        <v/>
      </c>
      <c r="AI9">
        <f>IF(AND($A9&lt;&gt;"",AI$3&gt;=$J9,AI$3&lt;=$M9),1,"")</f>
        <v/>
      </c>
      <c r="AJ9">
        <f>IF(AND($A9&lt;&gt;"",AJ$3&gt;=$J9,AJ$3&lt;=$M9),1,"")</f>
        <v/>
      </c>
      <c r="AK9">
        <f>IF(AND($A9&lt;&gt;"",AK$3&gt;=$J9,AK$3&lt;=$M9),1,"")</f>
        <v/>
      </c>
      <c r="AL9">
        <f>IF(AND($A9&lt;&gt;"",AL$3&gt;=$J9,AL$3&lt;=$M9),1,"")</f>
        <v/>
      </c>
      <c r="AM9">
        <f>IF(AND($A9&lt;&gt;"",AM$3&gt;=$J9,AM$3&lt;=$M9),1,"")</f>
        <v/>
      </c>
      <c r="AN9">
        <f>IF(AND($A9&lt;&gt;"",AN$3&gt;=$J9,AN$3&lt;=$M9),1,"")</f>
        <v/>
      </c>
      <c r="AO9">
        <f>IF(AND($A9&lt;&gt;"",AO$3&gt;=$J9,AO$3&lt;=$M9),1,"")</f>
        <v/>
      </c>
      <c r="AP9">
        <f>IF(AND($A9&lt;&gt;"",AP$3&gt;=$J9,AP$3&lt;=$M9),1,"")</f>
        <v/>
      </c>
      <c r="AQ9">
        <f>IF(AND($A9&lt;&gt;"",AQ$3&gt;=$J9,AQ$3&lt;=$M9),1,"")</f>
        <v/>
      </c>
      <c r="AR9">
        <f>IF(AND($A9&lt;&gt;"",AR$3&gt;=$J9,AR$3&lt;=$M9),1,"")</f>
        <v/>
      </c>
      <c r="AS9">
        <f>IF(AND($A9&lt;&gt;"",AS$3&gt;=$J9,AS$3&lt;=$M9),1,"")</f>
        <v/>
      </c>
      <c r="AT9">
        <f>IF(AND($A9&lt;&gt;"",AT$3&gt;=$J9,AT$3&lt;=$M9),1,"")</f>
        <v/>
      </c>
      <c r="AU9">
        <f>IF(AND($A9&lt;&gt;"",AU$3&gt;=$J9,AU$3&lt;=$M9),1,"")</f>
        <v/>
      </c>
      <c r="AV9">
        <f>IF(AND($A9&lt;&gt;"",AV$3&gt;=$J9,AV$3&lt;=$M9),1,"")</f>
        <v/>
      </c>
      <c r="AW9">
        <f>IF(AND($A9&lt;&gt;"",AW$3&gt;=$J9,AW$3&lt;=$M9),1,"")</f>
        <v/>
      </c>
      <c r="AX9">
        <f>IF(AND($A9&lt;&gt;"",AX$3&gt;=$J9,AX$3&lt;=$M9),1,"")</f>
        <v/>
      </c>
      <c r="AY9">
        <f>IF(AND($A9&lt;&gt;"",AY$3&gt;=$J9,AY$3&lt;=$M9),1,"")</f>
        <v/>
      </c>
      <c r="AZ9">
        <f>IF(AND($A9&lt;&gt;"",AZ$3&gt;=$J9,AZ$3&lt;=$M9),1,"")</f>
        <v/>
      </c>
      <c r="BA9">
        <f>IF(AND($A9&lt;&gt;"",BA$3&gt;=$J9,BA$3&lt;=$M9),1,"")</f>
        <v/>
      </c>
      <c r="BB9">
        <f>IF(AND($A9&lt;&gt;"",BB$3&gt;=$J9,BB$3&lt;=$M9),1,"")</f>
        <v/>
      </c>
      <c r="BC9">
        <f>IF(AND($A9&lt;&gt;"",BC$3&gt;=$J9,BC$3&lt;=$M9),1,"")</f>
        <v/>
      </c>
      <c r="BD9">
        <f>IF(AND($A9&lt;&gt;"",BD$3&gt;=$J9,BD$3&lt;=$M9),1,"")</f>
        <v/>
      </c>
      <c r="BE9">
        <f>IF(AND($A9&lt;&gt;"",BE$3&gt;=$J9,BE$3&lt;=$M9),1,"")</f>
        <v/>
      </c>
      <c r="BF9">
        <f>IF(AND($A9&lt;&gt;"",BF$3&gt;=$J9,BF$3&lt;=$M9),1,"")</f>
        <v/>
      </c>
      <c r="BG9">
        <f>IF(AND($A9&lt;&gt;"",BG$3&gt;=$J9,BG$3&lt;=$M9),1,"")</f>
        <v/>
      </c>
      <c r="BH9">
        <f>IF(AND($A9&lt;&gt;"",BH$3&gt;=$J9,BH$3&lt;=$M9),1,"")</f>
        <v/>
      </c>
      <c r="BI9">
        <f>IF(AND($A9&lt;&gt;"",BI$3&gt;=$J9,BI$3&lt;=$M9),1,"")</f>
        <v/>
      </c>
      <c r="BJ9">
        <f>IF(AND($A9&lt;&gt;"",BJ$3&gt;=$J9,BJ$3&lt;=$M9),1,"")</f>
        <v/>
      </c>
      <c r="BK9">
        <f>IF(AND($A9&lt;&gt;"",BK$3&gt;=$J9,BK$3&lt;=$M9),1,"")</f>
        <v/>
      </c>
      <c r="BL9">
        <f>IF(AND($A9&lt;&gt;"",BL$3&gt;=$J9,BL$3&lt;=$M9),1,"")</f>
        <v/>
      </c>
      <c r="BM9">
        <f>IF(AND($A9&lt;&gt;"",BM$3&gt;=$J9,BM$3&lt;=$M9),1,"")</f>
        <v/>
      </c>
      <c r="BN9">
        <f>IF(AND($A9&lt;&gt;"",BN$3&gt;=$J9,BN$3&lt;=$M9),1,"")</f>
        <v/>
      </c>
      <c r="BO9">
        <f>IF(AND($A9&lt;&gt;"",BO$3&gt;=$J9,BO$3&lt;=$M9),1,"")</f>
        <v/>
      </c>
      <c r="BP9">
        <f>IF(AND($A9&lt;&gt;"",BP$3&gt;=$J9,BP$3&lt;=$M9),1,"")</f>
        <v/>
      </c>
      <c r="BQ9">
        <f>IF(AND($A9&lt;&gt;"",BQ$3&gt;=$J9,BQ$3&lt;=$M9),1,"")</f>
        <v/>
      </c>
      <c r="BR9">
        <f>IF(AND($A9&lt;&gt;"",BR$3&gt;=$J9,BR$3&lt;=$M9),1,"")</f>
        <v/>
      </c>
      <c r="BS9">
        <f>IF(AND($A9&lt;&gt;"",BS$3&gt;=$J9,BS$3&lt;=$M9),1,"")</f>
        <v/>
      </c>
      <c r="BT9">
        <f>IF(AND($A9&lt;&gt;"",BT$3&gt;=$J9,BT$3&lt;=$M9),1,"")</f>
        <v/>
      </c>
      <c r="BU9">
        <f>IF(AND($A9&lt;&gt;"",BU$3&gt;=$J9,BU$3&lt;=$M9),1,"")</f>
        <v/>
      </c>
      <c r="BV9">
        <f>IF(AND($A9&lt;&gt;"",BV$3&gt;=$J9,BV$3&lt;=$M9),1,"")</f>
        <v/>
      </c>
    </row>
    <row r="10">
      <c r="A10">
        <f>IF(Job_Master_Ring!$A10="","",Job_Master_Ring!$A10)</f>
        <v/>
      </c>
      <c r="B10">
        <f>IF($A10="","",Job_Master_Ring!B10)</f>
        <v/>
      </c>
      <c r="C10">
        <f>IF($A10="","",Job_Master_Ring!C10)</f>
        <v/>
      </c>
      <c r="D10">
        <f>IF($A10="","",Job_Master_Ring!D10)</f>
        <v/>
      </c>
      <c r="E10">
        <f>IF($A10="","",IF($I10&lt;&gt;"",$I10,IFERROR(INDEX(Machine_List!$B$50:$B$63,MATCH(1,(Machine_List!$H$50:$H$63&lt;=IFERROR(VLOOKUP($B10,CHOOSE(MATCH($C10,Settings!$L$4:$L$10,0),OPR_BR1!$A$4:$K$18,OPR_BR2!$A$4:$K$18,OPR_CR2!$A$4:$K$18,OPR_CR3!$A$4:$K$18,OPR_CR4!$A$4:$K$18,OPR_RIM!$A$4:$K$18,OPR_BPR!$A$4:$K$18),10,0),0))*(Machine_List!$I$50:$I$63&gt;=IFERROR(VLOOKUP($B10,CHOOSE(MATCH($C10,Settings!$L$4:$L$10,0),OPR_BR1!$A$4:$K$18,OPR_BR2!$A$4:$K$18,OPR_CR2!$A$4:$K$18,OPR_CR3!$A$4:$K$18,OPR_CR4!$A$4:$K$18,OPR_RIM!$A$4:$K$18,OPR_BPR!$A$4:$K$18),11,0),9999)),0)),"NO COMPATIBLE MACHINE")))</f>
        <v/>
      </c>
      <c r="F10">
        <f>IF($E10="","",IFERROR(VLOOKUP($E10,Machine_List!$B:$G,6,0),""))</f>
        <v/>
      </c>
      <c r="G10" s="17">
        <f>IF($E10="","",IFERROR(VLOOKUP($E10,Machine_List!$B:$C,2,0),""))</f>
        <v/>
      </c>
      <c r="H10">
        <f>IF($E10="","",IFERROR(VLOOKUP($E10,Machine_List!$B:$D,3,0),""))</f>
        <v/>
      </c>
      <c r="J10" s="16">
        <f>IF($A10="","",IF($I10&lt;&gt;"",$I10,MAX(CNC_Plan!$M10,IFERROR(LOOKUP(2,1/($E$3:INDIRECT("E"&amp;(ROW()-1))=$E10),$M$3:INDIRECT("M"&amp;(ROW()-1))),CNC_Plan!$M10))))</f>
        <v/>
      </c>
      <c r="K10">
        <f>IF($A10="","",IFERROR(VLOOKUP(B10,CHOOSE(MATCH($C10,Settings!$L$4:$L$10,0),OPR_BR1!$A$4:$I$18,OPR_BR2!$A$4:$I$18,OPR_CR2!$A$4:$I$18,OPR_CR3!$A$4:$I$18,OPR_CR4!$A$4:$I$18,OPR_RIM!$A$4:$I$18,OPR_BPR!$A$4:$I$18),6,0),0))</f>
        <v/>
      </c>
      <c r="L10">
        <f>IF($A10="","",K10*D10)</f>
        <v/>
      </c>
      <c r="M10" s="16">
        <f>IF($A10="","",IF(AND(ISNUMBER(G10),G10&gt;=J10,G10&lt;=(J10+(L10/(IF(F10="Contract Workman",Settings!$K$5,Settings!$K$4))))),J10+(L10/(IF(F10="Contract Workman",Settings!$K$5,Settings!$K$4)))+(H10/(IF(F10="Contract Workman",Settings!$K$5,Settings!$K$4))),J10+(L10/(IF(F10="Contract Workman",Settings!$K$5,Settings!$K$4)))))</f>
        <v/>
      </c>
      <c r="N10">
        <f>IF($A10="","",IF(F10="Contract Workman",IF(AND(MOD(M10,1)&gt;=8/24,MOD(M10,1)&lt;20/24),"Shift S1","Shift S2"),IF(AND(MOD(M10,1)&gt;=7/24,MOD(M10,1)&lt;15/24),"Shift A",IF(AND(MOD(M10,1)&gt;=15/24,MOD(M10,1)&lt;23/24),"Shift B","Shift C"))))</f>
        <v/>
      </c>
      <c r="O10">
        <f>IF(B10="","",IF(IFERROR(ISNUMBER(SEARCH(TEXT(B10,"0"),VLOOKUP(E10,Machine_List!$B:$J,9,0))),FALSE),"✅ "&amp; E10,"❌ Sug: "&amp;IFERROR(INDEX(Machine_List!$B$50:$B$63,MATCH(1,(Machine_List!$H$50:$H$63&lt;=IFERROR(VLOOKUP($B10,OPR_BR1!$A$4:$K$18,10,0),0))*(Machine_List!$I$50:$I$63&gt;=IFERROR(VLOOKUP($B10,OPR_BR1!$A$4:$K$18,11,0),9999)),0)),"?")))</f>
        <v/>
      </c>
      <c r="P10">
        <f>IF(AND($A10&lt;&gt;"",P$3&gt;=$J10,P$3&lt;=$M10),1,"")</f>
        <v/>
      </c>
      <c r="Q10">
        <f>IF(AND($A10&lt;&gt;"",Q$3&gt;=$J10,Q$3&lt;=$M10),1,"")</f>
        <v/>
      </c>
      <c r="R10">
        <f>IF(AND($A10&lt;&gt;"",R$3&gt;=$J10,R$3&lt;=$M10),1,"")</f>
        <v/>
      </c>
      <c r="S10">
        <f>IF(AND($A10&lt;&gt;"",S$3&gt;=$J10,S$3&lt;=$M10),1,"")</f>
        <v/>
      </c>
      <c r="T10">
        <f>IF(AND($A10&lt;&gt;"",T$3&gt;=$J10,T$3&lt;=$M10),1,"")</f>
        <v/>
      </c>
      <c r="U10">
        <f>IF(AND($A10&lt;&gt;"",U$3&gt;=$J10,U$3&lt;=$M10),1,"")</f>
        <v/>
      </c>
      <c r="V10">
        <f>IF(AND($A10&lt;&gt;"",V$3&gt;=$J10,V$3&lt;=$M10),1,"")</f>
        <v/>
      </c>
      <c r="W10">
        <f>IF(AND($A10&lt;&gt;"",W$3&gt;=$J10,W$3&lt;=$M10),1,"")</f>
        <v/>
      </c>
      <c r="X10">
        <f>IF(AND($A10&lt;&gt;"",X$3&gt;=$J10,X$3&lt;=$M10),1,"")</f>
        <v/>
      </c>
      <c r="Y10">
        <f>IF(AND($A10&lt;&gt;"",Y$3&gt;=$J10,Y$3&lt;=$M10),1,"")</f>
        <v/>
      </c>
      <c r="Z10">
        <f>IF(AND($A10&lt;&gt;"",Z$3&gt;=$J10,Z$3&lt;=$M10),1,"")</f>
        <v/>
      </c>
      <c r="AA10">
        <f>IF(AND($A10&lt;&gt;"",AA$3&gt;=$J10,AA$3&lt;=$M10),1,"")</f>
        <v/>
      </c>
      <c r="AB10">
        <f>IF(AND($A10&lt;&gt;"",AB$3&gt;=$J10,AB$3&lt;=$M10),1,"")</f>
        <v/>
      </c>
      <c r="AC10">
        <f>IF(AND($A10&lt;&gt;"",AC$3&gt;=$J10,AC$3&lt;=$M10),1,"")</f>
        <v/>
      </c>
      <c r="AD10">
        <f>IF(AND($A10&lt;&gt;"",AD$3&gt;=$J10,AD$3&lt;=$M10),1,"")</f>
        <v/>
      </c>
      <c r="AE10">
        <f>IF(AND($A10&lt;&gt;"",AE$3&gt;=$J10,AE$3&lt;=$M10),1,"")</f>
        <v/>
      </c>
      <c r="AF10">
        <f>IF(AND($A10&lt;&gt;"",AF$3&gt;=$J10,AF$3&lt;=$M10),1,"")</f>
        <v/>
      </c>
      <c r="AG10">
        <f>IF(AND($A10&lt;&gt;"",AG$3&gt;=$J10,AG$3&lt;=$M10),1,"")</f>
        <v/>
      </c>
      <c r="AH10">
        <f>IF(AND($A10&lt;&gt;"",AH$3&gt;=$J10,AH$3&lt;=$M10),1,"")</f>
        <v/>
      </c>
      <c r="AI10">
        <f>IF(AND($A10&lt;&gt;"",AI$3&gt;=$J10,AI$3&lt;=$M10),1,"")</f>
        <v/>
      </c>
      <c r="AJ10">
        <f>IF(AND($A10&lt;&gt;"",AJ$3&gt;=$J10,AJ$3&lt;=$M10),1,"")</f>
        <v/>
      </c>
      <c r="AK10">
        <f>IF(AND($A10&lt;&gt;"",AK$3&gt;=$J10,AK$3&lt;=$M10),1,"")</f>
        <v/>
      </c>
      <c r="AL10">
        <f>IF(AND($A10&lt;&gt;"",AL$3&gt;=$J10,AL$3&lt;=$M10),1,"")</f>
        <v/>
      </c>
      <c r="AM10">
        <f>IF(AND($A10&lt;&gt;"",AM$3&gt;=$J10,AM$3&lt;=$M10),1,"")</f>
        <v/>
      </c>
      <c r="AN10">
        <f>IF(AND($A10&lt;&gt;"",AN$3&gt;=$J10,AN$3&lt;=$M10),1,"")</f>
        <v/>
      </c>
      <c r="AO10">
        <f>IF(AND($A10&lt;&gt;"",AO$3&gt;=$J10,AO$3&lt;=$M10),1,"")</f>
        <v/>
      </c>
      <c r="AP10">
        <f>IF(AND($A10&lt;&gt;"",AP$3&gt;=$J10,AP$3&lt;=$M10),1,"")</f>
        <v/>
      </c>
      <c r="AQ10">
        <f>IF(AND($A10&lt;&gt;"",AQ$3&gt;=$J10,AQ$3&lt;=$M10),1,"")</f>
        <v/>
      </c>
      <c r="AR10">
        <f>IF(AND($A10&lt;&gt;"",AR$3&gt;=$J10,AR$3&lt;=$M10),1,"")</f>
        <v/>
      </c>
      <c r="AS10">
        <f>IF(AND($A10&lt;&gt;"",AS$3&gt;=$J10,AS$3&lt;=$M10),1,"")</f>
        <v/>
      </c>
      <c r="AT10">
        <f>IF(AND($A10&lt;&gt;"",AT$3&gt;=$J10,AT$3&lt;=$M10),1,"")</f>
        <v/>
      </c>
      <c r="AU10">
        <f>IF(AND($A10&lt;&gt;"",AU$3&gt;=$J10,AU$3&lt;=$M10),1,"")</f>
        <v/>
      </c>
      <c r="AV10">
        <f>IF(AND($A10&lt;&gt;"",AV$3&gt;=$J10,AV$3&lt;=$M10),1,"")</f>
        <v/>
      </c>
      <c r="AW10">
        <f>IF(AND($A10&lt;&gt;"",AW$3&gt;=$J10,AW$3&lt;=$M10),1,"")</f>
        <v/>
      </c>
      <c r="AX10">
        <f>IF(AND($A10&lt;&gt;"",AX$3&gt;=$J10,AX$3&lt;=$M10),1,"")</f>
        <v/>
      </c>
      <c r="AY10">
        <f>IF(AND($A10&lt;&gt;"",AY$3&gt;=$J10,AY$3&lt;=$M10),1,"")</f>
        <v/>
      </c>
      <c r="AZ10">
        <f>IF(AND($A10&lt;&gt;"",AZ$3&gt;=$J10,AZ$3&lt;=$M10),1,"")</f>
        <v/>
      </c>
      <c r="BA10">
        <f>IF(AND($A10&lt;&gt;"",BA$3&gt;=$J10,BA$3&lt;=$M10),1,"")</f>
        <v/>
      </c>
      <c r="BB10">
        <f>IF(AND($A10&lt;&gt;"",BB$3&gt;=$J10,BB$3&lt;=$M10),1,"")</f>
        <v/>
      </c>
      <c r="BC10">
        <f>IF(AND($A10&lt;&gt;"",BC$3&gt;=$J10,BC$3&lt;=$M10),1,"")</f>
        <v/>
      </c>
      <c r="BD10">
        <f>IF(AND($A10&lt;&gt;"",BD$3&gt;=$J10,BD$3&lt;=$M10),1,"")</f>
        <v/>
      </c>
      <c r="BE10">
        <f>IF(AND($A10&lt;&gt;"",BE$3&gt;=$J10,BE$3&lt;=$M10),1,"")</f>
        <v/>
      </c>
      <c r="BF10">
        <f>IF(AND($A10&lt;&gt;"",BF$3&gt;=$J10,BF$3&lt;=$M10),1,"")</f>
        <v/>
      </c>
      <c r="BG10">
        <f>IF(AND($A10&lt;&gt;"",BG$3&gt;=$J10,BG$3&lt;=$M10),1,"")</f>
        <v/>
      </c>
      <c r="BH10">
        <f>IF(AND($A10&lt;&gt;"",BH$3&gt;=$J10,BH$3&lt;=$M10),1,"")</f>
        <v/>
      </c>
      <c r="BI10">
        <f>IF(AND($A10&lt;&gt;"",BI$3&gt;=$J10,BI$3&lt;=$M10),1,"")</f>
        <v/>
      </c>
      <c r="BJ10">
        <f>IF(AND($A10&lt;&gt;"",BJ$3&gt;=$J10,BJ$3&lt;=$M10),1,"")</f>
        <v/>
      </c>
      <c r="BK10">
        <f>IF(AND($A10&lt;&gt;"",BK$3&gt;=$J10,BK$3&lt;=$M10),1,"")</f>
        <v/>
      </c>
      <c r="BL10">
        <f>IF(AND($A10&lt;&gt;"",BL$3&gt;=$J10,BL$3&lt;=$M10),1,"")</f>
        <v/>
      </c>
      <c r="BM10">
        <f>IF(AND($A10&lt;&gt;"",BM$3&gt;=$J10,BM$3&lt;=$M10),1,"")</f>
        <v/>
      </c>
      <c r="BN10">
        <f>IF(AND($A10&lt;&gt;"",BN$3&gt;=$J10,BN$3&lt;=$M10),1,"")</f>
        <v/>
      </c>
      <c r="BO10">
        <f>IF(AND($A10&lt;&gt;"",BO$3&gt;=$J10,BO$3&lt;=$M10),1,"")</f>
        <v/>
      </c>
      <c r="BP10">
        <f>IF(AND($A10&lt;&gt;"",BP$3&gt;=$J10,BP$3&lt;=$M10),1,"")</f>
        <v/>
      </c>
      <c r="BQ10">
        <f>IF(AND($A10&lt;&gt;"",BQ$3&gt;=$J10,BQ$3&lt;=$M10),1,"")</f>
        <v/>
      </c>
      <c r="BR10">
        <f>IF(AND($A10&lt;&gt;"",BR$3&gt;=$J10,BR$3&lt;=$M10),1,"")</f>
        <v/>
      </c>
      <c r="BS10">
        <f>IF(AND($A10&lt;&gt;"",BS$3&gt;=$J10,BS$3&lt;=$M10),1,"")</f>
        <v/>
      </c>
      <c r="BT10">
        <f>IF(AND($A10&lt;&gt;"",BT$3&gt;=$J10,BT$3&lt;=$M10),1,"")</f>
        <v/>
      </c>
      <c r="BU10">
        <f>IF(AND($A10&lt;&gt;"",BU$3&gt;=$J10,BU$3&lt;=$M10),1,"")</f>
        <v/>
      </c>
      <c r="BV10">
        <f>IF(AND($A10&lt;&gt;"",BV$3&gt;=$J10,BV$3&lt;=$M10),1,"")</f>
        <v/>
      </c>
    </row>
    <row r="11">
      <c r="A11">
        <f>IF(Job_Master_Ring!$A11="","",Job_Master_Ring!$A11)</f>
        <v/>
      </c>
      <c r="B11">
        <f>IF($A11="","",Job_Master_Ring!B11)</f>
        <v/>
      </c>
      <c r="C11">
        <f>IF($A11="","",Job_Master_Ring!C11)</f>
        <v/>
      </c>
      <c r="D11">
        <f>IF($A11="","",Job_Master_Ring!D11)</f>
        <v/>
      </c>
      <c r="E11">
        <f>IF($A11="","",IF($I11&lt;&gt;"",$I11,IFERROR(INDEX(Machine_List!$B$50:$B$63,MATCH(1,(Machine_List!$H$50:$H$63&lt;=IFERROR(VLOOKUP($B11,CHOOSE(MATCH($C11,Settings!$L$4:$L$10,0),OPR_BR1!$A$4:$K$18,OPR_BR2!$A$4:$K$18,OPR_CR2!$A$4:$K$18,OPR_CR3!$A$4:$K$18,OPR_CR4!$A$4:$K$18,OPR_RIM!$A$4:$K$18,OPR_BPR!$A$4:$K$18),10,0),0))*(Machine_List!$I$50:$I$63&gt;=IFERROR(VLOOKUP($B11,CHOOSE(MATCH($C11,Settings!$L$4:$L$10,0),OPR_BR1!$A$4:$K$18,OPR_BR2!$A$4:$K$18,OPR_CR2!$A$4:$K$18,OPR_CR3!$A$4:$K$18,OPR_CR4!$A$4:$K$18,OPR_RIM!$A$4:$K$18,OPR_BPR!$A$4:$K$18),11,0),9999)),0)),"NO COMPATIBLE MACHINE")))</f>
        <v/>
      </c>
      <c r="F11">
        <f>IF($E11="","",IFERROR(VLOOKUP($E11,Machine_List!$B:$G,6,0),""))</f>
        <v/>
      </c>
      <c r="G11" s="17">
        <f>IF($E11="","",IFERROR(VLOOKUP($E11,Machine_List!$B:$C,2,0),""))</f>
        <v/>
      </c>
      <c r="H11">
        <f>IF($E11="","",IFERROR(VLOOKUP($E11,Machine_List!$B:$D,3,0),""))</f>
        <v/>
      </c>
      <c r="J11" s="16">
        <f>IF($A11="","",IF($I11&lt;&gt;"",$I11,MAX(CNC_Plan!$M11,IFERROR(LOOKUP(2,1/($E$3:INDIRECT("E"&amp;(ROW()-1))=$E11),$M$3:INDIRECT("M"&amp;(ROW()-1))),CNC_Plan!$M11))))</f>
        <v/>
      </c>
      <c r="K11">
        <f>IF($A11="","",IFERROR(VLOOKUP(B11,CHOOSE(MATCH($C11,Settings!$L$4:$L$10,0),OPR_BR1!$A$4:$I$18,OPR_BR2!$A$4:$I$18,OPR_CR2!$A$4:$I$18,OPR_CR3!$A$4:$I$18,OPR_CR4!$A$4:$I$18,OPR_RIM!$A$4:$I$18,OPR_BPR!$A$4:$I$18),6,0),0))</f>
        <v/>
      </c>
      <c r="L11">
        <f>IF($A11="","",K11*D11)</f>
        <v/>
      </c>
      <c r="M11" s="16">
        <f>IF($A11="","",IF(AND(ISNUMBER(G11),G11&gt;=J11,G11&lt;=(J11+(L11/(IF(F11="Contract Workman",Settings!$K$5,Settings!$K$4))))),J11+(L11/(IF(F11="Contract Workman",Settings!$K$5,Settings!$K$4)))+(H11/(IF(F11="Contract Workman",Settings!$K$5,Settings!$K$4))),J11+(L11/(IF(F11="Contract Workman",Settings!$K$5,Settings!$K$4)))))</f>
        <v/>
      </c>
      <c r="N11">
        <f>IF($A11="","",IF(F11="Contract Workman",IF(AND(MOD(M11,1)&gt;=8/24,MOD(M11,1)&lt;20/24),"Shift S1","Shift S2"),IF(AND(MOD(M11,1)&gt;=7/24,MOD(M11,1)&lt;15/24),"Shift A",IF(AND(MOD(M11,1)&gt;=15/24,MOD(M11,1)&lt;23/24),"Shift B","Shift C"))))</f>
        <v/>
      </c>
      <c r="O11">
        <f>IF(B11="","",IF(IFERROR(ISNUMBER(SEARCH(TEXT(B11,"0"),VLOOKUP(E11,Machine_List!$B:$J,9,0))),FALSE),"✅ "&amp; E11,"❌ Sug: "&amp;IFERROR(INDEX(Machine_List!$B$50:$B$63,MATCH(1,(Machine_List!$H$50:$H$63&lt;=IFERROR(VLOOKUP($B11,OPR_BR1!$A$4:$K$18,10,0),0))*(Machine_List!$I$50:$I$63&gt;=IFERROR(VLOOKUP($B11,OPR_BR1!$A$4:$K$18,11,0),9999)),0)),"?")))</f>
        <v/>
      </c>
      <c r="P11">
        <f>IF(AND($A11&lt;&gt;"",P$3&gt;=$J11,P$3&lt;=$M11),1,"")</f>
        <v/>
      </c>
      <c r="Q11">
        <f>IF(AND($A11&lt;&gt;"",Q$3&gt;=$J11,Q$3&lt;=$M11),1,"")</f>
        <v/>
      </c>
      <c r="R11">
        <f>IF(AND($A11&lt;&gt;"",R$3&gt;=$J11,R$3&lt;=$M11),1,"")</f>
        <v/>
      </c>
      <c r="S11">
        <f>IF(AND($A11&lt;&gt;"",S$3&gt;=$J11,S$3&lt;=$M11),1,"")</f>
        <v/>
      </c>
      <c r="T11">
        <f>IF(AND($A11&lt;&gt;"",T$3&gt;=$J11,T$3&lt;=$M11),1,"")</f>
        <v/>
      </c>
      <c r="U11">
        <f>IF(AND($A11&lt;&gt;"",U$3&gt;=$J11,U$3&lt;=$M11),1,"")</f>
        <v/>
      </c>
      <c r="V11">
        <f>IF(AND($A11&lt;&gt;"",V$3&gt;=$J11,V$3&lt;=$M11),1,"")</f>
        <v/>
      </c>
      <c r="W11">
        <f>IF(AND($A11&lt;&gt;"",W$3&gt;=$J11,W$3&lt;=$M11),1,"")</f>
        <v/>
      </c>
      <c r="X11">
        <f>IF(AND($A11&lt;&gt;"",X$3&gt;=$J11,X$3&lt;=$M11),1,"")</f>
        <v/>
      </c>
      <c r="Y11">
        <f>IF(AND($A11&lt;&gt;"",Y$3&gt;=$J11,Y$3&lt;=$M11),1,"")</f>
        <v/>
      </c>
      <c r="Z11">
        <f>IF(AND($A11&lt;&gt;"",Z$3&gt;=$J11,Z$3&lt;=$M11),1,"")</f>
        <v/>
      </c>
      <c r="AA11">
        <f>IF(AND($A11&lt;&gt;"",AA$3&gt;=$J11,AA$3&lt;=$M11),1,"")</f>
        <v/>
      </c>
      <c r="AB11">
        <f>IF(AND($A11&lt;&gt;"",AB$3&gt;=$J11,AB$3&lt;=$M11),1,"")</f>
        <v/>
      </c>
      <c r="AC11">
        <f>IF(AND($A11&lt;&gt;"",AC$3&gt;=$J11,AC$3&lt;=$M11),1,"")</f>
        <v/>
      </c>
      <c r="AD11">
        <f>IF(AND($A11&lt;&gt;"",AD$3&gt;=$J11,AD$3&lt;=$M11),1,"")</f>
        <v/>
      </c>
      <c r="AE11">
        <f>IF(AND($A11&lt;&gt;"",AE$3&gt;=$J11,AE$3&lt;=$M11),1,"")</f>
        <v/>
      </c>
      <c r="AF11">
        <f>IF(AND($A11&lt;&gt;"",AF$3&gt;=$J11,AF$3&lt;=$M11),1,"")</f>
        <v/>
      </c>
      <c r="AG11">
        <f>IF(AND($A11&lt;&gt;"",AG$3&gt;=$J11,AG$3&lt;=$M11),1,"")</f>
        <v/>
      </c>
      <c r="AH11">
        <f>IF(AND($A11&lt;&gt;"",AH$3&gt;=$J11,AH$3&lt;=$M11),1,"")</f>
        <v/>
      </c>
      <c r="AI11">
        <f>IF(AND($A11&lt;&gt;"",AI$3&gt;=$J11,AI$3&lt;=$M11),1,"")</f>
        <v/>
      </c>
      <c r="AJ11">
        <f>IF(AND($A11&lt;&gt;"",AJ$3&gt;=$J11,AJ$3&lt;=$M11),1,"")</f>
        <v/>
      </c>
      <c r="AK11">
        <f>IF(AND($A11&lt;&gt;"",AK$3&gt;=$J11,AK$3&lt;=$M11),1,"")</f>
        <v/>
      </c>
      <c r="AL11">
        <f>IF(AND($A11&lt;&gt;"",AL$3&gt;=$J11,AL$3&lt;=$M11),1,"")</f>
        <v/>
      </c>
      <c r="AM11">
        <f>IF(AND($A11&lt;&gt;"",AM$3&gt;=$J11,AM$3&lt;=$M11),1,"")</f>
        <v/>
      </c>
      <c r="AN11">
        <f>IF(AND($A11&lt;&gt;"",AN$3&gt;=$J11,AN$3&lt;=$M11),1,"")</f>
        <v/>
      </c>
      <c r="AO11">
        <f>IF(AND($A11&lt;&gt;"",AO$3&gt;=$J11,AO$3&lt;=$M11),1,"")</f>
        <v/>
      </c>
      <c r="AP11">
        <f>IF(AND($A11&lt;&gt;"",AP$3&gt;=$J11,AP$3&lt;=$M11),1,"")</f>
        <v/>
      </c>
      <c r="AQ11">
        <f>IF(AND($A11&lt;&gt;"",AQ$3&gt;=$J11,AQ$3&lt;=$M11),1,"")</f>
        <v/>
      </c>
      <c r="AR11">
        <f>IF(AND($A11&lt;&gt;"",AR$3&gt;=$J11,AR$3&lt;=$M11),1,"")</f>
        <v/>
      </c>
      <c r="AS11">
        <f>IF(AND($A11&lt;&gt;"",AS$3&gt;=$J11,AS$3&lt;=$M11),1,"")</f>
        <v/>
      </c>
      <c r="AT11">
        <f>IF(AND($A11&lt;&gt;"",AT$3&gt;=$J11,AT$3&lt;=$M11),1,"")</f>
        <v/>
      </c>
      <c r="AU11">
        <f>IF(AND($A11&lt;&gt;"",AU$3&gt;=$J11,AU$3&lt;=$M11),1,"")</f>
        <v/>
      </c>
      <c r="AV11">
        <f>IF(AND($A11&lt;&gt;"",AV$3&gt;=$J11,AV$3&lt;=$M11),1,"")</f>
        <v/>
      </c>
      <c r="AW11">
        <f>IF(AND($A11&lt;&gt;"",AW$3&gt;=$J11,AW$3&lt;=$M11),1,"")</f>
        <v/>
      </c>
      <c r="AX11">
        <f>IF(AND($A11&lt;&gt;"",AX$3&gt;=$J11,AX$3&lt;=$M11),1,"")</f>
        <v/>
      </c>
      <c r="AY11">
        <f>IF(AND($A11&lt;&gt;"",AY$3&gt;=$J11,AY$3&lt;=$M11),1,"")</f>
        <v/>
      </c>
      <c r="AZ11">
        <f>IF(AND($A11&lt;&gt;"",AZ$3&gt;=$J11,AZ$3&lt;=$M11),1,"")</f>
        <v/>
      </c>
      <c r="BA11">
        <f>IF(AND($A11&lt;&gt;"",BA$3&gt;=$J11,BA$3&lt;=$M11),1,"")</f>
        <v/>
      </c>
      <c r="BB11">
        <f>IF(AND($A11&lt;&gt;"",BB$3&gt;=$J11,BB$3&lt;=$M11),1,"")</f>
        <v/>
      </c>
      <c r="BC11">
        <f>IF(AND($A11&lt;&gt;"",BC$3&gt;=$J11,BC$3&lt;=$M11),1,"")</f>
        <v/>
      </c>
      <c r="BD11">
        <f>IF(AND($A11&lt;&gt;"",BD$3&gt;=$J11,BD$3&lt;=$M11),1,"")</f>
        <v/>
      </c>
      <c r="BE11">
        <f>IF(AND($A11&lt;&gt;"",BE$3&gt;=$J11,BE$3&lt;=$M11),1,"")</f>
        <v/>
      </c>
      <c r="BF11">
        <f>IF(AND($A11&lt;&gt;"",BF$3&gt;=$J11,BF$3&lt;=$M11),1,"")</f>
        <v/>
      </c>
      <c r="BG11">
        <f>IF(AND($A11&lt;&gt;"",BG$3&gt;=$J11,BG$3&lt;=$M11),1,"")</f>
        <v/>
      </c>
      <c r="BH11">
        <f>IF(AND($A11&lt;&gt;"",BH$3&gt;=$J11,BH$3&lt;=$M11),1,"")</f>
        <v/>
      </c>
      <c r="BI11">
        <f>IF(AND($A11&lt;&gt;"",BI$3&gt;=$J11,BI$3&lt;=$M11),1,"")</f>
        <v/>
      </c>
      <c r="BJ11">
        <f>IF(AND($A11&lt;&gt;"",BJ$3&gt;=$J11,BJ$3&lt;=$M11),1,"")</f>
        <v/>
      </c>
      <c r="BK11">
        <f>IF(AND($A11&lt;&gt;"",BK$3&gt;=$J11,BK$3&lt;=$M11),1,"")</f>
        <v/>
      </c>
      <c r="BL11">
        <f>IF(AND($A11&lt;&gt;"",BL$3&gt;=$J11,BL$3&lt;=$M11),1,"")</f>
        <v/>
      </c>
      <c r="BM11">
        <f>IF(AND($A11&lt;&gt;"",BM$3&gt;=$J11,BM$3&lt;=$M11),1,"")</f>
        <v/>
      </c>
      <c r="BN11">
        <f>IF(AND($A11&lt;&gt;"",BN$3&gt;=$J11,BN$3&lt;=$M11),1,"")</f>
        <v/>
      </c>
      <c r="BO11">
        <f>IF(AND($A11&lt;&gt;"",BO$3&gt;=$J11,BO$3&lt;=$M11),1,"")</f>
        <v/>
      </c>
      <c r="BP11">
        <f>IF(AND($A11&lt;&gt;"",BP$3&gt;=$J11,BP$3&lt;=$M11),1,"")</f>
        <v/>
      </c>
      <c r="BQ11">
        <f>IF(AND($A11&lt;&gt;"",BQ$3&gt;=$J11,BQ$3&lt;=$M11),1,"")</f>
        <v/>
      </c>
      <c r="BR11">
        <f>IF(AND($A11&lt;&gt;"",BR$3&gt;=$J11,BR$3&lt;=$M11),1,"")</f>
        <v/>
      </c>
      <c r="BS11">
        <f>IF(AND($A11&lt;&gt;"",BS$3&gt;=$J11,BS$3&lt;=$M11),1,"")</f>
        <v/>
      </c>
      <c r="BT11">
        <f>IF(AND($A11&lt;&gt;"",BT$3&gt;=$J11,BT$3&lt;=$M11),1,"")</f>
        <v/>
      </c>
      <c r="BU11">
        <f>IF(AND($A11&lt;&gt;"",BU$3&gt;=$J11,BU$3&lt;=$M11),1,"")</f>
        <v/>
      </c>
      <c r="BV11">
        <f>IF(AND($A11&lt;&gt;"",BV$3&gt;=$J11,BV$3&lt;=$M11),1,"")</f>
        <v/>
      </c>
    </row>
    <row r="12">
      <c r="A12">
        <f>IF(Job_Master_Ring!$A12="","",Job_Master_Ring!$A12)</f>
        <v/>
      </c>
      <c r="B12">
        <f>IF($A12="","",Job_Master_Ring!B12)</f>
        <v/>
      </c>
      <c r="C12">
        <f>IF($A12="","",Job_Master_Ring!C12)</f>
        <v/>
      </c>
      <c r="D12">
        <f>IF($A12="","",Job_Master_Ring!D12)</f>
        <v/>
      </c>
      <c r="E12">
        <f>IF($A12="","",IF($I12&lt;&gt;"",$I12,IFERROR(INDEX(Machine_List!$B$50:$B$63,MATCH(1,(Machine_List!$H$50:$H$63&lt;=IFERROR(VLOOKUP($B12,CHOOSE(MATCH($C12,Settings!$L$4:$L$10,0),OPR_BR1!$A$4:$K$18,OPR_BR2!$A$4:$K$18,OPR_CR2!$A$4:$K$18,OPR_CR3!$A$4:$K$18,OPR_CR4!$A$4:$K$18,OPR_RIM!$A$4:$K$18,OPR_BPR!$A$4:$K$18),10,0),0))*(Machine_List!$I$50:$I$63&gt;=IFERROR(VLOOKUP($B12,CHOOSE(MATCH($C12,Settings!$L$4:$L$10,0),OPR_BR1!$A$4:$K$18,OPR_BR2!$A$4:$K$18,OPR_CR2!$A$4:$K$18,OPR_CR3!$A$4:$K$18,OPR_CR4!$A$4:$K$18,OPR_RIM!$A$4:$K$18,OPR_BPR!$A$4:$K$18),11,0),9999)),0)),"NO COMPATIBLE MACHINE")))</f>
        <v/>
      </c>
      <c r="F12">
        <f>IF($E12="","",IFERROR(VLOOKUP($E12,Machine_List!$B:$G,6,0),""))</f>
        <v/>
      </c>
      <c r="G12" s="17">
        <f>IF($E12="","",IFERROR(VLOOKUP($E12,Machine_List!$B:$C,2,0),""))</f>
        <v/>
      </c>
      <c r="H12">
        <f>IF($E12="","",IFERROR(VLOOKUP($E12,Machine_List!$B:$D,3,0),""))</f>
        <v/>
      </c>
      <c r="J12" s="16">
        <f>IF($A12="","",IF($I12&lt;&gt;"",$I12,MAX(CNC_Plan!$M12,IFERROR(LOOKUP(2,1/($E$3:INDIRECT("E"&amp;(ROW()-1))=$E12),$M$3:INDIRECT("M"&amp;(ROW()-1))),CNC_Plan!$M12))))</f>
        <v/>
      </c>
      <c r="K12">
        <f>IF($A12="","",IFERROR(VLOOKUP(B12,CHOOSE(MATCH($C12,Settings!$L$4:$L$10,0),OPR_BR1!$A$4:$I$18,OPR_BR2!$A$4:$I$18,OPR_CR2!$A$4:$I$18,OPR_CR3!$A$4:$I$18,OPR_CR4!$A$4:$I$18,OPR_RIM!$A$4:$I$18,OPR_BPR!$A$4:$I$18),6,0),0))</f>
        <v/>
      </c>
      <c r="L12">
        <f>IF($A12="","",K12*D12)</f>
        <v/>
      </c>
      <c r="M12" s="16">
        <f>IF($A12="","",IF(AND(ISNUMBER(G12),G12&gt;=J12,G12&lt;=(J12+(L12/(IF(F12="Contract Workman",Settings!$K$5,Settings!$K$4))))),J12+(L12/(IF(F12="Contract Workman",Settings!$K$5,Settings!$K$4)))+(H12/(IF(F12="Contract Workman",Settings!$K$5,Settings!$K$4))),J12+(L12/(IF(F12="Contract Workman",Settings!$K$5,Settings!$K$4)))))</f>
        <v/>
      </c>
      <c r="N12">
        <f>IF($A12="","",IF(F12="Contract Workman",IF(AND(MOD(M12,1)&gt;=8/24,MOD(M12,1)&lt;20/24),"Shift S1","Shift S2"),IF(AND(MOD(M12,1)&gt;=7/24,MOD(M12,1)&lt;15/24),"Shift A",IF(AND(MOD(M12,1)&gt;=15/24,MOD(M12,1)&lt;23/24),"Shift B","Shift C"))))</f>
        <v/>
      </c>
      <c r="O12">
        <f>IF(B12="","",IF(IFERROR(ISNUMBER(SEARCH(TEXT(B12,"0"),VLOOKUP(E12,Machine_List!$B:$J,9,0))),FALSE),"✅ "&amp; E12,"❌ Sug: "&amp;IFERROR(INDEX(Machine_List!$B$50:$B$63,MATCH(1,(Machine_List!$H$50:$H$63&lt;=IFERROR(VLOOKUP($B12,OPR_BR1!$A$4:$K$18,10,0),0))*(Machine_List!$I$50:$I$63&gt;=IFERROR(VLOOKUP($B12,OPR_BR1!$A$4:$K$18,11,0),9999)),0)),"?")))</f>
        <v/>
      </c>
      <c r="P12">
        <f>IF(AND($A12&lt;&gt;"",P$3&gt;=$J12,P$3&lt;=$M12),1,"")</f>
        <v/>
      </c>
      <c r="Q12">
        <f>IF(AND($A12&lt;&gt;"",Q$3&gt;=$J12,Q$3&lt;=$M12),1,"")</f>
        <v/>
      </c>
      <c r="R12">
        <f>IF(AND($A12&lt;&gt;"",R$3&gt;=$J12,R$3&lt;=$M12),1,"")</f>
        <v/>
      </c>
      <c r="S12">
        <f>IF(AND($A12&lt;&gt;"",S$3&gt;=$J12,S$3&lt;=$M12),1,"")</f>
        <v/>
      </c>
      <c r="T12">
        <f>IF(AND($A12&lt;&gt;"",T$3&gt;=$J12,T$3&lt;=$M12),1,"")</f>
        <v/>
      </c>
      <c r="U12">
        <f>IF(AND($A12&lt;&gt;"",U$3&gt;=$J12,U$3&lt;=$M12),1,"")</f>
        <v/>
      </c>
      <c r="V12">
        <f>IF(AND($A12&lt;&gt;"",V$3&gt;=$J12,V$3&lt;=$M12),1,"")</f>
        <v/>
      </c>
      <c r="W12">
        <f>IF(AND($A12&lt;&gt;"",W$3&gt;=$J12,W$3&lt;=$M12),1,"")</f>
        <v/>
      </c>
      <c r="X12">
        <f>IF(AND($A12&lt;&gt;"",X$3&gt;=$J12,X$3&lt;=$M12),1,"")</f>
        <v/>
      </c>
      <c r="Y12">
        <f>IF(AND($A12&lt;&gt;"",Y$3&gt;=$J12,Y$3&lt;=$M12),1,"")</f>
        <v/>
      </c>
      <c r="Z12">
        <f>IF(AND($A12&lt;&gt;"",Z$3&gt;=$J12,Z$3&lt;=$M12),1,"")</f>
        <v/>
      </c>
      <c r="AA12">
        <f>IF(AND($A12&lt;&gt;"",AA$3&gt;=$J12,AA$3&lt;=$M12),1,"")</f>
        <v/>
      </c>
      <c r="AB12">
        <f>IF(AND($A12&lt;&gt;"",AB$3&gt;=$J12,AB$3&lt;=$M12),1,"")</f>
        <v/>
      </c>
      <c r="AC12">
        <f>IF(AND($A12&lt;&gt;"",AC$3&gt;=$J12,AC$3&lt;=$M12),1,"")</f>
        <v/>
      </c>
      <c r="AD12">
        <f>IF(AND($A12&lt;&gt;"",AD$3&gt;=$J12,AD$3&lt;=$M12),1,"")</f>
        <v/>
      </c>
      <c r="AE12">
        <f>IF(AND($A12&lt;&gt;"",AE$3&gt;=$J12,AE$3&lt;=$M12),1,"")</f>
        <v/>
      </c>
      <c r="AF12">
        <f>IF(AND($A12&lt;&gt;"",AF$3&gt;=$J12,AF$3&lt;=$M12),1,"")</f>
        <v/>
      </c>
      <c r="AG12">
        <f>IF(AND($A12&lt;&gt;"",AG$3&gt;=$J12,AG$3&lt;=$M12),1,"")</f>
        <v/>
      </c>
      <c r="AH12">
        <f>IF(AND($A12&lt;&gt;"",AH$3&gt;=$J12,AH$3&lt;=$M12),1,"")</f>
        <v/>
      </c>
      <c r="AI12">
        <f>IF(AND($A12&lt;&gt;"",AI$3&gt;=$J12,AI$3&lt;=$M12),1,"")</f>
        <v/>
      </c>
      <c r="AJ12">
        <f>IF(AND($A12&lt;&gt;"",AJ$3&gt;=$J12,AJ$3&lt;=$M12),1,"")</f>
        <v/>
      </c>
      <c r="AK12">
        <f>IF(AND($A12&lt;&gt;"",AK$3&gt;=$J12,AK$3&lt;=$M12),1,"")</f>
        <v/>
      </c>
      <c r="AL12">
        <f>IF(AND($A12&lt;&gt;"",AL$3&gt;=$J12,AL$3&lt;=$M12),1,"")</f>
        <v/>
      </c>
      <c r="AM12">
        <f>IF(AND($A12&lt;&gt;"",AM$3&gt;=$J12,AM$3&lt;=$M12),1,"")</f>
        <v/>
      </c>
      <c r="AN12">
        <f>IF(AND($A12&lt;&gt;"",AN$3&gt;=$J12,AN$3&lt;=$M12),1,"")</f>
        <v/>
      </c>
      <c r="AO12">
        <f>IF(AND($A12&lt;&gt;"",AO$3&gt;=$J12,AO$3&lt;=$M12),1,"")</f>
        <v/>
      </c>
      <c r="AP12">
        <f>IF(AND($A12&lt;&gt;"",AP$3&gt;=$J12,AP$3&lt;=$M12),1,"")</f>
        <v/>
      </c>
      <c r="AQ12">
        <f>IF(AND($A12&lt;&gt;"",AQ$3&gt;=$J12,AQ$3&lt;=$M12),1,"")</f>
        <v/>
      </c>
      <c r="AR12">
        <f>IF(AND($A12&lt;&gt;"",AR$3&gt;=$J12,AR$3&lt;=$M12),1,"")</f>
        <v/>
      </c>
      <c r="AS12">
        <f>IF(AND($A12&lt;&gt;"",AS$3&gt;=$J12,AS$3&lt;=$M12),1,"")</f>
        <v/>
      </c>
      <c r="AT12">
        <f>IF(AND($A12&lt;&gt;"",AT$3&gt;=$J12,AT$3&lt;=$M12),1,"")</f>
        <v/>
      </c>
      <c r="AU12">
        <f>IF(AND($A12&lt;&gt;"",AU$3&gt;=$J12,AU$3&lt;=$M12),1,"")</f>
        <v/>
      </c>
      <c r="AV12">
        <f>IF(AND($A12&lt;&gt;"",AV$3&gt;=$J12,AV$3&lt;=$M12),1,"")</f>
        <v/>
      </c>
      <c r="AW12">
        <f>IF(AND($A12&lt;&gt;"",AW$3&gt;=$J12,AW$3&lt;=$M12),1,"")</f>
        <v/>
      </c>
      <c r="AX12">
        <f>IF(AND($A12&lt;&gt;"",AX$3&gt;=$J12,AX$3&lt;=$M12),1,"")</f>
        <v/>
      </c>
      <c r="AY12">
        <f>IF(AND($A12&lt;&gt;"",AY$3&gt;=$J12,AY$3&lt;=$M12),1,"")</f>
        <v/>
      </c>
      <c r="AZ12">
        <f>IF(AND($A12&lt;&gt;"",AZ$3&gt;=$J12,AZ$3&lt;=$M12),1,"")</f>
        <v/>
      </c>
      <c r="BA12">
        <f>IF(AND($A12&lt;&gt;"",BA$3&gt;=$J12,BA$3&lt;=$M12),1,"")</f>
        <v/>
      </c>
      <c r="BB12">
        <f>IF(AND($A12&lt;&gt;"",BB$3&gt;=$J12,BB$3&lt;=$M12),1,"")</f>
        <v/>
      </c>
      <c r="BC12">
        <f>IF(AND($A12&lt;&gt;"",BC$3&gt;=$J12,BC$3&lt;=$M12),1,"")</f>
        <v/>
      </c>
      <c r="BD12">
        <f>IF(AND($A12&lt;&gt;"",BD$3&gt;=$J12,BD$3&lt;=$M12),1,"")</f>
        <v/>
      </c>
      <c r="BE12">
        <f>IF(AND($A12&lt;&gt;"",BE$3&gt;=$J12,BE$3&lt;=$M12),1,"")</f>
        <v/>
      </c>
      <c r="BF12">
        <f>IF(AND($A12&lt;&gt;"",BF$3&gt;=$J12,BF$3&lt;=$M12),1,"")</f>
        <v/>
      </c>
      <c r="BG12">
        <f>IF(AND($A12&lt;&gt;"",BG$3&gt;=$J12,BG$3&lt;=$M12),1,"")</f>
        <v/>
      </c>
      <c r="BH12">
        <f>IF(AND($A12&lt;&gt;"",BH$3&gt;=$J12,BH$3&lt;=$M12),1,"")</f>
        <v/>
      </c>
      <c r="BI12">
        <f>IF(AND($A12&lt;&gt;"",BI$3&gt;=$J12,BI$3&lt;=$M12),1,"")</f>
        <v/>
      </c>
      <c r="BJ12">
        <f>IF(AND($A12&lt;&gt;"",BJ$3&gt;=$J12,BJ$3&lt;=$M12),1,"")</f>
        <v/>
      </c>
      <c r="BK12">
        <f>IF(AND($A12&lt;&gt;"",BK$3&gt;=$J12,BK$3&lt;=$M12),1,"")</f>
        <v/>
      </c>
      <c r="BL12">
        <f>IF(AND($A12&lt;&gt;"",BL$3&gt;=$J12,BL$3&lt;=$M12),1,"")</f>
        <v/>
      </c>
      <c r="BM12">
        <f>IF(AND($A12&lt;&gt;"",BM$3&gt;=$J12,BM$3&lt;=$M12),1,"")</f>
        <v/>
      </c>
      <c r="BN12">
        <f>IF(AND($A12&lt;&gt;"",BN$3&gt;=$J12,BN$3&lt;=$M12),1,"")</f>
        <v/>
      </c>
      <c r="BO12">
        <f>IF(AND($A12&lt;&gt;"",BO$3&gt;=$J12,BO$3&lt;=$M12),1,"")</f>
        <v/>
      </c>
      <c r="BP12">
        <f>IF(AND($A12&lt;&gt;"",BP$3&gt;=$J12,BP$3&lt;=$M12),1,"")</f>
        <v/>
      </c>
      <c r="BQ12">
        <f>IF(AND($A12&lt;&gt;"",BQ$3&gt;=$J12,BQ$3&lt;=$M12),1,"")</f>
        <v/>
      </c>
      <c r="BR12">
        <f>IF(AND($A12&lt;&gt;"",BR$3&gt;=$J12,BR$3&lt;=$M12),1,"")</f>
        <v/>
      </c>
      <c r="BS12">
        <f>IF(AND($A12&lt;&gt;"",BS$3&gt;=$J12,BS$3&lt;=$M12),1,"")</f>
        <v/>
      </c>
      <c r="BT12">
        <f>IF(AND($A12&lt;&gt;"",BT$3&gt;=$J12,BT$3&lt;=$M12),1,"")</f>
        <v/>
      </c>
      <c r="BU12">
        <f>IF(AND($A12&lt;&gt;"",BU$3&gt;=$J12,BU$3&lt;=$M12),1,"")</f>
        <v/>
      </c>
      <c r="BV12">
        <f>IF(AND($A12&lt;&gt;"",BV$3&gt;=$J12,BV$3&lt;=$M12),1,"")</f>
        <v/>
      </c>
    </row>
    <row r="13">
      <c r="A13">
        <f>IF(Job_Master_Ring!$A13="","",Job_Master_Ring!$A13)</f>
        <v/>
      </c>
      <c r="B13">
        <f>IF($A13="","",Job_Master_Ring!B13)</f>
        <v/>
      </c>
      <c r="C13">
        <f>IF($A13="","",Job_Master_Ring!C13)</f>
        <v/>
      </c>
      <c r="D13">
        <f>IF($A13="","",Job_Master_Ring!D13)</f>
        <v/>
      </c>
      <c r="E13">
        <f>IF($A13="","",IF($I13&lt;&gt;"",$I13,IFERROR(INDEX(Machine_List!$B$50:$B$63,MATCH(1,(Machine_List!$H$50:$H$63&lt;=IFERROR(VLOOKUP($B13,CHOOSE(MATCH($C13,Settings!$L$4:$L$10,0),OPR_BR1!$A$4:$K$18,OPR_BR2!$A$4:$K$18,OPR_CR2!$A$4:$K$18,OPR_CR3!$A$4:$K$18,OPR_CR4!$A$4:$K$18,OPR_RIM!$A$4:$K$18,OPR_BPR!$A$4:$K$18),10,0),0))*(Machine_List!$I$50:$I$63&gt;=IFERROR(VLOOKUP($B13,CHOOSE(MATCH($C13,Settings!$L$4:$L$10,0),OPR_BR1!$A$4:$K$18,OPR_BR2!$A$4:$K$18,OPR_CR2!$A$4:$K$18,OPR_CR3!$A$4:$K$18,OPR_CR4!$A$4:$K$18,OPR_RIM!$A$4:$K$18,OPR_BPR!$A$4:$K$18),11,0),9999)),0)),"NO COMPATIBLE MACHINE")))</f>
        <v/>
      </c>
      <c r="F13">
        <f>IF($E13="","",IFERROR(VLOOKUP($E13,Machine_List!$B:$G,6,0),""))</f>
        <v/>
      </c>
      <c r="G13" s="17">
        <f>IF($E13="","",IFERROR(VLOOKUP($E13,Machine_List!$B:$C,2,0),""))</f>
        <v/>
      </c>
      <c r="H13">
        <f>IF($E13="","",IFERROR(VLOOKUP($E13,Machine_List!$B:$D,3,0),""))</f>
        <v/>
      </c>
      <c r="J13" s="16">
        <f>IF($A13="","",IF($I13&lt;&gt;"",$I13,MAX(CNC_Plan!$M13,IFERROR(LOOKUP(2,1/($E$3:INDIRECT("E"&amp;(ROW()-1))=$E13),$M$3:INDIRECT("M"&amp;(ROW()-1))),CNC_Plan!$M13))))</f>
        <v/>
      </c>
      <c r="K13">
        <f>IF($A13="","",IFERROR(VLOOKUP(B13,CHOOSE(MATCH($C13,Settings!$L$4:$L$10,0),OPR_BR1!$A$4:$I$18,OPR_BR2!$A$4:$I$18,OPR_CR2!$A$4:$I$18,OPR_CR3!$A$4:$I$18,OPR_CR4!$A$4:$I$18,OPR_RIM!$A$4:$I$18,OPR_BPR!$A$4:$I$18),6,0),0))</f>
        <v/>
      </c>
      <c r="L13">
        <f>IF($A13="","",K13*D13)</f>
        <v/>
      </c>
      <c r="M13" s="16">
        <f>IF($A13="","",IF(AND(ISNUMBER(G13),G13&gt;=J13,G13&lt;=(J13+(L13/(IF(F13="Contract Workman",Settings!$K$5,Settings!$K$4))))),J13+(L13/(IF(F13="Contract Workman",Settings!$K$5,Settings!$K$4)))+(H13/(IF(F13="Contract Workman",Settings!$K$5,Settings!$K$4))),J13+(L13/(IF(F13="Contract Workman",Settings!$K$5,Settings!$K$4)))))</f>
        <v/>
      </c>
      <c r="N13">
        <f>IF($A13="","",IF(F13="Contract Workman",IF(AND(MOD(M13,1)&gt;=8/24,MOD(M13,1)&lt;20/24),"Shift S1","Shift S2"),IF(AND(MOD(M13,1)&gt;=7/24,MOD(M13,1)&lt;15/24),"Shift A",IF(AND(MOD(M13,1)&gt;=15/24,MOD(M13,1)&lt;23/24),"Shift B","Shift C"))))</f>
        <v/>
      </c>
      <c r="O13">
        <f>IF(B13="","",IF(IFERROR(ISNUMBER(SEARCH(TEXT(B13,"0"),VLOOKUP(E13,Machine_List!$B:$J,9,0))),FALSE),"✅ "&amp; E13,"❌ Sug: "&amp;IFERROR(INDEX(Machine_List!$B$50:$B$63,MATCH(1,(Machine_List!$H$50:$H$63&lt;=IFERROR(VLOOKUP($B13,OPR_BR1!$A$4:$K$18,10,0),0))*(Machine_List!$I$50:$I$63&gt;=IFERROR(VLOOKUP($B13,OPR_BR1!$A$4:$K$18,11,0),9999)),0)),"?")))</f>
        <v/>
      </c>
      <c r="P13">
        <f>IF(AND($A13&lt;&gt;"",P$3&gt;=$J13,P$3&lt;=$M13),1,"")</f>
        <v/>
      </c>
      <c r="Q13">
        <f>IF(AND($A13&lt;&gt;"",Q$3&gt;=$J13,Q$3&lt;=$M13),1,"")</f>
        <v/>
      </c>
      <c r="R13">
        <f>IF(AND($A13&lt;&gt;"",R$3&gt;=$J13,R$3&lt;=$M13),1,"")</f>
        <v/>
      </c>
      <c r="S13">
        <f>IF(AND($A13&lt;&gt;"",S$3&gt;=$J13,S$3&lt;=$M13),1,"")</f>
        <v/>
      </c>
      <c r="T13">
        <f>IF(AND($A13&lt;&gt;"",T$3&gt;=$J13,T$3&lt;=$M13),1,"")</f>
        <v/>
      </c>
      <c r="U13">
        <f>IF(AND($A13&lt;&gt;"",U$3&gt;=$J13,U$3&lt;=$M13),1,"")</f>
        <v/>
      </c>
      <c r="V13">
        <f>IF(AND($A13&lt;&gt;"",V$3&gt;=$J13,V$3&lt;=$M13),1,"")</f>
        <v/>
      </c>
      <c r="W13">
        <f>IF(AND($A13&lt;&gt;"",W$3&gt;=$J13,W$3&lt;=$M13),1,"")</f>
        <v/>
      </c>
      <c r="X13">
        <f>IF(AND($A13&lt;&gt;"",X$3&gt;=$J13,X$3&lt;=$M13),1,"")</f>
        <v/>
      </c>
      <c r="Y13">
        <f>IF(AND($A13&lt;&gt;"",Y$3&gt;=$J13,Y$3&lt;=$M13),1,"")</f>
        <v/>
      </c>
      <c r="Z13">
        <f>IF(AND($A13&lt;&gt;"",Z$3&gt;=$J13,Z$3&lt;=$M13),1,"")</f>
        <v/>
      </c>
      <c r="AA13">
        <f>IF(AND($A13&lt;&gt;"",AA$3&gt;=$J13,AA$3&lt;=$M13),1,"")</f>
        <v/>
      </c>
      <c r="AB13">
        <f>IF(AND($A13&lt;&gt;"",AB$3&gt;=$J13,AB$3&lt;=$M13),1,"")</f>
        <v/>
      </c>
      <c r="AC13">
        <f>IF(AND($A13&lt;&gt;"",AC$3&gt;=$J13,AC$3&lt;=$M13),1,"")</f>
        <v/>
      </c>
      <c r="AD13">
        <f>IF(AND($A13&lt;&gt;"",AD$3&gt;=$J13,AD$3&lt;=$M13),1,"")</f>
        <v/>
      </c>
      <c r="AE13">
        <f>IF(AND($A13&lt;&gt;"",AE$3&gt;=$J13,AE$3&lt;=$M13),1,"")</f>
        <v/>
      </c>
      <c r="AF13">
        <f>IF(AND($A13&lt;&gt;"",AF$3&gt;=$J13,AF$3&lt;=$M13),1,"")</f>
        <v/>
      </c>
      <c r="AG13">
        <f>IF(AND($A13&lt;&gt;"",AG$3&gt;=$J13,AG$3&lt;=$M13),1,"")</f>
        <v/>
      </c>
      <c r="AH13">
        <f>IF(AND($A13&lt;&gt;"",AH$3&gt;=$J13,AH$3&lt;=$M13),1,"")</f>
        <v/>
      </c>
      <c r="AI13">
        <f>IF(AND($A13&lt;&gt;"",AI$3&gt;=$J13,AI$3&lt;=$M13),1,"")</f>
        <v/>
      </c>
      <c r="AJ13">
        <f>IF(AND($A13&lt;&gt;"",AJ$3&gt;=$J13,AJ$3&lt;=$M13),1,"")</f>
        <v/>
      </c>
      <c r="AK13">
        <f>IF(AND($A13&lt;&gt;"",AK$3&gt;=$J13,AK$3&lt;=$M13),1,"")</f>
        <v/>
      </c>
      <c r="AL13">
        <f>IF(AND($A13&lt;&gt;"",AL$3&gt;=$J13,AL$3&lt;=$M13),1,"")</f>
        <v/>
      </c>
      <c r="AM13">
        <f>IF(AND($A13&lt;&gt;"",AM$3&gt;=$J13,AM$3&lt;=$M13),1,"")</f>
        <v/>
      </c>
      <c r="AN13">
        <f>IF(AND($A13&lt;&gt;"",AN$3&gt;=$J13,AN$3&lt;=$M13),1,"")</f>
        <v/>
      </c>
      <c r="AO13">
        <f>IF(AND($A13&lt;&gt;"",AO$3&gt;=$J13,AO$3&lt;=$M13),1,"")</f>
        <v/>
      </c>
      <c r="AP13">
        <f>IF(AND($A13&lt;&gt;"",AP$3&gt;=$J13,AP$3&lt;=$M13),1,"")</f>
        <v/>
      </c>
      <c r="AQ13">
        <f>IF(AND($A13&lt;&gt;"",AQ$3&gt;=$J13,AQ$3&lt;=$M13),1,"")</f>
        <v/>
      </c>
      <c r="AR13">
        <f>IF(AND($A13&lt;&gt;"",AR$3&gt;=$J13,AR$3&lt;=$M13),1,"")</f>
        <v/>
      </c>
      <c r="AS13">
        <f>IF(AND($A13&lt;&gt;"",AS$3&gt;=$J13,AS$3&lt;=$M13),1,"")</f>
        <v/>
      </c>
      <c r="AT13">
        <f>IF(AND($A13&lt;&gt;"",AT$3&gt;=$J13,AT$3&lt;=$M13),1,"")</f>
        <v/>
      </c>
      <c r="AU13">
        <f>IF(AND($A13&lt;&gt;"",AU$3&gt;=$J13,AU$3&lt;=$M13),1,"")</f>
        <v/>
      </c>
      <c r="AV13">
        <f>IF(AND($A13&lt;&gt;"",AV$3&gt;=$J13,AV$3&lt;=$M13),1,"")</f>
        <v/>
      </c>
      <c r="AW13">
        <f>IF(AND($A13&lt;&gt;"",AW$3&gt;=$J13,AW$3&lt;=$M13),1,"")</f>
        <v/>
      </c>
      <c r="AX13">
        <f>IF(AND($A13&lt;&gt;"",AX$3&gt;=$J13,AX$3&lt;=$M13),1,"")</f>
        <v/>
      </c>
      <c r="AY13">
        <f>IF(AND($A13&lt;&gt;"",AY$3&gt;=$J13,AY$3&lt;=$M13),1,"")</f>
        <v/>
      </c>
      <c r="AZ13">
        <f>IF(AND($A13&lt;&gt;"",AZ$3&gt;=$J13,AZ$3&lt;=$M13),1,"")</f>
        <v/>
      </c>
      <c r="BA13">
        <f>IF(AND($A13&lt;&gt;"",BA$3&gt;=$J13,BA$3&lt;=$M13),1,"")</f>
        <v/>
      </c>
      <c r="BB13">
        <f>IF(AND($A13&lt;&gt;"",BB$3&gt;=$J13,BB$3&lt;=$M13),1,"")</f>
        <v/>
      </c>
      <c r="BC13">
        <f>IF(AND($A13&lt;&gt;"",BC$3&gt;=$J13,BC$3&lt;=$M13),1,"")</f>
        <v/>
      </c>
      <c r="BD13">
        <f>IF(AND($A13&lt;&gt;"",BD$3&gt;=$J13,BD$3&lt;=$M13),1,"")</f>
        <v/>
      </c>
      <c r="BE13">
        <f>IF(AND($A13&lt;&gt;"",BE$3&gt;=$J13,BE$3&lt;=$M13),1,"")</f>
        <v/>
      </c>
      <c r="BF13">
        <f>IF(AND($A13&lt;&gt;"",BF$3&gt;=$J13,BF$3&lt;=$M13),1,"")</f>
        <v/>
      </c>
      <c r="BG13">
        <f>IF(AND($A13&lt;&gt;"",BG$3&gt;=$J13,BG$3&lt;=$M13),1,"")</f>
        <v/>
      </c>
      <c r="BH13">
        <f>IF(AND($A13&lt;&gt;"",BH$3&gt;=$J13,BH$3&lt;=$M13),1,"")</f>
        <v/>
      </c>
      <c r="BI13">
        <f>IF(AND($A13&lt;&gt;"",BI$3&gt;=$J13,BI$3&lt;=$M13),1,"")</f>
        <v/>
      </c>
      <c r="BJ13">
        <f>IF(AND($A13&lt;&gt;"",BJ$3&gt;=$J13,BJ$3&lt;=$M13),1,"")</f>
        <v/>
      </c>
      <c r="BK13">
        <f>IF(AND($A13&lt;&gt;"",BK$3&gt;=$J13,BK$3&lt;=$M13),1,"")</f>
        <v/>
      </c>
      <c r="BL13">
        <f>IF(AND($A13&lt;&gt;"",BL$3&gt;=$J13,BL$3&lt;=$M13),1,"")</f>
        <v/>
      </c>
      <c r="BM13">
        <f>IF(AND($A13&lt;&gt;"",BM$3&gt;=$J13,BM$3&lt;=$M13),1,"")</f>
        <v/>
      </c>
      <c r="BN13">
        <f>IF(AND($A13&lt;&gt;"",BN$3&gt;=$J13,BN$3&lt;=$M13),1,"")</f>
        <v/>
      </c>
      <c r="BO13">
        <f>IF(AND($A13&lt;&gt;"",BO$3&gt;=$J13,BO$3&lt;=$M13),1,"")</f>
        <v/>
      </c>
      <c r="BP13">
        <f>IF(AND($A13&lt;&gt;"",BP$3&gt;=$J13,BP$3&lt;=$M13),1,"")</f>
        <v/>
      </c>
      <c r="BQ13">
        <f>IF(AND($A13&lt;&gt;"",BQ$3&gt;=$J13,BQ$3&lt;=$M13),1,"")</f>
        <v/>
      </c>
      <c r="BR13">
        <f>IF(AND($A13&lt;&gt;"",BR$3&gt;=$J13,BR$3&lt;=$M13),1,"")</f>
        <v/>
      </c>
      <c r="BS13">
        <f>IF(AND($A13&lt;&gt;"",BS$3&gt;=$J13,BS$3&lt;=$M13),1,"")</f>
        <v/>
      </c>
      <c r="BT13">
        <f>IF(AND($A13&lt;&gt;"",BT$3&gt;=$J13,BT$3&lt;=$M13),1,"")</f>
        <v/>
      </c>
      <c r="BU13">
        <f>IF(AND($A13&lt;&gt;"",BU$3&gt;=$J13,BU$3&lt;=$M13),1,"")</f>
        <v/>
      </c>
      <c r="BV13">
        <f>IF(AND($A13&lt;&gt;"",BV$3&gt;=$J13,BV$3&lt;=$M13),1,"")</f>
        <v/>
      </c>
    </row>
    <row r="14">
      <c r="A14">
        <f>IF(Job_Master_Ring!$A14="","",Job_Master_Ring!$A14)</f>
        <v/>
      </c>
      <c r="B14">
        <f>IF($A14="","",Job_Master_Ring!B14)</f>
        <v/>
      </c>
      <c r="C14">
        <f>IF($A14="","",Job_Master_Ring!C14)</f>
        <v/>
      </c>
      <c r="D14">
        <f>IF($A14="","",Job_Master_Ring!D14)</f>
        <v/>
      </c>
      <c r="E14">
        <f>IF($A14="","",IF($I14&lt;&gt;"",$I14,IFERROR(INDEX(Machine_List!$B$50:$B$63,MATCH(1,(Machine_List!$H$50:$H$63&lt;=IFERROR(VLOOKUP($B14,CHOOSE(MATCH($C14,Settings!$L$4:$L$10,0),OPR_BR1!$A$4:$K$18,OPR_BR2!$A$4:$K$18,OPR_CR2!$A$4:$K$18,OPR_CR3!$A$4:$K$18,OPR_CR4!$A$4:$K$18,OPR_RIM!$A$4:$K$18,OPR_BPR!$A$4:$K$18),10,0),0))*(Machine_List!$I$50:$I$63&gt;=IFERROR(VLOOKUP($B14,CHOOSE(MATCH($C14,Settings!$L$4:$L$10,0),OPR_BR1!$A$4:$K$18,OPR_BR2!$A$4:$K$18,OPR_CR2!$A$4:$K$18,OPR_CR3!$A$4:$K$18,OPR_CR4!$A$4:$K$18,OPR_RIM!$A$4:$K$18,OPR_BPR!$A$4:$K$18),11,0),9999)),0)),"NO COMPATIBLE MACHINE")))</f>
        <v/>
      </c>
      <c r="F14">
        <f>IF($E14="","",IFERROR(VLOOKUP($E14,Machine_List!$B:$G,6,0),""))</f>
        <v/>
      </c>
      <c r="G14" s="17">
        <f>IF($E14="","",IFERROR(VLOOKUP($E14,Machine_List!$B:$C,2,0),""))</f>
        <v/>
      </c>
      <c r="H14">
        <f>IF($E14="","",IFERROR(VLOOKUP($E14,Machine_List!$B:$D,3,0),""))</f>
        <v/>
      </c>
      <c r="J14" s="16">
        <f>IF($A14="","",IF($I14&lt;&gt;"",$I14,MAX(CNC_Plan!$M14,IFERROR(LOOKUP(2,1/($E$3:INDIRECT("E"&amp;(ROW()-1))=$E14),$M$3:INDIRECT("M"&amp;(ROW()-1))),CNC_Plan!$M14))))</f>
        <v/>
      </c>
      <c r="K14">
        <f>IF($A14="","",IFERROR(VLOOKUP(B14,CHOOSE(MATCH($C14,Settings!$L$4:$L$10,0),OPR_BR1!$A$4:$I$18,OPR_BR2!$A$4:$I$18,OPR_CR2!$A$4:$I$18,OPR_CR3!$A$4:$I$18,OPR_CR4!$A$4:$I$18,OPR_RIM!$A$4:$I$18,OPR_BPR!$A$4:$I$18),6,0),0))</f>
        <v/>
      </c>
      <c r="L14">
        <f>IF($A14="","",K14*D14)</f>
        <v/>
      </c>
      <c r="M14" s="16">
        <f>IF($A14="","",IF(AND(ISNUMBER(G14),G14&gt;=J14,G14&lt;=(J14+(L14/(IF(F14="Contract Workman",Settings!$K$5,Settings!$K$4))))),J14+(L14/(IF(F14="Contract Workman",Settings!$K$5,Settings!$K$4)))+(H14/(IF(F14="Contract Workman",Settings!$K$5,Settings!$K$4))),J14+(L14/(IF(F14="Contract Workman",Settings!$K$5,Settings!$K$4)))))</f>
        <v/>
      </c>
      <c r="N14">
        <f>IF($A14="","",IF(F14="Contract Workman",IF(AND(MOD(M14,1)&gt;=8/24,MOD(M14,1)&lt;20/24),"Shift S1","Shift S2"),IF(AND(MOD(M14,1)&gt;=7/24,MOD(M14,1)&lt;15/24),"Shift A",IF(AND(MOD(M14,1)&gt;=15/24,MOD(M14,1)&lt;23/24),"Shift B","Shift C"))))</f>
        <v/>
      </c>
      <c r="O14">
        <f>IF(B14="","",IF(IFERROR(ISNUMBER(SEARCH(TEXT(B14,"0"),VLOOKUP(E14,Machine_List!$B:$J,9,0))),FALSE),"✅ "&amp; E14,"❌ Sug: "&amp;IFERROR(INDEX(Machine_List!$B$50:$B$63,MATCH(1,(Machine_List!$H$50:$H$63&lt;=IFERROR(VLOOKUP($B14,OPR_BR1!$A$4:$K$18,10,0),0))*(Machine_List!$I$50:$I$63&gt;=IFERROR(VLOOKUP($B14,OPR_BR1!$A$4:$K$18,11,0),9999)),0)),"?")))</f>
        <v/>
      </c>
      <c r="P14">
        <f>IF(AND($A14&lt;&gt;"",P$3&gt;=$J14,P$3&lt;=$M14),1,"")</f>
        <v/>
      </c>
      <c r="Q14">
        <f>IF(AND($A14&lt;&gt;"",Q$3&gt;=$J14,Q$3&lt;=$M14),1,"")</f>
        <v/>
      </c>
      <c r="R14">
        <f>IF(AND($A14&lt;&gt;"",R$3&gt;=$J14,R$3&lt;=$M14),1,"")</f>
        <v/>
      </c>
      <c r="S14">
        <f>IF(AND($A14&lt;&gt;"",S$3&gt;=$J14,S$3&lt;=$M14),1,"")</f>
        <v/>
      </c>
      <c r="T14">
        <f>IF(AND($A14&lt;&gt;"",T$3&gt;=$J14,T$3&lt;=$M14),1,"")</f>
        <v/>
      </c>
      <c r="U14">
        <f>IF(AND($A14&lt;&gt;"",U$3&gt;=$J14,U$3&lt;=$M14),1,"")</f>
        <v/>
      </c>
      <c r="V14">
        <f>IF(AND($A14&lt;&gt;"",V$3&gt;=$J14,V$3&lt;=$M14),1,"")</f>
        <v/>
      </c>
      <c r="W14">
        <f>IF(AND($A14&lt;&gt;"",W$3&gt;=$J14,W$3&lt;=$M14),1,"")</f>
        <v/>
      </c>
      <c r="X14">
        <f>IF(AND($A14&lt;&gt;"",X$3&gt;=$J14,X$3&lt;=$M14),1,"")</f>
        <v/>
      </c>
      <c r="Y14">
        <f>IF(AND($A14&lt;&gt;"",Y$3&gt;=$J14,Y$3&lt;=$M14),1,"")</f>
        <v/>
      </c>
      <c r="Z14">
        <f>IF(AND($A14&lt;&gt;"",Z$3&gt;=$J14,Z$3&lt;=$M14),1,"")</f>
        <v/>
      </c>
      <c r="AA14">
        <f>IF(AND($A14&lt;&gt;"",AA$3&gt;=$J14,AA$3&lt;=$M14),1,"")</f>
        <v/>
      </c>
      <c r="AB14">
        <f>IF(AND($A14&lt;&gt;"",AB$3&gt;=$J14,AB$3&lt;=$M14),1,"")</f>
        <v/>
      </c>
      <c r="AC14">
        <f>IF(AND($A14&lt;&gt;"",AC$3&gt;=$J14,AC$3&lt;=$M14),1,"")</f>
        <v/>
      </c>
      <c r="AD14">
        <f>IF(AND($A14&lt;&gt;"",AD$3&gt;=$J14,AD$3&lt;=$M14),1,"")</f>
        <v/>
      </c>
      <c r="AE14">
        <f>IF(AND($A14&lt;&gt;"",AE$3&gt;=$J14,AE$3&lt;=$M14),1,"")</f>
        <v/>
      </c>
      <c r="AF14">
        <f>IF(AND($A14&lt;&gt;"",AF$3&gt;=$J14,AF$3&lt;=$M14),1,"")</f>
        <v/>
      </c>
      <c r="AG14">
        <f>IF(AND($A14&lt;&gt;"",AG$3&gt;=$J14,AG$3&lt;=$M14),1,"")</f>
        <v/>
      </c>
      <c r="AH14">
        <f>IF(AND($A14&lt;&gt;"",AH$3&gt;=$J14,AH$3&lt;=$M14),1,"")</f>
        <v/>
      </c>
      <c r="AI14">
        <f>IF(AND($A14&lt;&gt;"",AI$3&gt;=$J14,AI$3&lt;=$M14),1,"")</f>
        <v/>
      </c>
      <c r="AJ14">
        <f>IF(AND($A14&lt;&gt;"",AJ$3&gt;=$J14,AJ$3&lt;=$M14),1,"")</f>
        <v/>
      </c>
      <c r="AK14">
        <f>IF(AND($A14&lt;&gt;"",AK$3&gt;=$J14,AK$3&lt;=$M14),1,"")</f>
        <v/>
      </c>
      <c r="AL14">
        <f>IF(AND($A14&lt;&gt;"",AL$3&gt;=$J14,AL$3&lt;=$M14),1,"")</f>
        <v/>
      </c>
      <c r="AM14">
        <f>IF(AND($A14&lt;&gt;"",AM$3&gt;=$J14,AM$3&lt;=$M14),1,"")</f>
        <v/>
      </c>
      <c r="AN14">
        <f>IF(AND($A14&lt;&gt;"",AN$3&gt;=$J14,AN$3&lt;=$M14),1,"")</f>
        <v/>
      </c>
      <c r="AO14">
        <f>IF(AND($A14&lt;&gt;"",AO$3&gt;=$J14,AO$3&lt;=$M14),1,"")</f>
        <v/>
      </c>
      <c r="AP14">
        <f>IF(AND($A14&lt;&gt;"",AP$3&gt;=$J14,AP$3&lt;=$M14),1,"")</f>
        <v/>
      </c>
      <c r="AQ14">
        <f>IF(AND($A14&lt;&gt;"",AQ$3&gt;=$J14,AQ$3&lt;=$M14),1,"")</f>
        <v/>
      </c>
      <c r="AR14">
        <f>IF(AND($A14&lt;&gt;"",AR$3&gt;=$J14,AR$3&lt;=$M14),1,"")</f>
        <v/>
      </c>
      <c r="AS14">
        <f>IF(AND($A14&lt;&gt;"",AS$3&gt;=$J14,AS$3&lt;=$M14),1,"")</f>
        <v/>
      </c>
      <c r="AT14">
        <f>IF(AND($A14&lt;&gt;"",AT$3&gt;=$J14,AT$3&lt;=$M14),1,"")</f>
        <v/>
      </c>
      <c r="AU14">
        <f>IF(AND($A14&lt;&gt;"",AU$3&gt;=$J14,AU$3&lt;=$M14),1,"")</f>
        <v/>
      </c>
      <c r="AV14">
        <f>IF(AND($A14&lt;&gt;"",AV$3&gt;=$J14,AV$3&lt;=$M14),1,"")</f>
        <v/>
      </c>
      <c r="AW14">
        <f>IF(AND($A14&lt;&gt;"",AW$3&gt;=$J14,AW$3&lt;=$M14),1,"")</f>
        <v/>
      </c>
      <c r="AX14">
        <f>IF(AND($A14&lt;&gt;"",AX$3&gt;=$J14,AX$3&lt;=$M14),1,"")</f>
        <v/>
      </c>
      <c r="AY14">
        <f>IF(AND($A14&lt;&gt;"",AY$3&gt;=$J14,AY$3&lt;=$M14),1,"")</f>
        <v/>
      </c>
      <c r="AZ14">
        <f>IF(AND($A14&lt;&gt;"",AZ$3&gt;=$J14,AZ$3&lt;=$M14),1,"")</f>
        <v/>
      </c>
      <c r="BA14">
        <f>IF(AND($A14&lt;&gt;"",BA$3&gt;=$J14,BA$3&lt;=$M14),1,"")</f>
        <v/>
      </c>
      <c r="BB14">
        <f>IF(AND($A14&lt;&gt;"",BB$3&gt;=$J14,BB$3&lt;=$M14),1,"")</f>
        <v/>
      </c>
      <c r="BC14">
        <f>IF(AND($A14&lt;&gt;"",BC$3&gt;=$J14,BC$3&lt;=$M14),1,"")</f>
        <v/>
      </c>
      <c r="BD14">
        <f>IF(AND($A14&lt;&gt;"",BD$3&gt;=$J14,BD$3&lt;=$M14),1,"")</f>
        <v/>
      </c>
      <c r="BE14">
        <f>IF(AND($A14&lt;&gt;"",BE$3&gt;=$J14,BE$3&lt;=$M14),1,"")</f>
        <v/>
      </c>
      <c r="BF14">
        <f>IF(AND($A14&lt;&gt;"",BF$3&gt;=$J14,BF$3&lt;=$M14),1,"")</f>
        <v/>
      </c>
      <c r="BG14">
        <f>IF(AND($A14&lt;&gt;"",BG$3&gt;=$J14,BG$3&lt;=$M14),1,"")</f>
        <v/>
      </c>
      <c r="BH14">
        <f>IF(AND($A14&lt;&gt;"",BH$3&gt;=$J14,BH$3&lt;=$M14),1,"")</f>
        <v/>
      </c>
      <c r="BI14">
        <f>IF(AND($A14&lt;&gt;"",BI$3&gt;=$J14,BI$3&lt;=$M14),1,"")</f>
        <v/>
      </c>
      <c r="BJ14">
        <f>IF(AND($A14&lt;&gt;"",BJ$3&gt;=$J14,BJ$3&lt;=$M14),1,"")</f>
        <v/>
      </c>
      <c r="BK14">
        <f>IF(AND($A14&lt;&gt;"",BK$3&gt;=$J14,BK$3&lt;=$M14),1,"")</f>
        <v/>
      </c>
      <c r="BL14">
        <f>IF(AND($A14&lt;&gt;"",BL$3&gt;=$J14,BL$3&lt;=$M14),1,"")</f>
        <v/>
      </c>
      <c r="BM14">
        <f>IF(AND($A14&lt;&gt;"",BM$3&gt;=$J14,BM$3&lt;=$M14),1,"")</f>
        <v/>
      </c>
      <c r="BN14">
        <f>IF(AND($A14&lt;&gt;"",BN$3&gt;=$J14,BN$3&lt;=$M14),1,"")</f>
        <v/>
      </c>
      <c r="BO14">
        <f>IF(AND($A14&lt;&gt;"",BO$3&gt;=$J14,BO$3&lt;=$M14),1,"")</f>
        <v/>
      </c>
      <c r="BP14">
        <f>IF(AND($A14&lt;&gt;"",BP$3&gt;=$J14,BP$3&lt;=$M14),1,"")</f>
        <v/>
      </c>
      <c r="BQ14">
        <f>IF(AND($A14&lt;&gt;"",BQ$3&gt;=$J14,BQ$3&lt;=$M14),1,"")</f>
        <v/>
      </c>
      <c r="BR14">
        <f>IF(AND($A14&lt;&gt;"",BR$3&gt;=$J14,BR$3&lt;=$M14),1,"")</f>
        <v/>
      </c>
      <c r="BS14">
        <f>IF(AND($A14&lt;&gt;"",BS$3&gt;=$J14,BS$3&lt;=$M14),1,"")</f>
        <v/>
      </c>
      <c r="BT14">
        <f>IF(AND($A14&lt;&gt;"",BT$3&gt;=$J14,BT$3&lt;=$M14),1,"")</f>
        <v/>
      </c>
      <c r="BU14">
        <f>IF(AND($A14&lt;&gt;"",BU$3&gt;=$J14,BU$3&lt;=$M14),1,"")</f>
        <v/>
      </c>
      <c r="BV14">
        <f>IF(AND($A14&lt;&gt;"",BV$3&gt;=$J14,BV$3&lt;=$M14),1,"")</f>
        <v/>
      </c>
    </row>
    <row r="15">
      <c r="A15">
        <f>IF(Job_Master_Ring!$A15="","",Job_Master_Ring!$A15)</f>
        <v/>
      </c>
      <c r="B15">
        <f>IF($A15="","",Job_Master_Ring!B15)</f>
        <v/>
      </c>
      <c r="C15">
        <f>IF($A15="","",Job_Master_Ring!C15)</f>
        <v/>
      </c>
      <c r="D15">
        <f>IF($A15="","",Job_Master_Ring!D15)</f>
        <v/>
      </c>
      <c r="E15">
        <f>IF($A15="","",IF($I15&lt;&gt;"",$I15,IFERROR(INDEX(Machine_List!$B$50:$B$63,MATCH(1,(Machine_List!$H$50:$H$63&lt;=IFERROR(VLOOKUP($B15,CHOOSE(MATCH($C15,Settings!$L$4:$L$10,0),OPR_BR1!$A$4:$K$18,OPR_BR2!$A$4:$K$18,OPR_CR2!$A$4:$K$18,OPR_CR3!$A$4:$K$18,OPR_CR4!$A$4:$K$18,OPR_RIM!$A$4:$K$18,OPR_BPR!$A$4:$K$18),10,0),0))*(Machine_List!$I$50:$I$63&gt;=IFERROR(VLOOKUP($B15,CHOOSE(MATCH($C15,Settings!$L$4:$L$10,0),OPR_BR1!$A$4:$K$18,OPR_BR2!$A$4:$K$18,OPR_CR2!$A$4:$K$18,OPR_CR3!$A$4:$K$18,OPR_CR4!$A$4:$K$18,OPR_RIM!$A$4:$K$18,OPR_BPR!$A$4:$K$18),11,0),9999)),0)),"NO COMPATIBLE MACHINE")))</f>
        <v/>
      </c>
      <c r="F15">
        <f>IF($E15="","",IFERROR(VLOOKUP($E15,Machine_List!$B:$G,6,0),""))</f>
        <v/>
      </c>
      <c r="G15" s="17">
        <f>IF($E15="","",IFERROR(VLOOKUP($E15,Machine_List!$B:$C,2,0),""))</f>
        <v/>
      </c>
      <c r="H15">
        <f>IF($E15="","",IFERROR(VLOOKUP($E15,Machine_List!$B:$D,3,0),""))</f>
        <v/>
      </c>
      <c r="J15" s="16">
        <f>IF($A15="","",IF($I15&lt;&gt;"",$I15,MAX(CNC_Plan!$M15,IFERROR(LOOKUP(2,1/($E$3:INDIRECT("E"&amp;(ROW()-1))=$E15),$M$3:INDIRECT("M"&amp;(ROW()-1))),CNC_Plan!$M15))))</f>
        <v/>
      </c>
      <c r="K15">
        <f>IF($A15="","",IFERROR(VLOOKUP(B15,CHOOSE(MATCH($C15,Settings!$L$4:$L$10,0),OPR_BR1!$A$4:$I$18,OPR_BR2!$A$4:$I$18,OPR_CR2!$A$4:$I$18,OPR_CR3!$A$4:$I$18,OPR_CR4!$A$4:$I$18,OPR_RIM!$A$4:$I$18,OPR_BPR!$A$4:$I$18),6,0),0))</f>
        <v/>
      </c>
      <c r="L15">
        <f>IF($A15="","",K15*D15)</f>
        <v/>
      </c>
      <c r="M15" s="16">
        <f>IF($A15="","",IF(AND(ISNUMBER(G15),G15&gt;=J15,G15&lt;=(J15+(L15/(IF(F15="Contract Workman",Settings!$K$5,Settings!$K$4))))),J15+(L15/(IF(F15="Contract Workman",Settings!$K$5,Settings!$K$4)))+(H15/(IF(F15="Contract Workman",Settings!$K$5,Settings!$K$4))),J15+(L15/(IF(F15="Contract Workman",Settings!$K$5,Settings!$K$4)))))</f>
        <v/>
      </c>
      <c r="N15">
        <f>IF($A15="","",IF(F15="Contract Workman",IF(AND(MOD(M15,1)&gt;=8/24,MOD(M15,1)&lt;20/24),"Shift S1","Shift S2"),IF(AND(MOD(M15,1)&gt;=7/24,MOD(M15,1)&lt;15/24),"Shift A",IF(AND(MOD(M15,1)&gt;=15/24,MOD(M15,1)&lt;23/24),"Shift B","Shift C"))))</f>
        <v/>
      </c>
      <c r="O15">
        <f>IF(B15="","",IF(IFERROR(ISNUMBER(SEARCH(TEXT(B15,"0"),VLOOKUP(E15,Machine_List!$B:$J,9,0))),FALSE),"✅ "&amp; E15,"❌ Sug: "&amp;IFERROR(INDEX(Machine_List!$B$50:$B$63,MATCH(1,(Machine_List!$H$50:$H$63&lt;=IFERROR(VLOOKUP($B15,OPR_BR1!$A$4:$K$18,10,0),0))*(Machine_List!$I$50:$I$63&gt;=IFERROR(VLOOKUP($B15,OPR_BR1!$A$4:$K$18,11,0),9999)),0)),"?")))</f>
        <v/>
      </c>
      <c r="P15">
        <f>IF(AND($A15&lt;&gt;"",P$3&gt;=$J15,P$3&lt;=$M15),1,"")</f>
        <v/>
      </c>
      <c r="Q15">
        <f>IF(AND($A15&lt;&gt;"",Q$3&gt;=$J15,Q$3&lt;=$M15),1,"")</f>
        <v/>
      </c>
      <c r="R15">
        <f>IF(AND($A15&lt;&gt;"",R$3&gt;=$J15,R$3&lt;=$M15),1,"")</f>
        <v/>
      </c>
      <c r="S15">
        <f>IF(AND($A15&lt;&gt;"",S$3&gt;=$J15,S$3&lt;=$M15),1,"")</f>
        <v/>
      </c>
      <c r="T15">
        <f>IF(AND($A15&lt;&gt;"",T$3&gt;=$J15,T$3&lt;=$M15),1,"")</f>
        <v/>
      </c>
      <c r="U15">
        <f>IF(AND($A15&lt;&gt;"",U$3&gt;=$J15,U$3&lt;=$M15),1,"")</f>
        <v/>
      </c>
      <c r="V15">
        <f>IF(AND($A15&lt;&gt;"",V$3&gt;=$J15,V$3&lt;=$M15),1,"")</f>
        <v/>
      </c>
      <c r="W15">
        <f>IF(AND($A15&lt;&gt;"",W$3&gt;=$J15,W$3&lt;=$M15),1,"")</f>
        <v/>
      </c>
      <c r="X15">
        <f>IF(AND($A15&lt;&gt;"",X$3&gt;=$J15,X$3&lt;=$M15),1,"")</f>
        <v/>
      </c>
      <c r="Y15">
        <f>IF(AND($A15&lt;&gt;"",Y$3&gt;=$J15,Y$3&lt;=$M15),1,"")</f>
        <v/>
      </c>
      <c r="Z15">
        <f>IF(AND($A15&lt;&gt;"",Z$3&gt;=$J15,Z$3&lt;=$M15),1,"")</f>
        <v/>
      </c>
      <c r="AA15">
        <f>IF(AND($A15&lt;&gt;"",AA$3&gt;=$J15,AA$3&lt;=$M15),1,"")</f>
        <v/>
      </c>
      <c r="AB15">
        <f>IF(AND($A15&lt;&gt;"",AB$3&gt;=$J15,AB$3&lt;=$M15),1,"")</f>
        <v/>
      </c>
      <c r="AC15">
        <f>IF(AND($A15&lt;&gt;"",AC$3&gt;=$J15,AC$3&lt;=$M15),1,"")</f>
        <v/>
      </c>
      <c r="AD15">
        <f>IF(AND($A15&lt;&gt;"",AD$3&gt;=$J15,AD$3&lt;=$M15),1,"")</f>
        <v/>
      </c>
      <c r="AE15">
        <f>IF(AND($A15&lt;&gt;"",AE$3&gt;=$J15,AE$3&lt;=$M15),1,"")</f>
        <v/>
      </c>
      <c r="AF15">
        <f>IF(AND($A15&lt;&gt;"",AF$3&gt;=$J15,AF$3&lt;=$M15),1,"")</f>
        <v/>
      </c>
      <c r="AG15">
        <f>IF(AND($A15&lt;&gt;"",AG$3&gt;=$J15,AG$3&lt;=$M15),1,"")</f>
        <v/>
      </c>
      <c r="AH15">
        <f>IF(AND($A15&lt;&gt;"",AH$3&gt;=$J15,AH$3&lt;=$M15),1,"")</f>
        <v/>
      </c>
      <c r="AI15">
        <f>IF(AND($A15&lt;&gt;"",AI$3&gt;=$J15,AI$3&lt;=$M15),1,"")</f>
        <v/>
      </c>
      <c r="AJ15">
        <f>IF(AND($A15&lt;&gt;"",AJ$3&gt;=$J15,AJ$3&lt;=$M15),1,"")</f>
        <v/>
      </c>
      <c r="AK15">
        <f>IF(AND($A15&lt;&gt;"",AK$3&gt;=$J15,AK$3&lt;=$M15),1,"")</f>
        <v/>
      </c>
      <c r="AL15">
        <f>IF(AND($A15&lt;&gt;"",AL$3&gt;=$J15,AL$3&lt;=$M15),1,"")</f>
        <v/>
      </c>
      <c r="AM15">
        <f>IF(AND($A15&lt;&gt;"",AM$3&gt;=$J15,AM$3&lt;=$M15),1,"")</f>
        <v/>
      </c>
      <c r="AN15">
        <f>IF(AND($A15&lt;&gt;"",AN$3&gt;=$J15,AN$3&lt;=$M15),1,"")</f>
        <v/>
      </c>
      <c r="AO15">
        <f>IF(AND($A15&lt;&gt;"",AO$3&gt;=$J15,AO$3&lt;=$M15),1,"")</f>
        <v/>
      </c>
      <c r="AP15">
        <f>IF(AND($A15&lt;&gt;"",AP$3&gt;=$J15,AP$3&lt;=$M15),1,"")</f>
        <v/>
      </c>
      <c r="AQ15">
        <f>IF(AND($A15&lt;&gt;"",AQ$3&gt;=$J15,AQ$3&lt;=$M15),1,"")</f>
        <v/>
      </c>
      <c r="AR15">
        <f>IF(AND($A15&lt;&gt;"",AR$3&gt;=$J15,AR$3&lt;=$M15),1,"")</f>
        <v/>
      </c>
      <c r="AS15">
        <f>IF(AND($A15&lt;&gt;"",AS$3&gt;=$J15,AS$3&lt;=$M15),1,"")</f>
        <v/>
      </c>
      <c r="AT15">
        <f>IF(AND($A15&lt;&gt;"",AT$3&gt;=$J15,AT$3&lt;=$M15),1,"")</f>
        <v/>
      </c>
      <c r="AU15">
        <f>IF(AND($A15&lt;&gt;"",AU$3&gt;=$J15,AU$3&lt;=$M15),1,"")</f>
        <v/>
      </c>
      <c r="AV15">
        <f>IF(AND($A15&lt;&gt;"",AV$3&gt;=$J15,AV$3&lt;=$M15),1,"")</f>
        <v/>
      </c>
      <c r="AW15">
        <f>IF(AND($A15&lt;&gt;"",AW$3&gt;=$J15,AW$3&lt;=$M15),1,"")</f>
        <v/>
      </c>
      <c r="AX15">
        <f>IF(AND($A15&lt;&gt;"",AX$3&gt;=$J15,AX$3&lt;=$M15),1,"")</f>
        <v/>
      </c>
      <c r="AY15">
        <f>IF(AND($A15&lt;&gt;"",AY$3&gt;=$J15,AY$3&lt;=$M15),1,"")</f>
        <v/>
      </c>
      <c r="AZ15">
        <f>IF(AND($A15&lt;&gt;"",AZ$3&gt;=$J15,AZ$3&lt;=$M15),1,"")</f>
        <v/>
      </c>
      <c r="BA15">
        <f>IF(AND($A15&lt;&gt;"",BA$3&gt;=$J15,BA$3&lt;=$M15),1,"")</f>
        <v/>
      </c>
      <c r="BB15">
        <f>IF(AND($A15&lt;&gt;"",BB$3&gt;=$J15,BB$3&lt;=$M15),1,"")</f>
        <v/>
      </c>
      <c r="BC15">
        <f>IF(AND($A15&lt;&gt;"",BC$3&gt;=$J15,BC$3&lt;=$M15),1,"")</f>
        <v/>
      </c>
      <c r="BD15">
        <f>IF(AND($A15&lt;&gt;"",BD$3&gt;=$J15,BD$3&lt;=$M15),1,"")</f>
        <v/>
      </c>
      <c r="BE15">
        <f>IF(AND($A15&lt;&gt;"",BE$3&gt;=$J15,BE$3&lt;=$M15),1,"")</f>
        <v/>
      </c>
      <c r="BF15">
        <f>IF(AND($A15&lt;&gt;"",BF$3&gt;=$J15,BF$3&lt;=$M15),1,"")</f>
        <v/>
      </c>
      <c r="BG15">
        <f>IF(AND($A15&lt;&gt;"",BG$3&gt;=$J15,BG$3&lt;=$M15),1,"")</f>
        <v/>
      </c>
      <c r="BH15">
        <f>IF(AND($A15&lt;&gt;"",BH$3&gt;=$J15,BH$3&lt;=$M15),1,"")</f>
        <v/>
      </c>
      <c r="BI15">
        <f>IF(AND($A15&lt;&gt;"",BI$3&gt;=$J15,BI$3&lt;=$M15),1,"")</f>
        <v/>
      </c>
      <c r="BJ15">
        <f>IF(AND($A15&lt;&gt;"",BJ$3&gt;=$J15,BJ$3&lt;=$M15),1,"")</f>
        <v/>
      </c>
      <c r="BK15">
        <f>IF(AND($A15&lt;&gt;"",BK$3&gt;=$J15,BK$3&lt;=$M15),1,"")</f>
        <v/>
      </c>
      <c r="BL15">
        <f>IF(AND($A15&lt;&gt;"",BL$3&gt;=$J15,BL$3&lt;=$M15),1,"")</f>
        <v/>
      </c>
      <c r="BM15">
        <f>IF(AND($A15&lt;&gt;"",BM$3&gt;=$J15,BM$3&lt;=$M15),1,"")</f>
        <v/>
      </c>
      <c r="BN15">
        <f>IF(AND($A15&lt;&gt;"",BN$3&gt;=$J15,BN$3&lt;=$M15),1,"")</f>
        <v/>
      </c>
      <c r="BO15">
        <f>IF(AND($A15&lt;&gt;"",BO$3&gt;=$J15,BO$3&lt;=$M15),1,"")</f>
        <v/>
      </c>
      <c r="BP15">
        <f>IF(AND($A15&lt;&gt;"",BP$3&gt;=$J15,BP$3&lt;=$M15),1,"")</f>
        <v/>
      </c>
      <c r="BQ15">
        <f>IF(AND($A15&lt;&gt;"",BQ$3&gt;=$J15,BQ$3&lt;=$M15),1,"")</f>
        <v/>
      </c>
      <c r="BR15">
        <f>IF(AND($A15&lt;&gt;"",BR$3&gt;=$J15,BR$3&lt;=$M15),1,"")</f>
        <v/>
      </c>
      <c r="BS15">
        <f>IF(AND($A15&lt;&gt;"",BS$3&gt;=$J15,BS$3&lt;=$M15),1,"")</f>
        <v/>
      </c>
      <c r="BT15">
        <f>IF(AND($A15&lt;&gt;"",BT$3&gt;=$J15,BT$3&lt;=$M15),1,"")</f>
        <v/>
      </c>
      <c r="BU15">
        <f>IF(AND($A15&lt;&gt;"",BU$3&gt;=$J15,BU$3&lt;=$M15),1,"")</f>
        <v/>
      </c>
      <c r="BV15">
        <f>IF(AND($A15&lt;&gt;"",BV$3&gt;=$J15,BV$3&lt;=$M15),1,"")</f>
        <v/>
      </c>
    </row>
    <row r="16">
      <c r="A16">
        <f>IF(Job_Master_Ring!$A16="","",Job_Master_Ring!$A16)</f>
        <v/>
      </c>
      <c r="B16">
        <f>IF($A16="","",Job_Master_Ring!B16)</f>
        <v/>
      </c>
      <c r="C16">
        <f>IF($A16="","",Job_Master_Ring!C16)</f>
        <v/>
      </c>
      <c r="D16">
        <f>IF($A16="","",Job_Master_Ring!D16)</f>
        <v/>
      </c>
      <c r="E16">
        <f>IF($A16="","",IF($I16&lt;&gt;"",$I16,IFERROR(INDEX(Machine_List!$B$50:$B$63,MATCH(1,(Machine_List!$H$50:$H$63&lt;=IFERROR(VLOOKUP($B16,CHOOSE(MATCH($C16,Settings!$L$4:$L$10,0),OPR_BR1!$A$4:$K$18,OPR_BR2!$A$4:$K$18,OPR_CR2!$A$4:$K$18,OPR_CR3!$A$4:$K$18,OPR_CR4!$A$4:$K$18,OPR_RIM!$A$4:$K$18,OPR_BPR!$A$4:$K$18),10,0),0))*(Machine_List!$I$50:$I$63&gt;=IFERROR(VLOOKUP($B16,CHOOSE(MATCH($C16,Settings!$L$4:$L$10,0),OPR_BR1!$A$4:$K$18,OPR_BR2!$A$4:$K$18,OPR_CR2!$A$4:$K$18,OPR_CR3!$A$4:$K$18,OPR_CR4!$A$4:$K$18,OPR_RIM!$A$4:$K$18,OPR_BPR!$A$4:$K$18),11,0),9999)),0)),"NO COMPATIBLE MACHINE")))</f>
        <v/>
      </c>
      <c r="F16">
        <f>IF($E16="","",IFERROR(VLOOKUP($E16,Machine_List!$B:$G,6,0),""))</f>
        <v/>
      </c>
      <c r="G16" s="17">
        <f>IF($E16="","",IFERROR(VLOOKUP($E16,Machine_List!$B:$C,2,0),""))</f>
        <v/>
      </c>
      <c r="H16">
        <f>IF($E16="","",IFERROR(VLOOKUP($E16,Machine_List!$B:$D,3,0),""))</f>
        <v/>
      </c>
      <c r="J16" s="16">
        <f>IF($A16="","",IF($I16&lt;&gt;"",$I16,MAX(CNC_Plan!$M16,IFERROR(LOOKUP(2,1/($E$3:INDIRECT("E"&amp;(ROW()-1))=$E16),$M$3:INDIRECT("M"&amp;(ROW()-1))),CNC_Plan!$M16))))</f>
        <v/>
      </c>
      <c r="K16">
        <f>IF($A16="","",IFERROR(VLOOKUP(B16,CHOOSE(MATCH($C16,Settings!$L$4:$L$10,0),OPR_BR1!$A$4:$I$18,OPR_BR2!$A$4:$I$18,OPR_CR2!$A$4:$I$18,OPR_CR3!$A$4:$I$18,OPR_CR4!$A$4:$I$18,OPR_RIM!$A$4:$I$18,OPR_BPR!$A$4:$I$18),6,0),0))</f>
        <v/>
      </c>
      <c r="L16">
        <f>IF($A16="","",K16*D16)</f>
        <v/>
      </c>
      <c r="M16" s="16">
        <f>IF($A16="","",IF(AND(ISNUMBER(G16),G16&gt;=J16,G16&lt;=(J16+(L16/(IF(F16="Contract Workman",Settings!$K$5,Settings!$K$4))))),J16+(L16/(IF(F16="Contract Workman",Settings!$K$5,Settings!$K$4)))+(H16/(IF(F16="Contract Workman",Settings!$K$5,Settings!$K$4))),J16+(L16/(IF(F16="Contract Workman",Settings!$K$5,Settings!$K$4)))))</f>
        <v/>
      </c>
      <c r="N16">
        <f>IF($A16="","",IF(F16="Contract Workman",IF(AND(MOD(M16,1)&gt;=8/24,MOD(M16,1)&lt;20/24),"Shift S1","Shift S2"),IF(AND(MOD(M16,1)&gt;=7/24,MOD(M16,1)&lt;15/24),"Shift A",IF(AND(MOD(M16,1)&gt;=15/24,MOD(M16,1)&lt;23/24),"Shift B","Shift C"))))</f>
        <v/>
      </c>
      <c r="O16">
        <f>IF(B16="","",IF(IFERROR(ISNUMBER(SEARCH(TEXT(B16,"0"),VLOOKUP(E16,Machine_List!$B:$J,9,0))),FALSE),"✅ "&amp; E16,"❌ Sug: "&amp;IFERROR(INDEX(Machine_List!$B$50:$B$63,MATCH(1,(Machine_List!$H$50:$H$63&lt;=IFERROR(VLOOKUP($B16,OPR_BR1!$A$4:$K$18,10,0),0))*(Machine_List!$I$50:$I$63&gt;=IFERROR(VLOOKUP($B16,OPR_BR1!$A$4:$K$18,11,0),9999)),0)),"?")))</f>
        <v/>
      </c>
      <c r="P16">
        <f>IF(AND($A16&lt;&gt;"",P$3&gt;=$J16,P$3&lt;=$M16),1,"")</f>
        <v/>
      </c>
      <c r="Q16">
        <f>IF(AND($A16&lt;&gt;"",Q$3&gt;=$J16,Q$3&lt;=$M16),1,"")</f>
        <v/>
      </c>
      <c r="R16">
        <f>IF(AND($A16&lt;&gt;"",R$3&gt;=$J16,R$3&lt;=$M16),1,"")</f>
        <v/>
      </c>
      <c r="S16">
        <f>IF(AND($A16&lt;&gt;"",S$3&gt;=$J16,S$3&lt;=$M16),1,"")</f>
        <v/>
      </c>
      <c r="T16">
        <f>IF(AND($A16&lt;&gt;"",T$3&gt;=$J16,T$3&lt;=$M16),1,"")</f>
        <v/>
      </c>
      <c r="U16">
        <f>IF(AND($A16&lt;&gt;"",U$3&gt;=$J16,U$3&lt;=$M16),1,"")</f>
        <v/>
      </c>
      <c r="V16">
        <f>IF(AND($A16&lt;&gt;"",V$3&gt;=$J16,V$3&lt;=$M16),1,"")</f>
        <v/>
      </c>
      <c r="W16">
        <f>IF(AND($A16&lt;&gt;"",W$3&gt;=$J16,W$3&lt;=$M16),1,"")</f>
        <v/>
      </c>
      <c r="X16">
        <f>IF(AND($A16&lt;&gt;"",X$3&gt;=$J16,X$3&lt;=$M16),1,"")</f>
        <v/>
      </c>
      <c r="Y16">
        <f>IF(AND($A16&lt;&gt;"",Y$3&gt;=$J16,Y$3&lt;=$M16),1,"")</f>
        <v/>
      </c>
      <c r="Z16">
        <f>IF(AND($A16&lt;&gt;"",Z$3&gt;=$J16,Z$3&lt;=$M16),1,"")</f>
        <v/>
      </c>
      <c r="AA16">
        <f>IF(AND($A16&lt;&gt;"",AA$3&gt;=$J16,AA$3&lt;=$M16),1,"")</f>
        <v/>
      </c>
      <c r="AB16">
        <f>IF(AND($A16&lt;&gt;"",AB$3&gt;=$J16,AB$3&lt;=$M16),1,"")</f>
        <v/>
      </c>
      <c r="AC16">
        <f>IF(AND($A16&lt;&gt;"",AC$3&gt;=$J16,AC$3&lt;=$M16),1,"")</f>
        <v/>
      </c>
      <c r="AD16">
        <f>IF(AND($A16&lt;&gt;"",AD$3&gt;=$J16,AD$3&lt;=$M16),1,"")</f>
        <v/>
      </c>
      <c r="AE16">
        <f>IF(AND($A16&lt;&gt;"",AE$3&gt;=$J16,AE$3&lt;=$M16),1,"")</f>
        <v/>
      </c>
      <c r="AF16">
        <f>IF(AND($A16&lt;&gt;"",AF$3&gt;=$J16,AF$3&lt;=$M16),1,"")</f>
        <v/>
      </c>
      <c r="AG16">
        <f>IF(AND($A16&lt;&gt;"",AG$3&gt;=$J16,AG$3&lt;=$M16),1,"")</f>
        <v/>
      </c>
      <c r="AH16">
        <f>IF(AND($A16&lt;&gt;"",AH$3&gt;=$J16,AH$3&lt;=$M16),1,"")</f>
        <v/>
      </c>
      <c r="AI16">
        <f>IF(AND($A16&lt;&gt;"",AI$3&gt;=$J16,AI$3&lt;=$M16),1,"")</f>
        <v/>
      </c>
      <c r="AJ16">
        <f>IF(AND($A16&lt;&gt;"",AJ$3&gt;=$J16,AJ$3&lt;=$M16),1,"")</f>
        <v/>
      </c>
      <c r="AK16">
        <f>IF(AND($A16&lt;&gt;"",AK$3&gt;=$J16,AK$3&lt;=$M16),1,"")</f>
        <v/>
      </c>
      <c r="AL16">
        <f>IF(AND($A16&lt;&gt;"",AL$3&gt;=$J16,AL$3&lt;=$M16),1,"")</f>
        <v/>
      </c>
      <c r="AM16">
        <f>IF(AND($A16&lt;&gt;"",AM$3&gt;=$J16,AM$3&lt;=$M16),1,"")</f>
        <v/>
      </c>
      <c r="AN16">
        <f>IF(AND($A16&lt;&gt;"",AN$3&gt;=$J16,AN$3&lt;=$M16),1,"")</f>
        <v/>
      </c>
      <c r="AO16">
        <f>IF(AND($A16&lt;&gt;"",AO$3&gt;=$J16,AO$3&lt;=$M16),1,"")</f>
        <v/>
      </c>
      <c r="AP16">
        <f>IF(AND($A16&lt;&gt;"",AP$3&gt;=$J16,AP$3&lt;=$M16),1,"")</f>
        <v/>
      </c>
      <c r="AQ16">
        <f>IF(AND($A16&lt;&gt;"",AQ$3&gt;=$J16,AQ$3&lt;=$M16),1,"")</f>
        <v/>
      </c>
      <c r="AR16">
        <f>IF(AND($A16&lt;&gt;"",AR$3&gt;=$J16,AR$3&lt;=$M16),1,"")</f>
        <v/>
      </c>
      <c r="AS16">
        <f>IF(AND($A16&lt;&gt;"",AS$3&gt;=$J16,AS$3&lt;=$M16),1,"")</f>
        <v/>
      </c>
      <c r="AT16">
        <f>IF(AND($A16&lt;&gt;"",AT$3&gt;=$J16,AT$3&lt;=$M16),1,"")</f>
        <v/>
      </c>
      <c r="AU16">
        <f>IF(AND($A16&lt;&gt;"",AU$3&gt;=$J16,AU$3&lt;=$M16),1,"")</f>
        <v/>
      </c>
      <c r="AV16">
        <f>IF(AND($A16&lt;&gt;"",AV$3&gt;=$J16,AV$3&lt;=$M16),1,"")</f>
        <v/>
      </c>
      <c r="AW16">
        <f>IF(AND($A16&lt;&gt;"",AW$3&gt;=$J16,AW$3&lt;=$M16),1,"")</f>
        <v/>
      </c>
      <c r="AX16">
        <f>IF(AND($A16&lt;&gt;"",AX$3&gt;=$J16,AX$3&lt;=$M16),1,"")</f>
        <v/>
      </c>
      <c r="AY16">
        <f>IF(AND($A16&lt;&gt;"",AY$3&gt;=$J16,AY$3&lt;=$M16),1,"")</f>
        <v/>
      </c>
      <c r="AZ16">
        <f>IF(AND($A16&lt;&gt;"",AZ$3&gt;=$J16,AZ$3&lt;=$M16),1,"")</f>
        <v/>
      </c>
      <c r="BA16">
        <f>IF(AND($A16&lt;&gt;"",BA$3&gt;=$J16,BA$3&lt;=$M16),1,"")</f>
        <v/>
      </c>
      <c r="BB16">
        <f>IF(AND($A16&lt;&gt;"",BB$3&gt;=$J16,BB$3&lt;=$M16),1,"")</f>
        <v/>
      </c>
      <c r="BC16">
        <f>IF(AND($A16&lt;&gt;"",BC$3&gt;=$J16,BC$3&lt;=$M16),1,"")</f>
        <v/>
      </c>
      <c r="BD16">
        <f>IF(AND($A16&lt;&gt;"",BD$3&gt;=$J16,BD$3&lt;=$M16),1,"")</f>
        <v/>
      </c>
      <c r="BE16">
        <f>IF(AND($A16&lt;&gt;"",BE$3&gt;=$J16,BE$3&lt;=$M16),1,"")</f>
        <v/>
      </c>
      <c r="BF16">
        <f>IF(AND($A16&lt;&gt;"",BF$3&gt;=$J16,BF$3&lt;=$M16),1,"")</f>
        <v/>
      </c>
      <c r="BG16">
        <f>IF(AND($A16&lt;&gt;"",BG$3&gt;=$J16,BG$3&lt;=$M16),1,"")</f>
        <v/>
      </c>
      <c r="BH16">
        <f>IF(AND($A16&lt;&gt;"",BH$3&gt;=$J16,BH$3&lt;=$M16),1,"")</f>
        <v/>
      </c>
      <c r="BI16">
        <f>IF(AND($A16&lt;&gt;"",BI$3&gt;=$J16,BI$3&lt;=$M16),1,"")</f>
        <v/>
      </c>
      <c r="BJ16">
        <f>IF(AND($A16&lt;&gt;"",BJ$3&gt;=$J16,BJ$3&lt;=$M16),1,"")</f>
        <v/>
      </c>
      <c r="BK16">
        <f>IF(AND($A16&lt;&gt;"",BK$3&gt;=$J16,BK$3&lt;=$M16),1,"")</f>
        <v/>
      </c>
      <c r="BL16">
        <f>IF(AND($A16&lt;&gt;"",BL$3&gt;=$J16,BL$3&lt;=$M16),1,"")</f>
        <v/>
      </c>
      <c r="BM16">
        <f>IF(AND($A16&lt;&gt;"",BM$3&gt;=$J16,BM$3&lt;=$M16),1,"")</f>
        <v/>
      </c>
      <c r="BN16">
        <f>IF(AND($A16&lt;&gt;"",BN$3&gt;=$J16,BN$3&lt;=$M16),1,"")</f>
        <v/>
      </c>
      <c r="BO16">
        <f>IF(AND($A16&lt;&gt;"",BO$3&gt;=$J16,BO$3&lt;=$M16),1,"")</f>
        <v/>
      </c>
      <c r="BP16">
        <f>IF(AND($A16&lt;&gt;"",BP$3&gt;=$J16,BP$3&lt;=$M16),1,"")</f>
        <v/>
      </c>
      <c r="BQ16">
        <f>IF(AND($A16&lt;&gt;"",BQ$3&gt;=$J16,BQ$3&lt;=$M16),1,"")</f>
        <v/>
      </c>
      <c r="BR16">
        <f>IF(AND($A16&lt;&gt;"",BR$3&gt;=$J16,BR$3&lt;=$M16),1,"")</f>
        <v/>
      </c>
      <c r="BS16">
        <f>IF(AND($A16&lt;&gt;"",BS$3&gt;=$J16,BS$3&lt;=$M16),1,"")</f>
        <v/>
      </c>
      <c r="BT16">
        <f>IF(AND($A16&lt;&gt;"",BT$3&gt;=$J16,BT$3&lt;=$M16),1,"")</f>
        <v/>
      </c>
      <c r="BU16">
        <f>IF(AND($A16&lt;&gt;"",BU$3&gt;=$J16,BU$3&lt;=$M16),1,"")</f>
        <v/>
      </c>
      <c r="BV16">
        <f>IF(AND($A16&lt;&gt;"",BV$3&gt;=$J16,BV$3&lt;=$M16),1,"")</f>
        <v/>
      </c>
    </row>
    <row r="17">
      <c r="A17">
        <f>IF(Job_Master_Ring!$A17="","",Job_Master_Ring!$A17)</f>
        <v/>
      </c>
      <c r="B17">
        <f>IF($A17="","",Job_Master_Ring!B17)</f>
        <v/>
      </c>
      <c r="C17">
        <f>IF($A17="","",Job_Master_Ring!C17)</f>
        <v/>
      </c>
      <c r="D17">
        <f>IF($A17="","",Job_Master_Ring!D17)</f>
        <v/>
      </c>
      <c r="E17">
        <f>IF($A17="","",IF($I17&lt;&gt;"",$I17,IFERROR(INDEX(Machine_List!$B$50:$B$63,MATCH(1,(Machine_List!$H$50:$H$63&lt;=IFERROR(VLOOKUP($B17,CHOOSE(MATCH($C17,Settings!$L$4:$L$10,0),OPR_BR1!$A$4:$K$18,OPR_BR2!$A$4:$K$18,OPR_CR2!$A$4:$K$18,OPR_CR3!$A$4:$K$18,OPR_CR4!$A$4:$K$18,OPR_RIM!$A$4:$K$18,OPR_BPR!$A$4:$K$18),10,0),0))*(Machine_List!$I$50:$I$63&gt;=IFERROR(VLOOKUP($B17,CHOOSE(MATCH($C17,Settings!$L$4:$L$10,0),OPR_BR1!$A$4:$K$18,OPR_BR2!$A$4:$K$18,OPR_CR2!$A$4:$K$18,OPR_CR3!$A$4:$K$18,OPR_CR4!$A$4:$K$18,OPR_RIM!$A$4:$K$18,OPR_BPR!$A$4:$K$18),11,0),9999)),0)),"NO COMPATIBLE MACHINE")))</f>
        <v/>
      </c>
      <c r="F17">
        <f>IF($E17="","",IFERROR(VLOOKUP($E17,Machine_List!$B:$G,6,0),""))</f>
        <v/>
      </c>
      <c r="G17" s="17">
        <f>IF($E17="","",IFERROR(VLOOKUP($E17,Machine_List!$B:$C,2,0),""))</f>
        <v/>
      </c>
      <c r="H17">
        <f>IF($E17="","",IFERROR(VLOOKUP($E17,Machine_List!$B:$D,3,0),""))</f>
        <v/>
      </c>
      <c r="J17" s="16">
        <f>IF($A17="","",IF($I17&lt;&gt;"",$I17,MAX(CNC_Plan!$M17,IFERROR(LOOKUP(2,1/($E$3:INDIRECT("E"&amp;(ROW()-1))=$E17),$M$3:INDIRECT("M"&amp;(ROW()-1))),CNC_Plan!$M17))))</f>
        <v/>
      </c>
      <c r="K17">
        <f>IF($A17="","",IFERROR(VLOOKUP(B17,CHOOSE(MATCH($C17,Settings!$L$4:$L$10,0),OPR_BR1!$A$4:$I$18,OPR_BR2!$A$4:$I$18,OPR_CR2!$A$4:$I$18,OPR_CR3!$A$4:$I$18,OPR_CR4!$A$4:$I$18,OPR_RIM!$A$4:$I$18,OPR_BPR!$A$4:$I$18),6,0),0))</f>
        <v/>
      </c>
      <c r="L17">
        <f>IF($A17="","",K17*D17)</f>
        <v/>
      </c>
      <c r="M17" s="16">
        <f>IF($A17="","",IF(AND(ISNUMBER(G17),G17&gt;=J17,G17&lt;=(J17+(L17/(IF(F17="Contract Workman",Settings!$K$5,Settings!$K$4))))),J17+(L17/(IF(F17="Contract Workman",Settings!$K$5,Settings!$K$4)))+(H17/(IF(F17="Contract Workman",Settings!$K$5,Settings!$K$4))),J17+(L17/(IF(F17="Contract Workman",Settings!$K$5,Settings!$K$4)))))</f>
        <v/>
      </c>
      <c r="N17">
        <f>IF($A17="","",IF(F17="Contract Workman",IF(AND(MOD(M17,1)&gt;=8/24,MOD(M17,1)&lt;20/24),"Shift S1","Shift S2"),IF(AND(MOD(M17,1)&gt;=7/24,MOD(M17,1)&lt;15/24),"Shift A",IF(AND(MOD(M17,1)&gt;=15/24,MOD(M17,1)&lt;23/24),"Shift B","Shift C"))))</f>
        <v/>
      </c>
      <c r="O17">
        <f>IF(B17="","",IF(IFERROR(ISNUMBER(SEARCH(TEXT(B17,"0"),VLOOKUP(E17,Machine_List!$B:$J,9,0))),FALSE),"✅ "&amp; E17,"❌ Sug: "&amp;IFERROR(INDEX(Machine_List!$B$50:$B$63,MATCH(1,(Machine_List!$H$50:$H$63&lt;=IFERROR(VLOOKUP($B17,OPR_BR1!$A$4:$K$18,10,0),0))*(Machine_List!$I$50:$I$63&gt;=IFERROR(VLOOKUP($B17,OPR_BR1!$A$4:$K$18,11,0),9999)),0)),"?")))</f>
        <v/>
      </c>
      <c r="P17">
        <f>IF(AND($A17&lt;&gt;"",P$3&gt;=$J17,P$3&lt;=$M17),1,"")</f>
        <v/>
      </c>
      <c r="Q17">
        <f>IF(AND($A17&lt;&gt;"",Q$3&gt;=$J17,Q$3&lt;=$M17),1,"")</f>
        <v/>
      </c>
      <c r="R17">
        <f>IF(AND($A17&lt;&gt;"",R$3&gt;=$J17,R$3&lt;=$M17),1,"")</f>
        <v/>
      </c>
      <c r="S17">
        <f>IF(AND($A17&lt;&gt;"",S$3&gt;=$J17,S$3&lt;=$M17),1,"")</f>
        <v/>
      </c>
      <c r="T17">
        <f>IF(AND($A17&lt;&gt;"",T$3&gt;=$J17,T$3&lt;=$M17),1,"")</f>
        <v/>
      </c>
      <c r="U17">
        <f>IF(AND($A17&lt;&gt;"",U$3&gt;=$J17,U$3&lt;=$M17),1,"")</f>
        <v/>
      </c>
      <c r="V17">
        <f>IF(AND($A17&lt;&gt;"",V$3&gt;=$J17,V$3&lt;=$M17),1,"")</f>
        <v/>
      </c>
      <c r="W17">
        <f>IF(AND($A17&lt;&gt;"",W$3&gt;=$J17,W$3&lt;=$M17),1,"")</f>
        <v/>
      </c>
      <c r="X17">
        <f>IF(AND($A17&lt;&gt;"",X$3&gt;=$J17,X$3&lt;=$M17),1,"")</f>
        <v/>
      </c>
      <c r="Y17">
        <f>IF(AND($A17&lt;&gt;"",Y$3&gt;=$J17,Y$3&lt;=$M17),1,"")</f>
        <v/>
      </c>
      <c r="Z17">
        <f>IF(AND($A17&lt;&gt;"",Z$3&gt;=$J17,Z$3&lt;=$M17),1,"")</f>
        <v/>
      </c>
      <c r="AA17">
        <f>IF(AND($A17&lt;&gt;"",AA$3&gt;=$J17,AA$3&lt;=$M17),1,"")</f>
        <v/>
      </c>
      <c r="AB17">
        <f>IF(AND($A17&lt;&gt;"",AB$3&gt;=$J17,AB$3&lt;=$M17),1,"")</f>
        <v/>
      </c>
      <c r="AC17">
        <f>IF(AND($A17&lt;&gt;"",AC$3&gt;=$J17,AC$3&lt;=$M17),1,"")</f>
        <v/>
      </c>
      <c r="AD17">
        <f>IF(AND($A17&lt;&gt;"",AD$3&gt;=$J17,AD$3&lt;=$M17),1,"")</f>
        <v/>
      </c>
      <c r="AE17">
        <f>IF(AND($A17&lt;&gt;"",AE$3&gt;=$J17,AE$3&lt;=$M17),1,"")</f>
        <v/>
      </c>
      <c r="AF17">
        <f>IF(AND($A17&lt;&gt;"",AF$3&gt;=$J17,AF$3&lt;=$M17),1,"")</f>
        <v/>
      </c>
      <c r="AG17">
        <f>IF(AND($A17&lt;&gt;"",AG$3&gt;=$J17,AG$3&lt;=$M17),1,"")</f>
        <v/>
      </c>
      <c r="AH17">
        <f>IF(AND($A17&lt;&gt;"",AH$3&gt;=$J17,AH$3&lt;=$M17),1,"")</f>
        <v/>
      </c>
      <c r="AI17">
        <f>IF(AND($A17&lt;&gt;"",AI$3&gt;=$J17,AI$3&lt;=$M17),1,"")</f>
        <v/>
      </c>
      <c r="AJ17">
        <f>IF(AND($A17&lt;&gt;"",AJ$3&gt;=$J17,AJ$3&lt;=$M17),1,"")</f>
        <v/>
      </c>
      <c r="AK17">
        <f>IF(AND($A17&lt;&gt;"",AK$3&gt;=$J17,AK$3&lt;=$M17),1,"")</f>
        <v/>
      </c>
      <c r="AL17">
        <f>IF(AND($A17&lt;&gt;"",AL$3&gt;=$J17,AL$3&lt;=$M17),1,"")</f>
        <v/>
      </c>
      <c r="AM17">
        <f>IF(AND($A17&lt;&gt;"",AM$3&gt;=$J17,AM$3&lt;=$M17),1,"")</f>
        <v/>
      </c>
      <c r="AN17">
        <f>IF(AND($A17&lt;&gt;"",AN$3&gt;=$J17,AN$3&lt;=$M17),1,"")</f>
        <v/>
      </c>
      <c r="AO17">
        <f>IF(AND($A17&lt;&gt;"",AO$3&gt;=$J17,AO$3&lt;=$M17),1,"")</f>
        <v/>
      </c>
      <c r="AP17">
        <f>IF(AND($A17&lt;&gt;"",AP$3&gt;=$J17,AP$3&lt;=$M17),1,"")</f>
        <v/>
      </c>
      <c r="AQ17">
        <f>IF(AND($A17&lt;&gt;"",AQ$3&gt;=$J17,AQ$3&lt;=$M17),1,"")</f>
        <v/>
      </c>
      <c r="AR17">
        <f>IF(AND($A17&lt;&gt;"",AR$3&gt;=$J17,AR$3&lt;=$M17),1,"")</f>
        <v/>
      </c>
      <c r="AS17">
        <f>IF(AND($A17&lt;&gt;"",AS$3&gt;=$J17,AS$3&lt;=$M17),1,"")</f>
        <v/>
      </c>
      <c r="AT17">
        <f>IF(AND($A17&lt;&gt;"",AT$3&gt;=$J17,AT$3&lt;=$M17),1,"")</f>
        <v/>
      </c>
      <c r="AU17">
        <f>IF(AND($A17&lt;&gt;"",AU$3&gt;=$J17,AU$3&lt;=$M17),1,"")</f>
        <v/>
      </c>
      <c r="AV17">
        <f>IF(AND($A17&lt;&gt;"",AV$3&gt;=$J17,AV$3&lt;=$M17),1,"")</f>
        <v/>
      </c>
      <c r="AW17">
        <f>IF(AND($A17&lt;&gt;"",AW$3&gt;=$J17,AW$3&lt;=$M17),1,"")</f>
        <v/>
      </c>
      <c r="AX17">
        <f>IF(AND($A17&lt;&gt;"",AX$3&gt;=$J17,AX$3&lt;=$M17),1,"")</f>
        <v/>
      </c>
      <c r="AY17">
        <f>IF(AND($A17&lt;&gt;"",AY$3&gt;=$J17,AY$3&lt;=$M17),1,"")</f>
        <v/>
      </c>
      <c r="AZ17">
        <f>IF(AND($A17&lt;&gt;"",AZ$3&gt;=$J17,AZ$3&lt;=$M17),1,"")</f>
        <v/>
      </c>
      <c r="BA17">
        <f>IF(AND($A17&lt;&gt;"",BA$3&gt;=$J17,BA$3&lt;=$M17),1,"")</f>
        <v/>
      </c>
      <c r="BB17">
        <f>IF(AND($A17&lt;&gt;"",BB$3&gt;=$J17,BB$3&lt;=$M17),1,"")</f>
        <v/>
      </c>
      <c r="BC17">
        <f>IF(AND($A17&lt;&gt;"",BC$3&gt;=$J17,BC$3&lt;=$M17),1,"")</f>
        <v/>
      </c>
      <c r="BD17">
        <f>IF(AND($A17&lt;&gt;"",BD$3&gt;=$J17,BD$3&lt;=$M17),1,"")</f>
        <v/>
      </c>
      <c r="BE17">
        <f>IF(AND($A17&lt;&gt;"",BE$3&gt;=$J17,BE$3&lt;=$M17),1,"")</f>
        <v/>
      </c>
      <c r="BF17">
        <f>IF(AND($A17&lt;&gt;"",BF$3&gt;=$J17,BF$3&lt;=$M17),1,"")</f>
        <v/>
      </c>
      <c r="BG17">
        <f>IF(AND($A17&lt;&gt;"",BG$3&gt;=$J17,BG$3&lt;=$M17),1,"")</f>
        <v/>
      </c>
      <c r="BH17">
        <f>IF(AND($A17&lt;&gt;"",BH$3&gt;=$J17,BH$3&lt;=$M17),1,"")</f>
        <v/>
      </c>
      <c r="BI17">
        <f>IF(AND($A17&lt;&gt;"",BI$3&gt;=$J17,BI$3&lt;=$M17),1,"")</f>
        <v/>
      </c>
      <c r="BJ17">
        <f>IF(AND($A17&lt;&gt;"",BJ$3&gt;=$J17,BJ$3&lt;=$M17),1,"")</f>
        <v/>
      </c>
      <c r="BK17">
        <f>IF(AND($A17&lt;&gt;"",BK$3&gt;=$J17,BK$3&lt;=$M17),1,"")</f>
        <v/>
      </c>
      <c r="BL17">
        <f>IF(AND($A17&lt;&gt;"",BL$3&gt;=$J17,BL$3&lt;=$M17),1,"")</f>
        <v/>
      </c>
      <c r="BM17">
        <f>IF(AND($A17&lt;&gt;"",BM$3&gt;=$J17,BM$3&lt;=$M17),1,"")</f>
        <v/>
      </c>
      <c r="BN17">
        <f>IF(AND($A17&lt;&gt;"",BN$3&gt;=$J17,BN$3&lt;=$M17),1,"")</f>
        <v/>
      </c>
      <c r="BO17">
        <f>IF(AND($A17&lt;&gt;"",BO$3&gt;=$J17,BO$3&lt;=$M17),1,"")</f>
        <v/>
      </c>
      <c r="BP17">
        <f>IF(AND($A17&lt;&gt;"",BP$3&gt;=$J17,BP$3&lt;=$M17),1,"")</f>
        <v/>
      </c>
      <c r="BQ17">
        <f>IF(AND($A17&lt;&gt;"",BQ$3&gt;=$J17,BQ$3&lt;=$M17),1,"")</f>
        <v/>
      </c>
      <c r="BR17">
        <f>IF(AND($A17&lt;&gt;"",BR$3&gt;=$J17,BR$3&lt;=$M17),1,"")</f>
        <v/>
      </c>
      <c r="BS17">
        <f>IF(AND($A17&lt;&gt;"",BS$3&gt;=$J17,BS$3&lt;=$M17),1,"")</f>
        <v/>
      </c>
      <c r="BT17">
        <f>IF(AND($A17&lt;&gt;"",BT$3&gt;=$J17,BT$3&lt;=$M17),1,"")</f>
        <v/>
      </c>
      <c r="BU17">
        <f>IF(AND($A17&lt;&gt;"",BU$3&gt;=$J17,BU$3&lt;=$M17),1,"")</f>
        <v/>
      </c>
      <c r="BV17">
        <f>IF(AND($A17&lt;&gt;"",BV$3&gt;=$J17,BV$3&lt;=$M17),1,"")</f>
        <v/>
      </c>
    </row>
    <row r="18">
      <c r="A18">
        <f>IF(Job_Master_Ring!$A18="","",Job_Master_Ring!$A18)</f>
        <v/>
      </c>
      <c r="B18">
        <f>IF($A18="","",Job_Master_Ring!B18)</f>
        <v/>
      </c>
      <c r="C18">
        <f>IF($A18="","",Job_Master_Ring!C18)</f>
        <v/>
      </c>
      <c r="D18">
        <f>IF($A18="","",Job_Master_Ring!D18)</f>
        <v/>
      </c>
      <c r="E18">
        <f>IF($A18="","",IF($I18&lt;&gt;"",$I18,IFERROR(INDEX(Machine_List!$B$50:$B$63,MATCH(1,(Machine_List!$H$50:$H$63&lt;=IFERROR(VLOOKUP($B18,CHOOSE(MATCH($C18,Settings!$L$4:$L$10,0),OPR_BR1!$A$4:$K$18,OPR_BR2!$A$4:$K$18,OPR_CR2!$A$4:$K$18,OPR_CR3!$A$4:$K$18,OPR_CR4!$A$4:$K$18,OPR_RIM!$A$4:$K$18,OPR_BPR!$A$4:$K$18),10,0),0))*(Machine_List!$I$50:$I$63&gt;=IFERROR(VLOOKUP($B18,CHOOSE(MATCH($C18,Settings!$L$4:$L$10,0),OPR_BR1!$A$4:$K$18,OPR_BR2!$A$4:$K$18,OPR_CR2!$A$4:$K$18,OPR_CR3!$A$4:$K$18,OPR_CR4!$A$4:$K$18,OPR_RIM!$A$4:$K$18,OPR_BPR!$A$4:$K$18),11,0),9999)),0)),"NO COMPATIBLE MACHINE")))</f>
        <v/>
      </c>
      <c r="F18">
        <f>IF($E18="","",IFERROR(VLOOKUP($E18,Machine_List!$B:$G,6,0),""))</f>
        <v/>
      </c>
      <c r="G18" s="17">
        <f>IF($E18="","",IFERROR(VLOOKUP($E18,Machine_List!$B:$C,2,0),""))</f>
        <v/>
      </c>
      <c r="H18">
        <f>IF($E18="","",IFERROR(VLOOKUP($E18,Machine_List!$B:$D,3,0),""))</f>
        <v/>
      </c>
      <c r="J18" s="16">
        <f>IF($A18="","",IF($I18&lt;&gt;"",$I18,MAX(CNC_Plan!$M18,IFERROR(LOOKUP(2,1/($E$3:INDIRECT("E"&amp;(ROW()-1))=$E18),$M$3:INDIRECT("M"&amp;(ROW()-1))),CNC_Plan!$M18))))</f>
        <v/>
      </c>
      <c r="K18">
        <f>IF($A18="","",IFERROR(VLOOKUP(B18,CHOOSE(MATCH($C18,Settings!$L$4:$L$10,0),OPR_BR1!$A$4:$I$18,OPR_BR2!$A$4:$I$18,OPR_CR2!$A$4:$I$18,OPR_CR3!$A$4:$I$18,OPR_CR4!$A$4:$I$18,OPR_RIM!$A$4:$I$18,OPR_BPR!$A$4:$I$18),6,0),0))</f>
        <v/>
      </c>
      <c r="L18">
        <f>IF($A18="","",K18*D18)</f>
        <v/>
      </c>
      <c r="M18" s="16">
        <f>IF($A18="","",IF(AND(ISNUMBER(G18),G18&gt;=J18,G18&lt;=(J18+(L18/(IF(F18="Contract Workman",Settings!$K$5,Settings!$K$4))))),J18+(L18/(IF(F18="Contract Workman",Settings!$K$5,Settings!$K$4)))+(H18/(IF(F18="Contract Workman",Settings!$K$5,Settings!$K$4))),J18+(L18/(IF(F18="Contract Workman",Settings!$K$5,Settings!$K$4)))))</f>
        <v/>
      </c>
      <c r="N18">
        <f>IF($A18="","",IF(F18="Contract Workman",IF(AND(MOD(M18,1)&gt;=8/24,MOD(M18,1)&lt;20/24),"Shift S1","Shift S2"),IF(AND(MOD(M18,1)&gt;=7/24,MOD(M18,1)&lt;15/24),"Shift A",IF(AND(MOD(M18,1)&gt;=15/24,MOD(M18,1)&lt;23/24),"Shift B","Shift C"))))</f>
        <v/>
      </c>
      <c r="O18">
        <f>IF(B18="","",IF(IFERROR(ISNUMBER(SEARCH(TEXT(B18,"0"),VLOOKUP(E18,Machine_List!$B:$J,9,0))),FALSE),"✅ "&amp; E18,"❌ Sug: "&amp;IFERROR(INDEX(Machine_List!$B$50:$B$63,MATCH(1,(Machine_List!$H$50:$H$63&lt;=IFERROR(VLOOKUP($B18,OPR_BR1!$A$4:$K$18,10,0),0))*(Machine_List!$I$50:$I$63&gt;=IFERROR(VLOOKUP($B18,OPR_BR1!$A$4:$K$18,11,0),9999)),0)),"?")))</f>
        <v/>
      </c>
      <c r="P18">
        <f>IF(AND($A18&lt;&gt;"",P$3&gt;=$J18,P$3&lt;=$M18),1,"")</f>
        <v/>
      </c>
      <c r="Q18">
        <f>IF(AND($A18&lt;&gt;"",Q$3&gt;=$J18,Q$3&lt;=$M18),1,"")</f>
        <v/>
      </c>
      <c r="R18">
        <f>IF(AND($A18&lt;&gt;"",R$3&gt;=$J18,R$3&lt;=$M18),1,"")</f>
        <v/>
      </c>
      <c r="S18">
        <f>IF(AND($A18&lt;&gt;"",S$3&gt;=$J18,S$3&lt;=$M18),1,"")</f>
        <v/>
      </c>
      <c r="T18">
        <f>IF(AND($A18&lt;&gt;"",T$3&gt;=$J18,T$3&lt;=$M18),1,"")</f>
        <v/>
      </c>
      <c r="U18">
        <f>IF(AND($A18&lt;&gt;"",U$3&gt;=$J18,U$3&lt;=$M18),1,"")</f>
        <v/>
      </c>
      <c r="V18">
        <f>IF(AND($A18&lt;&gt;"",V$3&gt;=$J18,V$3&lt;=$M18),1,"")</f>
        <v/>
      </c>
      <c r="W18">
        <f>IF(AND($A18&lt;&gt;"",W$3&gt;=$J18,W$3&lt;=$M18),1,"")</f>
        <v/>
      </c>
      <c r="X18">
        <f>IF(AND($A18&lt;&gt;"",X$3&gt;=$J18,X$3&lt;=$M18),1,"")</f>
        <v/>
      </c>
      <c r="Y18">
        <f>IF(AND($A18&lt;&gt;"",Y$3&gt;=$J18,Y$3&lt;=$M18),1,"")</f>
        <v/>
      </c>
      <c r="Z18">
        <f>IF(AND($A18&lt;&gt;"",Z$3&gt;=$J18,Z$3&lt;=$M18),1,"")</f>
        <v/>
      </c>
      <c r="AA18">
        <f>IF(AND($A18&lt;&gt;"",AA$3&gt;=$J18,AA$3&lt;=$M18),1,"")</f>
        <v/>
      </c>
      <c r="AB18">
        <f>IF(AND($A18&lt;&gt;"",AB$3&gt;=$J18,AB$3&lt;=$M18),1,"")</f>
        <v/>
      </c>
      <c r="AC18">
        <f>IF(AND($A18&lt;&gt;"",AC$3&gt;=$J18,AC$3&lt;=$M18),1,"")</f>
        <v/>
      </c>
      <c r="AD18">
        <f>IF(AND($A18&lt;&gt;"",AD$3&gt;=$J18,AD$3&lt;=$M18),1,"")</f>
        <v/>
      </c>
      <c r="AE18">
        <f>IF(AND($A18&lt;&gt;"",AE$3&gt;=$J18,AE$3&lt;=$M18),1,"")</f>
        <v/>
      </c>
      <c r="AF18">
        <f>IF(AND($A18&lt;&gt;"",AF$3&gt;=$J18,AF$3&lt;=$M18),1,"")</f>
        <v/>
      </c>
      <c r="AG18">
        <f>IF(AND($A18&lt;&gt;"",AG$3&gt;=$J18,AG$3&lt;=$M18),1,"")</f>
        <v/>
      </c>
      <c r="AH18">
        <f>IF(AND($A18&lt;&gt;"",AH$3&gt;=$J18,AH$3&lt;=$M18),1,"")</f>
        <v/>
      </c>
      <c r="AI18">
        <f>IF(AND($A18&lt;&gt;"",AI$3&gt;=$J18,AI$3&lt;=$M18),1,"")</f>
        <v/>
      </c>
      <c r="AJ18">
        <f>IF(AND($A18&lt;&gt;"",AJ$3&gt;=$J18,AJ$3&lt;=$M18),1,"")</f>
        <v/>
      </c>
      <c r="AK18">
        <f>IF(AND($A18&lt;&gt;"",AK$3&gt;=$J18,AK$3&lt;=$M18),1,"")</f>
        <v/>
      </c>
      <c r="AL18">
        <f>IF(AND($A18&lt;&gt;"",AL$3&gt;=$J18,AL$3&lt;=$M18),1,"")</f>
        <v/>
      </c>
      <c r="AM18">
        <f>IF(AND($A18&lt;&gt;"",AM$3&gt;=$J18,AM$3&lt;=$M18),1,"")</f>
        <v/>
      </c>
      <c r="AN18">
        <f>IF(AND($A18&lt;&gt;"",AN$3&gt;=$J18,AN$3&lt;=$M18),1,"")</f>
        <v/>
      </c>
      <c r="AO18">
        <f>IF(AND($A18&lt;&gt;"",AO$3&gt;=$J18,AO$3&lt;=$M18),1,"")</f>
        <v/>
      </c>
      <c r="AP18">
        <f>IF(AND($A18&lt;&gt;"",AP$3&gt;=$J18,AP$3&lt;=$M18),1,"")</f>
        <v/>
      </c>
      <c r="AQ18">
        <f>IF(AND($A18&lt;&gt;"",AQ$3&gt;=$J18,AQ$3&lt;=$M18),1,"")</f>
        <v/>
      </c>
      <c r="AR18">
        <f>IF(AND($A18&lt;&gt;"",AR$3&gt;=$J18,AR$3&lt;=$M18),1,"")</f>
        <v/>
      </c>
      <c r="AS18">
        <f>IF(AND($A18&lt;&gt;"",AS$3&gt;=$J18,AS$3&lt;=$M18),1,"")</f>
        <v/>
      </c>
      <c r="AT18">
        <f>IF(AND($A18&lt;&gt;"",AT$3&gt;=$J18,AT$3&lt;=$M18),1,"")</f>
        <v/>
      </c>
      <c r="AU18">
        <f>IF(AND($A18&lt;&gt;"",AU$3&gt;=$J18,AU$3&lt;=$M18),1,"")</f>
        <v/>
      </c>
      <c r="AV18">
        <f>IF(AND($A18&lt;&gt;"",AV$3&gt;=$J18,AV$3&lt;=$M18),1,"")</f>
        <v/>
      </c>
      <c r="AW18">
        <f>IF(AND($A18&lt;&gt;"",AW$3&gt;=$J18,AW$3&lt;=$M18),1,"")</f>
        <v/>
      </c>
      <c r="AX18">
        <f>IF(AND($A18&lt;&gt;"",AX$3&gt;=$J18,AX$3&lt;=$M18),1,"")</f>
        <v/>
      </c>
      <c r="AY18">
        <f>IF(AND($A18&lt;&gt;"",AY$3&gt;=$J18,AY$3&lt;=$M18),1,"")</f>
        <v/>
      </c>
      <c r="AZ18">
        <f>IF(AND($A18&lt;&gt;"",AZ$3&gt;=$J18,AZ$3&lt;=$M18),1,"")</f>
        <v/>
      </c>
      <c r="BA18">
        <f>IF(AND($A18&lt;&gt;"",BA$3&gt;=$J18,BA$3&lt;=$M18),1,"")</f>
        <v/>
      </c>
      <c r="BB18">
        <f>IF(AND($A18&lt;&gt;"",BB$3&gt;=$J18,BB$3&lt;=$M18),1,"")</f>
        <v/>
      </c>
      <c r="BC18">
        <f>IF(AND($A18&lt;&gt;"",BC$3&gt;=$J18,BC$3&lt;=$M18),1,"")</f>
        <v/>
      </c>
      <c r="BD18">
        <f>IF(AND($A18&lt;&gt;"",BD$3&gt;=$J18,BD$3&lt;=$M18),1,"")</f>
        <v/>
      </c>
      <c r="BE18">
        <f>IF(AND($A18&lt;&gt;"",BE$3&gt;=$J18,BE$3&lt;=$M18),1,"")</f>
        <v/>
      </c>
      <c r="BF18">
        <f>IF(AND($A18&lt;&gt;"",BF$3&gt;=$J18,BF$3&lt;=$M18),1,"")</f>
        <v/>
      </c>
      <c r="BG18">
        <f>IF(AND($A18&lt;&gt;"",BG$3&gt;=$J18,BG$3&lt;=$M18),1,"")</f>
        <v/>
      </c>
      <c r="BH18">
        <f>IF(AND($A18&lt;&gt;"",BH$3&gt;=$J18,BH$3&lt;=$M18),1,"")</f>
        <v/>
      </c>
      <c r="BI18">
        <f>IF(AND($A18&lt;&gt;"",BI$3&gt;=$J18,BI$3&lt;=$M18),1,"")</f>
        <v/>
      </c>
      <c r="BJ18">
        <f>IF(AND($A18&lt;&gt;"",BJ$3&gt;=$J18,BJ$3&lt;=$M18),1,"")</f>
        <v/>
      </c>
      <c r="BK18">
        <f>IF(AND($A18&lt;&gt;"",BK$3&gt;=$J18,BK$3&lt;=$M18),1,"")</f>
        <v/>
      </c>
      <c r="BL18">
        <f>IF(AND($A18&lt;&gt;"",BL$3&gt;=$J18,BL$3&lt;=$M18),1,"")</f>
        <v/>
      </c>
      <c r="BM18">
        <f>IF(AND($A18&lt;&gt;"",BM$3&gt;=$J18,BM$3&lt;=$M18),1,"")</f>
        <v/>
      </c>
      <c r="BN18">
        <f>IF(AND($A18&lt;&gt;"",BN$3&gt;=$J18,BN$3&lt;=$M18),1,"")</f>
        <v/>
      </c>
      <c r="BO18">
        <f>IF(AND($A18&lt;&gt;"",BO$3&gt;=$J18,BO$3&lt;=$M18),1,"")</f>
        <v/>
      </c>
      <c r="BP18">
        <f>IF(AND($A18&lt;&gt;"",BP$3&gt;=$J18,BP$3&lt;=$M18),1,"")</f>
        <v/>
      </c>
      <c r="BQ18">
        <f>IF(AND($A18&lt;&gt;"",BQ$3&gt;=$J18,BQ$3&lt;=$M18),1,"")</f>
        <v/>
      </c>
      <c r="BR18">
        <f>IF(AND($A18&lt;&gt;"",BR$3&gt;=$J18,BR$3&lt;=$M18),1,"")</f>
        <v/>
      </c>
      <c r="BS18">
        <f>IF(AND($A18&lt;&gt;"",BS$3&gt;=$J18,BS$3&lt;=$M18),1,"")</f>
        <v/>
      </c>
      <c r="BT18">
        <f>IF(AND($A18&lt;&gt;"",BT$3&gt;=$J18,BT$3&lt;=$M18),1,"")</f>
        <v/>
      </c>
      <c r="BU18">
        <f>IF(AND($A18&lt;&gt;"",BU$3&gt;=$J18,BU$3&lt;=$M18),1,"")</f>
        <v/>
      </c>
      <c r="BV18">
        <f>IF(AND($A18&lt;&gt;"",BV$3&gt;=$J18,BV$3&lt;=$M18),1,"")</f>
        <v/>
      </c>
    </row>
    <row r="19">
      <c r="A19">
        <f>IF(Job_Master_Ring!$A19="","",Job_Master_Ring!$A19)</f>
        <v/>
      </c>
      <c r="B19">
        <f>IF($A19="","",Job_Master_Ring!B19)</f>
        <v/>
      </c>
      <c r="C19">
        <f>IF($A19="","",Job_Master_Ring!C19)</f>
        <v/>
      </c>
      <c r="D19">
        <f>IF($A19="","",Job_Master_Ring!D19)</f>
        <v/>
      </c>
      <c r="E19">
        <f>IF($A19="","",IF($I19&lt;&gt;"",$I19,IFERROR(INDEX(Machine_List!$B$50:$B$63,MATCH(1,(Machine_List!$H$50:$H$63&lt;=IFERROR(VLOOKUP($B19,CHOOSE(MATCH($C19,Settings!$L$4:$L$10,0),OPR_BR1!$A$4:$K$18,OPR_BR2!$A$4:$K$18,OPR_CR2!$A$4:$K$18,OPR_CR3!$A$4:$K$18,OPR_CR4!$A$4:$K$18,OPR_RIM!$A$4:$K$18,OPR_BPR!$A$4:$K$18),10,0),0))*(Machine_List!$I$50:$I$63&gt;=IFERROR(VLOOKUP($B19,CHOOSE(MATCH($C19,Settings!$L$4:$L$10,0),OPR_BR1!$A$4:$K$18,OPR_BR2!$A$4:$K$18,OPR_CR2!$A$4:$K$18,OPR_CR3!$A$4:$K$18,OPR_CR4!$A$4:$K$18,OPR_RIM!$A$4:$K$18,OPR_BPR!$A$4:$K$18),11,0),9999)),0)),"NO COMPATIBLE MACHINE")))</f>
        <v/>
      </c>
      <c r="F19">
        <f>IF($E19="","",IFERROR(VLOOKUP($E19,Machine_List!$B:$G,6,0),""))</f>
        <v/>
      </c>
      <c r="G19" s="17">
        <f>IF($E19="","",IFERROR(VLOOKUP($E19,Machine_List!$B:$C,2,0),""))</f>
        <v/>
      </c>
      <c r="H19">
        <f>IF($E19="","",IFERROR(VLOOKUP($E19,Machine_List!$B:$D,3,0),""))</f>
        <v/>
      </c>
      <c r="J19" s="16">
        <f>IF($A19="","",IF($I19&lt;&gt;"",$I19,MAX(CNC_Plan!$M19,IFERROR(LOOKUP(2,1/($E$3:INDIRECT("E"&amp;(ROW()-1))=$E19),$M$3:INDIRECT("M"&amp;(ROW()-1))),CNC_Plan!$M19))))</f>
        <v/>
      </c>
      <c r="K19">
        <f>IF($A19="","",IFERROR(VLOOKUP(B19,CHOOSE(MATCH($C19,Settings!$L$4:$L$10,0),OPR_BR1!$A$4:$I$18,OPR_BR2!$A$4:$I$18,OPR_CR2!$A$4:$I$18,OPR_CR3!$A$4:$I$18,OPR_CR4!$A$4:$I$18,OPR_RIM!$A$4:$I$18,OPR_BPR!$A$4:$I$18),6,0),0))</f>
        <v/>
      </c>
      <c r="L19">
        <f>IF($A19="","",K19*D19)</f>
        <v/>
      </c>
      <c r="M19" s="16">
        <f>IF($A19="","",IF(AND(ISNUMBER(G19),G19&gt;=J19,G19&lt;=(J19+(L19/(IF(F19="Contract Workman",Settings!$K$5,Settings!$K$4))))),J19+(L19/(IF(F19="Contract Workman",Settings!$K$5,Settings!$K$4)))+(H19/(IF(F19="Contract Workman",Settings!$K$5,Settings!$K$4))),J19+(L19/(IF(F19="Contract Workman",Settings!$K$5,Settings!$K$4)))))</f>
        <v/>
      </c>
      <c r="N19">
        <f>IF($A19="","",IF(F19="Contract Workman",IF(AND(MOD(M19,1)&gt;=8/24,MOD(M19,1)&lt;20/24),"Shift S1","Shift S2"),IF(AND(MOD(M19,1)&gt;=7/24,MOD(M19,1)&lt;15/24),"Shift A",IF(AND(MOD(M19,1)&gt;=15/24,MOD(M19,1)&lt;23/24),"Shift B","Shift C"))))</f>
        <v/>
      </c>
      <c r="O19">
        <f>IF(B19="","",IF(IFERROR(ISNUMBER(SEARCH(TEXT(B19,"0"),VLOOKUP(E19,Machine_List!$B:$J,9,0))),FALSE),"✅ "&amp; E19,"❌ Sug: "&amp;IFERROR(INDEX(Machine_List!$B$50:$B$63,MATCH(1,(Machine_List!$H$50:$H$63&lt;=IFERROR(VLOOKUP($B19,OPR_BR1!$A$4:$K$18,10,0),0))*(Machine_List!$I$50:$I$63&gt;=IFERROR(VLOOKUP($B19,OPR_BR1!$A$4:$K$18,11,0),9999)),0)),"?")))</f>
        <v/>
      </c>
      <c r="P19">
        <f>IF(AND($A19&lt;&gt;"",P$3&gt;=$J19,P$3&lt;=$M19),1,"")</f>
        <v/>
      </c>
      <c r="Q19">
        <f>IF(AND($A19&lt;&gt;"",Q$3&gt;=$J19,Q$3&lt;=$M19),1,"")</f>
        <v/>
      </c>
      <c r="R19">
        <f>IF(AND($A19&lt;&gt;"",R$3&gt;=$J19,R$3&lt;=$M19),1,"")</f>
        <v/>
      </c>
      <c r="S19">
        <f>IF(AND($A19&lt;&gt;"",S$3&gt;=$J19,S$3&lt;=$M19),1,"")</f>
        <v/>
      </c>
      <c r="T19">
        <f>IF(AND($A19&lt;&gt;"",T$3&gt;=$J19,T$3&lt;=$M19),1,"")</f>
        <v/>
      </c>
      <c r="U19">
        <f>IF(AND($A19&lt;&gt;"",U$3&gt;=$J19,U$3&lt;=$M19),1,"")</f>
        <v/>
      </c>
      <c r="V19">
        <f>IF(AND($A19&lt;&gt;"",V$3&gt;=$J19,V$3&lt;=$M19),1,"")</f>
        <v/>
      </c>
      <c r="W19">
        <f>IF(AND($A19&lt;&gt;"",W$3&gt;=$J19,W$3&lt;=$M19),1,"")</f>
        <v/>
      </c>
      <c r="X19">
        <f>IF(AND($A19&lt;&gt;"",X$3&gt;=$J19,X$3&lt;=$M19),1,"")</f>
        <v/>
      </c>
      <c r="Y19">
        <f>IF(AND($A19&lt;&gt;"",Y$3&gt;=$J19,Y$3&lt;=$M19),1,"")</f>
        <v/>
      </c>
      <c r="Z19">
        <f>IF(AND($A19&lt;&gt;"",Z$3&gt;=$J19,Z$3&lt;=$M19),1,"")</f>
        <v/>
      </c>
      <c r="AA19">
        <f>IF(AND($A19&lt;&gt;"",AA$3&gt;=$J19,AA$3&lt;=$M19),1,"")</f>
        <v/>
      </c>
      <c r="AB19">
        <f>IF(AND($A19&lt;&gt;"",AB$3&gt;=$J19,AB$3&lt;=$M19),1,"")</f>
        <v/>
      </c>
      <c r="AC19">
        <f>IF(AND($A19&lt;&gt;"",AC$3&gt;=$J19,AC$3&lt;=$M19),1,"")</f>
        <v/>
      </c>
      <c r="AD19">
        <f>IF(AND($A19&lt;&gt;"",AD$3&gt;=$J19,AD$3&lt;=$M19),1,"")</f>
        <v/>
      </c>
      <c r="AE19">
        <f>IF(AND($A19&lt;&gt;"",AE$3&gt;=$J19,AE$3&lt;=$M19),1,"")</f>
        <v/>
      </c>
      <c r="AF19">
        <f>IF(AND($A19&lt;&gt;"",AF$3&gt;=$J19,AF$3&lt;=$M19),1,"")</f>
        <v/>
      </c>
      <c r="AG19">
        <f>IF(AND($A19&lt;&gt;"",AG$3&gt;=$J19,AG$3&lt;=$M19),1,"")</f>
        <v/>
      </c>
      <c r="AH19">
        <f>IF(AND($A19&lt;&gt;"",AH$3&gt;=$J19,AH$3&lt;=$M19),1,"")</f>
        <v/>
      </c>
      <c r="AI19">
        <f>IF(AND($A19&lt;&gt;"",AI$3&gt;=$J19,AI$3&lt;=$M19),1,"")</f>
        <v/>
      </c>
      <c r="AJ19">
        <f>IF(AND($A19&lt;&gt;"",AJ$3&gt;=$J19,AJ$3&lt;=$M19),1,"")</f>
        <v/>
      </c>
      <c r="AK19">
        <f>IF(AND($A19&lt;&gt;"",AK$3&gt;=$J19,AK$3&lt;=$M19),1,"")</f>
        <v/>
      </c>
      <c r="AL19">
        <f>IF(AND($A19&lt;&gt;"",AL$3&gt;=$J19,AL$3&lt;=$M19),1,"")</f>
        <v/>
      </c>
      <c r="AM19">
        <f>IF(AND($A19&lt;&gt;"",AM$3&gt;=$J19,AM$3&lt;=$M19),1,"")</f>
        <v/>
      </c>
      <c r="AN19">
        <f>IF(AND($A19&lt;&gt;"",AN$3&gt;=$J19,AN$3&lt;=$M19),1,"")</f>
        <v/>
      </c>
      <c r="AO19">
        <f>IF(AND($A19&lt;&gt;"",AO$3&gt;=$J19,AO$3&lt;=$M19),1,"")</f>
        <v/>
      </c>
      <c r="AP19">
        <f>IF(AND($A19&lt;&gt;"",AP$3&gt;=$J19,AP$3&lt;=$M19),1,"")</f>
        <v/>
      </c>
      <c r="AQ19">
        <f>IF(AND($A19&lt;&gt;"",AQ$3&gt;=$J19,AQ$3&lt;=$M19),1,"")</f>
        <v/>
      </c>
      <c r="AR19">
        <f>IF(AND($A19&lt;&gt;"",AR$3&gt;=$J19,AR$3&lt;=$M19),1,"")</f>
        <v/>
      </c>
      <c r="AS19">
        <f>IF(AND($A19&lt;&gt;"",AS$3&gt;=$J19,AS$3&lt;=$M19),1,"")</f>
        <v/>
      </c>
      <c r="AT19">
        <f>IF(AND($A19&lt;&gt;"",AT$3&gt;=$J19,AT$3&lt;=$M19),1,"")</f>
        <v/>
      </c>
      <c r="AU19">
        <f>IF(AND($A19&lt;&gt;"",AU$3&gt;=$J19,AU$3&lt;=$M19),1,"")</f>
        <v/>
      </c>
      <c r="AV19">
        <f>IF(AND($A19&lt;&gt;"",AV$3&gt;=$J19,AV$3&lt;=$M19),1,"")</f>
        <v/>
      </c>
      <c r="AW19">
        <f>IF(AND($A19&lt;&gt;"",AW$3&gt;=$J19,AW$3&lt;=$M19),1,"")</f>
        <v/>
      </c>
      <c r="AX19">
        <f>IF(AND($A19&lt;&gt;"",AX$3&gt;=$J19,AX$3&lt;=$M19),1,"")</f>
        <v/>
      </c>
      <c r="AY19">
        <f>IF(AND($A19&lt;&gt;"",AY$3&gt;=$J19,AY$3&lt;=$M19),1,"")</f>
        <v/>
      </c>
      <c r="AZ19">
        <f>IF(AND($A19&lt;&gt;"",AZ$3&gt;=$J19,AZ$3&lt;=$M19),1,"")</f>
        <v/>
      </c>
      <c r="BA19">
        <f>IF(AND($A19&lt;&gt;"",BA$3&gt;=$J19,BA$3&lt;=$M19),1,"")</f>
        <v/>
      </c>
      <c r="BB19">
        <f>IF(AND($A19&lt;&gt;"",BB$3&gt;=$J19,BB$3&lt;=$M19),1,"")</f>
        <v/>
      </c>
      <c r="BC19">
        <f>IF(AND($A19&lt;&gt;"",BC$3&gt;=$J19,BC$3&lt;=$M19),1,"")</f>
        <v/>
      </c>
      <c r="BD19">
        <f>IF(AND($A19&lt;&gt;"",BD$3&gt;=$J19,BD$3&lt;=$M19),1,"")</f>
        <v/>
      </c>
      <c r="BE19">
        <f>IF(AND($A19&lt;&gt;"",BE$3&gt;=$J19,BE$3&lt;=$M19),1,"")</f>
        <v/>
      </c>
      <c r="BF19">
        <f>IF(AND($A19&lt;&gt;"",BF$3&gt;=$J19,BF$3&lt;=$M19),1,"")</f>
        <v/>
      </c>
      <c r="BG19">
        <f>IF(AND($A19&lt;&gt;"",BG$3&gt;=$J19,BG$3&lt;=$M19),1,"")</f>
        <v/>
      </c>
      <c r="BH19">
        <f>IF(AND($A19&lt;&gt;"",BH$3&gt;=$J19,BH$3&lt;=$M19),1,"")</f>
        <v/>
      </c>
      <c r="BI19">
        <f>IF(AND($A19&lt;&gt;"",BI$3&gt;=$J19,BI$3&lt;=$M19),1,"")</f>
        <v/>
      </c>
      <c r="BJ19">
        <f>IF(AND($A19&lt;&gt;"",BJ$3&gt;=$J19,BJ$3&lt;=$M19),1,"")</f>
        <v/>
      </c>
      <c r="BK19">
        <f>IF(AND($A19&lt;&gt;"",BK$3&gt;=$J19,BK$3&lt;=$M19),1,"")</f>
        <v/>
      </c>
      <c r="BL19">
        <f>IF(AND($A19&lt;&gt;"",BL$3&gt;=$J19,BL$3&lt;=$M19),1,"")</f>
        <v/>
      </c>
      <c r="BM19">
        <f>IF(AND($A19&lt;&gt;"",BM$3&gt;=$J19,BM$3&lt;=$M19),1,"")</f>
        <v/>
      </c>
      <c r="BN19">
        <f>IF(AND($A19&lt;&gt;"",BN$3&gt;=$J19,BN$3&lt;=$M19),1,"")</f>
        <v/>
      </c>
      <c r="BO19">
        <f>IF(AND($A19&lt;&gt;"",BO$3&gt;=$J19,BO$3&lt;=$M19),1,"")</f>
        <v/>
      </c>
      <c r="BP19">
        <f>IF(AND($A19&lt;&gt;"",BP$3&gt;=$J19,BP$3&lt;=$M19),1,"")</f>
        <v/>
      </c>
      <c r="BQ19">
        <f>IF(AND($A19&lt;&gt;"",BQ$3&gt;=$J19,BQ$3&lt;=$M19),1,"")</f>
        <v/>
      </c>
      <c r="BR19">
        <f>IF(AND($A19&lt;&gt;"",BR$3&gt;=$J19,BR$3&lt;=$M19),1,"")</f>
        <v/>
      </c>
      <c r="BS19">
        <f>IF(AND($A19&lt;&gt;"",BS$3&gt;=$J19,BS$3&lt;=$M19),1,"")</f>
        <v/>
      </c>
      <c r="BT19">
        <f>IF(AND($A19&lt;&gt;"",BT$3&gt;=$J19,BT$3&lt;=$M19),1,"")</f>
        <v/>
      </c>
      <c r="BU19">
        <f>IF(AND($A19&lt;&gt;"",BU$3&gt;=$J19,BU$3&lt;=$M19),1,"")</f>
        <v/>
      </c>
      <c r="BV19">
        <f>IF(AND($A19&lt;&gt;"",BV$3&gt;=$J19,BV$3&lt;=$M19),1,"")</f>
        <v/>
      </c>
    </row>
    <row r="20">
      <c r="A20">
        <f>IF(Job_Master_Ring!$A20="","",Job_Master_Ring!$A20)</f>
        <v/>
      </c>
      <c r="B20">
        <f>IF($A20="","",Job_Master_Ring!B20)</f>
        <v/>
      </c>
      <c r="C20">
        <f>IF($A20="","",Job_Master_Ring!C20)</f>
        <v/>
      </c>
      <c r="D20">
        <f>IF($A20="","",Job_Master_Ring!D20)</f>
        <v/>
      </c>
      <c r="E20">
        <f>IF($A20="","",IF($I20&lt;&gt;"",$I20,IFERROR(INDEX(Machine_List!$B$50:$B$63,MATCH(1,(Machine_List!$H$50:$H$63&lt;=IFERROR(VLOOKUP($B20,CHOOSE(MATCH($C20,Settings!$L$4:$L$10,0),OPR_BR1!$A$4:$K$18,OPR_BR2!$A$4:$K$18,OPR_CR2!$A$4:$K$18,OPR_CR3!$A$4:$K$18,OPR_CR4!$A$4:$K$18,OPR_RIM!$A$4:$K$18,OPR_BPR!$A$4:$K$18),10,0),0))*(Machine_List!$I$50:$I$63&gt;=IFERROR(VLOOKUP($B20,CHOOSE(MATCH($C20,Settings!$L$4:$L$10,0),OPR_BR1!$A$4:$K$18,OPR_BR2!$A$4:$K$18,OPR_CR2!$A$4:$K$18,OPR_CR3!$A$4:$K$18,OPR_CR4!$A$4:$K$18,OPR_RIM!$A$4:$K$18,OPR_BPR!$A$4:$K$18),11,0),9999)),0)),"NO COMPATIBLE MACHINE")))</f>
        <v/>
      </c>
      <c r="F20">
        <f>IF($E20="","",IFERROR(VLOOKUP($E20,Machine_List!$B:$G,6,0),""))</f>
        <v/>
      </c>
      <c r="G20" s="17">
        <f>IF($E20="","",IFERROR(VLOOKUP($E20,Machine_List!$B:$C,2,0),""))</f>
        <v/>
      </c>
      <c r="H20">
        <f>IF($E20="","",IFERROR(VLOOKUP($E20,Machine_List!$B:$D,3,0),""))</f>
        <v/>
      </c>
      <c r="J20" s="16">
        <f>IF($A20="","",IF($I20&lt;&gt;"",$I20,MAX(CNC_Plan!$M20,IFERROR(LOOKUP(2,1/($E$3:INDIRECT("E"&amp;(ROW()-1))=$E20),$M$3:INDIRECT("M"&amp;(ROW()-1))),CNC_Plan!$M20))))</f>
        <v/>
      </c>
      <c r="K20">
        <f>IF($A20="","",IFERROR(VLOOKUP(B20,CHOOSE(MATCH($C20,Settings!$L$4:$L$10,0),OPR_BR1!$A$4:$I$18,OPR_BR2!$A$4:$I$18,OPR_CR2!$A$4:$I$18,OPR_CR3!$A$4:$I$18,OPR_CR4!$A$4:$I$18,OPR_RIM!$A$4:$I$18,OPR_BPR!$A$4:$I$18),6,0),0))</f>
        <v/>
      </c>
      <c r="L20">
        <f>IF($A20="","",K20*D20)</f>
        <v/>
      </c>
      <c r="M20" s="16">
        <f>IF($A20="","",IF(AND(ISNUMBER(G20),G20&gt;=J20,G20&lt;=(J20+(L20/(IF(F20="Contract Workman",Settings!$K$5,Settings!$K$4))))),J20+(L20/(IF(F20="Contract Workman",Settings!$K$5,Settings!$K$4)))+(H20/(IF(F20="Contract Workman",Settings!$K$5,Settings!$K$4))),J20+(L20/(IF(F20="Contract Workman",Settings!$K$5,Settings!$K$4)))))</f>
        <v/>
      </c>
      <c r="N20">
        <f>IF($A20="","",IF(F20="Contract Workman",IF(AND(MOD(M20,1)&gt;=8/24,MOD(M20,1)&lt;20/24),"Shift S1","Shift S2"),IF(AND(MOD(M20,1)&gt;=7/24,MOD(M20,1)&lt;15/24),"Shift A",IF(AND(MOD(M20,1)&gt;=15/24,MOD(M20,1)&lt;23/24),"Shift B","Shift C"))))</f>
        <v/>
      </c>
      <c r="O20">
        <f>IF(B20="","",IF(IFERROR(ISNUMBER(SEARCH(TEXT(B20,"0"),VLOOKUP(E20,Machine_List!$B:$J,9,0))),FALSE),"✅ "&amp; E20,"❌ Sug: "&amp;IFERROR(INDEX(Machine_List!$B$50:$B$63,MATCH(1,(Machine_List!$H$50:$H$63&lt;=IFERROR(VLOOKUP($B20,OPR_BR1!$A$4:$K$18,10,0),0))*(Machine_List!$I$50:$I$63&gt;=IFERROR(VLOOKUP($B20,OPR_BR1!$A$4:$K$18,11,0),9999)),0)),"?")))</f>
        <v/>
      </c>
      <c r="P20">
        <f>IF(AND($A20&lt;&gt;"",P$3&gt;=$J20,P$3&lt;=$M20),1,"")</f>
        <v/>
      </c>
      <c r="Q20">
        <f>IF(AND($A20&lt;&gt;"",Q$3&gt;=$J20,Q$3&lt;=$M20),1,"")</f>
        <v/>
      </c>
      <c r="R20">
        <f>IF(AND($A20&lt;&gt;"",R$3&gt;=$J20,R$3&lt;=$M20),1,"")</f>
        <v/>
      </c>
      <c r="S20">
        <f>IF(AND($A20&lt;&gt;"",S$3&gt;=$J20,S$3&lt;=$M20),1,"")</f>
        <v/>
      </c>
      <c r="T20">
        <f>IF(AND($A20&lt;&gt;"",T$3&gt;=$J20,T$3&lt;=$M20),1,"")</f>
        <v/>
      </c>
      <c r="U20">
        <f>IF(AND($A20&lt;&gt;"",U$3&gt;=$J20,U$3&lt;=$M20),1,"")</f>
        <v/>
      </c>
      <c r="V20">
        <f>IF(AND($A20&lt;&gt;"",V$3&gt;=$J20,V$3&lt;=$M20),1,"")</f>
        <v/>
      </c>
      <c r="W20">
        <f>IF(AND($A20&lt;&gt;"",W$3&gt;=$J20,W$3&lt;=$M20),1,"")</f>
        <v/>
      </c>
      <c r="X20">
        <f>IF(AND($A20&lt;&gt;"",X$3&gt;=$J20,X$3&lt;=$M20),1,"")</f>
        <v/>
      </c>
      <c r="Y20">
        <f>IF(AND($A20&lt;&gt;"",Y$3&gt;=$J20,Y$3&lt;=$M20),1,"")</f>
        <v/>
      </c>
      <c r="Z20">
        <f>IF(AND($A20&lt;&gt;"",Z$3&gt;=$J20,Z$3&lt;=$M20),1,"")</f>
        <v/>
      </c>
      <c r="AA20">
        <f>IF(AND($A20&lt;&gt;"",AA$3&gt;=$J20,AA$3&lt;=$M20),1,"")</f>
        <v/>
      </c>
      <c r="AB20">
        <f>IF(AND($A20&lt;&gt;"",AB$3&gt;=$J20,AB$3&lt;=$M20),1,"")</f>
        <v/>
      </c>
      <c r="AC20">
        <f>IF(AND($A20&lt;&gt;"",AC$3&gt;=$J20,AC$3&lt;=$M20),1,"")</f>
        <v/>
      </c>
      <c r="AD20">
        <f>IF(AND($A20&lt;&gt;"",AD$3&gt;=$J20,AD$3&lt;=$M20),1,"")</f>
        <v/>
      </c>
      <c r="AE20">
        <f>IF(AND($A20&lt;&gt;"",AE$3&gt;=$J20,AE$3&lt;=$M20),1,"")</f>
        <v/>
      </c>
      <c r="AF20">
        <f>IF(AND($A20&lt;&gt;"",AF$3&gt;=$J20,AF$3&lt;=$M20),1,"")</f>
        <v/>
      </c>
      <c r="AG20">
        <f>IF(AND($A20&lt;&gt;"",AG$3&gt;=$J20,AG$3&lt;=$M20),1,"")</f>
        <v/>
      </c>
      <c r="AH20">
        <f>IF(AND($A20&lt;&gt;"",AH$3&gt;=$J20,AH$3&lt;=$M20),1,"")</f>
        <v/>
      </c>
      <c r="AI20">
        <f>IF(AND($A20&lt;&gt;"",AI$3&gt;=$J20,AI$3&lt;=$M20),1,"")</f>
        <v/>
      </c>
      <c r="AJ20">
        <f>IF(AND($A20&lt;&gt;"",AJ$3&gt;=$J20,AJ$3&lt;=$M20),1,"")</f>
        <v/>
      </c>
      <c r="AK20">
        <f>IF(AND($A20&lt;&gt;"",AK$3&gt;=$J20,AK$3&lt;=$M20),1,"")</f>
        <v/>
      </c>
      <c r="AL20">
        <f>IF(AND($A20&lt;&gt;"",AL$3&gt;=$J20,AL$3&lt;=$M20),1,"")</f>
        <v/>
      </c>
      <c r="AM20">
        <f>IF(AND($A20&lt;&gt;"",AM$3&gt;=$J20,AM$3&lt;=$M20),1,"")</f>
        <v/>
      </c>
      <c r="AN20">
        <f>IF(AND($A20&lt;&gt;"",AN$3&gt;=$J20,AN$3&lt;=$M20),1,"")</f>
        <v/>
      </c>
      <c r="AO20">
        <f>IF(AND($A20&lt;&gt;"",AO$3&gt;=$J20,AO$3&lt;=$M20),1,"")</f>
        <v/>
      </c>
      <c r="AP20">
        <f>IF(AND($A20&lt;&gt;"",AP$3&gt;=$J20,AP$3&lt;=$M20),1,"")</f>
        <v/>
      </c>
      <c r="AQ20">
        <f>IF(AND($A20&lt;&gt;"",AQ$3&gt;=$J20,AQ$3&lt;=$M20),1,"")</f>
        <v/>
      </c>
      <c r="AR20">
        <f>IF(AND($A20&lt;&gt;"",AR$3&gt;=$J20,AR$3&lt;=$M20),1,"")</f>
        <v/>
      </c>
      <c r="AS20">
        <f>IF(AND($A20&lt;&gt;"",AS$3&gt;=$J20,AS$3&lt;=$M20),1,"")</f>
        <v/>
      </c>
      <c r="AT20">
        <f>IF(AND($A20&lt;&gt;"",AT$3&gt;=$J20,AT$3&lt;=$M20),1,"")</f>
        <v/>
      </c>
      <c r="AU20">
        <f>IF(AND($A20&lt;&gt;"",AU$3&gt;=$J20,AU$3&lt;=$M20),1,"")</f>
        <v/>
      </c>
      <c r="AV20">
        <f>IF(AND($A20&lt;&gt;"",AV$3&gt;=$J20,AV$3&lt;=$M20),1,"")</f>
        <v/>
      </c>
      <c r="AW20">
        <f>IF(AND($A20&lt;&gt;"",AW$3&gt;=$J20,AW$3&lt;=$M20),1,"")</f>
        <v/>
      </c>
      <c r="AX20">
        <f>IF(AND($A20&lt;&gt;"",AX$3&gt;=$J20,AX$3&lt;=$M20),1,"")</f>
        <v/>
      </c>
      <c r="AY20">
        <f>IF(AND($A20&lt;&gt;"",AY$3&gt;=$J20,AY$3&lt;=$M20),1,"")</f>
        <v/>
      </c>
      <c r="AZ20">
        <f>IF(AND($A20&lt;&gt;"",AZ$3&gt;=$J20,AZ$3&lt;=$M20),1,"")</f>
        <v/>
      </c>
      <c r="BA20">
        <f>IF(AND($A20&lt;&gt;"",BA$3&gt;=$J20,BA$3&lt;=$M20),1,"")</f>
        <v/>
      </c>
      <c r="BB20">
        <f>IF(AND($A20&lt;&gt;"",BB$3&gt;=$J20,BB$3&lt;=$M20),1,"")</f>
        <v/>
      </c>
      <c r="BC20">
        <f>IF(AND($A20&lt;&gt;"",BC$3&gt;=$J20,BC$3&lt;=$M20),1,"")</f>
        <v/>
      </c>
      <c r="BD20">
        <f>IF(AND($A20&lt;&gt;"",BD$3&gt;=$J20,BD$3&lt;=$M20),1,"")</f>
        <v/>
      </c>
      <c r="BE20">
        <f>IF(AND($A20&lt;&gt;"",BE$3&gt;=$J20,BE$3&lt;=$M20),1,"")</f>
        <v/>
      </c>
      <c r="BF20">
        <f>IF(AND($A20&lt;&gt;"",BF$3&gt;=$J20,BF$3&lt;=$M20),1,"")</f>
        <v/>
      </c>
      <c r="BG20">
        <f>IF(AND($A20&lt;&gt;"",BG$3&gt;=$J20,BG$3&lt;=$M20),1,"")</f>
        <v/>
      </c>
      <c r="BH20">
        <f>IF(AND($A20&lt;&gt;"",BH$3&gt;=$J20,BH$3&lt;=$M20),1,"")</f>
        <v/>
      </c>
      <c r="BI20">
        <f>IF(AND($A20&lt;&gt;"",BI$3&gt;=$J20,BI$3&lt;=$M20),1,"")</f>
        <v/>
      </c>
      <c r="BJ20">
        <f>IF(AND($A20&lt;&gt;"",BJ$3&gt;=$J20,BJ$3&lt;=$M20),1,"")</f>
        <v/>
      </c>
      <c r="BK20">
        <f>IF(AND($A20&lt;&gt;"",BK$3&gt;=$J20,BK$3&lt;=$M20),1,"")</f>
        <v/>
      </c>
      <c r="BL20">
        <f>IF(AND($A20&lt;&gt;"",BL$3&gt;=$J20,BL$3&lt;=$M20),1,"")</f>
        <v/>
      </c>
      <c r="BM20">
        <f>IF(AND($A20&lt;&gt;"",BM$3&gt;=$J20,BM$3&lt;=$M20),1,"")</f>
        <v/>
      </c>
      <c r="BN20">
        <f>IF(AND($A20&lt;&gt;"",BN$3&gt;=$J20,BN$3&lt;=$M20),1,"")</f>
        <v/>
      </c>
      <c r="BO20">
        <f>IF(AND($A20&lt;&gt;"",BO$3&gt;=$J20,BO$3&lt;=$M20),1,"")</f>
        <v/>
      </c>
      <c r="BP20">
        <f>IF(AND($A20&lt;&gt;"",BP$3&gt;=$J20,BP$3&lt;=$M20),1,"")</f>
        <v/>
      </c>
      <c r="BQ20">
        <f>IF(AND($A20&lt;&gt;"",BQ$3&gt;=$J20,BQ$3&lt;=$M20),1,"")</f>
        <v/>
      </c>
      <c r="BR20">
        <f>IF(AND($A20&lt;&gt;"",BR$3&gt;=$J20,BR$3&lt;=$M20),1,"")</f>
        <v/>
      </c>
      <c r="BS20">
        <f>IF(AND($A20&lt;&gt;"",BS$3&gt;=$J20,BS$3&lt;=$M20),1,"")</f>
        <v/>
      </c>
      <c r="BT20">
        <f>IF(AND($A20&lt;&gt;"",BT$3&gt;=$J20,BT$3&lt;=$M20),1,"")</f>
        <v/>
      </c>
      <c r="BU20">
        <f>IF(AND($A20&lt;&gt;"",BU$3&gt;=$J20,BU$3&lt;=$M20),1,"")</f>
        <v/>
      </c>
      <c r="BV20">
        <f>IF(AND($A20&lt;&gt;"",BV$3&gt;=$J20,BV$3&lt;=$M20),1,"")</f>
        <v/>
      </c>
    </row>
    <row r="21">
      <c r="A21">
        <f>IF(Job_Master_Ring!$A21="","",Job_Master_Ring!$A21)</f>
        <v/>
      </c>
      <c r="B21">
        <f>IF($A21="","",Job_Master_Ring!B21)</f>
        <v/>
      </c>
      <c r="C21">
        <f>IF($A21="","",Job_Master_Ring!C21)</f>
        <v/>
      </c>
      <c r="D21">
        <f>IF($A21="","",Job_Master_Ring!D21)</f>
        <v/>
      </c>
      <c r="E21">
        <f>IF($A21="","",IF($I21&lt;&gt;"",$I21,IFERROR(INDEX(Machine_List!$B$50:$B$63,MATCH(1,(Machine_List!$H$50:$H$63&lt;=IFERROR(VLOOKUP($B21,CHOOSE(MATCH($C21,Settings!$L$4:$L$10,0),OPR_BR1!$A$4:$K$18,OPR_BR2!$A$4:$K$18,OPR_CR2!$A$4:$K$18,OPR_CR3!$A$4:$K$18,OPR_CR4!$A$4:$K$18,OPR_RIM!$A$4:$K$18,OPR_BPR!$A$4:$K$18),10,0),0))*(Machine_List!$I$50:$I$63&gt;=IFERROR(VLOOKUP($B21,CHOOSE(MATCH($C21,Settings!$L$4:$L$10,0),OPR_BR1!$A$4:$K$18,OPR_BR2!$A$4:$K$18,OPR_CR2!$A$4:$K$18,OPR_CR3!$A$4:$K$18,OPR_CR4!$A$4:$K$18,OPR_RIM!$A$4:$K$18,OPR_BPR!$A$4:$K$18),11,0),9999)),0)),"NO COMPATIBLE MACHINE")))</f>
        <v/>
      </c>
      <c r="F21">
        <f>IF($E21="","",IFERROR(VLOOKUP($E21,Machine_List!$B:$G,6,0),""))</f>
        <v/>
      </c>
      <c r="G21" s="17">
        <f>IF($E21="","",IFERROR(VLOOKUP($E21,Machine_List!$B:$C,2,0),""))</f>
        <v/>
      </c>
      <c r="H21">
        <f>IF($E21="","",IFERROR(VLOOKUP($E21,Machine_List!$B:$D,3,0),""))</f>
        <v/>
      </c>
      <c r="J21" s="16">
        <f>IF($A21="","",IF($I21&lt;&gt;"",$I21,MAX(CNC_Plan!$M21,IFERROR(LOOKUP(2,1/($E$3:INDIRECT("E"&amp;(ROW()-1))=$E21),$M$3:INDIRECT("M"&amp;(ROW()-1))),CNC_Plan!$M21))))</f>
        <v/>
      </c>
      <c r="K21">
        <f>IF($A21="","",IFERROR(VLOOKUP(B21,CHOOSE(MATCH($C21,Settings!$L$4:$L$10,0),OPR_BR1!$A$4:$I$18,OPR_BR2!$A$4:$I$18,OPR_CR2!$A$4:$I$18,OPR_CR3!$A$4:$I$18,OPR_CR4!$A$4:$I$18,OPR_RIM!$A$4:$I$18,OPR_BPR!$A$4:$I$18),6,0),0))</f>
        <v/>
      </c>
      <c r="L21">
        <f>IF($A21="","",K21*D21)</f>
        <v/>
      </c>
      <c r="M21" s="16">
        <f>IF($A21="","",IF(AND(ISNUMBER(G21),G21&gt;=J21,G21&lt;=(J21+(L21/(IF(F21="Contract Workman",Settings!$K$5,Settings!$K$4))))),J21+(L21/(IF(F21="Contract Workman",Settings!$K$5,Settings!$K$4)))+(H21/(IF(F21="Contract Workman",Settings!$K$5,Settings!$K$4))),J21+(L21/(IF(F21="Contract Workman",Settings!$K$5,Settings!$K$4)))))</f>
        <v/>
      </c>
      <c r="N21">
        <f>IF($A21="","",IF(F21="Contract Workman",IF(AND(MOD(M21,1)&gt;=8/24,MOD(M21,1)&lt;20/24),"Shift S1","Shift S2"),IF(AND(MOD(M21,1)&gt;=7/24,MOD(M21,1)&lt;15/24),"Shift A",IF(AND(MOD(M21,1)&gt;=15/24,MOD(M21,1)&lt;23/24),"Shift B","Shift C"))))</f>
        <v/>
      </c>
      <c r="O21">
        <f>IF(B21="","",IF(IFERROR(ISNUMBER(SEARCH(TEXT(B21,"0"),VLOOKUP(E21,Machine_List!$B:$J,9,0))),FALSE),"✅ "&amp; E21,"❌ Sug: "&amp;IFERROR(INDEX(Machine_List!$B$50:$B$63,MATCH(1,(Machine_List!$H$50:$H$63&lt;=IFERROR(VLOOKUP($B21,OPR_BR1!$A$4:$K$18,10,0),0))*(Machine_List!$I$50:$I$63&gt;=IFERROR(VLOOKUP($B21,OPR_BR1!$A$4:$K$18,11,0),9999)),0)),"?")))</f>
        <v/>
      </c>
      <c r="P21">
        <f>IF(AND($A21&lt;&gt;"",P$3&gt;=$J21,P$3&lt;=$M21),1,"")</f>
        <v/>
      </c>
      <c r="Q21">
        <f>IF(AND($A21&lt;&gt;"",Q$3&gt;=$J21,Q$3&lt;=$M21),1,"")</f>
        <v/>
      </c>
      <c r="R21">
        <f>IF(AND($A21&lt;&gt;"",R$3&gt;=$J21,R$3&lt;=$M21),1,"")</f>
        <v/>
      </c>
      <c r="S21">
        <f>IF(AND($A21&lt;&gt;"",S$3&gt;=$J21,S$3&lt;=$M21),1,"")</f>
        <v/>
      </c>
      <c r="T21">
        <f>IF(AND($A21&lt;&gt;"",T$3&gt;=$J21,T$3&lt;=$M21),1,"")</f>
        <v/>
      </c>
      <c r="U21">
        <f>IF(AND($A21&lt;&gt;"",U$3&gt;=$J21,U$3&lt;=$M21),1,"")</f>
        <v/>
      </c>
      <c r="V21">
        <f>IF(AND($A21&lt;&gt;"",V$3&gt;=$J21,V$3&lt;=$M21),1,"")</f>
        <v/>
      </c>
      <c r="W21">
        <f>IF(AND($A21&lt;&gt;"",W$3&gt;=$J21,W$3&lt;=$M21),1,"")</f>
        <v/>
      </c>
      <c r="X21">
        <f>IF(AND($A21&lt;&gt;"",X$3&gt;=$J21,X$3&lt;=$M21),1,"")</f>
        <v/>
      </c>
      <c r="Y21">
        <f>IF(AND($A21&lt;&gt;"",Y$3&gt;=$J21,Y$3&lt;=$M21),1,"")</f>
        <v/>
      </c>
      <c r="Z21">
        <f>IF(AND($A21&lt;&gt;"",Z$3&gt;=$J21,Z$3&lt;=$M21),1,"")</f>
        <v/>
      </c>
      <c r="AA21">
        <f>IF(AND($A21&lt;&gt;"",AA$3&gt;=$J21,AA$3&lt;=$M21),1,"")</f>
        <v/>
      </c>
      <c r="AB21">
        <f>IF(AND($A21&lt;&gt;"",AB$3&gt;=$J21,AB$3&lt;=$M21),1,"")</f>
        <v/>
      </c>
      <c r="AC21">
        <f>IF(AND($A21&lt;&gt;"",AC$3&gt;=$J21,AC$3&lt;=$M21),1,"")</f>
        <v/>
      </c>
      <c r="AD21">
        <f>IF(AND($A21&lt;&gt;"",AD$3&gt;=$J21,AD$3&lt;=$M21),1,"")</f>
        <v/>
      </c>
      <c r="AE21">
        <f>IF(AND($A21&lt;&gt;"",AE$3&gt;=$J21,AE$3&lt;=$M21),1,"")</f>
        <v/>
      </c>
      <c r="AF21">
        <f>IF(AND($A21&lt;&gt;"",AF$3&gt;=$J21,AF$3&lt;=$M21),1,"")</f>
        <v/>
      </c>
      <c r="AG21">
        <f>IF(AND($A21&lt;&gt;"",AG$3&gt;=$J21,AG$3&lt;=$M21),1,"")</f>
        <v/>
      </c>
      <c r="AH21">
        <f>IF(AND($A21&lt;&gt;"",AH$3&gt;=$J21,AH$3&lt;=$M21),1,"")</f>
        <v/>
      </c>
      <c r="AI21">
        <f>IF(AND($A21&lt;&gt;"",AI$3&gt;=$J21,AI$3&lt;=$M21),1,"")</f>
        <v/>
      </c>
      <c r="AJ21">
        <f>IF(AND($A21&lt;&gt;"",AJ$3&gt;=$J21,AJ$3&lt;=$M21),1,"")</f>
        <v/>
      </c>
      <c r="AK21">
        <f>IF(AND($A21&lt;&gt;"",AK$3&gt;=$J21,AK$3&lt;=$M21),1,"")</f>
        <v/>
      </c>
      <c r="AL21">
        <f>IF(AND($A21&lt;&gt;"",AL$3&gt;=$J21,AL$3&lt;=$M21),1,"")</f>
        <v/>
      </c>
      <c r="AM21">
        <f>IF(AND($A21&lt;&gt;"",AM$3&gt;=$J21,AM$3&lt;=$M21),1,"")</f>
        <v/>
      </c>
      <c r="AN21">
        <f>IF(AND($A21&lt;&gt;"",AN$3&gt;=$J21,AN$3&lt;=$M21),1,"")</f>
        <v/>
      </c>
      <c r="AO21">
        <f>IF(AND($A21&lt;&gt;"",AO$3&gt;=$J21,AO$3&lt;=$M21),1,"")</f>
        <v/>
      </c>
      <c r="AP21">
        <f>IF(AND($A21&lt;&gt;"",AP$3&gt;=$J21,AP$3&lt;=$M21),1,"")</f>
        <v/>
      </c>
      <c r="AQ21">
        <f>IF(AND($A21&lt;&gt;"",AQ$3&gt;=$J21,AQ$3&lt;=$M21),1,"")</f>
        <v/>
      </c>
      <c r="AR21">
        <f>IF(AND($A21&lt;&gt;"",AR$3&gt;=$J21,AR$3&lt;=$M21),1,"")</f>
        <v/>
      </c>
      <c r="AS21">
        <f>IF(AND($A21&lt;&gt;"",AS$3&gt;=$J21,AS$3&lt;=$M21),1,"")</f>
        <v/>
      </c>
      <c r="AT21">
        <f>IF(AND($A21&lt;&gt;"",AT$3&gt;=$J21,AT$3&lt;=$M21),1,"")</f>
        <v/>
      </c>
      <c r="AU21">
        <f>IF(AND($A21&lt;&gt;"",AU$3&gt;=$J21,AU$3&lt;=$M21),1,"")</f>
        <v/>
      </c>
      <c r="AV21">
        <f>IF(AND($A21&lt;&gt;"",AV$3&gt;=$J21,AV$3&lt;=$M21),1,"")</f>
        <v/>
      </c>
      <c r="AW21">
        <f>IF(AND($A21&lt;&gt;"",AW$3&gt;=$J21,AW$3&lt;=$M21),1,"")</f>
        <v/>
      </c>
      <c r="AX21">
        <f>IF(AND($A21&lt;&gt;"",AX$3&gt;=$J21,AX$3&lt;=$M21),1,"")</f>
        <v/>
      </c>
      <c r="AY21">
        <f>IF(AND($A21&lt;&gt;"",AY$3&gt;=$J21,AY$3&lt;=$M21),1,"")</f>
        <v/>
      </c>
      <c r="AZ21">
        <f>IF(AND($A21&lt;&gt;"",AZ$3&gt;=$J21,AZ$3&lt;=$M21),1,"")</f>
        <v/>
      </c>
      <c r="BA21">
        <f>IF(AND($A21&lt;&gt;"",BA$3&gt;=$J21,BA$3&lt;=$M21),1,"")</f>
        <v/>
      </c>
      <c r="BB21">
        <f>IF(AND($A21&lt;&gt;"",BB$3&gt;=$J21,BB$3&lt;=$M21),1,"")</f>
        <v/>
      </c>
      <c r="BC21">
        <f>IF(AND($A21&lt;&gt;"",BC$3&gt;=$J21,BC$3&lt;=$M21),1,"")</f>
        <v/>
      </c>
      <c r="BD21">
        <f>IF(AND($A21&lt;&gt;"",BD$3&gt;=$J21,BD$3&lt;=$M21),1,"")</f>
        <v/>
      </c>
      <c r="BE21">
        <f>IF(AND($A21&lt;&gt;"",BE$3&gt;=$J21,BE$3&lt;=$M21),1,"")</f>
        <v/>
      </c>
      <c r="BF21">
        <f>IF(AND($A21&lt;&gt;"",BF$3&gt;=$J21,BF$3&lt;=$M21),1,"")</f>
        <v/>
      </c>
      <c r="BG21">
        <f>IF(AND($A21&lt;&gt;"",BG$3&gt;=$J21,BG$3&lt;=$M21),1,"")</f>
        <v/>
      </c>
      <c r="BH21">
        <f>IF(AND($A21&lt;&gt;"",BH$3&gt;=$J21,BH$3&lt;=$M21),1,"")</f>
        <v/>
      </c>
      <c r="BI21">
        <f>IF(AND($A21&lt;&gt;"",BI$3&gt;=$J21,BI$3&lt;=$M21),1,"")</f>
        <v/>
      </c>
      <c r="BJ21">
        <f>IF(AND($A21&lt;&gt;"",BJ$3&gt;=$J21,BJ$3&lt;=$M21),1,"")</f>
        <v/>
      </c>
      <c r="BK21">
        <f>IF(AND($A21&lt;&gt;"",BK$3&gt;=$J21,BK$3&lt;=$M21),1,"")</f>
        <v/>
      </c>
      <c r="BL21">
        <f>IF(AND($A21&lt;&gt;"",BL$3&gt;=$J21,BL$3&lt;=$M21),1,"")</f>
        <v/>
      </c>
      <c r="BM21">
        <f>IF(AND($A21&lt;&gt;"",BM$3&gt;=$J21,BM$3&lt;=$M21),1,"")</f>
        <v/>
      </c>
      <c r="BN21">
        <f>IF(AND($A21&lt;&gt;"",BN$3&gt;=$J21,BN$3&lt;=$M21),1,"")</f>
        <v/>
      </c>
      <c r="BO21">
        <f>IF(AND($A21&lt;&gt;"",BO$3&gt;=$J21,BO$3&lt;=$M21),1,"")</f>
        <v/>
      </c>
      <c r="BP21">
        <f>IF(AND($A21&lt;&gt;"",BP$3&gt;=$J21,BP$3&lt;=$M21),1,"")</f>
        <v/>
      </c>
      <c r="BQ21">
        <f>IF(AND($A21&lt;&gt;"",BQ$3&gt;=$J21,BQ$3&lt;=$M21),1,"")</f>
        <v/>
      </c>
      <c r="BR21">
        <f>IF(AND($A21&lt;&gt;"",BR$3&gt;=$J21,BR$3&lt;=$M21),1,"")</f>
        <v/>
      </c>
      <c r="BS21">
        <f>IF(AND($A21&lt;&gt;"",BS$3&gt;=$J21,BS$3&lt;=$M21),1,"")</f>
        <v/>
      </c>
      <c r="BT21">
        <f>IF(AND($A21&lt;&gt;"",BT$3&gt;=$J21,BT$3&lt;=$M21),1,"")</f>
        <v/>
      </c>
      <c r="BU21">
        <f>IF(AND($A21&lt;&gt;"",BU$3&gt;=$J21,BU$3&lt;=$M21),1,"")</f>
        <v/>
      </c>
      <c r="BV21">
        <f>IF(AND($A21&lt;&gt;"",BV$3&gt;=$J21,BV$3&lt;=$M21),1,"")</f>
        <v/>
      </c>
    </row>
    <row r="22">
      <c r="A22">
        <f>IF(Job_Master_Ring!$A22="","",Job_Master_Ring!$A22)</f>
        <v/>
      </c>
      <c r="B22">
        <f>IF($A22="","",Job_Master_Ring!B22)</f>
        <v/>
      </c>
      <c r="C22">
        <f>IF($A22="","",Job_Master_Ring!C22)</f>
        <v/>
      </c>
      <c r="D22">
        <f>IF($A22="","",Job_Master_Ring!D22)</f>
        <v/>
      </c>
      <c r="E22">
        <f>IF($A22="","",IF($I22&lt;&gt;"",$I22,IFERROR(INDEX(Machine_List!$B$50:$B$63,MATCH(1,(Machine_List!$H$50:$H$63&lt;=IFERROR(VLOOKUP($B22,CHOOSE(MATCH($C22,Settings!$L$4:$L$10,0),OPR_BR1!$A$4:$K$18,OPR_BR2!$A$4:$K$18,OPR_CR2!$A$4:$K$18,OPR_CR3!$A$4:$K$18,OPR_CR4!$A$4:$K$18,OPR_RIM!$A$4:$K$18,OPR_BPR!$A$4:$K$18),10,0),0))*(Machine_List!$I$50:$I$63&gt;=IFERROR(VLOOKUP($B22,CHOOSE(MATCH($C22,Settings!$L$4:$L$10,0),OPR_BR1!$A$4:$K$18,OPR_BR2!$A$4:$K$18,OPR_CR2!$A$4:$K$18,OPR_CR3!$A$4:$K$18,OPR_CR4!$A$4:$K$18,OPR_RIM!$A$4:$K$18,OPR_BPR!$A$4:$K$18),11,0),9999)),0)),"NO COMPATIBLE MACHINE")))</f>
        <v/>
      </c>
      <c r="F22">
        <f>IF($E22="","",IFERROR(VLOOKUP($E22,Machine_List!$B:$G,6,0),""))</f>
        <v/>
      </c>
      <c r="G22" s="17">
        <f>IF($E22="","",IFERROR(VLOOKUP($E22,Machine_List!$B:$C,2,0),""))</f>
        <v/>
      </c>
      <c r="H22">
        <f>IF($E22="","",IFERROR(VLOOKUP($E22,Machine_List!$B:$D,3,0),""))</f>
        <v/>
      </c>
      <c r="J22" s="16">
        <f>IF($A22="","",IF($I22&lt;&gt;"",$I22,MAX(CNC_Plan!$M22,IFERROR(LOOKUP(2,1/($E$3:INDIRECT("E"&amp;(ROW()-1))=$E22),$M$3:INDIRECT("M"&amp;(ROW()-1))),CNC_Plan!$M22))))</f>
        <v/>
      </c>
      <c r="K22">
        <f>IF($A22="","",IFERROR(VLOOKUP(B22,CHOOSE(MATCH($C22,Settings!$L$4:$L$10,0),OPR_BR1!$A$4:$I$18,OPR_BR2!$A$4:$I$18,OPR_CR2!$A$4:$I$18,OPR_CR3!$A$4:$I$18,OPR_CR4!$A$4:$I$18,OPR_RIM!$A$4:$I$18,OPR_BPR!$A$4:$I$18),6,0),0))</f>
        <v/>
      </c>
      <c r="L22">
        <f>IF($A22="","",K22*D22)</f>
        <v/>
      </c>
      <c r="M22" s="16">
        <f>IF($A22="","",IF(AND(ISNUMBER(G22),G22&gt;=J22,G22&lt;=(J22+(L22/(IF(F22="Contract Workman",Settings!$K$5,Settings!$K$4))))),J22+(L22/(IF(F22="Contract Workman",Settings!$K$5,Settings!$K$4)))+(H22/(IF(F22="Contract Workman",Settings!$K$5,Settings!$K$4))),J22+(L22/(IF(F22="Contract Workman",Settings!$K$5,Settings!$K$4)))))</f>
        <v/>
      </c>
      <c r="N22">
        <f>IF($A22="","",IF(F22="Contract Workman",IF(AND(MOD(M22,1)&gt;=8/24,MOD(M22,1)&lt;20/24),"Shift S1","Shift S2"),IF(AND(MOD(M22,1)&gt;=7/24,MOD(M22,1)&lt;15/24),"Shift A",IF(AND(MOD(M22,1)&gt;=15/24,MOD(M22,1)&lt;23/24),"Shift B","Shift C"))))</f>
        <v/>
      </c>
      <c r="O22">
        <f>IF(B22="","",IF(IFERROR(ISNUMBER(SEARCH(TEXT(B22,"0"),VLOOKUP(E22,Machine_List!$B:$J,9,0))),FALSE),"✅ "&amp; E22,"❌ Sug: "&amp;IFERROR(INDEX(Machine_List!$B$50:$B$63,MATCH(1,(Machine_List!$H$50:$H$63&lt;=IFERROR(VLOOKUP($B22,OPR_BR1!$A$4:$K$18,10,0),0))*(Machine_List!$I$50:$I$63&gt;=IFERROR(VLOOKUP($B22,OPR_BR1!$A$4:$K$18,11,0),9999)),0)),"?")))</f>
        <v/>
      </c>
      <c r="P22">
        <f>IF(AND($A22&lt;&gt;"",P$3&gt;=$J22,P$3&lt;=$M22),1,"")</f>
        <v/>
      </c>
      <c r="Q22">
        <f>IF(AND($A22&lt;&gt;"",Q$3&gt;=$J22,Q$3&lt;=$M22),1,"")</f>
        <v/>
      </c>
      <c r="R22">
        <f>IF(AND($A22&lt;&gt;"",R$3&gt;=$J22,R$3&lt;=$M22),1,"")</f>
        <v/>
      </c>
      <c r="S22">
        <f>IF(AND($A22&lt;&gt;"",S$3&gt;=$J22,S$3&lt;=$M22),1,"")</f>
        <v/>
      </c>
      <c r="T22">
        <f>IF(AND($A22&lt;&gt;"",T$3&gt;=$J22,T$3&lt;=$M22),1,"")</f>
        <v/>
      </c>
      <c r="U22">
        <f>IF(AND($A22&lt;&gt;"",U$3&gt;=$J22,U$3&lt;=$M22),1,"")</f>
        <v/>
      </c>
      <c r="V22">
        <f>IF(AND($A22&lt;&gt;"",V$3&gt;=$J22,V$3&lt;=$M22),1,"")</f>
        <v/>
      </c>
      <c r="W22">
        <f>IF(AND($A22&lt;&gt;"",W$3&gt;=$J22,W$3&lt;=$M22),1,"")</f>
        <v/>
      </c>
      <c r="X22">
        <f>IF(AND($A22&lt;&gt;"",X$3&gt;=$J22,X$3&lt;=$M22),1,"")</f>
        <v/>
      </c>
      <c r="Y22">
        <f>IF(AND($A22&lt;&gt;"",Y$3&gt;=$J22,Y$3&lt;=$M22),1,"")</f>
        <v/>
      </c>
      <c r="Z22">
        <f>IF(AND($A22&lt;&gt;"",Z$3&gt;=$J22,Z$3&lt;=$M22),1,"")</f>
        <v/>
      </c>
      <c r="AA22">
        <f>IF(AND($A22&lt;&gt;"",AA$3&gt;=$J22,AA$3&lt;=$M22),1,"")</f>
        <v/>
      </c>
      <c r="AB22">
        <f>IF(AND($A22&lt;&gt;"",AB$3&gt;=$J22,AB$3&lt;=$M22),1,"")</f>
        <v/>
      </c>
      <c r="AC22">
        <f>IF(AND($A22&lt;&gt;"",AC$3&gt;=$J22,AC$3&lt;=$M22),1,"")</f>
        <v/>
      </c>
      <c r="AD22">
        <f>IF(AND($A22&lt;&gt;"",AD$3&gt;=$J22,AD$3&lt;=$M22),1,"")</f>
        <v/>
      </c>
      <c r="AE22">
        <f>IF(AND($A22&lt;&gt;"",AE$3&gt;=$J22,AE$3&lt;=$M22),1,"")</f>
        <v/>
      </c>
      <c r="AF22">
        <f>IF(AND($A22&lt;&gt;"",AF$3&gt;=$J22,AF$3&lt;=$M22),1,"")</f>
        <v/>
      </c>
      <c r="AG22">
        <f>IF(AND($A22&lt;&gt;"",AG$3&gt;=$J22,AG$3&lt;=$M22),1,"")</f>
        <v/>
      </c>
      <c r="AH22">
        <f>IF(AND($A22&lt;&gt;"",AH$3&gt;=$J22,AH$3&lt;=$M22),1,"")</f>
        <v/>
      </c>
      <c r="AI22">
        <f>IF(AND($A22&lt;&gt;"",AI$3&gt;=$J22,AI$3&lt;=$M22),1,"")</f>
        <v/>
      </c>
      <c r="AJ22">
        <f>IF(AND($A22&lt;&gt;"",AJ$3&gt;=$J22,AJ$3&lt;=$M22),1,"")</f>
        <v/>
      </c>
      <c r="AK22">
        <f>IF(AND($A22&lt;&gt;"",AK$3&gt;=$J22,AK$3&lt;=$M22),1,"")</f>
        <v/>
      </c>
      <c r="AL22">
        <f>IF(AND($A22&lt;&gt;"",AL$3&gt;=$J22,AL$3&lt;=$M22),1,"")</f>
        <v/>
      </c>
      <c r="AM22">
        <f>IF(AND($A22&lt;&gt;"",AM$3&gt;=$J22,AM$3&lt;=$M22),1,"")</f>
        <v/>
      </c>
      <c r="AN22">
        <f>IF(AND($A22&lt;&gt;"",AN$3&gt;=$J22,AN$3&lt;=$M22),1,"")</f>
        <v/>
      </c>
      <c r="AO22">
        <f>IF(AND($A22&lt;&gt;"",AO$3&gt;=$J22,AO$3&lt;=$M22),1,"")</f>
        <v/>
      </c>
      <c r="AP22">
        <f>IF(AND($A22&lt;&gt;"",AP$3&gt;=$J22,AP$3&lt;=$M22),1,"")</f>
        <v/>
      </c>
      <c r="AQ22">
        <f>IF(AND($A22&lt;&gt;"",AQ$3&gt;=$J22,AQ$3&lt;=$M22),1,"")</f>
        <v/>
      </c>
      <c r="AR22">
        <f>IF(AND($A22&lt;&gt;"",AR$3&gt;=$J22,AR$3&lt;=$M22),1,"")</f>
        <v/>
      </c>
      <c r="AS22">
        <f>IF(AND($A22&lt;&gt;"",AS$3&gt;=$J22,AS$3&lt;=$M22),1,"")</f>
        <v/>
      </c>
      <c r="AT22">
        <f>IF(AND($A22&lt;&gt;"",AT$3&gt;=$J22,AT$3&lt;=$M22),1,"")</f>
        <v/>
      </c>
      <c r="AU22">
        <f>IF(AND($A22&lt;&gt;"",AU$3&gt;=$J22,AU$3&lt;=$M22),1,"")</f>
        <v/>
      </c>
      <c r="AV22">
        <f>IF(AND($A22&lt;&gt;"",AV$3&gt;=$J22,AV$3&lt;=$M22),1,"")</f>
        <v/>
      </c>
      <c r="AW22">
        <f>IF(AND($A22&lt;&gt;"",AW$3&gt;=$J22,AW$3&lt;=$M22),1,"")</f>
        <v/>
      </c>
      <c r="AX22">
        <f>IF(AND($A22&lt;&gt;"",AX$3&gt;=$J22,AX$3&lt;=$M22),1,"")</f>
        <v/>
      </c>
      <c r="AY22">
        <f>IF(AND($A22&lt;&gt;"",AY$3&gt;=$J22,AY$3&lt;=$M22),1,"")</f>
        <v/>
      </c>
      <c r="AZ22">
        <f>IF(AND($A22&lt;&gt;"",AZ$3&gt;=$J22,AZ$3&lt;=$M22),1,"")</f>
        <v/>
      </c>
      <c r="BA22">
        <f>IF(AND($A22&lt;&gt;"",BA$3&gt;=$J22,BA$3&lt;=$M22),1,"")</f>
        <v/>
      </c>
      <c r="BB22">
        <f>IF(AND($A22&lt;&gt;"",BB$3&gt;=$J22,BB$3&lt;=$M22),1,"")</f>
        <v/>
      </c>
      <c r="BC22">
        <f>IF(AND($A22&lt;&gt;"",BC$3&gt;=$J22,BC$3&lt;=$M22),1,"")</f>
        <v/>
      </c>
      <c r="BD22">
        <f>IF(AND($A22&lt;&gt;"",BD$3&gt;=$J22,BD$3&lt;=$M22),1,"")</f>
        <v/>
      </c>
      <c r="BE22">
        <f>IF(AND($A22&lt;&gt;"",BE$3&gt;=$J22,BE$3&lt;=$M22),1,"")</f>
        <v/>
      </c>
      <c r="BF22">
        <f>IF(AND($A22&lt;&gt;"",BF$3&gt;=$J22,BF$3&lt;=$M22),1,"")</f>
        <v/>
      </c>
      <c r="BG22">
        <f>IF(AND($A22&lt;&gt;"",BG$3&gt;=$J22,BG$3&lt;=$M22),1,"")</f>
        <v/>
      </c>
      <c r="BH22">
        <f>IF(AND($A22&lt;&gt;"",BH$3&gt;=$J22,BH$3&lt;=$M22),1,"")</f>
        <v/>
      </c>
      <c r="BI22">
        <f>IF(AND($A22&lt;&gt;"",BI$3&gt;=$J22,BI$3&lt;=$M22),1,"")</f>
        <v/>
      </c>
      <c r="BJ22">
        <f>IF(AND($A22&lt;&gt;"",BJ$3&gt;=$J22,BJ$3&lt;=$M22),1,"")</f>
        <v/>
      </c>
      <c r="BK22">
        <f>IF(AND($A22&lt;&gt;"",BK$3&gt;=$J22,BK$3&lt;=$M22),1,"")</f>
        <v/>
      </c>
      <c r="BL22">
        <f>IF(AND($A22&lt;&gt;"",BL$3&gt;=$J22,BL$3&lt;=$M22),1,"")</f>
        <v/>
      </c>
      <c r="BM22">
        <f>IF(AND($A22&lt;&gt;"",BM$3&gt;=$J22,BM$3&lt;=$M22),1,"")</f>
        <v/>
      </c>
      <c r="BN22">
        <f>IF(AND($A22&lt;&gt;"",BN$3&gt;=$J22,BN$3&lt;=$M22),1,"")</f>
        <v/>
      </c>
      <c r="BO22">
        <f>IF(AND($A22&lt;&gt;"",BO$3&gt;=$J22,BO$3&lt;=$M22),1,"")</f>
        <v/>
      </c>
      <c r="BP22">
        <f>IF(AND($A22&lt;&gt;"",BP$3&gt;=$J22,BP$3&lt;=$M22),1,"")</f>
        <v/>
      </c>
      <c r="BQ22">
        <f>IF(AND($A22&lt;&gt;"",BQ$3&gt;=$J22,BQ$3&lt;=$M22),1,"")</f>
        <v/>
      </c>
      <c r="BR22">
        <f>IF(AND($A22&lt;&gt;"",BR$3&gt;=$J22,BR$3&lt;=$M22),1,"")</f>
        <v/>
      </c>
      <c r="BS22">
        <f>IF(AND($A22&lt;&gt;"",BS$3&gt;=$J22,BS$3&lt;=$M22),1,"")</f>
        <v/>
      </c>
      <c r="BT22">
        <f>IF(AND($A22&lt;&gt;"",BT$3&gt;=$J22,BT$3&lt;=$M22),1,"")</f>
        <v/>
      </c>
      <c r="BU22">
        <f>IF(AND($A22&lt;&gt;"",BU$3&gt;=$J22,BU$3&lt;=$M22),1,"")</f>
        <v/>
      </c>
      <c r="BV22">
        <f>IF(AND($A22&lt;&gt;"",BV$3&gt;=$J22,BV$3&lt;=$M22),1,"")</f>
        <v/>
      </c>
    </row>
    <row r="23">
      <c r="A23">
        <f>IF(Job_Master_Ring!$A23="","",Job_Master_Ring!$A23)</f>
        <v/>
      </c>
      <c r="B23">
        <f>IF($A23="","",Job_Master_Ring!B23)</f>
        <v/>
      </c>
      <c r="C23">
        <f>IF($A23="","",Job_Master_Ring!C23)</f>
        <v/>
      </c>
      <c r="D23">
        <f>IF($A23="","",Job_Master_Ring!D23)</f>
        <v/>
      </c>
      <c r="E23">
        <f>IF($A23="","",IF($I23&lt;&gt;"",$I23,IFERROR(INDEX(Machine_List!$B$50:$B$63,MATCH(1,(Machine_List!$H$50:$H$63&lt;=IFERROR(VLOOKUP($B23,CHOOSE(MATCH($C23,Settings!$L$4:$L$10,0),OPR_BR1!$A$4:$K$18,OPR_BR2!$A$4:$K$18,OPR_CR2!$A$4:$K$18,OPR_CR3!$A$4:$K$18,OPR_CR4!$A$4:$K$18,OPR_RIM!$A$4:$K$18,OPR_BPR!$A$4:$K$18),10,0),0))*(Machine_List!$I$50:$I$63&gt;=IFERROR(VLOOKUP($B23,CHOOSE(MATCH($C23,Settings!$L$4:$L$10,0),OPR_BR1!$A$4:$K$18,OPR_BR2!$A$4:$K$18,OPR_CR2!$A$4:$K$18,OPR_CR3!$A$4:$K$18,OPR_CR4!$A$4:$K$18,OPR_RIM!$A$4:$K$18,OPR_BPR!$A$4:$K$18),11,0),9999)),0)),"NO COMPATIBLE MACHINE")))</f>
        <v/>
      </c>
      <c r="F23">
        <f>IF($E23="","",IFERROR(VLOOKUP($E23,Machine_List!$B:$G,6,0),""))</f>
        <v/>
      </c>
      <c r="G23" s="17">
        <f>IF($E23="","",IFERROR(VLOOKUP($E23,Machine_List!$B:$C,2,0),""))</f>
        <v/>
      </c>
      <c r="H23">
        <f>IF($E23="","",IFERROR(VLOOKUP($E23,Machine_List!$B:$D,3,0),""))</f>
        <v/>
      </c>
      <c r="J23" s="16">
        <f>IF($A23="","",IF($I23&lt;&gt;"",$I23,MAX(CNC_Plan!$M23,IFERROR(LOOKUP(2,1/($E$3:INDIRECT("E"&amp;(ROW()-1))=$E23),$M$3:INDIRECT("M"&amp;(ROW()-1))),CNC_Plan!$M23))))</f>
        <v/>
      </c>
      <c r="K23">
        <f>IF($A23="","",IFERROR(VLOOKUP(B23,CHOOSE(MATCH($C23,Settings!$L$4:$L$10,0),OPR_BR1!$A$4:$I$18,OPR_BR2!$A$4:$I$18,OPR_CR2!$A$4:$I$18,OPR_CR3!$A$4:$I$18,OPR_CR4!$A$4:$I$18,OPR_RIM!$A$4:$I$18,OPR_BPR!$A$4:$I$18),6,0),0))</f>
        <v/>
      </c>
      <c r="L23">
        <f>IF($A23="","",K23*D23)</f>
        <v/>
      </c>
      <c r="M23" s="16">
        <f>IF($A23="","",IF(AND(ISNUMBER(G23),G23&gt;=J23,G23&lt;=(J23+(L23/(IF(F23="Contract Workman",Settings!$K$5,Settings!$K$4))))),J23+(L23/(IF(F23="Contract Workman",Settings!$K$5,Settings!$K$4)))+(H23/(IF(F23="Contract Workman",Settings!$K$5,Settings!$K$4))),J23+(L23/(IF(F23="Contract Workman",Settings!$K$5,Settings!$K$4)))))</f>
        <v/>
      </c>
      <c r="N23">
        <f>IF($A23="","",IF(F23="Contract Workman",IF(AND(MOD(M23,1)&gt;=8/24,MOD(M23,1)&lt;20/24),"Shift S1","Shift S2"),IF(AND(MOD(M23,1)&gt;=7/24,MOD(M23,1)&lt;15/24),"Shift A",IF(AND(MOD(M23,1)&gt;=15/24,MOD(M23,1)&lt;23/24),"Shift B","Shift C"))))</f>
        <v/>
      </c>
      <c r="O23">
        <f>IF(B23="","",IF(IFERROR(ISNUMBER(SEARCH(TEXT(B23,"0"),VLOOKUP(E23,Machine_List!$B:$J,9,0))),FALSE),"✅ "&amp; E23,"❌ Sug: "&amp;IFERROR(INDEX(Machine_List!$B$50:$B$63,MATCH(1,(Machine_List!$H$50:$H$63&lt;=IFERROR(VLOOKUP($B23,OPR_BR1!$A$4:$K$18,10,0),0))*(Machine_List!$I$50:$I$63&gt;=IFERROR(VLOOKUP($B23,OPR_BR1!$A$4:$K$18,11,0),9999)),0)),"?")))</f>
        <v/>
      </c>
      <c r="P23">
        <f>IF(AND($A23&lt;&gt;"",P$3&gt;=$J23,P$3&lt;=$M23),1,"")</f>
        <v/>
      </c>
      <c r="Q23">
        <f>IF(AND($A23&lt;&gt;"",Q$3&gt;=$J23,Q$3&lt;=$M23),1,"")</f>
        <v/>
      </c>
      <c r="R23">
        <f>IF(AND($A23&lt;&gt;"",R$3&gt;=$J23,R$3&lt;=$M23),1,"")</f>
        <v/>
      </c>
      <c r="S23">
        <f>IF(AND($A23&lt;&gt;"",S$3&gt;=$J23,S$3&lt;=$M23),1,"")</f>
        <v/>
      </c>
      <c r="T23">
        <f>IF(AND($A23&lt;&gt;"",T$3&gt;=$J23,T$3&lt;=$M23),1,"")</f>
        <v/>
      </c>
      <c r="U23">
        <f>IF(AND($A23&lt;&gt;"",U$3&gt;=$J23,U$3&lt;=$M23),1,"")</f>
        <v/>
      </c>
      <c r="V23">
        <f>IF(AND($A23&lt;&gt;"",V$3&gt;=$J23,V$3&lt;=$M23),1,"")</f>
        <v/>
      </c>
      <c r="W23">
        <f>IF(AND($A23&lt;&gt;"",W$3&gt;=$J23,W$3&lt;=$M23),1,"")</f>
        <v/>
      </c>
      <c r="X23">
        <f>IF(AND($A23&lt;&gt;"",X$3&gt;=$J23,X$3&lt;=$M23),1,"")</f>
        <v/>
      </c>
      <c r="Y23">
        <f>IF(AND($A23&lt;&gt;"",Y$3&gt;=$J23,Y$3&lt;=$M23),1,"")</f>
        <v/>
      </c>
      <c r="Z23">
        <f>IF(AND($A23&lt;&gt;"",Z$3&gt;=$J23,Z$3&lt;=$M23),1,"")</f>
        <v/>
      </c>
      <c r="AA23">
        <f>IF(AND($A23&lt;&gt;"",AA$3&gt;=$J23,AA$3&lt;=$M23),1,"")</f>
        <v/>
      </c>
      <c r="AB23">
        <f>IF(AND($A23&lt;&gt;"",AB$3&gt;=$J23,AB$3&lt;=$M23),1,"")</f>
        <v/>
      </c>
      <c r="AC23">
        <f>IF(AND($A23&lt;&gt;"",AC$3&gt;=$J23,AC$3&lt;=$M23),1,"")</f>
        <v/>
      </c>
      <c r="AD23">
        <f>IF(AND($A23&lt;&gt;"",AD$3&gt;=$J23,AD$3&lt;=$M23),1,"")</f>
        <v/>
      </c>
      <c r="AE23">
        <f>IF(AND($A23&lt;&gt;"",AE$3&gt;=$J23,AE$3&lt;=$M23),1,"")</f>
        <v/>
      </c>
      <c r="AF23">
        <f>IF(AND($A23&lt;&gt;"",AF$3&gt;=$J23,AF$3&lt;=$M23),1,"")</f>
        <v/>
      </c>
      <c r="AG23">
        <f>IF(AND($A23&lt;&gt;"",AG$3&gt;=$J23,AG$3&lt;=$M23),1,"")</f>
        <v/>
      </c>
      <c r="AH23">
        <f>IF(AND($A23&lt;&gt;"",AH$3&gt;=$J23,AH$3&lt;=$M23),1,"")</f>
        <v/>
      </c>
      <c r="AI23">
        <f>IF(AND($A23&lt;&gt;"",AI$3&gt;=$J23,AI$3&lt;=$M23),1,"")</f>
        <v/>
      </c>
      <c r="AJ23">
        <f>IF(AND($A23&lt;&gt;"",AJ$3&gt;=$J23,AJ$3&lt;=$M23),1,"")</f>
        <v/>
      </c>
      <c r="AK23">
        <f>IF(AND($A23&lt;&gt;"",AK$3&gt;=$J23,AK$3&lt;=$M23),1,"")</f>
        <v/>
      </c>
      <c r="AL23">
        <f>IF(AND($A23&lt;&gt;"",AL$3&gt;=$J23,AL$3&lt;=$M23),1,"")</f>
        <v/>
      </c>
      <c r="AM23">
        <f>IF(AND($A23&lt;&gt;"",AM$3&gt;=$J23,AM$3&lt;=$M23),1,"")</f>
        <v/>
      </c>
      <c r="AN23">
        <f>IF(AND($A23&lt;&gt;"",AN$3&gt;=$J23,AN$3&lt;=$M23),1,"")</f>
        <v/>
      </c>
      <c r="AO23">
        <f>IF(AND($A23&lt;&gt;"",AO$3&gt;=$J23,AO$3&lt;=$M23),1,"")</f>
        <v/>
      </c>
      <c r="AP23">
        <f>IF(AND($A23&lt;&gt;"",AP$3&gt;=$J23,AP$3&lt;=$M23),1,"")</f>
        <v/>
      </c>
      <c r="AQ23">
        <f>IF(AND($A23&lt;&gt;"",AQ$3&gt;=$J23,AQ$3&lt;=$M23),1,"")</f>
        <v/>
      </c>
      <c r="AR23">
        <f>IF(AND($A23&lt;&gt;"",AR$3&gt;=$J23,AR$3&lt;=$M23),1,"")</f>
        <v/>
      </c>
      <c r="AS23">
        <f>IF(AND($A23&lt;&gt;"",AS$3&gt;=$J23,AS$3&lt;=$M23),1,"")</f>
        <v/>
      </c>
      <c r="AT23">
        <f>IF(AND($A23&lt;&gt;"",AT$3&gt;=$J23,AT$3&lt;=$M23),1,"")</f>
        <v/>
      </c>
      <c r="AU23">
        <f>IF(AND($A23&lt;&gt;"",AU$3&gt;=$J23,AU$3&lt;=$M23),1,"")</f>
        <v/>
      </c>
      <c r="AV23">
        <f>IF(AND($A23&lt;&gt;"",AV$3&gt;=$J23,AV$3&lt;=$M23),1,"")</f>
        <v/>
      </c>
      <c r="AW23">
        <f>IF(AND($A23&lt;&gt;"",AW$3&gt;=$J23,AW$3&lt;=$M23),1,"")</f>
        <v/>
      </c>
      <c r="AX23">
        <f>IF(AND($A23&lt;&gt;"",AX$3&gt;=$J23,AX$3&lt;=$M23),1,"")</f>
        <v/>
      </c>
      <c r="AY23">
        <f>IF(AND($A23&lt;&gt;"",AY$3&gt;=$J23,AY$3&lt;=$M23),1,"")</f>
        <v/>
      </c>
      <c r="AZ23">
        <f>IF(AND($A23&lt;&gt;"",AZ$3&gt;=$J23,AZ$3&lt;=$M23),1,"")</f>
        <v/>
      </c>
      <c r="BA23">
        <f>IF(AND($A23&lt;&gt;"",BA$3&gt;=$J23,BA$3&lt;=$M23),1,"")</f>
        <v/>
      </c>
      <c r="BB23">
        <f>IF(AND($A23&lt;&gt;"",BB$3&gt;=$J23,BB$3&lt;=$M23),1,"")</f>
        <v/>
      </c>
      <c r="BC23">
        <f>IF(AND($A23&lt;&gt;"",BC$3&gt;=$J23,BC$3&lt;=$M23),1,"")</f>
        <v/>
      </c>
      <c r="BD23">
        <f>IF(AND($A23&lt;&gt;"",BD$3&gt;=$J23,BD$3&lt;=$M23),1,"")</f>
        <v/>
      </c>
      <c r="BE23">
        <f>IF(AND($A23&lt;&gt;"",BE$3&gt;=$J23,BE$3&lt;=$M23),1,"")</f>
        <v/>
      </c>
      <c r="BF23">
        <f>IF(AND($A23&lt;&gt;"",BF$3&gt;=$J23,BF$3&lt;=$M23),1,"")</f>
        <v/>
      </c>
      <c r="BG23">
        <f>IF(AND($A23&lt;&gt;"",BG$3&gt;=$J23,BG$3&lt;=$M23),1,"")</f>
        <v/>
      </c>
      <c r="BH23">
        <f>IF(AND($A23&lt;&gt;"",BH$3&gt;=$J23,BH$3&lt;=$M23),1,"")</f>
        <v/>
      </c>
      <c r="BI23">
        <f>IF(AND($A23&lt;&gt;"",BI$3&gt;=$J23,BI$3&lt;=$M23),1,"")</f>
        <v/>
      </c>
      <c r="BJ23">
        <f>IF(AND($A23&lt;&gt;"",BJ$3&gt;=$J23,BJ$3&lt;=$M23),1,"")</f>
        <v/>
      </c>
      <c r="BK23">
        <f>IF(AND($A23&lt;&gt;"",BK$3&gt;=$J23,BK$3&lt;=$M23),1,"")</f>
        <v/>
      </c>
      <c r="BL23">
        <f>IF(AND($A23&lt;&gt;"",BL$3&gt;=$J23,BL$3&lt;=$M23),1,"")</f>
        <v/>
      </c>
      <c r="BM23">
        <f>IF(AND($A23&lt;&gt;"",BM$3&gt;=$J23,BM$3&lt;=$M23),1,"")</f>
        <v/>
      </c>
      <c r="BN23">
        <f>IF(AND($A23&lt;&gt;"",BN$3&gt;=$J23,BN$3&lt;=$M23),1,"")</f>
        <v/>
      </c>
      <c r="BO23">
        <f>IF(AND($A23&lt;&gt;"",BO$3&gt;=$J23,BO$3&lt;=$M23),1,"")</f>
        <v/>
      </c>
      <c r="BP23">
        <f>IF(AND($A23&lt;&gt;"",BP$3&gt;=$J23,BP$3&lt;=$M23),1,"")</f>
        <v/>
      </c>
      <c r="BQ23">
        <f>IF(AND($A23&lt;&gt;"",BQ$3&gt;=$J23,BQ$3&lt;=$M23),1,"")</f>
        <v/>
      </c>
      <c r="BR23">
        <f>IF(AND($A23&lt;&gt;"",BR$3&gt;=$J23,BR$3&lt;=$M23),1,"")</f>
        <v/>
      </c>
      <c r="BS23">
        <f>IF(AND($A23&lt;&gt;"",BS$3&gt;=$J23,BS$3&lt;=$M23),1,"")</f>
        <v/>
      </c>
      <c r="BT23">
        <f>IF(AND($A23&lt;&gt;"",BT$3&gt;=$J23,BT$3&lt;=$M23),1,"")</f>
        <v/>
      </c>
      <c r="BU23">
        <f>IF(AND($A23&lt;&gt;"",BU$3&gt;=$J23,BU$3&lt;=$M23),1,"")</f>
        <v/>
      </c>
      <c r="BV23">
        <f>IF(AND($A23&lt;&gt;"",BV$3&gt;=$J23,BV$3&lt;=$M23),1,"")</f>
        <v/>
      </c>
    </row>
    <row r="24">
      <c r="A24">
        <f>IF(Job_Master_Ring!$A24="","",Job_Master_Ring!$A24)</f>
        <v/>
      </c>
      <c r="B24">
        <f>IF($A24="","",Job_Master_Ring!B24)</f>
        <v/>
      </c>
      <c r="C24">
        <f>IF($A24="","",Job_Master_Ring!C24)</f>
        <v/>
      </c>
      <c r="D24">
        <f>IF($A24="","",Job_Master_Ring!D24)</f>
        <v/>
      </c>
      <c r="E24">
        <f>IF($A24="","",IF($I24&lt;&gt;"",$I24,IFERROR(INDEX(Machine_List!$B$50:$B$63,MATCH(1,(Machine_List!$H$50:$H$63&lt;=IFERROR(VLOOKUP($B24,CHOOSE(MATCH($C24,Settings!$L$4:$L$10,0),OPR_BR1!$A$4:$K$18,OPR_BR2!$A$4:$K$18,OPR_CR2!$A$4:$K$18,OPR_CR3!$A$4:$K$18,OPR_CR4!$A$4:$K$18,OPR_RIM!$A$4:$K$18,OPR_BPR!$A$4:$K$18),10,0),0))*(Machine_List!$I$50:$I$63&gt;=IFERROR(VLOOKUP($B24,CHOOSE(MATCH($C24,Settings!$L$4:$L$10,0),OPR_BR1!$A$4:$K$18,OPR_BR2!$A$4:$K$18,OPR_CR2!$A$4:$K$18,OPR_CR3!$A$4:$K$18,OPR_CR4!$A$4:$K$18,OPR_RIM!$A$4:$K$18,OPR_BPR!$A$4:$K$18),11,0),9999)),0)),"NO COMPATIBLE MACHINE")))</f>
        <v/>
      </c>
      <c r="F24">
        <f>IF($E24="","",IFERROR(VLOOKUP($E24,Machine_List!$B:$G,6,0),""))</f>
        <v/>
      </c>
      <c r="G24" s="17">
        <f>IF($E24="","",IFERROR(VLOOKUP($E24,Machine_List!$B:$C,2,0),""))</f>
        <v/>
      </c>
      <c r="H24">
        <f>IF($E24="","",IFERROR(VLOOKUP($E24,Machine_List!$B:$D,3,0),""))</f>
        <v/>
      </c>
      <c r="J24" s="16">
        <f>IF($A24="","",IF($I24&lt;&gt;"",$I24,MAX(CNC_Plan!$M24,IFERROR(LOOKUP(2,1/($E$3:INDIRECT("E"&amp;(ROW()-1))=$E24),$M$3:INDIRECT("M"&amp;(ROW()-1))),CNC_Plan!$M24))))</f>
        <v/>
      </c>
      <c r="K24">
        <f>IF($A24="","",IFERROR(VLOOKUP(B24,CHOOSE(MATCH($C24,Settings!$L$4:$L$10,0),OPR_BR1!$A$4:$I$18,OPR_BR2!$A$4:$I$18,OPR_CR2!$A$4:$I$18,OPR_CR3!$A$4:$I$18,OPR_CR4!$A$4:$I$18,OPR_RIM!$A$4:$I$18,OPR_BPR!$A$4:$I$18),6,0),0))</f>
        <v/>
      </c>
      <c r="L24">
        <f>IF($A24="","",K24*D24)</f>
        <v/>
      </c>
      <c r="M24" s="16">
        <f>IF($A24="","",IF(AND(ISNUMBER(G24),G24&gt;=J24,G24&lt;=(J24+(L24/(IF(F24="Contract Workman",Settings!$K$5,Settings!$K$4))))),J24+(L24/(IF(F24="Contract Workman",Settings!$K$5,Settings!$K$4)))+(H24/(IF(F24="Contract Workman",Settings!$K$5,Settings!$K$4))),J24+(L24/(IF(F24="Contract Workman",Settings!$K$5,Settings!$K$4)))))</f>
        <v/>
      </c>
      <c r="N24">
        <f>IF($A24="","",IF(F24="Contract Workman",IF(AND(MOD(M24,1)&gt;=8/24,MOD(M24,1)&lt;20/24),"Shift S1","Shift S2"),IF(AND(MOD(M24,1)&gt;=7/24,MOD(M24,1)&lt;15/24),"Shift A",IF(AND(MOD(M24,1)&gt;=15/24,MOD(M24,1)&lt;23/24),"Shift B","Shift C"))))</f>
        <v/>
      </c>
      <c r="O24">
        <f>IF(B24="","",IF(IFERROR(ISNUMBER(SEARCH(TEXT(B24,"0"),VLOOKUP(E24,Machine_List!$B:$J,9,0))),FALSE),"✅ "&amp; E24,"❌ Sug: "&amp;IFERROR(INDEX(Machine_List!$B$50:$B$63,MATCH(1,(Machine_List!$H$50:$H$63&lt;=IFERROR(VLOOKUP($B24,OPR_BR1!$A$4:$K$18,10,0),0))*(Machine_List!$I$50:$I$63&gt;=IFERROR(VLOOKUP($B24,OPR_BR1!$A$4:$K$18,11,0),9999)),0)),"?")))</f>
        <v/>
      </c>
      <c r="P24">
        <f>IF(AND($A24&lt;&gt;"",P$3&gt;=$J24,P$3&lt;=$M24),1,"")</f>
        <v/>
      </c>
      <c r="Q24">
        <f>IF(AND($A24&lt;&gt;"",Q$3&gt;=$J24,Q$3&lt;=$M24),1,"")</f>
        <v/>
      </c>
      <c r="R24">
        <f>IF(AND($A24&lt;&gt;"",R$3&gt;=$J24,R$3&lt;=$M24),1,"")</f>
        <v/>
      </c>
      <c r="S24">
        <f>IF(AND($A24&lt;&gt;"",S$3&gt;=$J24,S$3&lt;=$M24),1,"")</f>
        <v/>
      </c>
      <c r="T24">
        <f>IF(AND($A24&lt;&gt;"",T$3&gt;=$J24,T$3&lt;=$M24),1,"")</f>
        <v/>
      </c>
      <c r="U24">
        <f>IF(AND($A24&lt;&gt;"",U$3&gt;=$J24,U$3&lt;=$M24),1,"")</f>
        <v/>
      </c>
      <c r="V24">
        <f>IF(AND($A24&lt;&gt;"",V$3&gt;=$J24,V$3&lt;=$M24),1,"")</f>
        <v/>
      </c>
      <c r="W24">
        <f>IF(AND($A24&lt;&gt;"",W$3&gt;=$J24,W$3&lt;=$M24),1,"")</f>
        <v/>
      </c>
      <c r="X24">
        <f>IF(AND($A24&lt;&gt;"",X$3&gt;=$J24,X$3&lt;=$M24),1,"")</f>
        <v/>
      </c>
      <c r="Y24">
        <f>IF(AND($A24&lt;&gt;"",Y$3&gt;=$J24,Y$3&lt;=$M24),1,"")</f>
        <v/>
      </c>
      <c r="Z24">
        <f>IF(AND($A24&lt;&gt;"",Z$3&gt;=$J24,Z$3&lt;=$M24),1,"")</f>
        <v/>
      </c>
      <c r="AA24">
        <f>IF(AND($A24&lt;&gt;"",AA$3&gt;=$J24,AA$3&lt;=$M24),1,"")</f>
        <v/>
      </c>
      <c r="AB24">
        <f>IF(AND($A24&lt;&gt;"",AB$3&gt;=$J24,AB$3&lt;=$M24),1,"")</f>
        <v/>
      </c>
      <c r="AC24">
        <f>IF(AND($A24&lt;&gt;"",AC$3&gt;=$J24,AC$3&lt;=$M24),1,"")</f>
        <v/>
      </c>
      <c r="AD24">
        <f>IF(AND($A24&lt;&gt;"",AD$3&gt;=$J24,AD$3&lt;=$M24),1,"")</f>
        <v/>
      </c>
      <c r="AE24">
        <f>IF(AND($A24&lt;&gt;"",AE$3&gt;=$J24,AE$3&lt;=$M24),1,"")</f>
        <v/>
      </c>
      <c r="AF24">
        <f>IF(AND($A24&lt;&gt;"",AF$3&gt;=$J24,AF$3&lt;=$M24),1,"")</f>
        <v/>
      </c>
      <c r="AG24">
        <f>IF(AND($A24&lt;&gt;"",AG$3&gt;=$J24,AG$3&lt;=$M24),1,"")</f>
        <v/>
      </c>
      <c r="AH24">
        <f>IF(AND($A24&lt;&gt;"",AH$3&gt;=$J24,AH$3&lt;=$M24),1,"")</f>
        <v/>
      </c>
      <c r="AI24">
        <f>IF(AND($A24&lt;&gt;"",AI$3&gt;=$J24,AI$3&lt;=$M24),1,"")</f>
        <v/>
      </c>
      <c r="AJ24">
        <f>IF(AND($A24&lt;&gt;"",AJ$3&gt;=$J24,AJ$3&lt;=$M24),1,"")</f>
        <v/>
      </c>
      <c r="AK24">
        <f>IF(AND($A24&lt;&gt;"",AK$3&gt;=$J24,AK$3&lt;=$M24),1,"")</f>
        <v/>
      </c>
      <c r="AL24">
        <f>IF(AND($A24&lt;&gt;"",AL$3&gt;=$J24,AL$3&lt;=$M24),1,"")</f>
        <v/>
      </c>
      <c r="AM24">
        <f>IF(AND($A24&lt;&gt;"",AM$3&gt;=$J24,AM$3&lt;=$M24),1,"")</f>
        <v/>
      </c>
      <c r="AN24">
        <f>IF(AND($A24&lt;&gt;"",AN$3&gt;=$J24,AN$3&lt;=$M24),1,"")</f>
        <v/>
      </c>
      <c r="AO24">
        <f>IF(AND($A24&lt;&gt;"",AO$3&gt;=$J24,AO$3&lt;=$M24),1,"")</f>
        <v/>
      </c>
      <c r="AP24">
        <f>IF(AND($A24&lt;&gt;"",AP$3&gt;=$J24,AP$3&lt;=$M24),1,"")</f>
        <v/>
      </c>
      <c r="AQ24">
        <f>IF(AND($A24&lt;&gt;"",AQ$3&gt;=$J24,AQ$3&lt;=$M24),1,"")</f>
        <v/>
      </c>
      <c r="AR24">
        <f>IF(AND($A24&lt;&gt;"",AR$3&gt;=$J24,AR$3&lt;=$M24),1,"")</f>
        <v/>
      </c>
      <c r="AS24">
        <f>IF(AND($A24&lt;&gt;"",AS$3&gt;=$J24,AS$3&lt;=$M24),1,"")</f>
        <v/>
      </c>
      <c r="AT24">
        <f>IF(AND($A24&lt;&gt;"",AT$3&gt;=$J24,AT$3&lt;=$M24),1,"")</f>
        <v/>
      </c>
      <c r="AU24">
        <f>IF(AND($A24&lt;&gt;"",AU$3&gt;=$J24,AU$3&lt;=$M24),1,"")</f>
        <v/>
      </c>
      <c r="AV24">
        <f>IF(AND($A24&lt;&gt;"",AV$3&gt;=$J24,AV$3&lt;=$M24),1,"")</f>
        <v/>
      </c>
      <c r="AW24">
        <f>IF(AND($A24&lt;&gt;"",AW$3&gt;=$J24,AW$3&lt;=$M24),1,"")</f>
        <v/>
      </c>
      <c r="AX24">
        <f>IF(AND($A24&lt;&gt;"",AX$3&gt;=$J24,AX$3&lt;=$M24),1,"")</f>
        <v/>
      </c>
      <c r="AY24">
        <f>IF(AND($A24&lt;&gt;"",AY$3&gt;=$J24,AY$3&lt;=$M24),1,"")</f>
        <v/>
      </c>
      <c r="AZ24">
        <f>IF(AND($A24&lt;&gt;"",AZ$3&gt;=$J24,AZ$3&lt;=$M24),1,"")</f>
        <v/>
      </c>
      <c r="BA24">
        <f>IF(AND($A24&lt;&gt;"",BA$3&gt;=$J24,BA$3&lt;=$M24),1,"")</f>
        <v/>
      </c>
      <c r="BB24">
        <f>IF(AND($A24&lt;&gt;"",BB$3&gt;=$J24,BB$3&lt;=$M24),1,"")</f>
        <v/>
      </c>
      <c r="BC24">
        <f>IF(AND($A24&lt;&gt;"",BC$3&gt;=$J24,BC$3&lt;=$M24),1,"")</f>
        <v/>
      </c>
      <c r="BD24">
        <f>IF(AND($A24&lt;&gt;"",BD$3&gt;=$J24,BD$3&lt;=$M24),1,"")</f>
        <v/>
      </c>
      <c r="BE24">
        <f>IF(AND($A24&lt;&gt;"",BE$3&gt;=$J24,BE$3&lt;=$M24),1,"")</f>
        <v/>
      </c>
      <c r="BF24">
        <f>IF(AND($A24&lt;&gt;"",BF$3&gt;=$J24,BF$3&lt;=$M24),1,"")</f>
        <v/>
      </c>
      <c r="BG24">
        <f>IF(AND($A24&lt;&gt;"",BG$3&gt;=$J24,BG$3&lt;=$M24),1,"")</f>
        <v/>
      </c>
      <c r="BH24">
        <f>IF(AND($A24&lt;&gt;"",BH$3&gt;=$J24,BH$3&lt;=$M24),1,"")</f>
        <v/>
      </c>
      <c r="BI24">
        <f>IF(AND($A24&lt;&gt;"",BI$3&gt;=$J24,BI$3&lt;=$M24),1,"")</f>
        <v/>
      </c>
      <c r="BJ24">
        <f>IF(AND($A24&lt;&gt;"",BJ$3&gt;=$J24,BJ$3&lt;=$M24),1,"")</f>
        <v/>
      </c>
      <c r="BK24">
        <f>IF(AND($A24&lt;&gt;"",BK$3&gt;=$J24,BK$3&lt;=$M24),1,"")</f>
        <v/>
      </c>
      <c r="BL24">
        <f>IF(AND($A24&lt;&gt;"",BL$3&gt;=$J24,BL$3&lt;=$M24),1,"")</f>
        <v/>
      </c>
      <c r="BM24">
        <f>IF(AND($A24&lt;&gt;"",BM$3&gt;=$J24,BM$3&lt;=$M24),1,"")</f>
        <v/>
      </c>
      <c r="BN24">
        <f>IF(AND($A24&lt;&gt;"",BN$3&gt;=$J24,BN$3&lt;=$M24),1,"")</f>
        <v/>
      </c>
      <c r="BO24">
        <f>IF(AND($A24&lt;&gt;"",BO$3&gt;=$J24,BO$3&lt;=$M24),1,"")</f>
        <v/>
      </c>
      <c r="BP24">
        <f>IF(AND($A24&lt;&gt;"",BP$3&gt;=$J24,BP$3&lt;=$M24),1,"")</f>
        <v/>
      </c>
      <c r="BQ24">
        <f>IF(AND($A24&lt;&gt;"",BQ$3&gt;=$J24,BQ$3&lt;=$M24),1,"")</f>
        <v/>
      </c>
      <c r="BR24">
        <f>IF(AND($A24&lt;&gt;"",BR$3&gt;=$J24,BR$3&lt;=$M24),1,"")</f>
        <v/>
      </c>
      <c r="BS24">
        <f>IF(AND($A24&lt;&gt;"",BS$3&gt;=$J24,BS$3&lt;=$M24),1,"")</f>
        <v/>
      </c>
      <c r="BT24">
        <f>IF(AND($A24&lt;&gt;"",BT$3&gt;=$J24,BT$3&lt;=$M24),1,"")</f>
        <v/>
      </c>
      <c r="BU24">
        <f>IF(AND($A24&lt;&gt;"",BU$3&gt;=$J24,BU$3&lt;=$M24),1,"")</f>
        <v/>
      </c>
      <c r="BV24">
        <f>IF(AND($A24&lt;&gt;"",BV$3&gt;=$J24,BV$3&lt;=$M24),1,"")</f>
        <v/>
      </c>
    </row>
    <row r="25">
      <c r="A25">
        <f>IF(Job_Master_Ring!$A25="","",Job_Master_Ring!$A25)</f>
        <v/>
      </c>
      <c r="B25">
        <f>IF($A25="","",Job_Master_Ring!B25)</f>
        <v/>
      </c>
      <c r="C25">
        <f>IF($A25="","",Job_Master_Ring!C25)</f>
        <v/>
      </c>
      <c r="D25">
        <f>IF($A25="","",Job_Master_Ring!D25)</f>
        <v/>
      </c>
      <c r="E25">
        <f>IF($A25="","",IF($I25&lt;&gt;"",$I25,IFERROR(INDEX(Machine_List!$B$50:$B$63,MATCH(1,(Machine_List!$H$50:$H$63&lt;=IFERROR(VLOOKUP($B25,CHOOSE(MATCH($C25,Settings!$L$4:$L$10,0),OPR_BR1!$A$4:$K$18,OPR_BR2!$A$4:$K$18,OPR_CR2!$A$4:$K$18,OPR_CR3!$A$4:$K$18,OPR_CR4!$A$4:$K$18,OPR_RIM!$A$4:$K$18,OPR_BPR!$A$4:$K$18),10,0),0))*(Machine_List!$I$50:$I$63&gt;=IFERROR(VLOOKUP($B25,CHOOSE(MATCH($C25,Settings!$L$4:$L$10,0),OPR_BR1!$A$4:$K$18,OPR_BR2!$A$4:$K$18,OPR_CR2!$A$4:$K$18,OPR_CR3!$A$4:$K$18,OPR_CR4!$A$4:$K$18,OPR_RIM!$A$4:$K$18,OPR_BPR!$A$4:$K$18),11,0),9999)),0)),"NO COMPATIBLE MACHINE")))</f>
        <v/>
      </c>
      <c r="F25">
        <f>IF($E25="","",IFERROR(VLOOKUP($E25,Machine_List!$B:$G,6,0),""))</f>
        <v/>
      </c>
      <c r="G25" s="17">
        <f>IF($E25="","",IFERROR(VLOOKUP($E25,Machine_List!$B:$C,2,0),""))</f>
        <v/>
      </c>
      <c r="H25">
        <f>IF($E25="","",IFERROR(VLOOKUP($E25,Machine_List!$B:$D,3,0),""))</f>
        <v/>
      </c>
      <c r="J25" s="16">
        <f>IF($A25="","",IF($I25&lt;&gt;"",$I25,MAX(CNC_Plan!$M25,IFERROR(LOOKUP(2,1/($E$3:INDIRECT("E"&amp;(ROW()-1))=$E25),$M$3:INDIRECT("M"&amp;(ROW()-1))),CNC_Plan!$M25))))</f>
        <v/>
      </c>
      <c r="K25">
        <f>IF($A25="","",IFERROR(VLOOKUP(B25,CHOOSE(MATCH($C25,Settings!$L$4:$L$10,0),OPR_BR1!$A$4:$I$18,OPR_BR2!$A$4:$I$18,OPR_CR2!$A$4:$I$18,OPR_CR3!$A$4:$I$18,OPR_CR4!$A$4:$I$18,OPR_RIM!$A$4:$I$18,OPR_BPR!$A$4:$I$18),6,0),0))</f>
        <v/>
      </c>
      <c r="L25">
        <f>IF($A25="","",K25*D25)</f>
        <v/>
      </c>
      <c r="M25" s="16">
        <f>IF($A25="","",IF(AND(ISNUMBER(G25),G25&gt;=J25,G25&lt;=(J25+(L25/(IF(F25="Contract Workman",Settings!$K$5,Settings!$K$4))))),J25+(L25/(IF(F25="Contract Workman",Settings!$K$5,Settings!$K$4)))+(H25/(IF(F25="Contract Workman",Settings!$K$5,Settings!$K$4))),J25+(L25/(IF(F25="Contract Workman",Settings!$K$5,Settings!$K$4)))))</f>
        <v/>
      </c>
      <c r="N25">
        <f>IF($A25="","",IF(F25="Contract Workman",IF(AND(MOD(M25,1)&gt;=8/24,MOD(M25,1)&lt;20/24),"Shift S1","Shift S2"),IF(AND(MOD(M25,1)&gt;=7/24,MOD(M25,1)&lt;15/24),"Shift A",IF(AND(MOD(M25,1)&gt;=15/24,MOD(M25,1)&lt;23/24),"Shift B","Shift C"))))</f>
        <v/>
      </c>
      <c r="O25">
        <f>IF(B25="","",IF(IFERROR(ISNUMBER(SEARCH(TEXT(B25,"0"),VLOOKUP(E25,Machine_List!$B:$J,9,0))),FALSE),"✅ "&amp; E25,"❌ Sug: "&amp;IFERROR(INDEX(Machine_List!$B$50:$B$63,MATCH(1,(Machine_List!$H$50:$H$63&lt;=IFERROR(VLOOKUP($B25,OPR_BR1!$A$4:$K$18,10,0),0))*(Machine_List!$I$50:$I$63&gt;=IFERROR(VLOOKUP($B25,OPR_BR1!$A$4:$K$18,11,0),9999)),0)),"?")))</f>
        <v/>
      </c>
      <c r="P25">
        <f>IF(AND($A25&lt;&gt;"",P$3&gt;=$J25,P$3&lt;=$M25),1,"")</f>
        <v/>
      </c>
      <c r="Q25">
        <f>IF(AND($A25&lt;&gt;"",Q$3&gt;=$J25,Q$3&lt;=$M25),1,"")</f>
        <v/>
      </c>
      <c r="R25">
        <f>IF(AND($A25&lt;&gt;"",R$3&gt;=$J25,R$3&lt;=$M25),1,"")</f>
        <v/>
      </c>
      <c r="S25">
        <f>IF(AND($A25&lt;&gt;"",S$3&gt;=$J25,S$3&lt;=$M25),1,"")</f>
        <v/>
      </c>
      <c r="T25">
        <f>IF(AND($A25&lt;&gt;"",T$3&gt;=$J25,T$3&lt;=$M25),1,"")</f>
        <v/>
      </c>
      <c r="U25">
        <f>IF(AND($A25&lt;&gt;"",U$3&gt;=$J25,U$3&lt;=$M25),1,"")</f>
        <v/>
      </c>
      <c r="V25">
        <f>IF(AND($A25&lt;&gt;"",V$3&gt;=$J25,V$3&lt;=$M25),1,"")</f>
        <v/>
      </c>
      <c r="W25">
        <f>IF(AND($A25&lt;&gt;"",W$3&gt;=$J25,W$3&lt;=$M25),1,"")</f>
        <v/>
      </c>
      <c r="X25">
        <f>IF(AND($A25&lt;&gt;"",X$3&gt;=$J25,X$3&lt;=$M25),1,"")</f>
        <v/>
      </c>
      <c r="Y25">
        <f>IF(AND($A25&lt;&gt;"",Y$3&gt;=$J25,Y$3&lt;=$M25),1,"")</f>
        <v/>
      </c>
      <c r="Z25">
        <f>IF(AND($A25&lt;&gt;"",Z$3&gt;=$J25,Z$3&lt;=$M25),1,"")</f>
        <v/>
      </c>
      <c r="AA25">
        <f>IF(AND($A25&lt;&gt;"",AA$3&gt;=$J25,AA$3&lt;=$M25),1,"")</f>
        <v/>
      </c>
      <c r="AB25">
        <f>IF(AND($A25&lt;&gt;"",AB$3&gt;=$J25,AB$3&lt;=$M25),1,"")</f>
        <v/>
      </c>
      <c r="AC25">
        <f>IF(AND($A25&lt;&gt;"",AC$3&gt;=$J25,AC$3&lt;=$M25),1,"")</f>
        <v/>
      </c>
      <c r="AD25">
        <f>IF(AND($A25&lt;&gt;"",AD$3&gt;=$J25,AD$3&lt;=$M25),1,"")</f>
        <v/>
      </c>
      <c r="AE25">
        <f>IF(AND($A25&lt;&gt;"",AE$3&gt;=$J25,AE$3&lt;=$M25),1,"")</f>
        <v/>
      </c>
      <c r="AF25">
        <f>IF(AND($A25&lt;&gt;"",AF$3&gt;=$J25,AF$3&lt;=$M25),1,"")</f>
        <v/>
      </c>
      <c r="AG25">
        <f>IF(AND($A25&lt;&gt;"",AG$3&gt;=$J25,AG$3&lt;=$M25),1,"")</f>
        <v/>
      </c>
      <c r="AH25">
        <f>IF(AND($A25&lt;&gt;"",AH$3&gt;=$J25,AH$3&lt;=$M25),1,"")</f>
        <v/>
      </c>
      <c r="AI25">
        <f>IF(AND($A25&lt;&gt;"",AI$3&gt;=$J25,AI$3&lt;=$M25),1,"")</f>
        <v/>
      </c>
      <c r="AJ25">
        <f>IF(AND($A25&lt;&gt;"",AJ$3&gt;=$J25,AJ$3&lt;=$M25),1,"")</f>
        <v/>
      </c>
      <c r="AK25">
        <f>IF(AND($A25&lt;&gt;"",AK$3&gt;=$J25,AK$3&lt;=$M25),1,"")</f>
        <v/>
      </c>
      <c r="AL25">
        <f>IF(AND($A25&lt;&gt;"",AL$3&gt;=$J25,AL$3&lt;=$M25),1,"")</f>
        <v/>
      </c>
      <c r="AM25">
        <f>IF(AND($A25&lt;&gt;"",AM$3&gt;=$J25,AM$3&lt;=$M25),1,"")</f>
        <v/>
      </c>
      <c r="AN25">
        <f>IF(AND($A25&lt;&gt;"",AN$3&gt;=$J25,AN$3&lt;=$M25),1,"")</f>
        <v/>
      </c>
      <c r="AO25">
        <f>IF(AND($A25&lt;&gt;"",AO$3&gt;=$J25,AO$3&lt;=$M25),1,"")</f>
        <v/>
      </c>
      <c r="AP25">
        <f>IF(AND($A25&lt;&gt;"",AP$3&gt;=$J25,AP$3&lt;=$M25),1,"")</f>
        <v/>
      </c>
      <c r="AQ25">
        <f>IF(AND($A25&lt;&gt;"",AQ$3&gt;=$J25,AQ$3&lt;=$M25),1,"")</f>
        <v/>
      </c>
      <c r="AR25">
        <f>IF(AND($A25&lt;&gt;"",AR$3&gt;=$J25,AR$3&lt;=$M25),1,"")</f>
        <v/>
      </c>
      <c r="AS25">
        <f>IF(AND($A25&lt;&gt;"",AS$3&gt;=$J25,AS$3&lt;=$M25),1,"")</f>
        <v/>
      </c>
      <c r="AT25">
        <f>IF(AND($A25&lt;&gt;"",AT$3&gt;=$J25,AT$3&lt;=$M25),1,"")</f>
        <v/>
      </c>
      <c r="AU25">
        <f>IF(AND($A25&lt;&gt;"",AU$3&gt;=$J25,AU$3&lt;=$M25),1,"")</f>
        <v/>
      </c>
      <c r="AV25">
        <f>IF(AND($A25&lt;&gt;"",AV$3&gt;=$J25,AV$3&lt;=$M25),1,"")</f>
        <v/>
      </c>
      <c r="AW25">
        <f>IF(AND($A25&lt;&gt;"",AW$3&gt;=$J25,AW$3&lt;=$M25),1,"")</f>
        <v/>
      </c>
      <c r="AX25">
        <f>IF(AND($A25&lt;&gt;"",AX$3&gt;=$J25,AX$3&lt;=$M25),1,"")</f>
        <v/>
      </c>
      <c r="AY25">
        <f>IF(AND($A25&lt;&gt;"",AY$3&gt;=$J25,AY$3&lt;=$M25),1,"")</f>
        <v/>
      </c>
      <c r="AZ25">
        <f>IF(AND($A25&lt;&gt;"",AZ$3&gt;=$J25,AZ$3&lt;=$M25),1,"")</f>
        <v/>
      </c>
      <c r="BA25">
        <f>IF(AND($A25&lt;&gt;"",BA$3&gt;=$J25,BA$3&lt;=$M25),1,"")</f>
        <v/>
      </c>
      <c r="BB25">
        <f>IF(AND($A25&lt;&gt;"",BB$3&gt;=$J25,BB$3&lt;=$M25),1,"")</f>
        <v/>
      </c>
      <c r="BC25">
        <f>IF(AND($A25&lt;&gt;"",BC$3&gt;=$J25,BC$3&lt;=$M25),1,"")</f>
        <v/>
      </c>
      <c r="BD25">
        <f>IF(AND($A25&lt;&gt;"",BD$3&gt;=$J25,BD$3&lt;=$M25),1,"")</f>
        <v/>
      </c>
      <c r="BE25">
        <f>IF(AND($A25&lt;&gt;"",BE$3&gt;=$J25,BE$3&lt;=$M25),1,"")</f>
        <v/>
      </c>
      <c r="BF25">
        <f>IF(AND($A25&lt;&gt;"",BF$3&gt;=$J25,BF$3&lt;=$M25),1,"")</f>
        <v/>
      </c>
      <c r="BG25">
        <f>IF(AND($A25&lt;&gt;"",BG$3&gt;=$J25,BG$3&lt;=$M25),1,"")</f>
        <v/>
      </c>
      <c r="BH25">
        <f>IF(AND($A25&lt;&gt;"",BH$3&gt;=$J25,BH$3&lt;=$M25),1,"")</f>
        <v/>
      </c>
      <c r="BI25">
        <f>IF(AND($A25&lt;&gt;"",BI$3&gt;=$J25,BI$3&lt;=$M25),1,"")</f>
        <v/>
      </c>
      <c r="BJ25">
        <f>IF(AND($A25&lt;&gt;"",BJ$3&gt;=$J25,BJ$3&lt;=$M25),1,"")</f>
        <v/>
      </c>
      <c r="BK25">
        <f>IF(AND($A25&lt;&gt;"",BK$3&gt;=$J25,BK$3&lt;=$M25),1,"")</f>
        <v/>
      </c>
      <c r="BL25">
        <f>IF(AND($A25&lt;&gt;"",BL$3&gt;=$J25,BL$3&lt;=$M25),1,"")</f>
        <v/>
      </c>
      <c r="BM25">
        <f>IF(AND($A25&lt;&gt;"",BM$3&gt;=$J25,BM$3&lt;=$M25),1,"")</f>
        <v/>
      </c>
      <c r="BN25">
        <f>IF(AND($A25&lt;&gt;"",BN$3&gt;=$J25,BN$3&lt;=$M25),1,"")</f>
        <v/>
      </c>
      <c r="BO25">
        <f>IF(AND($A25&lt;&gt;"",BO$3&gt;=$J25,BO$3&lt;=$M25),1,"")</f>
        <v/>
      </c>
      <c r="BP25">
        <f>IF(AND($A25&lt;&gt;"",BP$3&gt;=$J25,BP$3&lt;=$M25),1,"")</f>
        <v/>
      </c>
      <c r="BQ25">
        <f>IF(AND($A25&lt;&gt;"",BQ$3&gt;=$J25,BQ$3&lt;=$M25),1,"")</f>
        <v/>
      </c>
      <c r="BR25">
        <f>IF(AND($A25&lt;&gt;"",BR$3&gt;=$J25,BR$3&lt;=$M25),1,"")</f>
        <v/>
      </c>
      <c r="BS25">
        <f>IF(AND($A25&lt;&gt;"",BS$3&gt;=$J25,BS$3&lt;=$M25),1,"")</f>
        <v/>
      </c>
      <c r="BT25">
        <f>IF(AND($A25&lt;&gt;"",BT$3&gt;=$J25,BT$3&lt;=$M25),1,"")</f>
        <v/>
      </c>
      <c r="BU25">
        <f>IF(AND($A25&lt;&gt;"",BU$3&gt;=$J25,BU$3&lt;=$M25),1,"")</f>
        <v/>
      </c>
      <c r="BV25">
        <f>IF(AND($A25&lt;&gt;"",BV$3&gt;=$J25,BV$3&lt;=$M25),1,"")</f>
        <v/>
      </c>
    </row>
    <row r="26">
      <c r="A26">
        <f>IF(Job_Master_Ring!$A26="","",Job_Master_Ring!$A26)</f>
        <v/>
      </c>
      <c r="B26">
        <f>IF($A26="","",Job_Master_Ring!B26)</f>
        <v/>
      </c>
      <c r="C26">
        <f>IF($A26="","",Job_Master_Ring!C26)</f>
        <v/>
      </c>
      <c r="D26">
        <f>IF($A26="","",Job_Master_Ring!D26)</f>
        <v/>
      </c>
      <c r="E26">
        <f>IF($A26="","",IF($I26&lt;&gt;"",$I26,IFERROR(INDEX(Machine_List!$B$50:$B$63,MATCH(1,(Machine_List!$H$50:$H$63&lt;=IFERROR(VLOOKUP($B26,CHOOSE(MATCH($C26,Settings!$L$4:$L$10,0),OPR_BR1!$A$4:$K$18,OPR_BR2!$A$4:$K$18,OPR_CR2!$A$4:$K$18,OPR_CR3!$A$4:$K$18,OPR_CR4!$A$4:$K$18,OPR_RIM!$A$4:$K$18,OPR_BPR!$A$4:$K$18),10,0),0))*(Machine_List!$I$50:$I$63&gt;=IFERROR(VLOOKUP($B26,CHOOSE(MATCH($C26,Settings!$L$4:$L$10,0),OPR_BR1!$A$4:$K$18,OPR_BR2!$A$4:$K$18,OPR_CR2!$A$4:$K$18,OPR_CR3!$A$4:$K$18,OPR_CR4!$A$4:$K$18,OPR_RIM!$A$4:$K$18,OPR_BPR!$A$4:$K$18),11,0),9999)),0)),"NO COMPATIBLE MACHINE")))</f>
        <v/>
      </c>
      <c r="F26">
        <f>IF($E26="","",IFERROR(VLOOKUP($E26,Machine_List!$B:$G,6,0),""))</f>
        <v/>
      </c>
      <c r="G26" s="17">
        <f>IF($E26="","",IFERROR(VLOOKUP($E26,Machine_List!$B:$C,2,0),""))</f>
        <v/>
      </c>
      <c r="H26">
        <f>IF($E26="","",IFERROR(VLOOKUP($E26,Machine_List!$B:$D,3,0),""))</f>
        <v/>
      </c>
      <c r="J26" s="16">
        <f>IF($A26="","",IF($I26&lt;&gt;"",$I26,MAX(CNC_Plan!$M26,IFERROR(LOOKUP(2,1/($E$3:INDIRECT("E"&amp;(ROW()-1))=$E26),$M$3:INDIRECT("M"&amp;(ROW()-1))),CNC_Plan!$M26))))</f>
        <v/>
      </c>
      <c r="K26">
        <f>IF($A26="","",IFERROR(VLOOKUP(B26,CHOOSE(MATCH($C26,Settings!$L$4:$L$10,0),OPR_BR1!$A$4:$I$18,OPR_BR2!$A$4:$I$18,OPR_CR2!$A$4:$I$18,OPR_CR3!$A$4:$I$18,OPR_CR4!$A$4:$I$18,OPR_RIM!$A$4:$I$18,OPR_BPR!$A$4:$I$18),6,0),0))</f>
        <v/>
      </c>
      <c r="L26">
        <f>IF($A26="","",K26*D26)</f>
        <v/>
      </c>
      <c r="M26" s="16">
        <f>IF($A26="","",IF(AND(ISNUMBER(G26),G26&gt;=J26,G26&lt;=(J26+(L26/(IF(F26="Contract Workman",Settings!$K$5,Settings!$K$4))))),J26+(L26/(IF(F26="Contract Workman",Settings!$K$5,Settings!$K$4)))+(H26/(IF(F26="Contract Workman",Settings!$K$5,Settings!$K$4))),J26+(L26/(IF(F26="Contract Workman",Settings!$K$5,Settings!$K$4)))))</f>
        <v/>
      </c>
      <c r="N26">
        <f>IF($A26="","",IF(F26="Contract Workman",IF(AND(MOD(M26,1)&gt;=8/24,MOD(M26,1)&lt;20/24),"Shift S1","Shift S2"),IF(AND(MOD(M26,1)&gt;=7/24,MOD(M26,1)&lt;15/24),"Shift A",IF(AND(MOD(M26,1)&gt;=15/24,MOD(M26,1)&lt;23/24),"Shift B","Shift C"))))</f>
        <v/>
      </c>
      <c r="O26">
        <f>IF(B26="","",IF(IFERROR(ISNUMBER(SEARCH(TEXT(B26,"0"),VLOOKUP(E26,Machine_List!$B:$J,9,0))),FALSE),"✅ "&amp; E26,"❌ Sug: "&amp;IFERROR(INDEX(Machine_List!$B$50:$B$63,MATCH(1,(Machine_List!$H$50:$H$63&lt;=IFERROR(VLOOKUP($B26,OPR_BR1!$A$4:$K$18,10,0),0))*(Machine_List!$I$50:$I$63&gt;=IFERROR(VLOOKUP($B26,OPR_BR1!$A$4:$K$18,11,0),9999)),0)),"?")))</f>
        <v/>
      </c>
      <c r="P26">
        <f>IF(AND($A26&lt;&gt;"",P$3&gt;=$J26,P$3&lt;=$M26),1,"")</f>
        <v/>
      </c>
      <c r="Q26">
        <f>IF(AND($A26&lt;&gt;"",Q$3&gt;=$J26,Q$3&lt;=$M26),1,"")</f>
        <v/>
      </c>
      <c r="R26">
        <f>IF(AND($A26&lt;&gt;"",R$3&gt;=$J26,R$3&lt;=$M26),1,"")</f>
        <v/>
      </c>
      <c r="S26">
        <f>IF(AND($A26&lt;&gt;"",S$3&gt;=$J26,S$3&lt;=$M26),1,"")</f>
        <v/>
      </c>
      <c r="T26">
        <f>IF(AND($A26&lt;&gt;"",T$3&gt;=$J26,T$3&lt;=$M26),1,"")</f>
        <v/>
      </c>
      <c r="U26">
        <f>IF(AND($A26&lt;&gt;"",U$3&gt;=$J26,U$3&lt;=$M26),1,"")</f>
        <v/>
      </c>
      <c r="V26">
        <f>IF(AND($A26&lt;&gt;"",V$3&gt;=$J26,V$3&lt;=$M26),1,"")</f>
        <v/>
      </c>
      <c r="W26">
        <f>IF(AND($A26&lt;&gt;"",W$3&gt;=$J26,W$3&lt;=$M26),1,"")</f>
        <v/>
      </c>
      <c r="X26">
        <f>IF(AND($A26&lt;&gt;"",X$3&gt;=$J26,X$3&lt;=$M26),1,"")</f>
        <v/>
      </c>
      <c r="Y26">
        <f>IF(AND($A26&lt;&gt;"",Y$3&gt;=$J26,Y$3&lt;=$M26),1,"")</f>
        <v/>
      </c>
      <c r="Z26">
        <f>IF(AND($A26&lt;&gt;"",Z$3&gt;=$J26,Z$3&lt;=$M26),1,"")</f>
        <v/>
      </c>
      <c r="AA26">
        <f>IF(AND($A26&lt;&gt;"",AA$3&gt;=$J26,AA$3&lt;=$M26),1,"")</f>
        <v/>
      </c>
      <c r="AB26">
        <f>IF(AND($A26&lt;&gt;"",AB$3&gt;=$J26,AB$3&lt;=$M26),1,"")</f>
        <v/>
      </c>
      <c r="AC26">
        <f>IF(AND($A26&lt;&gt;"",AC$3&gt;=$J26,AC$3&lt;=$M26),1,"")</f>
        <v/>
      </c>
      <c r="AD26">
        <f>IF(AND($A26&lt;&gt;"",AD$3&gt;=$J26,AD$3&lt;=$M26),1,"")</f>
        <v/>
      </c>
      <c r="AE26">
        <f>IF(AND($A26&lt;&gt;"",AE$3&gt;=$J26,AE$3&lt;=$M26),1,"")</f>
        <v/>
      </c>
      <c r="AF26">
        <f>IF(AND($A26&lt;&gt;"",AF$3&gt;=$J26,AF$3&lt;=$M26),1,"")</f>
        <v/>
      </c>
      <c r="AG26">
        <f>IF(AND($A26&lt;&gt;"",AG$3&gt;=$J26,AG$3&lt;=$M26),1,"")</f>
        <v/>
      </c>
      <c r="AH26">
        <f>IF(AND($A26&lt;&gt;"",AH$3&gt;=$J26,AH$3&lt;=$M26),1,"")</f>
        <v/>
      </c>
      <c r="AI26">
        <f>IF(AND($A26&lt;&gt;"",AI$3&gt;=$J26,AI$3&lt;=$M26),1,"")</f>
        <v/>
      </c>
      <c r="AJ26">
        <f>IF(AND($A26&lt;&gt;"",AJ$3&gt;=$J26,AJ$3&lt;=$M26),1,"")</f>
        <v/>
      </c>
      <c r="AK26">
        <f>IF(AND($A26&lt;&gt;"",AK$3&gt;=$J26,AK$3&lt;=$M26),1,"")</f>
        <v/>
      </c>
      <c r="AL26">
        <f>IF(AND($A26&lt;&gt;"",AL$3&gt;=$J26,AL$3&lt;=$M26),1,"")</f>
        <v/>
      </c>
      <c r="AM26">
        <f>IF(AND($A26&lt;&gt;"",AM$3&gt;=$J26,AM$3&lt;=$M26),1,"")</f>
        <v/>
      </c>
      <c r="AN26">
        <f>IF(AND($A26&lt;&gt;"",AN$3&gt;=$J26,AN$3&lt;=$M26),1,"")</f>
        <v/>
      </c>
      <c r="AO26">
        <f>IF(AND($A26&lt;&gt;"",AO$3&gt;=$J26,AO$3&lt;=$M26),1,"")</f>
        <v/>
      </c>
      <c r="AP26">
        <f>IF(AND($A26&lt;&gt;"",AP$3&gt;=$J26,AP$3&lt;=$M26),1,"")</f>
        <v/>
      </c>
      <c r="AQ26">
        <f>IF(AND($A26&lt;&gt;"",AQ$3&gt;=$J26,AQ$3&lt;=$M26),1,"")</f>
        <v/>
      </c>
      <c r="AR26">
        <f>IF(AND($A26&lt;&gt;"",AR$3&gt;=$J26,AR$3&lt;=$M26),1,"")</f>
        <v/>
      </c>
      <c r="AS26">
        <f>IF(AND($A26&lt;&gt;"",AS$3&gt;=$J26,AS$3&lt;=$M26),1,"")</f>
        <v/>
      </c>
      <c r="AT26">
        <f>IF(AND($A26&lt;&gt;"",AT$3&gt;=$J26,AT$3&lt;=$M26),1,"")</f>
        <v/>
      </c>
      <c r="AU26">
        <f>IF(AND($A26&lt;&gt;"",AU$3&gt;=$J26,AU$3&lt;=$M26),1,"")</f>
        <v/>
      </c>
      <c r="AV26">
        <f>IF(AND($A26&lt;&gt;"",AV$3&gt;=$J26,AV$3&lt;=$M26),1,"")</f>
        <v/>
      </c>
      <c r="AW26">
        <f>IF(AND($A26&lt;&gt;"",AW$3&gt;=$J26,AW$3&lt;=$M26),1,"")</f>
        <v/>
      </c>
      <c r="AX26">
        <f>IF(AND($A26&lt;&gt;"",AX$3&gt;=$J26,AX$3&lt;=$M26),1,"")</f>
        <v/>
      </c>
      <c r="AY26">
        <f>IF(AND($A26&lt;&gt;"",AY$3&gt;=$J26,AY$3&lt;=$M26),1,"")</f>
        <v/>
      </c>
      <c r="AZ26">
        <f>IF(AND($A26&lt;&gt;"",AZ$3&gt;=$J26,AZ$3&lt;=$M26),1,"")</f>
        <v/>
      </c>
      <c r="BA26">
        <f>IF(AND($A26&lt;&gt;"",BA$3&gt;=$J26,BA$3&lt;=$M26),1,"")</f>
        <v/>
      </c>
      <c r="BB26">
        <f>IF(AND($A26&lt;&gt;"",BB$3&gt;=$J26,BB$3&lt;=$M26),1,"")</f>
        <v/>
      </c>
      <c r="BC26">
        <f>IF(AND($A26&lt;&gt;"",BC$3&gt;=$J26,BC$3&lt;=$M26),1,"")</f>
        <v/>
      </c>
      <c r="BD26">
        <f>IF(AND($A26&lt;&gt;"",BD$3&gt;=$J26,BD$3&lt;=$M26),1,"")</f>
        <v/>
      </c>
      <c r="BE26">
        <f>IF(AND($A26&lt;&gt;"",BE$3&gt;=$J26,BE$3&lt;=$M26),1,"")</f>
        <v/>
      </c>
      <c r="BF26">
        <f>IF(AND($A26&lt;&gt;"",BF$3&gt;=$J26,BF$3&lt;=$M26),1,"")</f>
        <v/>
      </c>
      <c r="BG26">
        <f>IF(AND($A26&lt;&gt;"",BG$3&gt;=$J26,BG$3&lt;=$M26),1,"")</f>
        <v/>
      </c>
      <c r="BH26">
        <f>IF(AND($A26&lt;&gt;"",BH$3&gt;=$J26,BH$3&lt;=$M26),1,"")</f>
        <v/>
      </c>
      <c r="BI26">
        <f>IF(AND($A26&lt;&gt;"",BI$3&gt;=$J26,BI$3&lt;=$M26),1,"")</f>
        <v/>
      </c>
      <c r="BJ26">
        <f>IF(AND($A26&lt;&gt;"",BJ$3&gt;=$J26,BJ$3&lt;=$M26),1,"")</f>
        <v/>
      </c>
      <c r="BK26">
        <f>IF(AND($A26&lt;&gt;"",BK$3&gt;=$J26,BK$3&lt;=$M26),1,"")</f>
        <v/>
      </c>
      <c r="BL26">
        <f>IF(AND($A26&lt;&gt;"",BL$3&gt;=$J26,BL$3&lt;=$M26),1,"")</f>
        <v/>
      </c>
      <c r="BM26">
        <f>IF(AND($A26&lt;&gt;"",BM$3&gt;=$J26,BM$3&lt;=$M26),1,"")</f>
        <v/>
      </c>
      <c r="BN26">
        <f>IF(AND($A26&lt;&gt;"",BN$3&gt;=$J26,BN$3&lt;=$M26),1,"")</f>
        <v/>
      </c>
      <c r="BO26">
        <f>IF(AND($A26&lt;&gt;"",BO$3&gt;=$J26,BO$3&lt;=$M26),1,"")</f>
        <v/>
      </c>
      <c r="BP26">
        <f>IF(AND($A26&lt;&gt;"",BP$3&gt;=$J26,BP$3&lt;=$M26),1,"")</f>
        <v/>
      </c>
      <c r="BQ26">
        <f>IF(AND($A26&lt;&gt;"",BQ$3&gt;=$J26,BQ$3&lt;=$M26),1,"")</f>
        <v/>
      </c>
      <c r="BR26">
        <f>IF(AND($A26&lt;&gt;"",BR$3&gt;=$J26,BR$3&lt;=$M26),1,"")</f>
        <v/>
      </c>
      <c r="BS26">
        <f>IF(AND($A26&lt;&gt;"",BS$3&gt;=$J26,BS$3&lt;=$M26),1,"")</f>
        <v/>
      </c>
      <c r="BT26">
        <f>IF(AND($A26&lt;&gt;"",BT$3&gt;=$J26,BT$3&lt;=$M26),1,"")</f>
        <v/>
      </c>
      <c r="BU26">
        <f>IF(AND($A26&lt;&gt;"",BU$3&gt;=$J26,BU$3&lt;=$M26),1,"")</f>
        <v/>
      </c>
      <c r="BV26">
        <f>IF(AND($A26&lt;&gt;"",BV$3&gt;=$J26,BV$3&lt;=$M26),1,"")</f>
        <v/>
      </c>
    </row>
    <row r="27">
      <c r="A27">
        <f>IF(Job_Master_Ring!$A27="","",Job_Master_Ring!$A27)</f>
        <v/>
      </c>
      <c r="B27">
        <f>IF($A27="","",Job_Master_Ring!B27)</f>
        <v/>
      </c>
      <c r="C27">
        <f>IF($A27="","",Job_Master_Ring!C27)</f>
        <v/>
      </c>
      <c r="D27">
        <f>IF($A27="","",Job_Master_Ring!D27)</f>
        <v/>
      </c>
      <c r="E27">
        <f>IF($A27="","",IF($I27&lt;&gt;"",$I27,IFERROR(INDEX(Machine_List!$B$50:$B$63,MATCH(1,(Machine_List!$H$50:$H$63&lt;=IFERROR(VLOOKUP($B27,CHOOSE(MATCH($C27,Settings!$L$4:$L$10,0),OPR_BR1!$A$4:$K$18,OPR_BR2!$A$4:$K$18,OPR_CR2!$A$4:$K$18,OPR_CR3!$A$4:$K$18,OPR_CR4!$A$4:$K$18,OPR_RIM!$A$4:$K$18,OPR_BPR!$A$4:$K$18),10,0),0))*(Machine_List!$I$50:$I$63&gt;=IFERROR(VLOOKUP($B27,CHOOSE(MATCH($C27,Settings!$L$4:$L$10,0),OPR_BR1!$A$4:$K$18,OPR_BR2!$A$4:$K$18,OPR_CR2!$A$4:$K$18,OPR_CR3!$A$4:$K$18,OPR_CR4!$A$4:$K$18,OPR_RIM!$A$4:$K$18,OPR_BPR!$A$4:$K$18),11,0),9999)),0)),"NO COMPATIBLE MACHINE")))</f>
        <v/>
      </c>
      <c r="F27">
        <f>IF($E27="","",IFERROR(VLOOKUP($E27,Machine_List!$B:$G,6,0),""))</f>
        <v/>
      </c>
      <c r="G27" s="17">
        <f>IF($E27="","",IFERROR(VLOOKUP($E27,Machine_List!$B:$C,2,0),""))</f>
        <v/>
      </c>
      <c r="H27">
        <f>IF($E27="","",IFERROR(VLOOKUP($E27,Machine_List!$B:$D,3,0),""))</f>
        <v/>
      </c>
      <c r="J27" s="16">
        <f>IF($A27="","",IF($I27&lt;&gt;"",$I27,MAX(CNC_Plan!$M27,IFERROR(LOOKUP(2,1/($E$3:INDIRECT("E"&amp;(ROW()-1))=$E27),$M$3:INDIRECT("M"&amp;(ROW()-1))),CNC_Plan!$M27))))</f>
        <v/>
      </c>
      <c r="K27">
        <f>IF($A27="","",IFERROR(VLOOKUP(B27,CHOOSE(MATCH($C27,Settings!$L$4:$L$10,0),OPR_BR1!$A$4:$I$18,OPR_BR2!$A$4:$I$18,OPR_CR2!$A$4:$I$18,OPR_CR3!$A$4:$I$18,OPR_CR4!$A$4:$I$18,OPR_RIM!$A$4:$I$18,OPR_BPR!$A$4:$I$18),6,0),0))</f>
        <v/>
      </c>
      <c r="L27">
        <f>IF($A27="","",K27*D27)</f>
        <v/>
      </c>
      <c r="M27" s="16">
        <f>IF($A27="","",IF(AND(ISNUMBER(G27),G27&gt;=J27,G27&lt;=(J27+(L27/(IF(F27="Contract Workman",Settings!$K$5,Settings!$K$4))))),J27+(L27/(IF(F27="Contract Workman",Settings!$K$5,Settings!$K$4)))+(H27/(IF(F27="Contract Workman",Settings!$K$5,Settings!$K$4))),J27+(L27/(IF(F27="Contract Workman",Settings!$K$5,Settings!$K$4)))))</f>
        <v/>
      </c>
      <c r="N27">
        <f>IF($A27="","",IF(F27="Contract Workman",IF(AND(MOD(M27,1)&gt;=8/24,MOD(M27,1)&lt;20/24),"Shift S1","Shift S2"),IF(AND(MOD(M27,1)&gt;=7/24,MOD(M27,1)&lt;15/24),"Shift A",IF(AND(MOD(M27,1)&gt;=15/24,MOD(M27,1)&lt;23/24),"Shift B","Shift C"))))</f>
        <v/>
      </c>
      <c r="O27">
        <f>IF(B27="","",IF(IFERROR(ISNUMBER(SEARCH(TEXT(B27,"0"),VLOOKUP(E27,Machine_List!$B:$J,9,0))),FALSE),"✅ "&amp; E27,"❌ Sug: "&amp;IFERROR(INDEX(Machine_List!$B$50:$B$63,MATCH(1,(Machine_List!$H$50:$H$63&lt;=IFERROR(VLOOKUP($B27,OPR_BR1!$A$4:$K$18,10,0),0))*(Machine_List!$I$50:$I$63&gt;=IFERROR(VLOOKUP($B27,OPR_BR1!$A$4:$K$18,11,0),9999)),0)),"?")))</f>
        <v/>
      </c>
      <c r="P27">
        <f>IF(AND($A27&lt;&gt;"",P$3&gt;=$J27,P$3&lt;=$M27),1,"")</f>
        <v/>
      </c>
      <c r="Q27">
        <f>IF(AND($A27&lt;&gt;"",Q$3&gt;=$J27,Q$3&lt;=$M27),1,"")</f>
        <v/>
      </c>
      <c r="R27">
        <f>IF(AND($A27&lt;&gt;"",R$3&gt;=$J27,R$3&lt;=$M27),1,"")</f>
        <v/>
      </c>
      <c r="S27">
        <f>IF(AND($A27&lt;&gt;"",S$3&gt;=$J27,S$3&lt;=$M27),1,"")</f>
        <v/>
      </c>
      <c r="T27">
        <f>IF(AND($A27&lt;&gt;"",T$3&gt;=$J27,T$3&lt;=$M27),1,"")</f>
        <v/>
      </c>
      <c r="U27">
        <f>IF(AND($A27&lt;&gt;"",U$3&gt;=$J27,U$3&lt;=$M27),1,"")</f>
        <v/>
      </c>
      <c r="V27">
        <f>IF(AND($A27&lt;&gt;"",V$3&gt;=$J27,V$3&lt;=$M27),1,"")</f>
        <v/>
      </c>
      <c r="W27">
        <f>IF(AND($A27&lt;&gt;"",W$3&gt;=$J27,W$3&lt;=$M27),1,"")</f>
        <v/>
      </c>
      <c r="X27">
        <f>IF(AND($A27&lt;&gt;"",X$3&gt;=$J27,X$3&lt;=$M27),1,"")</f>
        <v/>
      </c>
      <c r="Y27">
        <f>IF(AND($A27&lt;&gt;"",Y$3&gt;=$J27,Y$3&lt;=$M27),1,"")</f>
        <v/>
      </c>
      <c r="Z27">
        <f>IF(AND($A27&lt;&gt;"",Z$3&gt;=$J27,Z$3&lt;=$M27),1,"")</f>
        <v/>
      </c>
      <c r="AA27">
        <f>IF(AND($A27&lt;&gt;"",AA$3&gt;=$J27,AA$3&lt;=$M27),1,"")</f>
        <v/>
      </c>
      <c r="AB27">
        <f>IF(AND($A27&lt;&gt;"",AB$3&gt;=$J27,AB$3&lt;=$M27),1,"")</f>
        <v/>
      </c>
      <c r="AC27">
        <f>IF(AND($A27&lt;&gt;"",AC$3&gt;=$J27,AC$3&lt;=$M27),1,"")</f>
        <v/>
      </c>
      <c r="AD27">
        <f>IF(AND($A27&lt;&gt;"",AD$3&gt;=$J27,AD$3&lt;=$M27),1,"")</f>
        <v/>
      </c>
      <c r="AE27">
        <f>IF(AND($A27&lt;&gt;"",AE$3&gt;=$J27,AE$3&lt;=$M27),1,"")</f>
        <v/>
      </c>
      <c r="AF27">
        <f>IF(AND($A27&lt;&gt;"",AF$3&gt;=$J27,AF$3&lt;=$M27),1,"")</f>
        <v/>
      </c>
      <c r="AG27">
        <f>IF(AND($A27&lt;&gt;"",AG$3&gt;=$J27,AG$3&lt;=$M27),1,"")</f>
        <v/>
      </c>
      <c r="AH27">
        <f>IF(AND($A27&lt;&gt;"",AH$3&gt;=$J27,AH$3&lt;=$M27),1,"")</f>
        <v/>
      </c>
      <c r="AI27">
        <f>IF(AND($A27&lt;&gt;"",AI$3&gt;=$J27,AI$3&lt;=$M27),1,"")</f>
        <v/>
      </c>
      <c r="AJ27">
        <f>IF(AND($A27&lt;&gt;"",AJ$3&gt;=$J27,AJ$3&lt;=$M27),1,"")</f>
        <v/>
      </c>
      <c r="AK27">
        <f>IF(AND($A27&lt;&gt;"",AK$3&gt;=$J27,AK$3&lt;=$M27),1,"")</f>
        <v/>
      </c>
      <c r="AL27">
        <f>IF(AND($A27&lt;&gt;"",AL$3&gt;=$J27,AL$3&lt;=$M27),1,"")</f>
        <v/>
      </c>
      <c r="AM27">
        <f>IF(AND($A27&lt;&gt;"",AM$3&gt;=$J27,AM$3&lt;=$M27),1,"")</f>
        <v/>
      </c>
      <c r="AN27">
        <f>IF(AND($A27&lt;&gt;"",AN$3&gt;=$J27,AN$3&lt;=$M27),1,"")</f>
        <v/>
      </c>
      <c r="AO27">
        <f>IF(AND($A27&lt;&gt;"",AO$3&gt;=$J27,AO$3&lt;=$M27),1,"")</f>
        <v/>
      </c>
      <c r="AP27">
        <f>IF(AND($A27&lt;&gt;"",AP$3&gt;=$J27,AP$3&lt;=$M27),1,"")</f>
        <v/>
      </c>
      <c r="AQ27">
        <f>IF(AND($A27&lt;&gt;"",AQ$3&gt;=$J27,AQ$3&lt;=$M27),1,"")</f>
        <v/>
      </c>
      <c r="AR27">
        <f>IF(AND($A27&lt;&gt;"",AR$3&gt;=$J27,AR$3&lt;=$M27),1,"")</f>
        <v/>
      </c>
      <c r="AS27">
        <f>IF(AND($A27&lt;&gt;"",AS$3&gt;=$J27,AS$3&lt;=$M27),1,"")</f>
        <v/>
      </c>
      <c r="AT27">
        <f>IF(AND($A27&lt;&gt;"",AT$3&gt;=$J27,AT$3&lt;=$M27),1,"")</f>
        <v/>
      </c>
      <c r="AU27">
        <f>IF(AND($A27&lt;&gt;"",AU$3&gt;=$J27,AU$3&lt;=$M27),1,"")</f>
        <v/>
      </c>
      <c r="AV27">
        <f>IF(AND($A27&lt;&gt;"",AV$3&gt;=$J27,AV$3&lt;=$M27),1,"")</f>
        <v/>
      </c>
      <c r="AW27">
        <f>IF(AND($A27&lt;&gt;"",AW$3&gt;=$J27,AW$3&lt;=$M27),1,"")</f>
        <v/>
      </c>
      <c r="AX27">
        <f>IF(AND($A27&lt;&gt;"",AX$3&gt;=$J27,AX$3&lt;=$M27),1,"")</f>
        <v/>
      </c>
      <c r="AY27">
        <f>IF(AND($A27&lt;&gt;"",AY$3&gt;=$J27,AY$3&lt;=$M27),1,"")</f>
        <v/>
      </c>
      <c r="AZ27">
        <f>IF(AND($A27&lt;&gt;"",AZ$3&gt;=$J27,AZ$3&lt;=$M27),1,"")</f>
        <v/>
      </c>
      <c r="BA27">
        <f>IF(AND($A27&lt;&gt;"",BA$3&gt;=$J27,BA$3&lt;=$M27),1,"")</f>
        <v/>
      </c>
      <c r="BB27">
        <f>IF(AND($A27&lt;&gt;"",BB$3&gt;=$J27,BB$3&lt;=$M27),1,"")</f>
        <v/>
      </c>
      <c r="BC27">
        <f>IF(AND($A27&lt;&gt;"",BC$3&gt;=$J27,BC$3&lt;=$M27),1,"")</f>
        <v/>
      </c>
      <c r="BD27">
        <f>IF(AND($A27&lt;&gt;"",BD$3&gt;=$J27,BD$3&lt;=$M27),1,"")</f>
        <v/>
      </c>
      <c r="BE27">
        <f>IF(AND($A27&lt;&gt;"",BE$3&gt;=$J27,BE$3&lt;=$M27),1,"")</f>
        <v/>
      </c>
      <c r="BF27">
        <f>IF(AND($A27&lt;&gt;"",BF$3&gt;=$J27,BF$3&lt;=$M27),1,"")</f>
        <v/>
      </c>
      <c r="BG27">
        <f>IF(AND($A27&lt;&gt;"",BG$3&gt;=$J27,BG$3&lt;=$M27),1,"")</f>
        <v/>
      </c>
      <c r="BH27">
        <f>IF(AND($A27&lt;&gt;"",BH$3&gt;=$J27,BH$3&lt;=$M27),1,"")</f>
        <v/>
      </c>
      <c r="BI27">
        <f>IF(AND($A27&lt;&gt;"",BI$3&gt;=$J27,BI$3&lt;=$M27),1,"")</f>
        <v/>
      </c>
      <c r="BJ27">
        <f>IF(AND($A27&lt;&gt;"",BJ$3&gt;=$J27,BJ$3&lt;=$M27),1,"")</f>
        <v/>
      </c>
      <c r="BK27">
        <f>IF(AND($A27&lt;&gt;"",BK$3&gt;=$J27,BK$3&lt;=$M27),1,"")</f>
        <v/>
      </c>
      <c r="BL27">
        <f>IF(AND($A27&lt;&gt;"",BL$3&gt;=$J27,BL$3&lt;=$M27),1,"")</f>
        <v/>
      </c>
      <c r="BM27">
        <f>IF(AND($A27&lt;&gt;"",BM$3&gt;=$J27,BM$3&lt;=$M27),1,"")</f>
        <v/>
      </c>
      <c r="BN27">
        <f>IF(AND($A27&lt;&gt;"",BN$3&gt;=$J27,BN$3&lt;=$M27),1,"")</f>
        <v/>
      </c>
      <c r="BO27">
        <f>IF(AND($A27&lt;&gt;"",BO$3&gt;=$J27,BO$3&lt;=$M27),1,"")</f>
        <v/>
      </c>
      <c r="BP27">
        <f>IF(AND($A27&lt;&gt;"",BP$3&gt;=$J27,BP$3&lt;=$M27),1,"")</f>
        <v/>
      </c>
      <c r="BQ27">
        <f>IF(AND($A27&lt;&gt;"",BQ$3&gt;=$J27,BQ$3&lt;=$M27),1,"")</f>
        <v/>
      </c>
      <c r="BR27">
        <f>IF(AND($A27&lt;&gt;"",BR$3&gt;=$J27,BR$3&lt;=$M27),1,"")</f>
        <v/>
      </c>
      <c r="BS27">
        <f>IF(AND($A27&lt;&gt;"",BS$3&gt;=$J27,BS$3&lt;=$M27),1,"")</f>
        <v/>
      </c>
      <c r="BT27">
        <f>IF(AND($A27&lt;&gt;"",BT$3&gt;=$J27,BT$3&lt;=$M27),1,"")</f>
        <v/>
      </c>
      <c r="BU27">
        <f>IF(AND($A27&lt;&gt;"",BU$3&gt;=$J27,BU$3&lt;=$M27),1,"")</f>
        <v/>
      </c>
      <c r="BV27">
        <f>IF(AND($A27&lt;&gt;"",BV$3&gt;=$J27,BV$3&lt;=$M27),1,"")</f>
        <v/>
      </c>
    </row>
    <row r="28">
      <c r="A28">
        <f>IF(Job_Master_Ring!$A28="","",Job_Master_Ring!$A28)</f>
        <v/>
      </c>
      <c r="B28">
        <f>IF($A28="","",Job_Master_Ring!B28)</f>
        <v/>
      </c>
      <c r="C28">
        <f>IF($A28="","",Job_Master_Ring!C28)</f>
        <v/>
      </c>
      <c r="D28">
        <f>IF($A28="","",Job_Master_Ring!D28)</f>
        <v/>
      </c>
      <c r="E28">
        <f>IF($A28="","",IF($I28&lt;&gt;"",$I28,IFERROR(INDEX(Machine_List!$B$50:$B$63,MATCH(1,(Machine_List!$H$50:$H$63&lt;=IFERROR(VLOOKUP($B28,CHOOSE(MATCH($C28,Settings!$L$4:$L$10,0),OPR_BR1!$A$4:$K$18,OPR_BR2!$A$4:$K$18,OPR_CR2!$A$4:$K$18,OPR_CR3!$A$4:$K$18,OPR_CR4!$A$4:$K$18,OPR_RIM!$A$4:$K$18,OPR_BPR!$A$4:$K$18),10,0),0))*(Machine_List!$I$50:$I$63&gt;=IFERROR(VLOOKUP($B28,CHOOSE(MATCH($C28,Settings!$L$4:$L$10,0),OPR_BR1!$A$4:$K$18,OPR_BR2!$A$4:$K$18,OPR_CR2!$A$4:$K$18,OPR_CR3!$A$4:$K$18,OPR_CR4!$A$4:$K$18,OPR_RIM!$A$4:$K$18,OPR_BPR!$A$4:$K$18),11,0),9999)),0)),"NO COMPATIBLE MACHINE")))</f>
        <v/>
      </c>
      <c r="F28">
        <f>IF($E28="","",IFERROR(VLOOKUP($E28,Machine_List!$B:$G,6,0),""))</f>
        <v/>
      </c>
      <c r="G28" s="17">
        <f>IF($E28="","",IFERROR(VLOOKUP($E28,Machine_List!$B:$C,2,0),""))</f>
        <v/>
      </c>
      <c r="H28">
        <f>IF($E28="","",IFERROR(VLOOKUP($E28,Machine_List!$B:$D,3,0),""))</f>
        <v/>
      </c>
      <c r="J28" s="16">
        <f>IF($A28="","",IF($I28&lt;&gt;"",$I28,MAX(CNC_Plan!$M28,IFERROR(LOOKUP(2,1/($E$3:INDIRECT("E"&amp;(ROW()-1))=$E28),$M$3:INDIRECT("M"&amp;(ROW()-1))),CNC_Plan!$M28))))</f>
        <v/>
      </c>
      <c r="K28">
        <f>IF($A28="","",IFERROR(VLOOKUP(B28,CHOOSE(MATCH($C28,Settings!$L$4:$L$10,0),OPR_BR1!$A$4:$I$18,OPR_BR2!$A$4:$I$18,OPR_CR2!$A$4:$I$18,OPR_CR3!$A$4:$I$18,OPR_CR4!$A$4:$I$18,OPR_RIM!$A$4:$I$18,OPR_BPR!$A$4:$I$18),6,0),0))</f>
        <v/>
      </c>
      <c r="L28">
        <f>IF($A28="","",K28*D28)</f>
        <v/>
      </c>
      <c r="M28" s="16">
        <f>IF($A28="","",IF(AND(ISNUMBER(G28),G28&gt;=J28,G28&lt;=(J28+(L28/(IF(F28="Contract Workman",Settings!$K$5,Settings!$K$4))))),J28+(L28/(IF(F28="Contract Workman",Settings!$K$5,Settings!$K$4)))+(H28/(IF(F28="Contract Workman",Settings!$K$5,Settings!$K$4))),J28+(L28/(IF(F28="Contract Workman",Settings!$K$5,Settings!$K$4)))))</f>
        <v/>
      </c>
      <c r="N28">
        <f>IF($A28="","",IF(F28="Contract Workman",IF(AND(MOD(M28,1)&gt;=8/24,MOD(M28,1)&lt;20/24),"Shift S1","Shift S2"),IF(AND(MOD(M28,1)&gt;=7/24,MOD(M28,1)&lt;15/24),"Shift A",IF(AND(MOD(M28,1)&gt;=15/24,MOD(M28,1)&lt;23/24),"Shift B","Shift C"))))</f>
        <v/>
      </c>
      <c r="O28">
        <f>IF(B28="","",IF(IFERROR(ISNUMBER(SEARCH(TEXT(B28,"0"),VLOOKUP(E28,Machine_List!$B:$J,9,0))),FALSE),"✅ "&amp; E28,"❌ Sug: "&amp;IFERROR(INDEX(Machine_List!$B$50:$B$63,MATCH(1,(Machine_List!$H$50:$H$63&lt;=IFERROR(VLOOKUP($B28,OPR_BR1!$A$4:$K$18,10,0),0))*(Machine_List!$I$50:$I$63&gt;=IFERROR(VLOOKUP($B28,OPR_BR1!$A$4:$K$18,11,0),9999)),0)),"?")))</f>
        <v/>
      </c>
      <c r="P28">
        <f>IF(AND($A28&lt;&gt;"",P$3&gt;=$J28,P$3&lt;=$M28),1,"")</f>
        <v/>
      </c>
      <c r="Q28">
        <f>IF(AND($A28&lt;&gt;"",Q$3&gt;=$J28,Q$3&lt;=$M28),1,"")</f>
        <v/>
      </c>
      <c r="R28">
        <f>IF(AND($A28&lt;&gt;"",R$3&gt;=$J28,R$3&lt;=$M28),1,"")</f>
        <v/>
      </c>
      <c r="S28">
        <f>IF(AND($A28&lt;&gt;"",S$3&gt;=$J28,S$3&lt;=$M28),1,"")</f>
        <v/>
      </c>
      <c r="T28">
        <f>IF(AND($A28&lt;&gt;"",T$3&gt;=$J28,T$3&lt;=$M28),1,"")</f>
        <v/>
      </c>
      <c r="U28">
        <f>IF(AND($A28&lt;&gt;"",U$3&gt;=$J28,U$3&lt;=$M28),1,"")</f>
        <v/>
      </c>
      <c r="V28">
        <f>IF(AND($A28&lt;&gt;"",V$3&gt;=$J28,V$3&lt;=$M28),1,"")</f>
        <v/>
      </c>
      <c r="W28">
        <f>IF(AND($A28&lt;&gt;"",W$3&gt;=$J28,W$3&lt;=$M28),1,"")</f>
        <v/>
      </c>
      <c r="X28">
        <f>IF(AND($A28&lt;&gt;"",X$3&gt;=$J28,X$3&lt;=$M28),1,"")</f>
        <v/>
      </c>
      <c r="Y28">
        <f>IF(AND($A28&lt;&gt;"",Y$3&gt;=$J28,Y$3&lt;=$M28),1,"")</f>
        <v/>
      </c>
      <c r="Z28">
        <f>IF(AND($A28&lt;&gt;"",Z$3&gt;=$J28,Z$3&lt;=$M28),1,"")</f>
        <v/>
      </c>
      <c r="AA28">
        <f>IF(AND($A28&lt;&gt;"",AA$3&gt;=$J28,AA$3&lt;=$M28),1,"")</f>
        <v/>
      </c>
      <c r="AB28">
        <f>IF(AND($A28&lt;&gt;"",AB$3&gt;=$J28,AB$3&lt;=$M28),1,"")</f>
        <v/>
      </c>
      <c r="AC28">
        <f>IF(AND($A28&lt;&gt;"",AC$3&gt;=$J28,AC$3&lt;=$M28),1,"")</f>
        <v/>
      </c>
      <c r="AD28">
        <f>IF(AND($A28&lt;&gt;"",AD$3&gt;=$J28,AD$3&lt;=$M28),1,"")</f>
        <v/>
      </c>
      <c r="AE28">
        <f>IF(AND($A28&lt;&gt;"",AE$3&gt;=$J28,AE$3&lt;=$M28),1,"")</f>
        <v/>
      </c>
      <c r="AF28">
        <f>IF(AND($A28&lt;&gt;"",AF$3&gt;=$J28,AF$3&lt;=$M28),1,"")</f>
        <v/>
      </c>
      <c r="AG28">
        <f>IF(AND($A28&lt;&gt;"",AG$3&gt;=$J28,AG$3&lt;=$M28),1,"")</f>
        <v/>
      </c>
      <c r="AH28">
        <f>IF(AND($A28&lt;&gt;"",AH$3&gt;=$J28,AH$3&lt;=$M28),1,"")</f>
        <v/>
      </c>
      <c r="AI28">
        <f>IF(AND($A28&lt;&gt;"",AI$3&gt;=$J28,AI$3&lt;=$M28),1,"")</f>
        <v/>
      </c>
      <c r="AJ28">
        <f>IF(AND($A28&lt;&gt;"",AJ$3&gt;=$J28,AJ$3&lt;=$M28),1,"")</f>
        <v/>
      </c>
      <c r="AK28">
        <f>IF(AND($A28&lt;&gt;"",AK$3&gt;=$J28,AK$3&lt;=$M28),1,"")</f>
        <v/>
      </c>
      <c r="AL28">
        <f>IF(AND($A28&lt;&gt;"",AL$3&gt;=$J28,AL$3&lt;=$M28),1,"")</f>
        <v/>
      </c>
      <c r="AM28">
        <f>IF(AND($A28&lt;&gt;"",AM$3&gt;=$J28,AM$3&lt;=$M28),1,"")</f>
        <v/>
      </c>
      <c r="AN28">
        <f>IF(AND($A28&lt;&gt;"",AN$3&gt;=$J28,AN$3&lt;=$M28),1,"")</f>
        <v/>
      </c>
      <c r="AO28">
        <f>IF(AND($A28&lt;&gt;"",AO$3&gt;=$J28,AO$3&lt;=$M28),1,"")</f>
        <v/>
      </c>
      <c r="AP28">
        <f>IF(AND($A28&lt;&gt;"",AP$3&gt;=$J28,AP$3&lt;=$M28),1,"")</f>
        <v/>
      </c>
      <c r="AQ28">
        <f>IF(AND($A28&lt;&gt;"",AQ$3&gt;=$J28,AQ$3&lt;=$M28),1,"")</f>
        <v/>
      </c>
      <c r="AR28">
        <f>IF(AND($A28&lt;&gt;"",AR$3&gt;=$J28,AR$3&lt;=$M28),1,"")</f>
        <v/>
      </c>
      <c r="AS28">
        <f>IF(AND($A28&lt;&gt;"",AS$3&gt;=$J28,AS$3&lt;=$M28),1,"")</f>
        <v/>
      </c>
      <c r="AT28">
        <f>IF(AND($A28&lt;&gt;"",AT$3&gt;=$J28,AT$3&lt;=$M28),1,"")</f>
        <v/>
      </c>
      <c r="AU28">
        <f>IF(AND($A28&lt;&gt;"",AU$3&gt;=$J28,AU$3&lt;=$M28),1,"")</f>
        <v/>
      </c>
      <c r="AV28">
        <f>IF(AND($A28&lt;&gt;"",AV$3&gt;=$J28,AV$3&lt;=$M28),1,"")</f>
        <v/>
      </c>
      <c r="AW28">
        <f>IF(AND($A28&lt;&gt;"",AW$3&gt;=$J28,AW$3&lt;=$M28),1,"")</f>
        <v/>
      </c>
      <c r="AX28">
        <f>IF(AND($A28&lt;&gt;"",AX$3&gt;=$J28,AX$3&lt;=$M28),1,"")</f>
        <v/>
      </c>
      <c r="AY28">
        <f>IF(AND($A28&lt;&gt;"",AY$3&gt;=$J28,AY$3&lt;=$M28),1,"")</f>
        <v/>
      </c>
      <c r="AZ28">
        <f>IF(AND($A28&lt;&gt;"",AZ$3&gt;=$J28,AZ$3&lt;=$M28),1,"")</f>
        <v/>
      </c>
      <c r="BA28">
        <f>IF(AND($A28&lt;&gt;"",BA$3&gt;=$J28,BA$3&lt;=$M28),1,"")</f>
        <v/>
      </c>
      <c r="BB28">
        <f>IF(AND($A28&lt;&gt;"",BB$3&gt;=$J28,BB$3&lt;=$M28),1,"")</f>
        <v/>
      </c>
      <c r="BC28">
        <f>IF(AND($A28&lt;&gt;"",BC$3&gt;=$J28,BC$3&lt;=$M28),1,"")</f>
        <v/>
      </c>
      <c r="BD28">
        <f>IF(AND($A28&lt;&gt;"",BD$3&gt;=$J28,BD$3&lt;=$M28),1,"")</f>
        <v/>
      </c>
      <c r="BE28">
        <f>IF(AND($A28&lt;&gt;"",BE$3&gt;=$J28,BE$3&lt;=$M28),1,"")</f>
        <v/>
      </c>
      <c r="BF28">
        <f>IF(AND($A28&lt;&gt;"",BF$3&gt;=$J28,BF$3&lt;=$M28),1,"")</f>
        <v/>
      </c>
      <c r="BG28">
        <f>IF(AND($A28&lt;&gt;"",BG$3&gt;=$J28,BG$3&lt;=$M28),1,"")</f>
        <v/>
      </c>
      <c r="BH28">
        <f>IF(AND($A28&lt;&gt;"",BH$3&gt;=$J28,BH$3&lt;=$M28),1,"")</f>
        <v/>
      </c>
      <c r="BI28">
        <f>IF(AND($A28&lt;&gt;"",BI$3&gt;=$J28,BI$3&lt;=$M28),1,"")</f>
        <v/>
      </c>
      <c r="BJ28">
        <f>IF(AND($A28&lt;&gt;"",BJ$3&gt;=$J28,BJ$3&lt;=$M28),1,"")</f>
        <v/>
      </c>
      <c r="BK28">
        <f>IF(AND($A28&lt;&gt;"",BK$3&gt;=$J28,BK$3&lt;=$M28),1,"")</f>
        <v/>
      </c>
      <c r="BL28">
        <f>IF(AND($A28&lt;&gt;"",BL$3&gt;=$J28,BL$3&lt;=$M28),1,"")</f>
        <v/>
      </c>
      <c r="BM28">
        <f>IF(AND($A28&lt;&gt;"",BM$3&gt;=$J28,BM$3&lt;=$M28),1,"")</f>
        <v/>
      </c>
      <c r="BN28">
        <f>IF(AND($A28&lt;&gt;"",BN$3&gt;=$J28,BN$3&lt;=$M28),1,"")</f>
        <v/>
      </c>
      <c r="BO28">
        <f>IF(AND($A28&lt;&gt;"",BO$3&gt;=$J28,BO$3&lt;=$M28),1,"")</f>
        <v/>
      </c>
      <c r="BP28">
        <f>IF(AND($A28&lt;&gt;"",BP$3&gt;=$J28,BP$3&lt;=$M28),1,"")</f>
        <v/>
      </c>
      <c r="BQ28">
        <f>IF(AND($A28&lt;&gt;"",BQ$3&gt;=$J28,BQ$3&lt;=$M28),1,"")</f>
        <v/>
      </c>
      <c r="BR28">
        <f>IF(AND($A28&lt;&gt;"",BR$3&gt;=$J28,BR$3&lt;=$M28),1,"")</f>
        <v/>
      </c>
      <c r="BS28">
        <f>IF(AND($A28&lt;&gt;"",BS$3&gt;=$J28,BS$3&lt;=$M28),1,"")</f>
        <v/>
      </c>
      <c r="BT28">
        <f>IF(AND($A28&lt;&gt;"",BT$3&gt;=$J28,BT$3&lt;=$M28),1,"")</f>
        <v/>
      </c>
      <c r="BU28">
        <f>IF(AND($A28&lt;&gt;"",BU$3&gt;=$J28,BU$3&lt;=$M28),1,"")</f>
        <v/>
      </c>
      <c r="BV28">
        <f>IF(AND($A28&lt;&gt;"",BV$3&gt;=$J28,BV$3&lt;=$M28),1,"")</f>
        <v/>
      </c>
    </row>
    <row r="29">
      <c r="A29">
        <f>IF(Job_Master_Ring!$A29="","",Job_Master_Ring!$A29)</f>
        <v/>
      </c>
      <c r="B29">
        <f>IF($A29="","",Job_Master_Ring!B29)</f>
        <v/>
      </c>
      <c r="C29">
        <f>IF($A29="","",Job_Master_Ring!C29)</f>
        <v/>
      </c>
      <c r="D29">
        <f>IF($A29="","",Job_Master_Ring!D29)</f>
        <v/>
      </c>
      <c r="E29">
        <f>IF($A29="","",IF($I29&lt;&gt;"",$I29,IFERROR(INDEX(Machine_List!$B$50:$B$63,MATCH(1,(Machine_List!$H$50:$H$63&lt;=IFERROR(VLOOKUP($B29,CHOOSE(MATCH($C29,Settings!$L$4:$L$10,0),OPR_BR1!$A$4:$K$18,OPR_BR2!$A$4:$K$18,OPR_CR2!$A$4:$K$18,OPR_CR3!$A$4:$K$18,OPR_CR4!$A$4:$K$18,OPR_RIM!$A$4:$K$18,OPR_BPR!$A$4:$K$18),10,0),0))*(Machine_List!$I$50:$I$63&gt;=IFERROR(VLOOKUP($B29,CHOOSE(MATCH($C29,Settings!$L$4:$L$10,0),OPR_BR1!$A$4:$K$18,OPR_BR2!$A$4:$K$18,OPR_CR2!$A$4:$K$18,OPR_CR3!$A$4:$K$18,OPR_CR4!$A$4:$K$18,OPR_RIM!$A$4:$K$18,OPR_BPR!$A$4:$K$18),11,0),9999)),0)),"NO COMPATIBLE MACHINE")))</f>
        <v/>
      </c>
      <c r="F29">
        <f>IF($E29="","",IFERROR(VLOOKUP($E29,Machine_List!$B:$G,6,0),""))</f>
        <v/>
      </c>
      <c r="G29" s="17">
        <f>IF($E29="","",IFERROR(VLOOKUP($E29,Machine_List!$B:$C,2,0),""))</f>
        <v/>
      </c>
      <c r="H29">
        <f>IF($E29="","",IFERROR(VLOOKUP($E29,Machine_List!$B:$D,3,0),""))</f>
        <v/>
      </c>
      <c r="J29" s="16">
        <f>IF($A29="","",IF($I29&lt;&gt;"",$I29,MAX(CNC_Plan!$M29,IFERROR(LOOKUP(2,1/($E$3:INDIRECT("E"&amp;(ROW()-1))=$E29),$M$3:INDIRECT("M"&amp;(ROW()-1))),CNC_Plan!$M29))))</f>
        <v/>
      </c>
      <c r="K29">
        <f>IF($A29="","",IFERROR(VLOOKUP(B29,CHOOSE(MATCH($C29,Settings!$L$4:$L$10,0),OPR_BR1!$A$4:$I$18,OPR_BR2!$A$4:$I$18,OPR_CR2!$A$4:$I$18,OPR_CR3!$A$4:$I$18,OPR_CR4!$A$4:$I$18,OPR_RIM!$A$4:$I$18,OPR_BPR!$A$4:$I$18),6,0),0))</f>
        <v/>
      </c>
      <c r="L29">
        <f>IF($A29="","",K29*D29)</f>
        <v/>
      </c>
      <c r="M29" s="16">
        <f>IF($A29="","",IF(AND(ISNUMBER(G29),G29&gt;=J29,G29&lt;=(J29+(L29/(IF(F29="Contract Workman",Settings!$K$5,Settings!$K$4))))),J29+(L29/(IF(F29="Contract Workman",Settings!$K$5,Settings!$K$4)))+(H29/(IF(F29="Contract Workman",Settings!$K$5,Settings!$K$4))),J29+(L29/(IF(F29="Contract Workman",Settings!$K$5,Settings!$K$4)))))</f>
        <v/>
      </c>
      <c r="N29">
        <f>IF($A29="","",IF(F29="Contract Workman",IF(AND(MOD(M29,1)&gt;=8/24,MOD(M29,1)&lt;20/24),"Shift S1","Shift S2"),IF(AND(MOD(M29,1)&gt;=7/24,MOD(M29,1)&lt;15/24),"Shift A",IF(AND(MOD(M29,1)&gt;=15/24,MOD(M29,1)&lt;23/24),"Shift B","Shift C"))))</f>
        <v/>
      </c>
      <c r="O29">
        <f>IF(B29="","",IF(IFERROR(ISNUMBER(SEARCH(TEXT(B29,"0"),VLOOKUP(E29,Machine_List!$B:$J,9,0))),FALSE),"✅ "&amp; E29,"❌ Sug: "&amp;IFERROR(INDEX(Machine_List!$B$50:$B$63,MATCH(1,(Machine_List!$H$50:$H$63&lt;=IFERROR(VLOOKUP($B29,OPR_BR1!$A$4:$K$18,10,0),0))*(Machine_List!$I$50:$I$63&gt;=IFERROR(VLOOKUP($B29,OPR_BR1!$A$4:$K$18,11,0),9999)),0)),"?")))</f>
        <v/>
      </c>
      <c r="P29">
        <f>IF(AND($A29&lt;&gt;"",P$3&gt;=$J29,P$3&lt;=$M29),1,"")</f>
        <v/>
      </c>
      <c r="Q29">
        <f>IF(AND($A29&lt;&gt;"",Q$3&gt;=$J29,Q$3&lt;=$M29),1,"")</f>
        <v/>
      </c>
      <c r="R29">
        <f>IF(AND($A29&lt;&gt;"",R$3&gt;=$J29,R$3&lt;=$M29),1,"")</f>
        <v/>
      </c>
      <c r="S29">
        <f>IF(AND($A29&lt;&gt;"",S$3&gt;=$J29,S$3&lt;=$M29),1,"")</f>
        <v/>
      </c>
      <c r="T29">
        <f>IF(AND($A29&lt;&gt;"",T$3&gt;=$J29,T$3&lt;=$M29),1,"")</f>
        <v/>
      </c>
      <c r="U29">
        <f>IF(AND($A29&lt;&gt;"",U$3&gt;=$J29,U$3&lt;=$M29),1,"")</f>
        <v/>
      </c>
      <c r="V29">
        <f>IF(AND($A29&lt;&gt;"",V$3&gt;=$J29,V$3&lt;=$M29),1,"")</f>
        <v/>
      </c>
      <c r="W29">
        <f>IF(AND($A29&lt;&gt;"",W$3&gt;=$J29,W$3&lt;=$M29),1,"")</f>
        <v/>
      </c>
      <c r="X29">
        <f>IF(AND($A29&lt;&gt;"",X$3&gt;=$J29,X$3&lt;=$M29),1,"")</f>
        <v/>
      </c>
      <c r="Y29">
        <f>IF(AND($A29&lt;&gt;"",Y$3&gt;=$J29,Y$3&lt;=$M29),1,"")</f>
        <v/>
      </c>
      <c r="Z29">
        <f>IF(AND($A29&lt;&gt;"",Z$3&gt;=$J29,Z$3&lt;=$M29),1,"")</f>
        <v/>
      </c>
      <c r="AA29">
        <f>IF(AND($A29&lt;&gt;"",AA$3&gt;=$J29,AA$3&lt;=$M29),1,"")</f>
        <v/>
      </c>
      <c r="AB29">
        <f>IF(AND($A29&lt;&gt;"",AB$3&gt;=$J29,AB$3&lt;=$M29),1,"")</f>
        <v/>
      </c>
      <c r="AC29">
        <f>IF(AND($A29&lt;&gt;"",AC$3&gt;=$J29,AC$3&lt;=$M29),1,"")</f>
        <v/>
      </c>
      <c r="AD29">
        <f>IF(AND($A29&lt;&gt;"",AD$3&gt;=$J29,AD$3&lt;=$M29),1,"")</f>
        <v/>
      </c>
      <c r="AE29">
        <f>IF(AND($A29&lt;&gt;"",AE$3&gt;=$J29,AE$3&lt;=$M29),1,"")</f>
        <v/>
      </c>
      <c r="AF29">
        <f>IF(AND($A29&lt;&gt;"",AF$3&gt;=$J29,AF$3&lt;=$M29),1,"")</f>
        <v/>
      </c>
      <c r="AG29">
        <f>IF(AND($A29&lt;&gt;"",AG$3&gt;=$J29,AG$3&lt;=$M29),1,"")</f>
        <v/>
      </c>
      <c r="AH29">
        <f>IF(AND($A29&lt;&gt;"",AH$3&gt;=$J29,AH$3&lt;=$M29),1,"")</f>
        <v/>
      </c>
      <c r="AI29">
        <f>IF(AND($A29&lt;&gt;"",AI$3&gt;=$J29,AI$3&lt;=$M29),1,"")</f>
        <v/>
      </c>
      <c r="AJ29">
        <f>IF(AND($A29&lt;&gt;"",AJ$3&gt;=$J29,AJ$3&lt;=$M29),1,"")</f>
        <v/>
      </c>
      <c r="AK29">
        <f>IF(AND($A29&lt;&gt;"",AK$3&gt;=$J29,AK$3&lt;=$M29),1,"")</f>
        <v/>
      </c>
      <c r="AL29">
        <f>IF(AND($A29&lt;&gt;"",AL$3&gt;=$J29,AL$3&lt;=$M29),1,"")</f>
        <v/>
      </c>
      <c r="AM29">
        <f>IF(AND($A29&lt;&gt;"",AM$3&gt;=$J29,AM$3&lt;=$M29),1,"")</f>
        <v/>
      </c>
      <c r="AN29">
        <f>IF(AND($A29&lt;&gt;"",AN$3&gt;=$J29,AN$3&lt;=$M29),1,"")</f>
        <v/>
      </c>
      <c r="AO29">
        <f>IF(AND($A29&lt;&gt;"",AO$3&gt;=$J29,AO$3&lt;=$M29),1,"")</f>
        <v/>
      </c>
      <c r="AP29">
        <f>IF(AND($A29&lt;&gt;"",AP$3&gt;=$J29,AP$3&lt;=$M29),1,"")</f>
        <v/>
      </c>
      <c r="AQ29">
        <f>IF(AND($A29&lt;&gt;"",AQ$3&gt;=$J29,AQ$3&lt;=$M29),1,"")</f>
        <v/>
      </c>
      <c r="AR29">
        <f>IF(AND($A29&lt;&gt;"",AR$3&gt;=$J29,AR$3&lt;=$M29),1,"")</f>
        <v/>
      </c>
      <c r="AS29">
        <f>IF(AND($A29&lt;&gt;"",AS$3&gt;=$J29,AS$3&lt;=$M29),1,"")</f>
        <v/>
      </c>
      <c r="AT29">
        <f>IF(AND($A29&lt;&gt;"",AT$3&gt;=$J29,AT$3&lt;=$M29),1,"")</f>
        <v/>
      </c>
      <c r="AU29">
        <f>IF(AND($A29&lt;&gt;"",AU$3&gt;=$J29,AU$3&lt;=$M29),1,"")</f>
        <v/>
      </c>
      <c r="AV29">
        <f>IF(AND($A29&lt;&gt;"",AV$3&gt;=$J29,AV$3&lt;=$M29),1,"")</f>
        <v/>
      </c>
      <c r="AW29">
        <f>IF(AND($A29&lt;&gt;"",AW$3&gt;=$J29,AW$3&lt;=$M29),1,"")</f>
        <v/>
      </c>
      <c r="AX29">
        <f>IF(AND($A29&lt;&gt;"",AX$3&gt;=$J29,AX$3&lt;=$M29),1,"")</f>
        <v/>
      </c>
      <c r="AY29">
        <f>IF(AND($A29&lt;&gt;"",AY$3&gt;=$J29,AY$3&lt;=$M29),1,"")</f>
        <v/>
      </c>
      <c r="AZ29">
        <f>IF(AND($A29&lt;&gt;"",AZ$3&gt;=$J29,AZ$3&lt;=$M29),1,"")</f>
        <v/>
      </c>
      <c r="BA29">
        <f>IF(AND($A29&lt;&gt;"",BA$3&gt;=$J29,BA$3&lt;=$M29),1,"")</f>
        <v/>
      </c>
      <c r="BB29">
        <f>IF(AND($A29&lt;&gt;"",BB$3&gt;=$J29,BB$3&lt;=$M29),1,"")</f>
        <v/>
      </c>
      <c r="BC29">
        <f>IF(AND($A29&lt;&gt;"",BC$3&gt;=$J29,BC$3&lt;=$M29),1,"")</f>
        <v/>
      </c>
      <c r="BD29">
        <f>IF(AND($A29&lt;&gt;"",BD$3&gt;=$J29,BD$3&lt;=$M29),1,"")</f>
        <v/>
      </c>
      <c r="BE29">
        <f>IF(AND($A29&lt;&gt;"",BE$3&gt;=$J29,BE$3&lt;=$M29),1,"")</f>
        <v/>
      </c>
      <c r="BF29">
        <f>IF(AND($A29&lt;&gt;"",BF$3&gt;=$J29,BF$3&lt;=$M29),1,"")</f>
        <v/>
      </c>
      <c r="BG29">
        <f>IF(AND($A29&lt;&gt;"",BG$3&gt;=$J29,BG$3&lt;=$M29),1,"")</f>
        <v/>
      </c>
      <c r="BH29">
        <f>IF(AND($A29&lt;&gt;"",BH$3&gt;=$J29,BH$3&lt;=$M29),1,"")</f>
        <v/>
      </c>
      <c r="BI29">
        <f>IF(AND($A29&lt;&gt;"",BI$3&gt;=$J29,BI$3&lt;=$M29),1,"")</f>
        <v/>
      </c>
      <c r="BJ29">
        <f>IF(AND($A29&lt;&gt;"",BJ$3&gt;=$J29,BJ$3&lt;=$M29),1,"")</f>
        <v/>
      </c>
      <c r="BK29">
        <f>IF(AND($A29&lt;&gt;"",BK$3&gt;=$J29,BK$3&lt;=$M29),1,"")</f>
        <v/>
      </c>
      <c r="BL29">
        <f>IF(AND($A29&lt;&gt;"",BL$3&gt;=$J29,BL$3&lt;=$M29),1,"")</f>
        <v/>
      </c>
      <c r="BM29">
        <f>IF(AND($A29&lt;&gt;"",BM$3&gt;=$J29,BM$3&lt;=$M29),1,"")</f>
        <v/>
      </c>
      <c r="BN29">
        <f>IF(AND($A29&lt;&gt;"",BN$3&gt;=$J29,BN$3&lt;=$M29),1,"")</f>
        <v/>
      </c>
      <c r="BO29">
        <f>IF(AND($A29&lt;&gt;"",BO$3&gt;=$J29,BO$3&lt;=$M29),1,"")</f>
        <v/>
      </c>
      <c r="BP29">
        <f>IF(AND($A29&lt;&gt;"",BP$3&gt;=$J29,BP$3&lt;=$M29),1,"")</f>
        <v/>
      </c>
      <c r="BQ29">
        <f>IF(AND($A29&lt;&gt;"",BQ$3&gt;=$J29,BQ$3&lt;=$M29),1,"")</f>
        <v/>
      </c>
      <c r="BR29">
        <f>IF(AND($A29&lt;&gt;"",BR$3&gt;=$J29,BR$3&lt;=$M29),1,"")</f>
        <v/>
      </c>
      <c r="BS29">
        <f>IF(AND($A29&lt;&gt;"",BS$3&gt;=$J29,BS$3&lt;=$M29),1,"")</f>
        <v/>
      </c>
      <c r="BT29">
        <f>IF(AND($A29&lt;&gt;"",BT$3&gt;=$J29,BT$3&lt;=$M29),1,"")</f>
        <v/>
      </c>
      <c r="BU29">
        <f>IF(AND($A29&lt;&gt;"",BU$3&gt;=$J29,BU$3&lt;=$M29),1,"")</f>
        <v/>
      </c>
      <c r="BV29">
        <f>IF(AND($A29&lt;&gt;"",BV$3&gt;=$J29,BV$3&lt;=$M29),1,"")</f>
        <v/>
      </c>
    </row>
    <row r="30">
      <c r="A30">
        <f>IF(Job_Master_Ring!$A30="","",Job_Master_Ring!$A30)</f>
        <v/>
      </c>
      <c r="B30">
        <f>IF($A30="","",Job_Master_Ring!B30)</f>
        <v/>
      </c>
      <c r="C30">
        <f>IF($A30="","",Job_Master_Ring!C30)</f>
        <v/>
      </c>
      <c r="D30">
        <f>IF($A30="","",Job_Master_Ring!D30)</f>
        <v/>
      </c>
      <c r="E30">
        <f>IF($A30="","",IF($I30&lt;&gt;"",$I30,IFERROR(INDEX(Machine_List!$B$50:$B$63,MATCH(1,(Machine_List!$H$50:$H$63&lt;=IFERROR(VLOOKUP($B30,CHOOSE(MATCH($C30,Settings!$L$4:$L$10,0),OPR_BR1!$A$4:$K$18,OPR_BR2!$A$4:$K$18,OPR_CR2!$A$4:$K$18,OPR_CR3!$A$4:$K$18,OPR_CR4!$A$4:$K$18,OPR_RIM!$A$4:$K$18,OPR_BPR!$A$4:$K$18),10,0),0))*(Machine_List!$I$50:$I$63&gt;=IFERROR(VLOOKUP($B30,CHOOSE(MATCH($C30,Settings!$L$4:$L$10,0),OPR_BR1!$A$4:$K$18,OPR_BR2!$A$4:$K$18,OPR_CR2!$A$4:$K$18,OPR_CR3!$A$4:$K$18,OPR_CR4!$A$4:$K$18,OPR_RIM!$A$4:$K$18,OPR_BPR!$A$4:$K$18),11,0),9999)),0)),"NO COMPATIBLE MACHINE")))</f>
        <v/>
      </c>
      <c r="F30">
        <f>IF($E30="","",IFERROR(VLOOKUP($E30,Machine_List!$B:$G,6,0),""))</f>
        <v/>
      </c>
      <c r="G30" s="17">
        <f>IF($E30="","",IFERROR(VLOOKUP($E30,Machine_List!$B:$C,2,0),""))</f>
        <v/>
      </c>
      <c r="H30">
        <f>IF($E30="","",IFERROR(VLOOKUP($E30,Machine_List!$B:$D,3,0),""))</f>
        <v/>
      </c>
      <c r="J30" s="16">
        <f>IF($A30="","",IF($I30&lt;&gt;"",$I30,MAX(CNC_Plan!$M30,IFERROR(LOOKUP(2,1/($E$3:INDIRECT("E"&amp;(ROW()-1))=$E30),$M$3:INDIRECT("M"&amp;(ROW()-1))),CNC_Plan!$M30))))</f>
        <v/>
      </c>
      <c r="K30">
        <f>IF($A30="","",IFERROR(VLOOKUP(B30,CHOOSE(MATCH($C30,Settings!$L$4:$L$10,0),OPR_BR1!$A$4:$I$18,OPR_BR2!$A$4:$I$18,OPR_CR2!$A$4:$I$18,OPR_CR3!$A$4:$I$18,OPR_CR4!$A$4:$I$18,OPR_RIM!$A$4:$I$18,OPR_BPR!$A$4:$I$18),6,0),0))</f>
        <v/>
      </c>
      <c r="L30">
        <f>IF($A30="","",K30*D30)</f>
        <v/>
      </c>
      <c r="M30" s="16">
        <f>IF($A30="","",IF(AND(ISNUMBER(G30),G30&gt;=J30,G30&lt;=(J30+(L30/(IF(F30="Contract Workman",Settings!$K$5,Settings!$K$4))))),J30+(L30/(IF(F30="Contract Workman",Settings!$K$5,Settings!$K$4)))+(H30/(IF(F30="Contract Workman",Settings!$K$5,Settings!$K$4))),J30+(L30/(IF(F30="Contract Workman",Settings!$K$5,Settings!$K$4)))))</f>
        <v/>
      </c>
      <c r="N30">
        <f>IF($A30="","",IF(F30="Contract Workman",IF(AND(MOD(M30,1)&gt;=8/24,MOD(M30,1)&lt;20/24),"Shift S1","Shift S2"),IF(AND(MOD(M30,1)&gt;=7/24,MOD(M30,1)&lt;15/24),"Shift A",IF(AND(MOD(M30,1)&gt;=15/24,MOD(M30,1)&lt;23/24),"Shift B","Shift C"))))</f>
        <v/>
      </c>
      <c r="O30">
        <f>IF(B30="","",IF(IFERROR(ISNUMBER(SEARCH(TEXT(B30,"0"),VLOOKUP(E30,Machine_List!$B:$J,9,0))),FALSE),"✅ "&amp; E30,"❌ Sug: "&amp;IFERROR(INDEX(Machine_List!$B$50:$B$63,MATCH(1,(Machine_List!$H$50:$H$63&lt;=IFERROR(VLOOKUP($B30,OPR_BR1!$A$4:$K$18,10,0),0))*(Machine_List!$I$50:$I$63&gt;=IFERROR(VLOOKUP($B30,OPR_BR1!$A$4:$K$18,11,0),9999)),0)),"?")))</f>
        <v/>
      </c>
      <c r="P30">
        <f>IF(AND($A30&lt;&gt;"",P$3&gt;=$J30,P$3&lt;=$M30),1,"")</f>
        <v/>
      </c>
      <c r="Q30">
        <f>IF(AND($A30&lt;&gt;"",Q$3&gt;=$J30,Q$3&lt;=$M30),1,"")</f>
        <v/>
      </c>
      <c r="R30">
        <f>IF(AND($A30&lt;&gt;"",R$3&gt;=$J30,R$3&lt;=$M30),1,"")</f>
        <v/>
      </c>
      <c r="S30">
        <f>IF(AND($A30&lt;&gt;"",S$3&gt;=$J30,S$3&lt;=$M30),1,"")</f>
        <v/>
      </c>
      <c r="T30">
        <f>IF(AND($A30&lt;&gt;"",T$3&gt;=$J30,T$3&lt;=$M30),1,"")</f>
        <v/>
      </c>
      <c r="U30">
        <f>IF(AND($A30&lt;&gt;"",U$3&gt;=$J30,U$3&lt;=$M30),1,"")</f>
        <v/>
      </c>
      <c r="V30">
        <f>IF(AND($A30&lt;&gt;"",V$3&gt;=$J30,V$3&lt;=$M30),1,"")</f>
        <v/>
      </c>
      <c r="W30">
        <f>IF(AND($A30&lt;&gt;"",W$3&gt;=$J30,W$3&lt;=$M30),1,"")</f>
        <v/>
      </c>
      <c r="X30">
        <f>IF(AND($A30&lt;&gt;"",X$3&gt;=$J30,X$3&lt;=$M30),1,"")</f>
        <v/>
      </c>
      <c r="Y30">
        <f>IF(AND($A30&lt;&gt;"",Y$3&gt;=$J30,Y$3&lt;=$M30),1,"")</f>
        <v/>
      </c>
      <c r="Z30">
        <f>IF(AND($A30&lt;&gt;"",Z$3&gt;=$J30,Z$3&lt;=$M30),1,"")</f>
        <v/>
      </c>
      <c r="AA30">
        <f>IF(AND($A30&lt;&gt;"",AA$3&gt;=$J30,AA$3&lt;=$M30),1,"")</f>
        <v/>
      </c>
      <c r="AB30">
        <f>IF(AND($A30&lt;&gt;"",AB$3&gt;=$J30,AB$3&lt;=$M30),1,"")</f>
        <v/>
      </c>
      <c r="AC30">
        <f>IF(AND($A30&lt;&gt;"",AC$3&gt;=$J30,AC$3&lt;=$M30),1,"")</f>
        <v/>
      </c>
      <c r="AD30">
        <f>IF(AND($A30&lt;&gt;"",AD$3&gt;=$J30,AD$3&lt;=$M30),1,"")</f>
        <v/>
      </c>
      <c r="AE30">
        <f>IF(AND($A30&lt;&gt;"",AE$3&gt;=$J30,AE$3&lt;=$M30),1,"")</f>
        <v/>
      </c>
      <c r="AF30">
        <f>IF(AND($A30&lt;&gt;"",AF$3&gt;=$J30,AF$3&lt;=$M30),1,"")</f>
        <v/>
      </c>
      <c r="AG30">
        <f>IF(AND($A30&lt;&gt;"",AG$3&gt;=$J30,AG$3&lt;=$M30),1,"")</f>
        <v/>
      </c>
      <c r="AH30">
        <f>IF(AND($A30&lt;&gt;"",AH$3&gt;=$J30,AH$3&lt;=$M30),1,"")</f>
        <v/>
      </c>
      <c r="AI30">
        <f>IF(AND($A30&lt;&gt;"",AI$3&gt;=$J30,AI$3&lt;=$M30),1,"")</f>
        <v/>
      </c>
      <c r="AJ30">
        <f>IF(AND($A30&lt;&gt;"",AJ$3&gt;=$J30,AJ$3&lt;=$M30),1,"")</f>
        <v/>
      </c>
      <c r="AK30">
        <f>IF(AND($A30&lt;&gt;"",AK$3&gt;=$J30,AK$3&lt;=$M30),1,"")</f>
        <v/>
      </c>
      <c r="AL30">
        <f>IF(AND($A30&lt;&gt;"",AL$3&gt;=$J30,AL$3&lt;=$M30),1,"")</f>
        <v/>
      </c>
      <c r="AM30">
        <f>IF(AND($A30&lt;&gt;"",AM$3&gt;=$J30,AM$3&lt;=$M30),1,"")</f>
        <v/>
      </c>
      <c r="AN30">
        <f>IF(AND($A30&lt;&gt;"",AN$3&gt;=$J30,AN$3&lt;=$M30),1,"")</f>
        <v/>
      </c>
      <c r="AO30">
        <f>IF(AND($A30&lt;&gt;"",AO$3&gt;=$J30,AO$3&lt;=$M30),1,"")</f>
        <v/>
      </c>
      <c r="AP30">
        <f>IF(AND($A30&lt;&gt;"",AP$3&gt;=$J30,AP$3&lt;=$M30),1,"")</f>
        <v/>
      </c>
      <c r="AQ30">
        <f>IF(AND($A30&lt;&gt;"",AQ$3&gt;=$J30,AQ$3&lt;=$M30),1,"")</f>
        <v/>
      </c>
      <c r="AR30">
        <f>IF(AND($A30&lt;&gt;"",AR$3&gt;=$J30,AR$3&lt;=$M30),1,"")</f>
        <v/>
      </c>
      <c r="AS30">
        <f>IF(AND($A30&lt;&gt;"",AS$3&gt;=$J30,AS$3&lt;=$M30),1,"")</f>
        <v/>
      </c>
      <c r="AT30">
        <f>IF(AND($A30&lt;&gt;"",AT$3&gt;=$J30,AT$3&lt;=$M30),1,"")</f>
        <v/>
      </c>
      <c r="AU30">
        <f>IF(AND($A30&lt;&gt;"",AU$3&gt;=$J30,AU$3&lt;=$M30),1,"")</f>
        <v/>
      </c>
      <c r="AV30">
        <f>IF(AND($A30&lt;&gt;"",AV$3&gt;=$J30,AV$3&lt;=$M30),1,"")</f>
        <v/>
      </c>
      <c r="AW30">
        <f>IF(AND($A30&lt;&gt;"",AW$3&gt;=$J30,AW$3&lt;=$M30),1,"")</f>
        <v/>
      </c>
      <c r="AX30">
        <f>IF(AND($A30&lt;&gt;"",AX$3&gt;=$J30,AX$3&lt;=$M30),1,"")</f>
        <v/>
      </c>
      <c r="AY30">
        <f>IF(AND($A30&lt;&gt;"",AY$3&gt;=$J30,AY$3&lt;=$M30),1,"")</f>
        <v/>
      </c>
      <c r="AZ30">
        <f>IF(AND($A30&lt;&gt;"",AZ$3&gt;=$J30,AZ$3&lt;=$M30),1,"")</f>
        <v/>
      </c>
      <c r="BA30">
        <f>IF(AND($A30&lt;&gt;"",BA$3&gt;=$J30,BA$3&lt;=$M30),1,"")</f>
        <v/>
      </c>
      <c r="BB30">
        <f>IF(AND($A30&lt;&gt;"",BB$3&gt;=$J30,BB$3&lt;=$M30),1,"")</f>
        <v/>
      </c>
      <c r="BC30">
        <f>IF(AND($A30&lt;&gt;"",BC$3&gt;=$J30,BC$3&lt;=$M30),1,"")</f>
        <v/>
      </c>
      <c r="BD30">
        <f>IF(AND($A30&lt;&gt;"",BD$3&gt;=$J30,BD$3&lt;=$M30),1,"")</f>
        <v/>
      </c>
      <c r="BE30">
        <f>IF(AND($A30&lt;&gt;"",BE$3&gt;=$J30,BE$3&lt;=$M30),1,"")</f>
        <v/>
      </c>
      <c r="BF30">
        <f>IF(AND($A30&lt;&gt;"",BF$3&gt;=$J30,BF$3&lt;=$M30),1,"")</f>
        <v/>
      </c>
      <c r="BG30">
        <f>IF(AND($A30&lt;&gt;"",BG$3&gt;=$J30,BG$3&lt;=$M30),1,"")</f>
        <v/>
      </c>
      <c r="BH30">
        <f>IF(AND($A30&lt;&gt;"",BH$3&gt;=$J30,BH$3&lt;=$M30),1,"")</f>
        <v/>
      </c>
      <c r="BI30">
        <f>IF(AND($A30&lt;&gt;"",BI$3&gt;=$J30,BI$3&lt;=$M30),1,"")</f>
        <v/>
      </c>
      <c r="BJ30">
        <f>IF(AND($A30&lt;&gt;"",BJ$3&gt;=$J30,BJ$3&lt;=$M30),1,"")</f>
        <v/>
      </c>
      <c r="BK30">
        <f>IF(AND($A30&lt;&gt;"",BK$3&gt;=$J30,BK$3&lt;=$M30),1,"")</f>
        <v/>
      </c>
      <c r="BL30">
        <f>IF(AND($A30&lt;&gt;"",BL$3&gt;=$J30,BL$3&lt;=$M30),1,"")</f>
        <v/>
      </c>
      <c r="BM30">
        <f>IF(AND($A30&lt;&gt;"",BM$3&gt;=$J30,BM$3&lt;=$M30),1,"")</f>
        <v/>
      </c>
      <c r="BN30">
        <f>IF(AND($A30&lt;&gt;"",BN$3&gt;=$J30,BN$3&lt;=$M30),1,"")</f>
        <v/>
      </c>
      <c r="BO30">
        <f>IF(AND($A30&lt;&gt;"",BO$3&gt;=$J30,BO$3&lt;=$M30),1,"")</f>
        <v/>
      </c>
      <c r="BP30">
        <f>IF(AND($A30&lt;&gt;"",BP$3&gt;=$J30,BP$3&lt;=$M30),1,"")</f>
        <v/>
      </c>
      <c r="BQ30">
        <f>IF(AND($A30&lt;&gt;"",BQ$3&gt;=$J30,BQ$3&lt;=$M30),1,"")</f>
        <v/>
      </c>
      <c r="BR30">
        <f>IF(AND($A30&lt;&gt;"",BR$3&gt;=$J30,BR$3&lt;=$M30),1,"")</f>
        <v/>
      </c>
      <c r="BS30">
        <f>IF(AND($A30&lt;&gt;"",BS$3&gt;=$J30,BS$3&lt;=$M30),1,"")</f>
        <v/>
      </c>
      <c r="BT30">
        <f>IF(AND($A30&lt;&gt;"",BT$3&gt;=$J30,BT$3&lt;=$M30),1,"")</f>
        <v/>
      </c>
      <c r="BU30">
        <f>IF(AND($A30&lt;&gt;"",BU$3&gt;=$J30,BU$3&lt;=$M30),1,"")</f>
        <v/>
      </c>
      <c r="BV30">
        <f>IF(AND($A30&lt;&gt;"",BV$3&gt;=$J30,BV$3&lt;=$M30),1,"")</f>
        <v/>
      </c>
    </row>
    <row r="31">
      <c r="A31">
        <f>IF(Job_Master_Ring!$A31="","",Job_Master_Ring!$A31)</f>
        <v/>
      </c>
      <c r="B31">
        <f>IF($A31="","",Job_Master_Ring!B31)</f>
        <v/>
      </c>
      <c r="C31">
        <f>IF($A31="","",Job_Master_Ring!C31)</f>
        <v/>
      </c>
      <c r="D31">
        <f>IF($A31="","",Job_Master_Ring!D31)</f>
        <v/>
      </c>
      <c r="E31">
        <f>IF($A31="","",IF($I31&lt;&gt;"",$I31,IFERROR(INDEX(Machine_List!$B$50:$B$63,MATCH(1,(Machine_List!$H$50:$H$63&lt;=IFERROR(VLOOKUP($B31,CHOOSE(MATCH($C31,Settings!$L$4:$L$10,0),OPR_BR1!$A$4:$K$18,OPR_BR2!$A$4:$K$18,OPR_CR2!$A$4:$K$18,OPR_CR3!$A$4:$K$18,OPR_CR4!$A$4:$K$18,OPR_RIM!$A$4:$K$18,OPR_BPR!$A$4:$K$18),10,0),0))*(Machine_List!$I$50:$I$63&gt;=IFERROR(VLOOKUP($B31,CHOOSE(MATCH($C31,Settings!$L$4:$L$10,0),OPR_BR1!$A$4:$K$18,OPR_BR2!$A$4:$K$18,OPR_CR2!$A$4:$K$18,OPR_CR3!$A$4:$K$18,OPR_CR4!$A$4:$K$18,OPR_RIM!$A$4:$K$18,OPR_BPR!$A$4:$K$18),11,0),9999)),0)),"NO COMPATIBLE MACHINE")))</f>
        <v/>
      </c>
      <c r="F31">
        <f>IF($E31="","",IFERROR(VLOOKUP($E31,Machine_List!$B:$G,6,0),""))</f>
        <v/>
      </c>
      <c r="G31" s="17">
        <f>IF($E31="","",IFERROR(VLOOKUP($E31,Machine_List!$B:$C,2,0),""))</f>
        <v/>
      </c>
      <c r="H31">
        <f>IF($E31="","",IFERROR(VLOOKUP($E31,Machine_List!$B:$D,3,0),""))</f>
        <v/>
      </c>
      <c r="J31" s="16">
        <f>IF($A31="","",IF($I31&lt;&gt;"",$I31,MAX(CNC_Plan!$M31,IFERROR(LOOKUP(2,1/($E$3:INDIRECT("E"&amp;(ROW()-1))=$E31),$M$3:INDIRECT("M"&amp;(ROW()-1))),CNC_Plan!$M31))))</f>
        <v/>
      </c>
      <c r="K31">
        <f>IF($A31="","",IFERROR(VLOOKUP(B31,CHOOSE(MATCH($C31,Settings!$L$4:$L$10,0),OPR_BR1!$A$4:$I$18,OPR_BR2!$A$4:$I$18,OPR_CR2!$A$4:$I$18,OPR_CR3!$A$4:$I$18,OPR_CR4!$A$4:$I$18,OPR_RIM!$A$4:$I$18,OPR_BPR!$A$4:$I$18),6,0),0))</f>
        <v/>
      </c>
      <c r="L31">
        <f>IF($A31="","",K31*D31)</f>
        <v/>
      </c>
      <c r="M31" s="16">
        <f>IF($A31="","",IF(AND(ISNUMBER(G31),G31&gt;=J31,G31&lt;=(J31+(L31/(IF(F31="Contract Workman",Settings!$K$5,Settings!$K$4))))),J31+(L31/(IF(F31="Contract Workman",Settings!$K$5,Settings!$K$4)))+(H31/(IF(F31="Contract Workman",Settings!$K$5,Settings!$K$4))),J31+(L31/(IF(F31="Contract Workman",Settings!$K$5,Settings!$K$4)))))</f>
        <v/>
      </c>
      <c r="N31">
        <f>IF($A31="","",IF(F31="Contract Workman",IF(AND(MOD(M31,1)&gt;=8/24,MOD(M31,1)&lt;20/24),"Shift S1","Shift S2"),IF(AND(MOD(M31,1)&gt;=7/24,MOD(M31,1)&lt;15/24),"Shift A",IF(AND(MOD(M31,1)&gt;=15/24,MOD(M31,1)&lt;23/24),"Shift B","Shift C"))))</f>
        <v/>
      </c>
      <c r="O31">
        <f>IF(B31="","",IF(IFERROR(ISNUMBER(SEARCH(TEXT(B31,"0"),VLOOKUP(E31,Machine_List!$B:$J,9,0))),FALSE),"✅ "&amp; E31,"❌ Sug: "&amp;IFERROR(INDEX(Machine_List!$B$50:$B$63,MATCH(1,(Machine_List!$H$50:$H$63&lt;=IFERROR(VLOOKUP($B31,OPR_BR1!$A$4:$K$18,10,0),0))*(Machine_List!$I$50:$I$63&gt;=IFERROR(VLOOKUP($B31,OPR_BR1!$A$4:$K$18,11,0),9999)),0)),"?")))</f>
        <v/>
      </c>
      <c r="P31">
        <f>IF(AND($A31&lt;&gt;"",P$3&gt;=$J31,P$3&lt;=$M31),1,"")</f>
        <v/>
      </c>
      <c r="Q31">
        <f>IF(AND($A31&lt;&gt;"",Q$3&gt;=$J31,Q$3&lt;=$M31),1,"")</f>
        <v/>
      </c>
      <c r="R31">
        <f>IF(AND($A31&lt;&gt;"",R$3&gt;=$J31,R$3&lt;=$M31),1,"")</f>
        <v/>
      </c>
      <c r="S31">
        <f>IF(AND($A31&lt;&gt;"",S$3&gt;=$J31,S$3&lt;=$M31),1,"")</f>
        <v/>
      </c>
      <c r="T31">
        <f>IF(AND($A31&lt;&gt;"",T$3&gt;=$J31,T$3&lt;=$M31),1,"")</f>
        <v/>
      </c>
      <c r="U31">
        <f>IF(AND($A31&lt;&gt;"",U$3&gt;=$J31,U$3&lt;=$M31),1,"")</f>
        <v/>
      </c>
      <c r="V31">
        <f>IF(AND($A31&lt;&gt;"",V$3&gt;=$J31,V$3&lt;=$M31),1,"")</f>
        <v/>
      </c>
      <c r="W31">
        <f>IF(AND($A31&lt;&gt;"",W$3&gt;=$J31,W$3&lt;=$M31),1,"")</f>
        <v/>
      </c>
      <c r="X31">
        <f>IF(AND($A31&lt;&gt;"",X$3&gt;=$J31,X$3&lt;=$M31),1,"")</f>
        <v/>
      </c>
      <c r="Y31">
        <f>IF(AND($A31&lt;&gt;"",Y$3&gt;=$J31,Y$3&lt;=$M31),1,"")</f>
        <v/>
      </c>
      <c r="Z31">
        <f>IF(AND($A31&lt;&gt;"",Z$3&gt;=$J31,Z$3&lt;=$M31),1,"")</f>
        <v/>
      </c>
      <c r="AA31">
        <f>IF(AND($A31&lt;&gt;"",AA$3&gt;=$J31,AA$3&lt;=$M31),1,"")</f>
        <v/>
      </c>
      <c r="AB31">
        <f>IF(AND($A31&lt;&gt;"",AB$3&gt;=$J31,AB$3&lt;=$M31),1,"")</f>
        <v/>
      </c>
      <c r="AC31">
        <f>IF(AND($A31&lt;&gt;"",AC$3&gt;=$J31,AC$3&lt;=$M31),1,"")</f>
        <v/>
      </c>
      <c r="AD31">
        <f>IF(AND($A31&lt;&gt;"",AD$3&gt;=$J31,AD$3&lt;=$M31),1,"")</f>
        <v/>
      </c>
      <c r="AE31">
        <f>IF(AND($A31&lt;&gt;"",AE$3&gt;=$J31,AE$3&lt;=$M31),1,"")</f>
        <v/>
      </c>
      <c r="AF31">
        <f>IF(AND($A31&lt;&gt;"",AF$3&gt;=$J31,AF$3&lt;=$M31),1,"")</f>
        <v/>
      </c>
      <c r="AG31">
        <f>IF(AND($A31&lt;&gt;"",AG$3&gt;=$J31,AG$3&lt;=$M31),1,"")</f>
        <v/>
      </c>
      <c r="AH31">
        <f>IF(AND($A31&lt;&gt;"",AH$3&gt;=$J31,AH$3&lt;=$M31),1,"")</f>
        <v/>
      </c>
      <c r="AI31">
        <f>IF(AND($A31&lt;&gt;"",AI$3&gt;=$J31,AI$3&lt;=$M31),1,"")</f>
        <v/>
      </c>
      <c r="AJ31">
        <f>IF(AND($A31&lt;&gt;"",AJ$3&gt;=$J31,AJ$3&lt;=$M31),1,"")</f>
        <v/>
      </c>
      <c r="AK31">
        <f>IF(AND($A31&lt;&gt;"",AK$3&gt;=$J31,AK$3&lt;=$M31),1,"")</f>
        <v/>
      </c>
      <c r="AL31">
        <f>IF(AND($A31&lt;&gt;"",AL$3&gt;=$J31,AL$3&lt;=$M31),1,"")</f>
        <v/>
      </c>
      <c r="AM31">
        <f>IF(AND($A31&lt;&gt;"",AM$3&gt;=$J31,AM$3&lt;=$M31),1,"")</f>
        <v/>
      </c>
      <c r="AN31">
        <f>IF(AND($A31&lt;&gt;"",AN$3&gt;=$J31,AN$3&lt;=$M31),1,"")</f>
        <v/>
      </c>
      <c r="AO31">
        <f>IF(AND($A31&lt;&gt;"",AO$3&gt;=$J31,AO$3&lt;=$M31),1,"")</f>
        <v/>
      </c>
      <c r="AP31">
        <f>IF(AND($A31&lt;&gt;"",AP$3&gt;=$J31,AP$3&lt;=$M31),1,"")</f>
        <v/>
      </c>
      <c r="AQ31">
        <f>IF(AND($A31&lt;&gt;"",AQ$3&gt;=$J31,AQ$3&lt;=$M31),1,"")</f>
        <v/>
      </c>
      <c r="AR31">
        <f>IF(AND($A31&lt;&gt;"",AR$3&gt;=$J31,AR$3&lt;=$M31),1,"")</f>
        <v/>
      </c>
      <c r="AS31">
        <f>IF(AND($A31&lt;&gt;"",AS$3&gt;=$J31,AS$3&lt;=$M31),1,"")</f>
        <v/>
      </c>
      <c r="AT31">
        <f>IF(AND($A31&lt;&gt;"",AT$3&gt;=$J31,AT$3&lt;=$M31),1,"")</f>
        <v/>
      </c>
      <c r="AU31">
        <f>IF(AND($A31&lt;&gt;"",AU$3&gt;=$J31,AU$3&lt;=$M31),1,"")</f>
        <v/>
      </c>
      <c r="AV31">
        <f>IF(AND($A31&lt;&gt;"",AV$3&gt;=$J31,AV$3&lt;=$M31),1,"")</f>
        <v/>
      </c>
      <c r="AW31">
        <f>IF(AND($A31&lt;&gt;"",AW$3&gt;=$J31,AW$3&lt;=$M31),1,"")</f>
        <v/>
      </c>
      <c r="AX31">
        <f>IF(AND($A31&lt;&gt;"",AX$3&gt;=$J31,AX$3&lt;=$M31),1,"")</f>
        <v/>
      </c>
      <c r="AY31">
        <f>IF(AND($A31&lt;&gt;"",AY$3&gt;=$J31,AY$3&lt;=$M31),1,"")</f>
        <v/>
      </c>
      <c r="AZ31">
        <f>IF(AND($A31&lt;&gt;"",AZ$3&gt;=$J31,AZ$3&lt;=$M31),1,"")</f>
        <v/>
      </c>
      <c r="BA31">
        <f>IF(AND($A31&lt;&gt;"",BA$3&gt;=$J31,BA$3&lt;=$M31),1,"")</f>
        <v/>
      </c>
      <c r="BB31">
        <f>IF(AND($A31&lt;&gt;"",BB$3&gt;=$J31,BB$3&lt;=$M31),1,"")</f>
        <v/>
      </c>
      <c r="BC31">
        <f>IF(AND($A31&lt;&gt;"",BC$3&gt;=$J31,BC$3&lt;=$M31),1,"")</f>
        <v/>
      </c>
      <c r="BD31">
        <f>IF(AND($A31&lt;&gt;"",BD$3&gt;=$J31,BD$3&lt;=$M31),1,"")</f>
        <v/>
      </c>
      <c r="BE31">
        <f>IF(AND($A31&lt;&gt;"",BE$3&gt;=$J31,BE$3&lt;=$M31),1,"")</f>
        <v/>
      </c>
      <c r="BF31">
        <f>IF(AND($A31&lt;&gt;"",BF$3&gt;=$J31,BF$3&lt;=$M31),1,"")</f>
        <v/>
      </c>
      <c r="BG31">
        <f>IF(AND($A31&lt;&gt;"",BG$3&gt;=$J31,BG$3&lt;=$M31),1,"")</f>
        <v/>
      </c>
      <c r="BH31">
        <f>IF(AND($A31&lt;&gt;"",BH$3&gt;=$J31,BH$3&lt;=$M31),1,"")</f>
        <v/>
      </c>
      <c r="BI31">
        <f>IF(AND($A31&lt;&gt;"",BI$3&gt;=$J31,BI$3&lt;=$M31),1,"")</f>
        <v/>
      </c>
      <c r="BJ31">
        <f>IF(AND($A31&lt;&gt;"",BJ$3&gt;=$J31,BJ$3&lt;=$M31),1,"")</f>
        <v/>
      </c>
      <c r="BK31">
        <f>IF(AND($A31&lt;&gt;"",BK$3&gt;=$J31,BK$3&lt;=$M31),1,"")</f>
        <v/>
      </c>
      <c r="BL31">
        <f>IF(AND($A31&lt;&gt;"",BL$3&gt;=$J31,BL$3&lt;=$M31),1,"")</f>
        <v/>
      </c>
      <c r="BM31">
        <f>IF(AND($A31&lt;&gt;"",BM$3&gt;=$J31,BM$3&lt;=$M31),1,"")</f>
        <v/>
      </c>
      <c r="BN31">
        <f>IF(AND($A31&lt;&gt;"",BN$3&gt;=$J31,BN$3&lt;=$M31),1,"")</f>
        <v/>
      </c>
      <c r="BO31">
        <f>IF(AND($A31&lt;&gt;"",BO$3&gt;=$J31,BO$3&lt;=$M31),1,"")</f>
        <v/>
      </c>
      <c r="BP31">
        <f>IF(AND($A31&lt;&gt;"",BP$3&gt;=$J31,BP$3&lt;=$M31),1,"")</f>
        <v/>
      </c>
      <c r="BQ31">
        <f>IF(AND($A31&lt;&gt;"",BQ$3&gt;=$J31,BQ$3&lt;=$M31),1,"")</f>
        <v/>
      </c>
      <c r="BR31">
        <f>IF(AND($A31&lt;&gt;"",BR$3&gt;=$J31,BR$3&lt;=$M31),1,"")</f>
        <v/>
      </c>
      <c r="BS31">
        <f>IF(AND($A31&lt;&gt;"",BS$3&gt;=$J31,BS$3&lt;=$M31),1,"")</f>
        <v/>
      </c>
      <c r="BT31">
        <f>IF(AND($A31&lt;&gt;"",BT$3&gt;=$J31,BT$3&lt;=$M31),1,"")</f>
        <v/>
      </c>
      <c r="BU31">
        <f>IF(AND($A31&lt;&gt;"",BU$3&gt;=$J31,BU$3&lt;=$M31),1,"")</f>
        <v/>
      </c>
      <c r="BV31">
        <f>IF(AND($A31&lt;&gt;"",BV$3&gt;=$J31,BV$3&lt;=$M31),1,"")</f>
        <v/>
      </c>
    </row>
    <row r="32">
      <c r="A32">
        <f>IF(Job_Master_Ring!$A32="","",Job_Master_Ring!$A32)</f>
        <v/>
      </c>
      <c r="B32">
        <f>IF($A32="","",Job_Master_Ring!B32)</f>
        <v/>
      </c>
      <c r="C32">
        <f>IF($A32="","",Job_Master_Ring!C32)</f>
        <v/>
      </c>
      <c r="D32">
        <f>IF($A32="","",Job_Master_Ring!D32)</f>
        <v/>
      </c>
      <c r="E32">
        <f>IF($A32="","",IF($I32&lt;&gt;"",$I32,IFERROR(INDEX(Machine_List!$B$50:$B$63,MATCH(1,(Machine_List!$H$50:$H$63&lt;=IFERROR(VLOOKUP($B32,CHOOSE(MATCH($C32,Settings!$L$4:$L$10,0),OPR_BR1!$A$4:$K$18,OPR_BR2!$A$4:$K$18,OPR_CR2!$A$4:$K$18,OPR_CR3!$A$4:$K$18,OPR_CR4!$A$4:$K$18,OPR_RIM!$A$4:$K$18,OPR_BPR!$A$4:$K$18),10,0),0))*(Machine_List!$I$50:$I$63&gt;=IFERROR(VLOOKUP($B32,CHOOSE(MATCH($C32,Settings!$L$4:$L$10,0),OPR_BR1!$A$4:$K$18,OPR_BR2!$A$4:$K$18,OPR_CR2!$A$4:$K$18,OPR_CR3!$A$4:$K$18,OPR_CR4!$A$4:$K$18,OPR_RIM!$A$4:$K$18,OPR_BPR!$A$4:$K$18),11,0),9999)),0)),"NO COMPATIBLE MACHINE")))</f>
        <v/>
      </c>
      <c r="F32">
        <f>IF($E32="","",IFERROR(VLOOKUP($E32,Machine_List!$B:$G,6,0),""))</f>
        <v/>
      </c>
      <c r="G32" s="17">
        <f>IF($E32="","",IFERROR(VLOOKUP($E32,Machine_List!$B:$C,2,0),""))</f>
        <v/>
      </c>
      <c r="H32">
        <f>IF($E32="","",IFERROR(VLOOKUP($E32,Machine_List!$B:$D,3,0),""))</f>
        <v/>
      </c>
      <c r="J32" s="16">
        <f>IF($A32="","",IF($I32&lt;&gt;"",$I32,MAX(CNC_Plan!$M32,IFERROR(LOOKUP(2,1/($E$3:INDIRECT("E"&amp;(ROW()-1))=$E32),$M$3:INDIRECT("M"&amp;(ROW()-1))),CNC_Plan!$M32))))</f>
        <v/>
      </c>
      <c r="K32">
        <f>IF($A32="","",IFERROR(VLOOKUP(B32,CHOOSE(MATCH($C32,Settings!$L$4:$L$10,0),OPR_BR1!$A$4:$I$18,OPR_BR2!$A$4:$I$18,OPR_CR2!$A$4:$I$18,OPR_CR3!$A$4:$I$18,OPR_CR4!$A$4:$I$18,OPR_RIM!$A$4:$I$18,OPR_BPR!$A$4:$I$18),6,0),0))</f>
        <v/>
      </c>
      <c r="L32">
        <f>IF($A32="","",K32*D32)</f>
        <v/>
      </c>
      <c r="M32" s="16">
        <f>IF($A32="","",IF(AND(ISNUMBER(G32),G32&gt;=J32,G32&lt;=(J32+(L32/(IF(F32="Contract Workman",Settings!$K$5,Settings!$K$4))))),J32+(L32/(IF(F32="Contract Workman",Settings!$K$5,Settings!$K$4)))+(H32/(IF(F32="Contract Workman",Settings!$K$5,Settings!$K$4))),J32+(L32/(IF(F32="Contract Workman",Settings!$K$5,Settings!$K$4)))))</f>
        <v/>
      </c>
      <c r="N32">
        <f>IF($A32="","",IF(F32="Contract Workman",IF(AND(MOD(M32,1)&gt;=8/24,MOD(M32,1)&lt;20/24),"Shift S1","Shift S2"),IF(AND(MOD(M32,1)&gt;=7/24,MOD(M32,1)&lt;15/24),"Shift A",IF(AND(MOD(M32,1)&gt;=15/24,MOD(M32,1)&lt;23/24),"Shift B","Shift C"))))</f>
        <v/>
      </c>
      <c r="O32">
        <f>IF(B32="","",IF(IFERROR(ISNUMBER(SEARCH(TEXT(B32,"0"),VLOOKUP(E32,Machine_List!$B:$J,9,0))),FALSE),"✅ "&amp; E32,"❌ Sug: "&amp;IFERROR(INDEX(Machine_List!$B$50:$B$63,MATCH(1,(Machine_List!$H$50:$H$63&lt;=IFERROR(VLOOKUP($B32,OPR_BR1!$A$4:$K$18,10,0),0))*(Machine_List!$I$50:$I$63&gt;=IFERROR(VLOOKUP($B32,OPR_BR1!$A$4:$K$18,11,0),9999)),0)),"?")))</f>
        <v/>
      </c>
      <c r="P32">
        <f>IF(AND($A32&lt;&gt;"",P$3&gt;=$J32,P$3&lt;=$M32),1,"")</f>
        <v/>
      </c>
      <c r="Q32">
        <f>IF(AND($A32&lt;&gt;"",Q$3&gt;=$J32,Q$3&lt;=$M32),1,"")</f>
        <v/>
      </c>
      <c r="R32">
        <f>IF(AND($A32&lt;&gt;"",R$3&gt;=$J32,R$3&lt;=$M32),1,"")</f>
        <v/>
      </c>
      <c r="S32">
        <f>IF(AND($A32&lt;&gt;"",S$3&gt;=$J32,S$3&lt;=$M32),1,"")</f>
        <v/>
      </c>
      <c r="T32">
        <f>IF(AND($A32&lt;&gt;"",T$3&gt;=$J32,T$3&lt;=$M32),1,"")</f>
        <v/>
      </c>
      <c r="U32">
        <f>IF(AND($A32&lt;&gt;"",U$3&gt;=$J32,U$3&lt;=$M32),1,"")</f>
        <v/>
      </c>
      <c r="V32">
        <f>IF(AND($A32&lt;&gt;"",V$3&gt;=$J32,V$3&lt;=$M32),1,"")</f>
        <v/>
      </c>
      <c r="W32">
        <f>IF(AND($A32&lt;&gt;"",W$3&gt;=$J32,W$3&lt;=$M32),1,"")</f>
        <v/>
      </c>
      <c r="X32">
        <f>IF(AND($A32&lt;&gt;"",X$3&gt;=$J32,X$3&lt;=$M32),1,"")</f>
        <v/>
      </c>
      <c r="Y32">
        <f>IF(AND($A32&lt;&gt;"",Y$3&gt;=$J32,Y$3&lt;=$M32),1,"")</f>
        <v/>
      </c>
      <c r="Z32">
        <f>IF(AND($A32&lt;&gt;"",Z$3&gt;=$J32,Z$3&lt;=$M32),1,"")</f>
        <v/>
      </c>
      <c r="AA32">
        <f>IF(AND($A32&lt;&gt;"",AA$3&gt;=$J32,AA$3&lt;=$M32),1,"")</f>
        <v/>
      </c>
      <c r="AB32">
        <f>IF(AND($A32&lt;&gt;"",AB$3&gt;=$J32,AB$3&lt;=$M32),1,"")</f>
        <v/>
      </c>
      <c r="AC32">
        <f>IF(AND($A32&lt;&gt;"",AC$3&gt;=$J32,AC$3&lt;=$M32),1,"")</f>
        <v/>
      </c>
      <c r="AD32">
        <f>IF(AND($A32&lt;&gt;"",AD$3&gt;=$J32,AD$3&lt;=$M32),1,"")</f>
        <v/>
      </c>
      <c r="AE32">
        <f>IF(AND($A32&lt;&gt;"",AE$3&gt;=$J32,AE$3&lt;=$M32),1,"")</f>
        <v/>
      </c>
      <c r="AF32">
        <f>IF(AND($A32&lt;&gt;"",AF$3&gt;=$J32,AF$3&lt;=$M32),1,"")</f>
        <v/>
      </c>
      <c r="AG32">
        <f>IF(AND($A32&lt;&gt;"",AG$3&gt;=$J32,AG$3&lt;=$M32),1,"")</f>
        <v/>
      </c>
      <c r="AH32">
        <f>IF(AND($A32&lt;&gt;"",AH$3&gt;=$J32,AH$3&lt;=$M32),1,"")</f>
        <v/>
      </c>
      <c r="AI32">
        <f>IF(AND($A32&lt;&gt;"",AI$3&gt;=$J32,AI$3&lt;=$M32),1,"")</f>
        <v/>
      </c>
      <c r="AJ32">
        <f>IF(AND($A32&lt;&gt;"",AJ$3&gt;=$J32,AJ$3&lt;=$M32),1,"")</f>
        <v/>
      </c>
      <c r="AK32">
        <f>IF(AND($A32&lt;&gt;"",AK$3&gt;=$J32,AK$3&lt;=$M32),1,"")</f>
        <v/>
      </c>
      <c r="AL32">
        <f>IF(AND($A32&lt;&gt;"",AL$3&gt;=$J32,AL$3&lt;=$M32),1,"")</f>
        <v/>
      </c>
      <c r="AM32">
        <f>IF(AND($A32&lt;&gt;"",AM$3&gt;=$J32,AM$3&lt;=$M32),1,"")</f>
        <v/>
      </c>
      <c r="AN32">
        <f>IF(AND($A32&lt;&gt;"",AN$3&gt;=$J32,AN$3&lt;=$M32),1,"")</f>
        <v/>
      </c>
      <c r="AO32">
        <f>IF(AND($A32&lt;&gt;"",AO$3&gt;=$J32,AO$3&lt;=$M32),1,"")</f>
        <v/>
      </c>
      <c r="AP32">
        <f>IF(AND($A32&lt;&gt;"",AP$3&gt;=$J32,AP$3&lt;=$M32),1,"")</f>
        <v/>
      </c>
      <c r="AQ32">
        <f>IF(AND($A32&lt;&gt;"",AQ$3&gt;=$J32,AQ$3&lt;=$M32),1,"")</f>
        <v/>
      </c>
      <c r="AR32">
        <f>IF(AND($A32&lt;&gt;"",AR$3&gt;=$J32,AR$3&lt;=$M32),1,"")</f>
        <v/>
      </c>
      <c r="AS32">
        <f>IF(AND($A32&lt;&gt;"",AS$3&gt;=$J32,AS$3&lt;=$M32),1,"")</f>
        <v/>
      </c>
      <c r="AT32">
        <f>IF(AND($A32&lt;&gt;"",AT$3&gt;=$J32,AT$3&lt;=$M32),1,"")</f>
        <v/>
      </c>
      <c r="AU32">
        <f>IF(AND($A32&lt;&gt;"",AU$3&gt;=$J32,AU$3&lt;=$M32),1,"")</f>
        <v/>
      </c>
      <c r="AV32">
        <f>IF(AND($A32&lt;&gt;"",AV$3&gt;=$J32,AV$3&lt;=$M32),1,"")</f>
        <v/>
      </c>
      <c r="AW32">
        <f>IF(AND($A32&lt;&gt;"",AW$3&gt;=$J32,AW$3&lt;=$M32),1,"")</f>
        <v/>
      </c>
      <c r="AX32">
        <f>IF(AND($A32&lt;&gt;"",AX$3&gt;=$J32,AX$3&lt;=$M32),1,"")</f>
        <v/>
      </c>
      <c r="AY32">
        <f>IF(AND($A32&lt;&gt;"",AY$3&gt;=$J32,AY$3&lt;=$M32),1,"")</f>
        <v/>
      </c>
      <c r="AZ32">
        <f>IF(AND($A32&lt;&gt;"",AZ$3&gt;=$J32,AZ$3&lt;=$M32),1,"")</f>
        <v/>
      </c>
      <c r="BA32">
        <f>IF(AND($A32&lt;&gt;"",BA$3&gt;=$J32,BA$3&lt;=$M32),1,"")</f>
        <v/>
      </c>
      <c r="BB32">
        <f>IF(AND($A32&lt;&gt;"",BB$3&gt;=$J32,BB$3&lt;=$M32),1,"")</f>
        <v/>
      </c>
      <c r="BC32">
        <f>IF(AND($A32&lt;&gt;"",BC$3&gt;=$J32,BC$3&lt;=$M32),1,"")</f>
        <v/>
      </c>
      <c r="BD32">
        <f>IF(AND($A32&lt;&gt;"",BD$3&gt;=$J32,BD$3&lt;=$M32),1,"")</f>
        <v/>
      </c>
      <c r="BE32">
        <f>IF(AND($A32&lt;&gt;"",BE$3&gt;=$J32,BE$3&lt;=$M32),1,"")</f>
        <v/>
      </c>
      <c r="BF32">
        <f>IF(AND($A32&lt;&gt;"",BF$3&gt;=$J32,BF$3&lt;=$M32),1,"")</f>
        <v/>
      </c>
      <c r="BG32">
        <f>IF(AND($A32&lt;&gt;"",BG$3&gt;=$J32,BG$3&lt;=$M32),1,"")</f>
        <v/>
      </c>
      <c r="BH32">
        <f>IF(AND($A32&lt;&gt;"",BH$3&gt;=$J32,BH$3&lt;=$M32),1,"")</f>
        <v/>
      </c>
      <c r="BI32">
        <f>IF(AND($A32&lt;&gt;"",BI$3&gt;=$J32,BI$3&lt;=$M32),1,"")</f>
        <v/>
      </c>
      <c r="BJ32">
        <f>IF(AND($A32&lt;&gt;"",BJ$3&gt;=$J32,BJ$3&lt;=$M32),1,"")</f>
        <v/>
      </c>
      <c r="BK32">
        <f>IF(AND($A32&lt;&gt;"",BK$3&gt;=$J32,BK$3&lt;=$M32),1,"")</f>
        <v/>
      </c>
      <c r="BL32">
        <f>IF(AND($A32&lt;&gt;"",BL$3&gt;=$J32,BL$3&lt;=$M32),1,"")</f>
        <v/>
      </c>
      <c r="BM32">
        <f>IF(AND($A32&lt;&gt;"",BM$3&gt;=$J32,BM$3&lt;=$M32),1,"")</f>
        <v/>
      </c>
      <c r="BN32">
        <f>IF(AND($A32&lt;&gt;"",BN$3&gt;=$J32,BN$3&lt;=$M32),1,"")</f>
        <v/>
      </c>
      <c r="BO32">
        <f>IF(AND($A32&lt;&gt;"",BO$3&gt;=$J32,BO$3&lt;=$M32),1,"")</f>
        <v/>
      </c>
      <c r="BP32">
        <f>IF(AND($A32&lt;&gt;"",BP$3&gt;=$J32,BP$3&lt;=$M32),1,"")</f>
        <v/>
      </c>
      <c r="BQ32">
        <f>IF(AND($A32&lt;&gt;"",BQ$3&gt;=$J32,BQ$3&lt;=$M32),1,"")</f>
        <v/>
      </c>
      <c r="BR32">
        <f>IF(AND($A32&lt;&gt;"",BR$3&gt;=$J32,BR$3&lt;=$M32),1,"")</f>
        <v/>
      </c>
      <c r="BS32">
        <f>IF(AND($A32&lt;&gt;"",BS$3&gt;=$J32,BS$3&lt;=$M32),1,"")</f>
        <v/>
      </c>
      <c r="BT32">
        <f>IF(AND($A32&lt;&gt;"",BT$3&gt;=$J32,BT$3&lt;=$M32),1,"")</f>
        <v/>
      </c>
      <c r="BU32">
        <f>IF(AND($A32&lt;&gt;"",BU$3&gt;=$J32,BU$3&lt;=$M32),1,"")</f>
        <v/>
      </c>
      <c r="BV32">
        <f>IF(AND($A32&lt;&gt;"",BV$3&gt;=$J32,BV$3&lt;=$M32),1,"")</f>
        <v/>
      </c>
    </row>
    <row r="33">
      <c r="A33">
        <f>IF(Job_Master_Ring!$A33="","",Job_Master_Ring!$A33)</f>
        <v/>
      </c>
      <c r="B33">
        <f>IF($A33="","",Job_Master_Ring!B33)</f>
        <v/>
      </c>
      <c r="C33">
        <f>IF($A33="","",Job_Master_Ring!C33)</f>
        <v/>
      </c>
      <c r="D33">
        <f>IF($A33="","",Job_Master_Ring!D33)</f>
        <v/>
      </c>
      <c r="E33">
        <f>IF($A33="","",IF($I33&lt;&gt;"",$I33,IFERROR(INDEX(Machine_List!$B$50:$B$63,MATCH(1,(Machine_List!$H$50:$H$63&lt;=IFERROR(VLOOKUP($B33,CHOOSE(MATCH($C33,Settings!$L$4:$L$10,0),OPR_BR1!$A$4:$K$18,OPR_BR2!$A$4:$K$18,OPR_CR2!$A$4:$K$18,OPR_CR3!$A$4:$K$18,OPR_CR4!$A$4:$K$18,OPR_RIM!$A$4:$K$18,OPR_BPR!$A$4:$K$18),10,0),0))*(Machine_List!$I$50:$I$63&gt;=IFERROR(VLOOKUP($B33,CHOOSE(MATCH($C33,Settings!$L$4:$L$10,0),OPR_BR1!$A$4:$K$18,OPR_BR2!$A$4:$K$18,OPR_CR2!$A$4:$K$18,OPR_CR3!$A$4:$K$18,OPR_CR4!$A$4:$K$18,OPR_RIM!$A$4:$K$18,OPR_BPR!$A$4:$K$18),11,0),9999)),0)),"NO COMPATIBLE MACHINE")))</f>
        <v/>
      </c>
      <c r="F33">
        <f>IF($E33="","",IFERROR(VLOOKUP($E33,Machine_List!$B:$G,6,0),""))</f>
        <v/>
      </c>
      <c r="G33" s="17">
        <f>IF($E33="","",IFERROR(VLOOKUP($E33,Machine_List!$B:$C,2,0),""))</f>
        <v/>
      </c>
      <c r="H33">
        <f>IF($E33="","",IFERROR(VLOOKUP($E33,Machine_List!$B:$D,3,0),""))</f>
        <v/>
      </c>
      <c r="J33" s="16">
        <f>IF($A33="","",IF($I33&lt;&gt;"",$I33,MAX(CNC_Plan!$M33,IFERROR(LOOKUP(2,1/($E$3:INDIRECT("E"&amp;(ROW()-1))=$E33),$M$3:INDIRECT("M"&amp;(ROW()-1))),CNC_Plan!$M33))))</f>
        <v/>
      </c>
      <c r="K33">
        <f>IF($A33="","",IFERROR(VLOOKUP(B33,CHOOSE(MATCH($C33,Settings!$L$4:$L$10,0),OPR_BR1!$A$4:$I$18,OPR_BR2!$A$4:$I$18,OPR_CR2!$A$4:$I$18,OPR_CR3!$A$4:$I$18,OPR_CR4!$A$4:$I$18,OPR_RIM!$A$4:$I$18,OPR_BPR!$A$4:$I$18),6,0),0))</f>
        <v/>
      </c>
      <c r="L33">
        <f>IF($A33="","",K33*D33)</f>
        <v/>
      </c>
      <c r="M33" s="16">
        <f>IF($A33="","",IF(AND(ISNUMBER(G33),G33&gt;=J33,G33&lt;=(J33+(L33/(IF(F33="Contract Workman",Settings!$K$5,Settings!$K$4))))),J33+(L33/(IF(F33="Contract Workman",Settings!$K$5,Settings!$K$4)))+(H33/(IF(F33="Contract Workman",Settings!$K$5,Settings!$K$4))),J33+(L33/(IF(F33="Contract Workman",Settings!$K$5,Settings!$K$4)))))</f>
        <v/>
      </c>
      <c r="N33">
        <f>IF($A33="","",IF(F33="Contract Workman",IF(AND(MOD(M33,1)&gt;=8/24,MOD(M33,1)&lt;20/24),"Shift S1","Shift S2"),IF(AND(MOD(M33,1)&gt;=7/24,MOD(M33,1)&lt;15/24),"Shift A",IF(AND(MOD(M33,1)&gt;=15/24,MOD(M33,1)&lt;23/24),"Shift B","Shift C"))))</f>
        <v/>
      </c>
      <c r="O33">
        <f>IF(B33="","",IF(IFERROR(ISNUMBER(SEARCH(TEXT(B33,"0"),VLOOKUP(E33,Machine_List!$B:$J,9,0))),FALSE),"✅ "&amp; E33,"❌ Sug: "&amp;IFERROR(INDEX(Machine_List!$B$50:$B$63,MATCH(1,(Machine_List!$H$50:$H$63&lt;=IFERROR(VLOOKUP($B33,OPR_BR1!$A$4:$K$18,10,0),0))*(Machine_List!$I$50:$I$63&gt;=IFERROR(VLOOKUP($B33,OPR_BR1!$A$4:$K$18,11,0),9999)),0)),"?")))</f>
        <v/>
      </c>
      <c r="P33">
        <f>IF(AND($A33&lt;&gt;"",P$3&gt;=$J33,P$3&lt;=$M33),1,"")</f>
        <v/>
      </c>
      <c r="Q33">
        <f>IF(AND($A33&lt;&gt;"",Q$3&gt;=$J33,Q$3&lt;=$M33),1,"")</f>
        <v/>
      </c>
      <c r="R33">
        <f>IF(AND($A33&lt;&gt;"",R$3&gt;=$J33,R$3&lt;=$M33),1,"")</f>
        <v/>
      </c>
      <c r="S33">
        <f>IF(AND($A33&lt;&gt;"",S$3&gt;=$J33,S$3&lt;=$M33),1,"")</f>
        <v/>
      </c>
      <c r="T33">
        <f>IF(AND($A33&lt;&gt;"",T$3&gt;=$J33,T$3&lt;=$M33),1,"")</f>
        <v/>
      </c>
      <c r="U33">
        <f>IF(AND($A33&lt;&gt;"",U$3&gt;=$J33,U$3&lt;=$M33),1,"")</f>
        <v/>
      </c>
      <c r="V33">
        <f>IF(AND($A33&lt;&gt;"",V$3&gt;=$J33,V$3&lt;=$M33),1,"")</f>
        <v/>
      </c>
      <c r="W33">
        <f>IF(AND($A33&lt;&gt;"",W$3&gt;=$J33,W$3&lt;=$M33),1,"")</f>
        <v/>
      </c>
      <c r="X33">
        <f>IF(AND($A33&lt;&gt;"",X$3&gt;=$J33,X$3&lt;=$M33),1,"")</f>
        <v/>
      </c>
      <c r="Y33">
        <f>IF(AND($A33&lt;&gt;"",Y$3&gt;=$J33,Y$3&lt;=$M33),1,"")</f>
        <v/>
      </c>
      <c r="Z33">
        <f>IF(AND($A33&lt;&gt;"",Z$3&gt;=$J33,Z$3&lt;=$M33),1,"")</f>
        <v/>
      </c>
      <c r="AA33">
        <f>IF(AND($A33&lt;&gt;"",AA$3&gt;=$J33,AA$3&lt;=$M33),1,"")</f>
        <v/>
      </c>
      <c r="AB33">
        <f>IF(AND($A33&lt;&gt;"",AB$3&gt;=$J33,AB$3&lt;=$M33),1,"")</f>
        <v/>
      </c>
      <c r="AC33">
        <f>IF(AND($A33&lt;&gt;"",AC$3&gt;=$J33,AC$3&lt;=$M33),1,"")</f>
        <v/>
      </c>
      <c r="AD33">
        <f>IF(AND($A33&lt;&gt;"",AD$3&gt;=$J33,AD$3&lt;=$M33),1,"")</f>
        <v/>
      </c>
      <c r="AE33">
        <f>IF(AND($A33&lt;&gt;"",AE$3&gt;=$J33,AE$3&lt;=$M33),1,"")</f>
        <v/>
      </c>
      <c r="AF33">
        <f>IF(AND($A33&lt;&gt;"",AF$3&gt;=$J33,AF$3&lt;=$M33),1,"")</f>
        <v/>
      </c>
      <c r="AG33">
        <f>IF(AND($A33&lt;&gt;"",AG$3&gt;=$J33,AG$3&lt;=$M33),1,"")</f>
        <v/>
      </c>
      <c r="AH33">
        <f>IF(AND($A33&lt;&gt;"",AH$3&gt;=$J33,AH$3&lt;=$M33),1,"")</f>
        <v/>
      </c>
      <c r="AI33">
        <f>IF(AND($A33&lt;&gt;"",AI$3&gt;=$J33,AI$3&lt;=$M33),1,"")</f>
        <v/>
      </c>
      <c r="AJ33">
        <f>IF(AND($A33&lt;&gt;"",AJ$3&gt;=$J33,AJ$3&lt;=$M33),1,"")</f>
        <v/>
      </c>
      <c r="AK33">
        <f>IF(AND($A33&lt;&gt;"",AK$3&gt;=$J33,AK$3&lt;=$M33),1,"")</f>
        <v/>
      </c>
      <c r="AL33">
        <f>IF(AND($A33&lt;&gt;"",AL$3&gt;=$J33,AL$3&lt;=$M33),1,"")</f>
        <v/>
      </c>
      <c r="AM33">
        <f>IF(AND($A33&lt;&gt;"",AM$3&gt;=$J33,AM$3&lt;=$M33),1,"")</f>
        <v/>
      </c>
      <c r="AN33">
        <f>IF(AND($A33&lt;&gt;"",AN$3&gt;=$J33,AN$3&lt;=$M33),1,"")</f>
        <v/>
      </c>
      <c r="AO33">
        <f>IF(AND($A33&lt;&gt;"",AO$3&gt;=$J33,AO$3&lt;=$M33),1,"")</f>
        <v/>
      </c>
      <c r="AP33">
        <f>IF(AND($A33&lt;&gt;"",AP$3&gt;=$J33,AP$3&lt;=$M33),1,"")</f>
        <v/>
      </c>
      <c r="AQ33">
        <f>IF(AND($A33&lt;&gt;"",AQ$3&gt;=$J33,AQ$3&lt;=$M33),1,"")</f>
        <v/>
      </c>
      <c r="AR33">
        <f>IF(AND($A33&lt;&gt;"",AR$3&gt;=$J33,AR$3&lt;=$M33),1,"")</f>
        <v/>
      </c>
      <c r="AS33">
        <f>IF(AND($A33&lt;&gt;"",AS$3&gt;=$J33,AS$3&lt;=$M33),1,"")</f>
        <v/>
      </c>
      <c r="AT33">
        <f>IF(AND($A33&lt;&gt;"",AT$3&gt;=$J33,AT$3&lt;=$M33),1,"")</f>
        <v/>
      </c>
      <c r="AU33">
        <f>IF(AND($A33&lt;&gt;"",AU$3&gt;=$J33,AU$3&lt;=$M33),1,"")</f>
        <v/>
      </c>
      <c r="AV33">
        <f>IF(AND($A33&lt;&gt;"",AV$3&gt;=$J33,AV$3&lt;=$M33),1,"")</f>
        <v/>
      </c>
      <c r="AW33">
        <f>IF(AND($A33&lt;&gt;"",AW$3&gt;=$J33,AW$3&lt;=$M33),1,"")</f>
        <v/>
      </c>
      <c r="AX33">
        <f>IF(AND($A33&lt;&gt;"",AX$3&gt;=$J33,AX$3&lt;=$M33),1,"")</f>
        <v/>
      </c>
      <c r="AY33">
        <f>IF(AND($A33&lt;&gt;"",AY$3&gt;=$J33,AY$3&lt;=$M33),1,"")</f>
        <v/>
      </c>
      <c r="AZ33">
        <f>IF(AND($A33&lt;&gt;"",AZ$3&gt;=$J33,AZ$3&lt;=$M33),1,"")</f>
        <v/>
      </c>
      <c r="BA33">
        <f>IF(AND($A33&lt;&gt;"",BA$3&gt;=$J33,BA$3&lt;=$M33),1,"")</f>
        <v/>
      </c>
      <c r="BB33">
        <f>IF(AND($A33&lt;&gt;"",BB$3&gt;=$J33,BB$3&lt;=$M33),1,"")</f>
        <v/>
      </c>
      <c r="BC33">
        <f>IF(AND($A33&lt;&gt;"",BC$3&gt;=$J33,BC$3&lt;=$M33),1,"")</f>
        <v/>
      </c>
      <c r="BD33">
        <f>IF(AND($A33&lt;&gt;"",BD$3&gt;=$J33,BD$3&lt;=$M33),1,"")</f>
        <v/>
      </c>
      <c r="BE33">
        <f>IF(AND($A33&lt;&gt;"",BE$3&gt;=$J33,BE$3&lt;=$M33),1,"")</f>
        <v/>
      </c>
      <c r="BF33">
        <f>IF(AND($A33&lt;&gt;"",BF$3&gt;=$J33,BF$3&lt;=$M33),1,"")</f>
        <v/>
      </c>
      <c r="BG33">
        <f>IF(AND($A33&lt;&gt;"",BG$3&gt;=$J33,BG$3&lt;=$M33),1,"")</f>
        <v/>
      </c>
      <c r="BH33">
        <f>IF(AND($A33&lt;&gt;"",BH$3&gt;=$J33,BH$3&lt;=$M33),1,"")</f>
        <v/>
      </c>
      <c r="BI33">
        <f>IF(AND($A33&lt;&gt;"",BI$3&gt;=$J33,BI$3&lt;=$M33),1,"")</f>
        <v/>
      </c>
      <c r="BJ33">
        <f>IF(AND($A33&lt;&gt;"",BJ$3&gt;=$J33,BJ$3&lt;=$M33),1,"")</f>
        <v/>
      </c>
      <c r="BK33">
        <f>IF(AND($A33&lt;&gt;"",BK$3&gt;=$J33,BK$3&lt;=$M33),1,"")</f>
        <v/>
      </c>
      <c r="BL33">
        <f>IF(AND($A33&lt;&gt;"",BL$3&gt;=$J33,BL$3&lt;=$M33),1,"")</f>
        <v/>
      </c>
      <c r="BM33">
        <f>IF(AND($A33&lt;&gt;"",BM$3&gt;=$J33,BM$3&lt;=$M33),1,"")</f>
        <v/>
      </c>
      <c r="BN33">
        <f>IF(AND($A33&lt;&gt;"",BN$3&gt;=$J33,BN$3&lt;=$M33),1,"")</f>
        <v/>
      </c>
      <c r="BO33">
        <f>IF(AND($A33&lt;&gt;"",BO$3&gt;=$J33,BO$3&lt;=$M33),1,"")</f>
        <v/>
      </c>
      <c r="BP33">
        <f>IF(AND($A33&lt;&gt;"",BP$3&gt;=$J33,BP$3&lt;=$M33),1,"")</f>
        <v/>
      </c>
      <c r="BQ33">
        <f>IF(AND($A33&lt;&gt;"",BQ$3&gt;=$J33,BQ$3&lt;=$M33),1,"")</f>
        <v/>
      </c>
      <c r="BR33">
        <f>IF(AND($A33&lt;&gt;"",BR$3&gt;=$J33,BR$3&lt;=$M33),1,"")</f>
        <v/>
      </c>
      <c r="BS33">
        <f>IF(AND($A33&lt;&gt;"",BS$3&gt;=$J33,BS$3&lt;=$M33),1,"")</f>
        <v/>
      </c>
      <c r="BT33">
        <f>IF(AND($A33&lt;&gt;"",BT$3&gt;=$J33,BT$3&lt;=$M33),1,"")</f>
        <v/>
      </c>
      <c r="BU33">
        <f>IF(AND($A33&lt;&gt;"",BU$3&gt;=$J33,BU$3&lt;=$M33),1,"")</f>
        <v/>
      </c>
      <c r="BV33">
        <f>IF(AND($A33&lt;&gt;"",BV$3&gt;=$J33,BV$3&lt;=$M33),1,"")</f>
        <v/>
      </c>
    </row>
    <row r="34">
      <c r="A34">
        <f>IF(Job_Master_Ring!$A34="","",Job_Master_Ring!$A34)</f>
        <v/>
      </c>
      <c r="B34">
        <f>IF($A34="","",Job_Master_Ring!B34)</f>
        <v/>
      </c>
      <c r="C34">
        <f>IF($A34="","",Job_Master_Ring!C34)</f>
        <v/>
      </c>
      <c r="D34">
        <f>IF($A34="","",Job_Master_Ring!D34)</f>
        <v/>
      </c>
      <c r="E34">
        <f>IF($A34="","",IF($I34&lt;&gt;"",$I34,IFERROR(INDEX(Machine_List!$B$50:$B$63,MATCH(1,(Machine_List!$H$50:$H$63&lt;=IFERROR(VLOOKUP($B34,CHOOSE(MATCH($C34,Settings!$L$4:$L$10,0),OPR_BR1!$A$4:$K$18,OPR_BR2!$A$4:$K$18,OPR_CR2!$A$4:$K$18,OPR_CR3!$A$4:$K$18,OPR_CR4!$A$4:$K$18,OPR_RIM!$A$4:$K$18,OPR_BPR!$A$4:$K$18),10,0),0))*(Machine_List!$I$50:$I$63&gt;=IFERROR(VLOOKUP($B34,CHOOSE(MATCH($C34,Settings!$L$4:$L$10,0),OPR_BR1!$A$4:$K$18,OPR_BR2!$A$4:$K$18,OPR_CR2!$A$4:$K$18,OPR_CR3!$A$4:$K$18,OPR_CR4!$A$4:$K$18,OPR_RIM!$A$4:$K$18,OPR_BPR!$A$4:$K$18),11,0),9999)),0)),"NO COMPATIBLE MACHINE")))</f>
        <v/>
      </c>
      <c r="F34">
        <f>IF($E34="","",IFERROR(VLOOKUP($E34,Machine_List!$B:$G,6,0),""))</f>
        <v/>
      </c>
      <c r="G34" s="17">
        <f>IF($E34="","",IFERROR(VLOOKUP($E34,Machine_List!$B:$C,2,0),""))</f>
        <v/>
      </c>
      <c r="H34">
        <f>IF($E34="","",IFERROR(VLOOKUP($E34,Machine_List!$B:$D,3,0),""))</f>
        <v/>
      </c>
      <c r="J34" s="16">
        <f>IF($A34="","",IF($I34&lt;&gt;"",$I34,MAX(CNC_Plan!$M34,IFERROR(LOOKUP(2,1/($E$3:INDIRECT("E"&amp;(ROW()-1))=$E34),$M$3:INDIRECT("M"&amp;(ROW()-1))),CNC_Plan!$M34))))</f>
        <v/>
      </c>
      <c r="K34">
        <f>IF($A34="","",IFERROR(VLOOKUP(B34,CHOOSE(MATCH($C34,Settings!$L$4:$L$10,0),OPR_BR1!$A$4:$I$18,OPR_BR2!$A$4:$I$18,OPR_CR2!$A$4:$I$18,OPR_CR3!$A$4:$I$18,OPR_CR4!$A$4:$I$18,OPR_RIM!$A$4:$I$18,OPR_BPR!$A$4:$I$18),6,0),0))</f>
        <v/>
      </c>
      <c r="L34">
        <f>IF($A34="","",K34*D34)</f>
        <v/>
      </c>
      <c r="M34" s="16">
        <f>IF($A34="","",IF(AND(ISNUMBER(G34),G34&gt;=J34,G34&lt;=(J34+(L34/(IF(F34="Contract Workman",Settings!$K$5,Settings!$K$4))))),J34+(L34/(IF(F34="Contract Workman",Settings!$K$5,Settings!$K$4)))+(H34/(IF(F34="Contract Workman",Settings!$K$5,Settings!$K$4))),J34+(L34/(IF(F34="Contract Workman",Settings!$K$5,Settings!$K$4)))))</f>
        <v/>
      </c>
      <c r="N34">
        <f>IF($A34="","",IF(F34="Contract Workman",IF(AND(MOD(M34,1)&gt;=8/24,MOD(M34,1)&lt;20/24),"Shift S1","Shift S2"),IF(AND(MOD(M34,1)&gt;=7/24,MOD(M34,1)&lt;15/24),"Shift A",IF(AND(MOD(M34,1)&gt;=15/24,MOD(M34,1)&lt;23/24),"Shift B","Shift C"))))</f>
        <v/>
      </c>
      <c r="O34">
        <f>IF(B34="","",IF(IFERROR(ISNUMBER(SEARCH(TEXT(B34,"0"),VLOOKUP(E34,Machine_List!$B:$J,9,0))),FALSE),"✅ "&amp; E34,"❌ Sug: "&amp;IFERROR(INDEX(Machine_List!$B$50:$B$63,MATCH(1,(Machine_List!$H$50:$H$63&lt;=IFERROR(VLOOKUP($B34,OPR_BR1!$A$4:$K$18,10,0),0))*(Machine_List!$I$50:$I$63&gt;=IFERROR(VLOOKUP($B34,OPR_BR1!$A$4:$K$18,11,0),9999)),0)),"?")))</f>
        <v/>
      </c>
      <c r="P34">
        <f>IF(AND($A34&lt;&gt;"",P$3&gt;=$J34,P$3&lt;=$M34),1,"")</f>
        <v/>
      </c>
      <c r="Q34">
        <f>IF(AND($A34&lt;&gt;"",Q$3&gt;=$J34,Q$3&lt;=$M34),1,"")</f>
        <v/>
      </c>
      <c r="R34">
        <f>IF(AND($A34&lt;&gt;"",R$3&gt;=$J34,R$3&lt;=$M34),1,"")</f>
        <v/>
      </c>
      <c r="S34">
        <f>IF(AND($A34&lt;&gt;"",S$3&gt;=$J34,S$3&lt;=$M34),1,"")</f>
        <v/>
      </c>
      <c r="T34">
        <f>IF(AND($A34&lt;&gt;"",T$3&gt;=$J34,T$3&lt;=$M34),1,"")</f>
        <v/>
      </c>
      <c r="U34">
        <f>IF(AND($A34&lt;&gt;"",U$3&gt;=$J34,U$3&lt;=$M34),1,"")</f>
        <v/>
      </c>
      <c r="V34">
        <f>IF(AND($A34&lt;&gt;"",V$3&gt;=$J34,V$3&lt;=$M34),1,"")</f>
        <v/>
      </c>
      <c r="W34">
        <f>IF(AND($A34&lt;&gt;"",W$3&gt;=$J34,W$3&lt;=$M34),1,"")</f>
        <v/>
      </c>
      <c r="X34">
        <f>IF(AND($A34&lt;&gt;"",X$3&gt;=$J34,X$3&lt;=$M34),1,"")</f>
        <v/>
      </c>
      <c r="Y34">
        <f>IF(AND($A34&lt;&gt;"",Y$3&gt;=$J34,Y$3&lt;=$M34),1,"")</f>
        <v/>
      </c>
      <c r="Z34">
        <f>IF(AND($A34&lt;&gt;"",Z$3&gt;=$J34,Z$3&lt;=$M34),1,"")</f>
        <v/>
      </c>
      <c r="AA34">
        <f>IF(AND($A34&lt;&gt;"",AA$3&gt;=$J34,AA$3&lt;=$M34),1,"")</f>
        <v/>
      </c>
      <c r="AB34">
        <f>IF(AND($A34&lt;&gt;"",AB$3&gt;=$J34,AB$3&lt;=$M34),1,"")</f>
        <v/>
      </c>
      <c r="AC34">
        <f>IF(AND($A34&lt;&gt;"",AC$3&gt;=$J34,AC$3&lt;=$M34),1,"")</f>
        <v/>
      </c>
      <c r="AD34">
        <f>IF(AND($A34&lt;&gt;"",AD$3&gt;=$J34,AD$3&lt;=$M34),1,"")</f>
        <v/>
      </c>
      <c r="AE34">
        <f>IF(AND($A34&lt;&gt;"",AE$3&gt;=$J34,AE$3&lt;=$M34),1,"")</f>
        <v/>
      </c>
      <c r="AF34">
        <f>IF(AND($A34&lt;&gt;"",AF$3&gt;=$J34,AF$3&lt;=$M34),1,"")</f>
        <v/>
      </c>
      <c r="AG34">
        <f>IF(AND($A34&lt;&gt;"",AG$3&gt;=$J34,AG$3&lt;=$M34),1,"")</f>
        <v/>
      </c>
      <c r="AH34">
        <f>IF(AND($A34&lt;&gt;"",AH$3&gt;=$J34,AH$3&lt;=$M34),1,"")</f>
        <v/>
      </c>
      <c r="AI34">
        <f>IF(AND($A34&lt;&gt;"",AI$3&gt;=$J34,AI$3&lt;=$M34),1,"")</f>
        <v/>
      </c>
      <c r="AJ34">
        <f>IF(AND($A34&lt;&gt;"",AJ$3&gt;=$J34,AJ$3&lt;=$M34),1,"")</f>
        <v/>
      </c>
      <c r="AK34">
        <f>IF(AND($A34&lt;&gt;"",AK$3&gt;=$J34,AK$3&lt;=$M34),1,"")</f>
        <v/>
      </c>
      <c r="AL34">
        <f>IF(AND($A34&lt;&gt;"",AL$3&gt;=$J34,AL$3&lt;=$M34),1,"")</f>
        <v/>
      </c>
      <c r="AM34">
        <f>IF(AND($A34&lt;&gt;"",AM$3&gt;=$J34,AM$3&lt;=$M34),1,"")</f>
        <v/>
      </c>
      <c r="AN34">
        <f>IF(AND($A34&lt;&gt;"",AN$3&gt;=$J34,AN$3&lt;=$M34),1,"")</f>
        <v/>
      </c>
      <c r="AO34">
        <f>IF(AND($A34&lt;&gt;"",AO$3&gt;=$J34,AO$3&lt;=$M34),1,"")</f>
        <v/>
      </c>
      <c r="AP34">
        <f>IF(AND($A34&lt;&gt;"",AP$3&gt;=$J34,AP$3&lt;=$M34),1,"")</f>
        <v/>
      </c>
      <c r="AQ34">
        <f>IF(AND($A34&lt;&gt;"",AQ$3&gt;=$J34,AQ$3&lt;=$M34),1,"")</f>
        <v/>
      </c>
      <c r="AR34">
        <f>IF(AND($A34&lt;&gt;"",AR$3&gt;=$J34,AR$3&lt;=$M34),1,"")</f>
        <v/>
      </c>
      <c r="AS34">
        <f>IF(AND($A34&lt;&gt;"",AS$3&gt;=$J34,AS$3&lt;=$M34),1,"")</f>
        <v/>
      </c>
      <c r="AT34">
        <f>IF(AND($A34&lt;&gt;"",AT$3&gt;=$J34,AT$3&lt;=$M34),1,"")</f>
        <v/>
      </c>
      <c r="AU34">
        <f>IF(AND($A34&lt;&gt;"",AU$3&gt;=$J34,AU$3&lt;=$M34),1,"")</f>
        <v/>
      </c>
      <c r="AV34">
        <f>IF(AND($A34&lt;&gt;"",AV$3&gt;=$J34,AV$3&lt;=$M34),1,"")</f>
        <v/>
      </c>
      <c r="AW34">
        <f>IF(AND($A34&lt;&gt;"",AW$3&gt;=$J34,AW$3&lt;=$M34),1,"")</f>
        <v/>
      </c>
      <c r="AX34">
        <f>IF(AND($A34&lt;&gt;"",AX$3&gt;=$J34,AX$3&lt;=$M34),1,"")</f>
        <v/>
      </c>
      <c r="AY34">
        <f>IF(AND($A34&lt;&gt;"",AY$3&gt;=$J34,AY$3&lt;=$M34),1,"")</f>
        <v/>
      </c>
      <c r="AZ34">
        <f>IF(AND($A34&lt;&gt;"",AZ$3&gt;=$J34,AZ$3&lt;=$M34),1,"")</f>
        <v/>
      </c>
      <c r="BA34">
        <f>IF(AND($A34&lt;&gt;"",BA$3&gt;=$J34,BA$3&lt;=$M34),1,"")</f>
        <v/>
      </c>
      <c r="BB34">
        <f>IF(AND($A34&lt;&gt;"",BB$3&gt;=$J34,BB$3&lt;=$M34),1,"")</f>
        <v/>
      </c>
      <c r="BC34">
        <f>IF(AND($A34&lt;&gt;"",BC$3&gt;=$J34,BC$3&lt;=$M34),1,"")</f>
        <v/>
      </c>
      <c r="BD34">
        <f>IF(AND($A34&lt;&gt;"",BD$3&gt;=$J34,BD$3&lt;=$M34),1,"")</f>
        <v/>
      </c>
      <c r="BE34">
        <f>IF(AND($A34&lt;&gt;"",BE$3&gt;=$J34,BE$3&lt;=$M34),1,"")</f>
        <v/>
      </c>
      <c r="BF34">
        <f>IF(AND($A34&lt;&gt;"",BF$3&gt;=$J34,BF$3&lt;=$M34),1,"")</f>
        <v/>
      </c>
      <c r="BG34">
        <f>IF(AND($A34&lt;&gt;"",BG$3&gt;=$J34,BG$3&lt;=$M34),1,"")</f>
        <v/>
      </c>
      <c r="BH34">
        <f>IF(AND($A34&lt;&gt;"",BH$3&gt;=$J34,BH$3&lt;=$M34),1,"")</f>
        <v/>
      </c>
      <c r="BI34">
        <f>IF(AND($A34&lt;&gt;"",BI$3&gt;=$J34,BI$3&lt;=$M34),1,"")</f>
        <v/>
      </c>
      <c r="BJ34">
        <f>IF(AND($A34&lt;&gt;"",BJ$3&gt;=$J34,BJ$3&lt;=$M34),1,"")</f>
        <v/>
      </c>
      <c r="BK34">
        <f>IF(AND($A34&lt;&gt;"",BK$3&gt;=$J34,BK$3&lt;=$M34),1,"")</f>
        <v/>
      </c>
      <c r="BL34">
        <f>IF(AND($A34&lt;&gt;"",BL$3&gt;=$J34,BL$3&lt;=$M34),1,"")</f>
        <v/>
      </c>
      <c r="BM34">
        <f>IF(AND($A34&lt;&gt;"",BM$3&gt;=$J34,BM$3&lt;=$M34),1,"")</f>
        <v/>
      </c>
      <c r="BN34">
        <f>IF(AND($A34&lt;&gt;"",BN$3&gt;=$J34,BN$3&lt;=$M34),1,"")</f>
        <v/>
      </c>
      <c r="BO34">
        <f>IF(AND($A34&lt;&gt;"",BO$3&gt;=$J34,BO$3&lt;=$M34),1,"")</f>
        <v/>
      </c>
      <c r="BP34">
        <f>IF(AND($A34&lt;&gt;"",BP$3&gt;=$J34,BP$3&lt;=$M34),1,"")</f>
        <v/>
      </c>
      <c r="BQ34">
        <f>IF(AND($A34&lt;&gt;"",BQ$3&gt;=$J34,BQ$3&lt;=$M34),1,"")</f>
        <v/>
      </c>
      <c r="BR34">
        <f>IF(AND($A34&lt;&gt;"",BR$3&gt;=$J34,BR$3&lt;=$M34),1,"")</f>
        <v/>
      </c>
      <c r="BS34">
        <f>IF(AND($A34&lt;&gt;"",BS$3&gt;=$J34,BS$3&lt;=$M34),1,"")</f>
        <v/>
      </c>
      <c r="BT34">
        <f>IF(AND($A34&lt;&gt;"",BT$3&gt;=$J34,BT$3&lt;=$M34),1,"")</f>
        <v/>
      </c>
      <c r="BU34">
        <f>IF(AND($A34&lt;&gt;"",BU$3&gt;=$J34,BU$3&lt;=$M34),1,"")</f>
        <v/>
      </c>
      <c r="BV34">
        <f>IF(AND($A34&lt;&gt;"",BV$3&gt;=$J34,BV$3&lt;=$M34),1,"")</f>
        <v/>
      </c>
    </row>
    <row r="35">
      <c r="A35">
        <f>IF(Job_Master_Ring!$A35="","",Job_Master_Ring!$A35)</f>
        <v/>
      </c>
      <c r="B35">
        <f>IF($A35="","",Job_Master_Ring!B35)</f>
        <v/>
      </c>
      <c r="C35">
        <f>IF($A35="","",Job_Master_Ring!C35)</f>
        <v/>
      </c>
      <c r="D35">
        <f>IF($A35="","",Job_Master_Ring!D35)</f>
        <v/>
      </c>
      <c r="E35">
        <f>IF($A35="","",IF($I35&lt;&gt;"",$I35,IFERROR(INDEX(Machine_List!$B$50:$B$63,MATCH(1,(Machine_List!$H$50:$H$63&lt;=IFERROR(VLOOKUP($B35,CHOOSE(MATCH($C35,Settings!$L$4:$L$10,0),OPR_BR1!$A$4:$K$18,OPR_BR2!$A$4:$K$18,OPR_CR2!$A$4:$K$18,OPR_CR3!$A$4:$K$18,OPR_CR4!$A$4:$K$18,OPR_RIM!$A$4:$K$18,OPR_BPR!$A$4:$K$18),10,0),0))*(Machine_List!$I$50:$I$63&gt;=IFERROR(VLOOKUP($B35,CHOOSE(MATCH($C35,Settings!$L$4:$L$10,0),OPR_BR1!$A$4:$K$18,OPR_BR2!$A$4:$K$18,OPR_CR2!$A$4:$K$18,OPR_CR3!$A$4:$K$18,OPR_CR4!$A$4:$K$18,OPR_RIM!$A$4:$K$18,OPR_BPR!$A$4:$K$18),11,0),9999)),0)),"NO COMPATIBLE MACHINE")))</f>
        <v/>
      </c>
      <c r="F35">
        <f>IF($E35="","",IFERROR(VLOOKUP($E35,Machine_List!$B:$G,6,0),""))</f>
        <v/>
      </c>
      <c r="G35" s="17">
        <f>IF($E35="","",IFERROR(VLOOKUP($E35,Machine_List!$B:$C,2,0),""))</f>
        <v/>
      </c>
      <c r="H35">
        <f>IF($E35="","",IFERROR(VLOOKUP($E35,Machine_List!$B:$D,3,0),""))</f>
        <v/>
      </c>
      <c r="J35" s="16">
        <f>IF($A35="","",IF($I35&lt;&gt;"",$I35,MAX(CNC_Plan!$M35,IFERROR(LOOKUP(2,1/($E$3:INDIRECT("E"&amp;(ROW()-1))=$E35),$M$3:INDIRECT("M"&amp;(ROW()-1))),CNC_Plan!$M35))))</f>
        <v/>
      </c>
      <c r="K35">
        <f>IF($A35="","",IFERROR(VLOOKUP(B35,CHOOSE(MATCH($C35,Settings!$L$4:$L$10,0),OPR_BR1!$A$4:$I$18,OPR_BR2!$A$4:$I$18,OPR_CR2!$A$4:$I$18,OPR_CR3!$A$4:$I$18,OPR_CR4!$A$4:$I$18,OPR_RIM!$A$4:$I$18,OPR_BPR!$A$4:$I$18),6,0),0))</f>
        <v/>
      </c>
      <c r="L35">
        <f>IF($A35="","",K35*D35)</f>
        <v/>
      </c>
      <c r="M35" s="16">
        <f>IF($A35="","",IF(AND(ISNUMBER(G35),G35&gt;=J35,G35&lt;=(J35+(L35/(IF(F35="Contract Workman",Settings!$K$5,Settings!$K$4))))),J35+(L35/(IF(F35="Contract Workman",Settings!$K$5,Settings!$K$4)))+(H35/(IF(F35="Contract Workman",Settings!$K$5,Settings!$K$4))),J35+(L35/(IF(F35="Contract Workman",Settings!$K$5,Settings!$K$4)))))</f>
        <v/>
      </c>
      <c r="N35">
        <f>IF($A35="","",IF(F35="Contract Workman",IF(AND(MOD(M35,1)&gt;=8/24,MOD(M35,1)&lt;20/24),"Shift S1","Shift S2"),IF(AND(MOD(M35,1)&gt;=7/24,MOD(M35,1)&lt;15/24),"Shift A",IF(AND(MOD(M35,1)&gt;=15/24,MOD(M35,1)&lt;23/24),"Shift B","Shift C"))))</f>
        <v/>
      </c>
      <c r="O35">
        <f>IF(B35="","",IF(IFERROR(ISNUMBER(SEARCH(TEXT(B35,"0"),VLOOKUP(E35,Machine_List!$B:$J,9,0))),FALSE),"✅ "&amp; E35,"❌ Sug: "&amp;IFERROR(INDEX(Machine_List!$B$50:$B$63,MATCH(1,(Machine_List!$H$50:$H$63&lt;=IFERROR(VLOOKUP($B35,OPR_BR1!$A$4:$K$18,10,0),0))*(Machine_List!$I$50:$I$63&gt;=IFERROR(VLOOKUP($B35,OPR_BR1!$A$4:$K$18,11,0),9999)),0)),"?")))</f>
        <v/>
      </c>
      <c r="P35">
        <f>IF(AND($A35&lt;&gt;"",P$3&gt;=$J35,P$3&lt;=$M35),1,"")</f>
        <v/>
      </c>
      <c r="Q35">
        <f>IF(AND($A35&lt;&gt;"",Q$3&gt;=$J35,Q$3&lt;=$M35),1,"")</f>
        <v/>
      </c>
      <c r="R35">
        <f>IF(AND($A35&lt;&gt;"",R$3&gt;=$J35,R$3&lt;=$M35),1,"")</f>
        <v/>
      </c>
      <c r="S35">
        <f>IF(AND($A35&lt;&gt;"",S$3&gt;=$J35,S$3&lt;=$M35),1,"")</f>
        <v/>
      </c>
      <c r="T35">
        <f>IF(AND($A35&lt;&gt;"",T$3&gt;=$J35,T$3&lt;=$M35),1,"")</f>
        <v/>
      </c>
      <c r="U35">
        <f>IF(AND($A35&lt;&gt;"",U$3&gt;=$J35,U$3&lt;=$M35),1,"")</f>
        <v/>
      </c>
      <c r="V35">
        <f>IF(AND($A35&lt;&gt;"",V$3&gt;=$J35,V$3&lt;=$M35),1,"")</f>
        <v/>
      </c>
      <c r="W35">
        <f>IF(AND($A35&lt;&gt;"",W$3&gt;=$J35,W$3&lt;=$M35),1,"")</f>
        <v/>
      </c>
      <c r="X35">
        <f>IF(AND($A35&lt;&gt;"",X$3&gt;=$J35,X$3&lt;=$M35),1,"")</f>
        <v/>
      </c>
      <c r="Y35">
        <f>IF(AND($A35&lt;&gt;"",Y$3&gt;=$J35,Y$3&lt;=$M35),1,"")</f>
        <v/>
      </c>
      <c r="Z35">
        <f>IF(AND($A35&lt;&gt;"",Z$3&gt;=$J35,Z$3&lt;=$M35),1,"")</f>
        <v/>
      </c>
      <c r="AA35">
        <f>IF(AND($A35&lt;&gt;"",AA$3&gt;=$J35,AA$3&lt;=$M35),1,"")</f>
        <v/>
      </c>
      <c r="AB35">
        <f>IF(AND($A35&lt;&gt;"",AB$3&gt;=$J35,AB$3&lt;=$M35),1,"")</f>
        <v/>
      </c>
      <c r="AC35">
        <f>IF(AND($A35&lt;&gt;"",AC$3&gt;=$J35,AC$3&lt;=$M35),1,"")</f>
        <v/>
      </c>
      <c r="AD35">
        <f>IF(AND($A35&lt;&gt;"",AD$3&gt;=$J35,AD$3&lt;=$M35),1,"")</f>
        <v/>
      </c>
      <c r="AE35">
        <f>IF(AND($A35&lt;&gt;"",AE$3&gt;=$J35,AE$3&lt;=$M35),1,"")</f>
        <v/>
      </c>
      <c r="AF35">
        <f>IF(AND($A35&lt;&gt;"",AF$3&gt;=$J35,AF$3&lt;=$M35),1,"")</f>
        <v/>
      </c>
      <c r="AG35">
        <f>IF(AND($A35&lt;&gt;"",AG$3&gt;=$J35,AG$3&lt;=$M35),1,"")</f>
        <v/>
      </c>
      <c r="AH35">
        <f>IF(AND($A35&lt;&gt;"",AH$3&gt;=$J35,AH$3&lt;=$M35),1,"")</f>
        <v/>
      </c>
      <c r="AI35">
        <f>IF(AND($A35&lt;&gt;"",AI$3&gt;=$J35,AI$3&lt;=$M35),1,"")</f>
        <v/>
      </c>
      <c r="AJ35">
        <f>IF(AND($A35&lt;&gt;"",AJ$3&gt;=$J35,AJ$3&lt;=$M35),1,"")</f>
        <v/>
      </c>
      <c r="AK35">
        <f>IF(AND($A35&lt;&gt;"",AK$3&gt;=$J35,AK$3&lt;=$M35),1,"")</f>
        <v/>
      </c>
      <c r="AL35">
        <f>IF(AND($A35&lt;&gt;"",AL$3&gt;=$J35,AL$3&lt;=$M35),1,"")</f>
        <v/>
      </c>
      <c r="AM35">
        <f>IF(AND($A35&lt;&gt;"",AM$3&gt;=$J35,AM$3&lt;=$M35),1,"")</f>
        <v/>
      </c>
      <c r="AN35">
        <f>IF(AND($A35&lt;&gt;"",AN$3&gt;=$J35,AN$3&lt;=$M35),1,"")</f>
        <v/>
      </c>
      <c r="AO35">
        <f>IF(AND($A35&lt;&gt;"",AO$3&gt;=$J35,AO$3&lt;=$M35),1,"")</f>
        <v/>
      </c>
      <c r="AP35">
        <f>IF(AND($A35&lt;&gt;"",AP$3&gt;=$J35,AP$3&lt;=$M35),1,"")</f>
        <v/>
      </c>
      <c r="AQ35">
        <f>IF(AND($A35&lt;&gt;"",AQ$3&gt;=$J35,AQ$3&lt;=$M35),1,"")</f>
        <v/>
      </c>
      <c r="AR35">
        <f>IF(AND($A35&lt;&gt;"",AR$3&gt;=$J35,AR$3&lt;=$M35),1,"")</f>
        <v/>
      </c>
      <c r="AS35">
        <f>IF(AND($A35&lt;&gt;"",AS$3&gt;=$J35,AS$3&lt;=$M35),1,"")</f>
        <v/>
      </c>
      <c r="AT35">
        <f>IF(AND($A35&lt;&gt;"",AT$3&gt;=$J35,AT$3&lt;=$M35),1,"")</f>
        <v/>
      </c>
      <c r="AU35">
        <f>IF(AND($A35&lt;&gt;"",AU$3&gt;=$J35,AU$3&lt;=$M35),1,"")</f>
        <v/>
      </c>
      <c r="AV35">
        <f>IF(AND($A35&lt;&gt;"",AV$3&gt;=$J35,AV$3&lt;=$M35),1,"")</f>
        <v/>
      </c>
      <c r="AW35">
        <f>IF(AND($A35&lt;&gt;"",AW$3&gt;=$J35,AW$3&lt;=$M35),1,"")</f>
        <v/>
      </c>
      <c r="AX35">
        <f>IF(AND($A35&lt;&gt;"",AX$3&gt;=$J35,AX$3&lt;=$M35),1,"")</f>
        <v/>
      </c>
      <c r="AY35">
        <f>IF(AND($A35&lt;&gt;"",AY$3&gt;=$J35,AY$3&lt;=$M35),1,"")</f>
        <v/>
      </c>
      <c r="AZ35">
        <f>IF(AND($A35&lt;&gt;"",AZ$3&gt;=$J35,AZ$3&lt;=$M35),1,"")</f>
        <v/>
      </c>
      <c r="BA35">
        <f>IF(AND($A35&lt;&gt;"",BA$3&gt;=$J35,BA$3&lt;=$M35),1,"")</f>
        <v/>
      </c>
      <c r="BB35">
        <f>IF(AND($A35&lt;&gt;"",BB$3&gt;=$J35,BB$3&lt;=$M35),1,"")</f>
        <v/>
      </c>
      <c r="BC35">
        <f>IF(AND($A35&lt;&gt;"",BC$3&gt;=$J35,BC$3&lt;=$M35),1,"")</f>
        <v/>
      </c>
      <c r="BD35">
        <f>IF(AND($A35&lt;&gt;"",BD$3&gt;=$J35,BD$3&lt;=$M35),1,"")</f>
        <v/>
      </c>
      <c r="BE35">
        <f>IF(AND($A35&lt;&gt;"",BE$3&gt;=$J35,BE$3&lt;=$M35),1,"")</f>
        <v/>
      </c>
      <c r="BF35">
        <f>IF(AND($A35&lt;&gt;"",BF$3&gt;=$J35,BF$3&lt;=$M35),1,"")</f>
        <v/>
      </c>
      <c r="BG35">
        <f>IF(AND($A35&lt;&gt;"",BG$3&gt;=$J35,BG$3&lt;=$M35),1,"")</f>
        <v/>
      </c>
      <c r="BH35">
        <f>IF(AND($A35&lt;&gt;"",BH$3&gt;=$J35,BH$3&lt;=$M35),1,"")</f>
        <v/>
      </c>
      <c r="BI35">
        <f>IF(AND($A35&lt;&gt;"",BI$3&gt;=$J35,BI$3&lt;=$M35),1,"")</f>
        <v/>
      </c>
      <c r="BJ35">
        <f>IF(AND($A35&lt;&gt;"",BJ$3&gt;=$J35,BJ$3&lt;=$M35),1,"")</f>
        <v/>
      </c>
      <c r="BK35">
        <f>IF(AND($A35&lt;&gt;"",BK$3&gt;=$J35,BK$3&lt;=$M35),1,"")</f>
        <v/>
      </c>
      <c r="BL35">
        <f>IF(AND($A35&lt;&gt;"",BL$3&gt;=$J35,BL$3&lt;=$M35),1,"")</f>
        <v/>
      </c>
      <c r="BM35">
        <f>IF(AND($A35&lt;&gt;"",BM$3&gt;=$J35,BM$3&lt;=$M35),1,"")</f>
        <v/>
      </c>
      <c r="BN35">
        <f>IF(AND($A35&lt;&gt;"",BN$3&gt;=$J35,BN$3&lt;=$M35),1,"")</f>
        <v/>
      </c>
      <c r="BO35">
        <f>IF(AND($A35&lt;&gt;"",BO$3&gt;=$J35,BO$3&lt;=$M35),1,"")</f>
        <v/>
      </c>
      <c r="BP35">
        <f>IF(AND($A35&lt;&gt;"",BP$3&gt;=$J35,BP$3&lt;=$M35),1,"")</f>
        <v/>
      </c>
      <c r="BQ35">
        <f>IF(AND($A35&lt;&gt;"",BQ$3&gt;=$J35,BQ$3&lt;=$M35),1,"")</f>
        <v/>
      </c>
      <c r="BR35">
        <f>IF(AND($A35&lt;&gt;"",BR$3&gt;=$J35,BR$3&lt;=$M35),1,"")</f>
        <v/>
      </c>
      <c r="BS35">
        <f>IF(AND($A35&lt;&gt;"",BS$3&gt;=$J35,BS$3&lt;=$M35),1,"")</f>
        <v/>
      </c>
      <c r="BT35">
        <f>IF(AND($A35&lt;&gt;"",BT$3&gt;=$J35,BT$3&lt;=$M35),1,"")</f>
        <v/>
      </c>
      <c r="BU35">
        <f>IF(AND($A35&lt;&gt;"",BU$3&gt;=$J35,BU$3&lt;=$M35),1,"")</f>
        <v/>
      </c>
      <c r="BV35">
        <f>IF(AND($A35&lt;&gt;"",BV$3&gt;=$J35,BV$3&lt;=$M35),1,"")</f>
        <v/>
      </c>
    </row>
    <row r="36">
      <c r="A36">
        <f>IF(Job_Master_Ring!$A36="","",Job_Master_Ring!$A36)</f>
        <v/>
      </c>
      <c r="B36">
        <f>IF($A36="","",Job_Master_Ring!B36)</f>
        <v/>
      </c>
      <c r="C36">
        <f>IF($A36="","",Job_Master_Ring!C36)</f>
        <v/>
      </c>
      <c r="D36">
        <f>IF($A36="","",Job_Master_Ring!D36)</f>
        <v/>
      </c>
      <c r="E36">
        <f>IF($A36="","",IF($I36&lt;&gt;"",$I36,IFERROR(INDEX(Machine_List!$B$50:$B$63,MATCH(1,(Machine_List!$H$50:$H$63&lt;=IFERROR(VLOOKUP($B36,CHOOSE(MATCH($C36,Settings!$L$4:$L$10,0),OPR_BR1!$A$4:$K$18,OPR_BR2!$A$4:$K$18,OPR_CR2!$A$4:$K$18,OPR_CR3!$A$4:$K$18,OPR_CR4!$A$4:$K$18,OPR_RIM!$A$4:$K$18,OPR_BPR!$A$4:$K$18),10,0),0))*(Machine_List!$I$50:$I$63&gt;=IFERROR(VLOOKUP($B36,CHOOSE(MATCH($C36,Settings!$L$4:$L$10,0),OPR_BR1!$A$4:$K$18,OPR_BR2!$A$4:$K$18,OPR_CR2!$A$4:$K$18,OPR_CR3!$A$4:$K$18,OPR_CR4!$A$4:$K$18,OPR_RIM!$A$4:$K$18,OPR_BPR!$A$4:$K$18),11,0),9999)),0)),"NO COMPATIBLE MACHINE")))</f>
        <v/>
      </c>
      <c r="F36">
        <f>IF($E36="","",IFERROR(VLOOKUP($E36,Machine_List!$B:$G,6,0),""))</f>
        <v/>
      </c>
      <c r="G36" s="17">
        <f>IF($E36="","",IFERROR(VLOOKUP($E36,Machine_List!$B:$C,2,0),""))</f>
        <v/>
      </c>
      <c r="H36">
        <f>IF($E36="","",IFERROR(VLOOKUP($E36,Machine_List!$B:$D,3,0),""))</f>
        <v/>
      </c>
      <c r="J36" s="16">
        <f>IF($A36="","",IF($I36&lt;&gt;"",$I36,MAX(CNC_Plan!$M36,IFERROR(LOOKUP(2,1/($E$3:INDIRECT("E"&amp;(ROW()-1))=$E36),$M$3:INDIRECT("M"&amp;(ROW()-1))),CNC_Plan!$M36))))</f>
        <v/>
      </c>
      <c r="K36">
        <f>IF($A36="","",IFERROR(VLOOKUP(B36,CHOOSE(MATCH($C36,Settings!$L$4:$L$10,0),OPR_BR1!$A$4:$I$18,OPR_BR2!$A$4:$I$18,OPR_CR2!$A$4:$I$18,OPR_CR3!$A$4:$I$18,OPR_CR4!$A$4:$I$18,OPR_RIM!$A$4:$I$18,OPR_BPR!$A$4:$I$18),6,0),0))</f>
        <v/>
      </c>
      <c r="L36">
        <f>IF($A36="","",K36*D36)</f>
        <v/>
      </c>
      <c r="M36" s="16">
        <f>IF($A36="","",IF(AND(ISNUMBER(G36),G36&gt;=J36,G36&lt;=(J36+(L36/(IF(F36="Contract Workman",Settings!$K$5,Settings!$K$4))))),J36+(L36/(IF(F36="Contract Workman",Settings!$K$5,Settings!$K$4)))+(H36/(IF(F36="Contract Workman",Settings!$K$5,Settings!$K$4))),J36+(L36/(IF(F36="Contract Workman",Settings!$K$5,Settings!$K$4)))))</f>
        <v/>
      </c>
      <c r="N36">
        <f>IF($A36="","",IF(F36="Contract Workman",IF(AND(MOD(M36,1)&gt;=8/24,MOD(M36,1)&lt;20/24),"Shift S1","Shift S2"),IF(AND(MOD(M36,1)&gt;=7/24,MOD(M36,1)&lt;15/24),"Shift A",IF(AND(MOD(M36,1)&gt;=15/24,MOD(M36,1)&lt;23/24),"Shift B","Shift C"))))</f>
        <v/>
      </c>
      <c r="O36">
        <f>IF(B36="","",IF(IFERROR(ISNUMBER(SEARCH(TEXT(B36,"0"),VLOOKUP(E36,Machine_List!$B:$J,9,0))),FALSE),"✅ "&amp; E36,"❌ Sug: "&amp;IFERROR(INDEX(Machine_List!$B$50:$B$63,MATCH(1,(Machine_List!$H$50:$H$63&lt;=IFERROR(VLOOKUP($B36,OPR_BR1!$A$4:$K$18,10,0),0))*(Machine_List!$I$50:$I$63&gt;=IFERROR(VLOOKUP($B36,OPR_BR1!$A$4:$K$18,11,0),9999)),0)),"?")))</f>
        <v/>
      </c>
      <c r="P36">
        <f>IF(AND($A36&lt;&gt;"",P$3&gt;=$J36,P$3&lt;=$M36),1,"")</f>
        <v/>
      </c>
      <c r="Q36">
        <f>IF(AND($A36&lt;&gt;"",Q$3&gt;=$J36,Q$3&lt;=$M36),1,"")</f>
        <v/>
      </c>
      <c r="R36">
        <f>IF(AND($A36&lt;&gt;"",R$3&gt;=$J36,R$3&lt;=$M36),1,"")</f>
        <v/>
      </c>
      <c r="S36">
        <f>IF(AND($A36&lt;&gt;"",S$3&gt;=$J36,S$3&lt;=$M36),1,"")</f>
        <v/>
      </c>
      <c r="T36">
        <f>IF(AND($A36&lt;&gt;"",T$3&gt;=$J36,T$3&lt;=$M36),1,"")</f>
        <v/>
      </c>
      <c r="U36">
        <f>IF(AND($A36&lt;&gt;"",U$3&gt;=$J36,U$3&lt;=$M36),1,"")</f>
        <v/>
      </c>
      <c r="V36">
        <f>IF(AND($A36&lt;&gt;"",V$3&gt;=$J36,V$3&lt;=$M36),1,"")</f>
        <v/>
      </c>
      <c r="W36">
        <f>IF(AND($A36&lt;&gt;"",W$3&gt;=$J36,W$3&lt;=$M36),1,"")</f>
        <v/>
      </c>
      <c r="X36">
        <f>IF(AND($A36&lt;&gt;"",X$3&gt;=$J36,X$3&lt;=$M36),1,"")</f>
        <v/>
      </c>
      <c r="Y36">
        <f>IF(AND($A36&lt;&gt;"",Y$3&gt;=$J36,Y$3&lt;=$M36),1,"")</f>
        <v/>
      </c>
      <c r="Z36">
        <f>IF(AND($A36&lt;&gt;"",Z$3&gt;=$J36,Z$3&lt;=$M36),1,"")</f>
        <v/>
      </c>
      <c r="AA36">
        <f>IF(AND($A36&lt;&gt;"",AA$3&gt;=$J36,AA$3&lt;=$M36),1,"")</f>
        <v/>
      </c>
      <c r="AB36">
        <f>IF(AND($A36&lt;&gt;"",AB$3&gt;=$J36,AB$3&lt;=$M36),1,"")</f>
        <v/>
      </c>
      <c r="AC36">
        <f>IF(AND($A36&lt;&gt;"",AC$3&gt;=$J36,AC$3&lt;=$M36),1,"")</f>
        <v/>
      </c>
      <c r="AD36">
        <f>IF(AND($A36&lt;&gt;"",AD$3&gt;=$J36,AD$3&lt;=$M36),1,"")</f>
        <v/>
      </c>
      <c r="AE36">
        <f>IF(AND($A36&lt;&gt;"",AE$3&gt;=$J36,AE$3&lt;=$M36),1,"")</f>
        <v/>
      </c>
      <c r="AF36">
        <f>IF(AND($A36&lt;&gt;"",AF$3&gt;=$J36,AF$3&lt;=$M36),1,"")</f>
        <v/>
      </c>
      <c r="AG36">
        <f>IF(AND($A36&lt;&gt;"",AG$3&gt;=$J36,AG$3&lt;=$M36),1,"")</f>
        <v/>
      </c>
      <c r="AH36">
        <f>IF(AND($A36&lt;&gt;"",AH$3&gt;=$J36,AH$3&lt;=$M36),1,"")</f>
        <v/>
      </c>
      <c r="AI36">
        <f>IF(AND($A36&lt;&gt;"",AI$3&gt;=$J36,AI$3&lt;=$M36),1,"")</f>
        <v/>
      </c>
      <c r="AJ36">
        <f>IF(AND($A36&lt;&gt;"",AJ$3&gt;=$J36,AJ$3&lt;=$M36),1,"")</f>
        <v/>
      </c>
      <c r="AK36">
        <f>IF(AND($A36&lt;&gt;"",AK$3&gt;=$J36,AK$3&lt;=$M36),1,"")</f>
        <v/>
      </c>
      <c r="AL36">
        <f>IF(AND($A36&lt;&gt;"",AL$3&gt;=$J36,AL$3&lt;=$M36),1,"")</f>
        <v/>
      </c>
      <c r="AM36">
        <f>IF(AND($A36&lt;&gt;"",AM$3&gt;=$J36,AM$3&lt;=$M36),1,"")</f>
        <v/>
      </c>
      <c r="AN36">
        <f>IF(AND($A36&lt;&gt;"",AN$3&gt;=$J36,AN$3&lt;=$M36),1,"")</f>
        <v/>
      </c>
      <c r="AO36">
        <f>IF(AND($A36&lt;&gt;"",AO$3&gt;=$J36,AO$3&lt;=$M36),1,"")</f>
        <v/>
      </c>
      <c r="AP36">
        <f>IF(AND($A36&lt;&gt;"",AP$3&gt;=$J36,AP$3&lt;=$M36),1,"")</f>
        <v/>
      </c>
      <c r="AQ36">
        <f>IF(AND($A36&lt;&gt;"",AQ$3&gt;=$J36,AQ$3&lt;=$M36),1,"")</f>
        <v/>
      </c>
      <c r="AR36">
        <f>IF(AND($A36&lt;&gt;"",AR$3&gt;=$J36,AR$3&lt;=$M36),1,"")</f>
        <v/>
      </c>
      <c r="AS36">
        <f>IF(AND($A36&lt;&gt;"",AS$3&gt;=$J36,AS$3&lt;=$M36),1,"")</f>
        <v/>
      </c>
      <c r="AT36">
        <f>IF(AND($A36&lt;&gt;"",AT$3&gt;=$J36,AT$3&lt;=$M36),1,"")</f>
        <v/>
      </c>
      <c r="AU36">
        <f>IF(AND($A36&lt;&gt;"",AU$3&gt;=$J36,AU$3&lt;=$M36),1,"")</f>
        <v/>
      </c>
      <c r="AV36">
        <f>IF(AND($A36&lt;&gt;"",AV$3&gt;=$J36,AV$3&lt;=$M36),1,"")</f>
        <v/>
      </c>
      <c r="AW36">
        <f>IF(AND($A36&lt;&gt;"",AW$3&gt;=$J36,AW$3&lt;=$M36),1,"")</f>
        <v/>
      </c>
      <c r="AX36">
        <f>IF(AND($A36&lt;&gt;"",AX$3&gt;=$J36,AX$3&lt;=$M36),1,"")</f>
        <v/>
      </c>
      <c r="AY36">
        <f>IF(AND($A36&lt;&gt;"",AY$3&gt;=$J36,AY$3&lt;=$M36),1,"")</f>
        <v/>
      </c>
      <c r="AZ36">
        <f>IF(AND($A36&lt;&gt;"",AZ$3&gt;=$J36,AZ$3&lt;=$M36),1,"")</f>
        <v/>
      </c>
      <c r="BA36">
        <f>IF(AND($A36&lt;&gt;"",BA$3&gt;=$J36,BA$3&lt;=$M36),1,"")</f>
        <v/>
      </c>
      <c r="BB36">
        <f>IF(AND($A36&lt;&gt;"",BB$3&gt;=$J36,BB$3&lt;=$M36),1,"")</f>
        <v/>
      </c>
      <c r="BC36">
        <f>IF(AND($A36&lt;&gt;"",BC$3&gt;=$J36,BC$3&lt;=$M36),1,"")</f>
        <v/>
      </c>
      <c r="BD36">
        <f>IF(AND($A36&lt;&gt;"",BD$3&gt;=$J36,BD$3&lt;=$M36),1,"")</f>
        <v/>
      </c>
      <c r="BE36">
        <f>IF(AND($A36&lt;&gt;"",BE$3&gt;=$J36,BE$3&lt;=$M36),1,"")</f>
        <v/>
      </c>
      <c r="BF36">
        <f>IF(AND($A36&lt;&gt;"",BF$3&gt;=$J36,BF$3&lt;=$M36),1,"")</f>
        <v/>
      </c>
      <c r="BG36">
        <f>IF(AND($A36&lt;&gt;"",BG$3&gt;=$J36,BG$3&lt;=$M36),1,"")</f>
        <v/>
      </c>
      <c r="BH36">
        <f>IF(AND($A36&lt;&gt;"",BH$3&gt;=$J36,BH$3&lt;=$M36),1,"")</f>
        <v/>
      </c>
      <c r="BI36">
        <f>IF(AND($A36&lt;&gt;"",BI$3&gt;=$J36,BI$3&lt;=$M36),1,"")</f>
        <v/>
      </c>
      <c r="BJ36">
        <f>IF(AND($A36&lt;&gt;"",BJ$3&gt;=$J36,BJ$3&lt;=$M36),1,"")</f>
        <v/>
      </c>
      <c r="BK36">
        <f>IF(AND($A36&lt;&gt;"",BK$3&gt;=$J36,BK$3&lt;=$M36),1,"")</f>
        <v/>
      </c>
      <c r="BL36">
        <f>IF(AND($A36&lt;&gt;"",BL$3&gt;=$J36,BL$3&lt;=$M36),1,"")</f>
        <v/>
      </c>
      <c r="BM36">
        <f>IF(AND($A36&lt;&gt;"",BM$3&gt;=$J36,BM$3&lt;=$M36),1,"")</f>
        <v/>
      </c>
      <c r="BN36">
        <f>IF(AND($A36&lt;&gt;"",BN$3&gt;=$J36,BN$3&lt;=$M36),1,"")</f>
        <v/>
      </c>
      <c r="BO36">
        <f>IF(AND($A36&lt;&gt;"",BO$3&gt;=$J36,BO$3&lt;=$M36),1,"")</f>
        <v/>
      </c>
      <c r="BP36">
        <f>IF(AND($A36&lt;&gt;"",BP$3&gt;=$J36,BP$3&lt;=$M36),1,"")</f>
        <v/>
      </c>
      <c r="BQ36">
        <f>IF(AND($A36&lt;&gt;"",BQ$3&gt;=$J36,BQ$3&lt;=$M36),1,"")</f>
        <v/>
      </c>
      <c r="BR36">
        <f>IF(AND($A36&lt;&gt;"",BR$3&gt;=$J36,BR$3&lt;=$M36),1,"")</f>
        <v/>
      </c>
      <c r="BS36">
        <f>IF(AND($A36&lt;&gt;"",BS$3&gt;=$J36,BS$3&lt;=$M36),1,"")</f>
        <v/>
      </c>
      <c r="BT36">
        <f>IF(AND($A36&lt;&gt;"",BT$3&gt;=$J36,BT$3&lt;=$M36),1,"")</f>
        <v/>
      </c>
      <c r="BU36">
        <f>IF(AND($A36&lt;&gt;"",BU$3&gt;=$J36,BU$3&lt;=$M36),1,"")</f>
        <v/>
      </c>
      <c r="BV36">
        <f>IF(AND($A36&lt;&gt;"",BV$3&gt;=$J36,BV$3&lt;=$M36),1,"")</f>
        <v/>
      </c>
    </row>
    <row r="37">
      <c r="A37">
        <f>IF(Job_Master_Ring!$A37="","",Job_Master_Ring!$A37)</f>
        <v/>
      </c>
      <c r="B37">
        <f>IF($A37="","",Job_Master_Ring!B37)</f>
        <v/>
      </c>
      <c r="C37">
        <f>IF($A37="","",Job_Master_Ring!C37)</f>
        <v/>
      </c>
      <c r="D37">
        <f>IF($A37="","",Job_Master_Ring!D37)</f>
        <v/>
      </c>
      <c r="E37">
        <f>IF($A37="","",IF($I37&lt;&gt;"",$I37,IFERROR(INDEX(Machine_List!$B$50:$B$63,MATCH(1,(Machine_List!$H$50:$H$63&lt;=IFERROR(VLOOKUP($B37,CHOOSE(MATCH($C37,Settings!$L$4:$L$10,0),OPR_BR1!$A$4:$K$18,OPR_BR2!$A$4:$K$18,OPR_CR2!$A$4:$K$18,OPR_CR3!$A$4:$K$18,OPR_CR4!$A$4:$K$18,OPR_RIM!$A$4:$K$18,OPR_BPR!$A$4:$K$18),10,0),0))*(Machine_List!$I$50:$I$63&gt;=IFERROR(VLOOKUP($B37,CHOOSE(MATCH($C37,Settings!$L$4:$L$10,0),OPR_BR1!$A$4:$K$18,OPR_BR2!$A$4:$K$18,OPR_CR2!$A$4:$K$18,OPR_CR3!$A$4:$K$18,OPR_CR4!$A$4:$K$18,OPR_RIM!$A$4:$K$18,OPR_BPR!$A$4:$K$18),11,0),9999)),0)),"NO COMPATIBLE MACHINE")))</f>
        <v/>
      </c>
      <c r="F37">
        <f>IF($E37="","",IFERROR(VLOOKUP($E37,Machine_List!$B:$G,6,0),""))</f>
        <v/>
      </c>
      <c r="G37" s="17">
        <f>IF($E37="","",IFERROR(VLOOKUP($E37,Machine_List!$B:$C,2,0),""))</f>
        <v/>
      </c>
      <c r="H37">
        <f>IF($E37="","",IFERROR(VLOOKUP($E37,Machine_List!$B:$D,3,0),""))</f>
        <v/>
      </c>
      <c r="J37" s="16">
        <f>IF($A37="","",IF($I37&lt;&gt;"",$I37,MAX(CNC_Plan!$M37,IFERROR(LOOKUP(2,1/($E$3:INDIRECT("E"&amp;(ROW()-1))=$E37),$M$3:INDIRECT("M"&amp;(ROW()-1))),CNC_Plan!$M37))))</f>
        <v/>
      </c>
      <c r="K37">
        <f>IF($A37="","",IFERROR(VLOOKUP(B37,CHOOSE(MATCH($C37,Settings!$L$4:$L$10,0),OPR_BR1!$A$4:$I$18,OPR_BR2!$A$4:$I$18,OPR_CR2!$A$4:$I$18,OPR_CR3!$A$4:$I$18,OPR_CR4!$A$4:$I$18,OPR_RIM!$A$4:$I$18,OPR_BPR!$A$4:$I$18),6,0),0))</f>
        <v/>
      </c>
      <c r="L37">
        <f>IF($A37="","",K37*D37)</f>
        <v/>
      </c>
      <c r="M37" s="16">
        <f>IF($A37="","",IF(AND(ISNUMBER(G37),G37&gt;=J37,G37&lt;=(J37+(L37/(IF(F37="Contract Workman",Settings!$K$5,Settings!$K$4))))),J37+(L37/(IF(F37="Contract Workman",Settings!$K$5,Settings!$K$4)))+(H37/(IF(F37="Contract Workman",Settings!$K$5,Settings!$K$4))),J37+(L37/(IF(F37="Contract Workman",Settings!$K$5,Settings!$K$4)))))</f>
        <v/>
      </c>
      <c r="N37">
        <f>IF($A37="","",IF(F37="Contract Workman",IF(AND(MOD(M37,1)&gt;=8/24,MOD(M37,1)&lt;20/24),"Shift S1","Shift S2"),IF(AND(MOD(M37,1)&gt;=7/24,MOD(M37,1)&lt;15/24),"Shift A",IF(AND(MOD(M37,1)&gt;=15/24,MOD(M37,1)&lt;23/24),"Shift B","Shift C"))))</f>
        <v/>
      </c>
      <c r="O37">
        <f>IF(B37="","",IF(IFERROR(ISNUMBER(SEARCH(TEXT(B37,"0"),VLOOKUP(E37,Machine_List!$B:$J,9,0))),FALSE),"✅ "&amp; E37,"❌ Sug: "&amp;IFERROR(INDEX(Machine_List!$B$50:$B$63,MATCH(1,(Machine_List!$H$50:$H$63&lt;=IFERROR(VLOOKUP($B37,OPR_BR1!$A$4:$K$18,10,0),0))*(Machine_List!$I$50:$I$63&gt;=IFERROR(VLOOKUP($B37,OPR_BR1!$A$4:$K$18,11,0),9999)),0)),"?")))</f>
        <v/>
      </c>
      <c r="P37">
        <f>IF(AND($A37&lt;&gt;"",P$3&gt;=$J37,P$3&lt;=$M37),1,"")</f>
        <v/>
      </c>
      <c r="Q37">
        <f>IF(AND($A37&lt;&gt;"",Q$3&gt;=$J37,Q$3&lt;=$M37),1,"")</f>
        <v/>
      </c>
      <c r="R37">
        <f>IF(AND($A37&lt;&gt;"",R$3&gt;=$J37,R$3&lt;=$M37),1,"")</f>
        <v/>
      </c>
      <c r="S37">
        <f>IF(AND($A37&lt;&gt;"",S$3&gt;=$J37,S$3&lt;=$M37),1,"")</f>
        <v/>
      </c>
      <c r="T37">
        <f>IF(AND($A37&lt;&gt;"",T$3&gt;=$J37,T$3&lt;=$M37),1,"")</f>
        <v/>
      </c>
      <c r="U37">
        <f>IF(AND($A37&lt;&gt;"",U$3&gt;=$J37,U$3&lt;=$M37),1,"")</f>
        <v/>
      </c>
      <c r="V37">
        <f>IF(AND($A37&lt;&gt;"",V$3&gt;=$J37,V$3&lt;=$M37),1,"")</f>
        <v/>
      </c>
      <c r="W37">
        <f>IF(AND($A37&lt;&gt;"",W$3&gt;=$J37,W$3&lt;=$M37),1,"")</f>
        <v/>
      </c>
      <c r="X37">
        <f>IF(AND($A37&lt;&gt;"",X$3&gt;=$J37,X$3&lt;=$M37),1,"")</f>
        <v/>
      </c>
      <c r="Y37">
        <f>IF(AND($A37&lt;&gt;"",Y$3&gt;=$J37,Y$3&lt;=$M37),1,"")</f>
        <v/>
      </c>
      <c r="Z37">
        <f>IF(AND($A37&lt;&gt;"",Z$3&gt;=$J37,Z$3&lt;=$M37),1,"")</f>
        <v/>
      </c>
      <c r="AA37">
        <f>IF(AND($A37&lt;&gt;"",AA$3&gt;=$J37,AA$3&lt;=$M37),1,"")</f>
        <v/>
      </c>
      <c r="AB37">
        <f>IF(AND($A37&lt;&gt;"",AB$3&gt;=$J37,AB$3&lt;=$M37),1,"")</f>
        <v/>
      </c>
      <c r="AC37">
        <f>IF(AND($A37&lt;&gt;"",AC$3&gt;=$J37,AC$3&lt;=$M37),1,"")</f>
        <v/>
      </c>
      <c r="AD37">
        <f>IF(AND($A37&lt;&gt;"",AD$3&gt;=$J37,AD$3&lt;=$M37),1,"")</f>
        <v/>
      </c>
      <c r="AE37">
        <f>IF(AND($A37&lt;&gt;"",AE$3&gt;=$J37,AE$3&lt;=$M37),1,"")</f>
        <v/>
      </c>
      <c r="AF37">
        <f>IF(AND($A37&lt;&gt;"",AF$3&gt;=$J37,AF$3&lt;=$M37),1,"")</f>
        <v/>
      </c>
      <c r="AG37">
        <f>IF(AND($A37&lt;&gt;"",AG$3&gt;=$J37,AG$3&lt;=$M37),1,"")</f>
        <v/>
      </c>
      <c r="AH37">
        <f>IF(AND($A37&lt;&gt;"",AH$3&gt;=$J37,AH$3&lt;=$M37),1,"")</f>
        <v/>
      </c>
      <c r="AI37">
        <f>IF(AND($A37&lt;&gt;"",AI$3&gt;=$J37,AI$3&lt;=$M37),1,"")</f>
        <v/>
      </c>
      <c r="AJ37">
        <f>IF(AND($A37&lt;&gt;"",AJ$3&gt;=$J37,AJ$3&lt;=$M37),1,"")</f>
        <v/>
      </c>
      <c r="AK37">
        <f>IF(AND($A37&lt;&gt;"",AK$3&gt;=$J37,AK$3&lt;=$M37),1,"")</f>
        <v/>
      </c>
      <c r="AL37">
        <f>IF(AND($A37&lt;&gt;"",AL$3&gt;=$J37,AL$3&lt;=$M37),1,"")</f>
        <v/>
      </c>
      <c r="AM37">
        <f>IF(AND($A37&lt;&gt;"",AM$3&gt;=$J37,AM$3&lt;=$M37),1,"")</f>
        <v/>
      </c>
      <c r="AN37">
        <f>IF(AND($A37&lt;&gt;"",AN$3&gt;=$J37,AN$3&lt;=$M37),1,"")</f>
        <v/>
      </c>
      <c r="AO37">
        <f>IF(AND($A37&lt;&gt;"",AO$3&gt;=$J37,AO$3&lt;=$M37),1,"")</f>
        <v/>
      </c>
      <c r="AP37">
        <f>IF(AND($A37&lt;&gt;"",AP$3&gt;=$J37,AP$3&lt;=$M37),1,"")</f>
        <v/>
      </c>
      <c r="AQ37">
        <f>IF(AND($A37&lt;&gt;"",AQ$3&gt;=$J37,AQ$3&lt;=$M37),1,"")</f>
        <v/>
      </c>
      <c r="AR37">
        <f>IF(AND($A37&lt;&gt;"",AR$3&gt;=$J37,AR$3&lt;=$M37),1,"")</f>
        <v/>
      </c>
      <c r="AS37">
        <f>IF(AND($A37&lt;&gt;"",AS$3&gt;=$J37,AS$3&lt;=$M37),1,"")</f>
        <v/>
      </c>
      <c r="AT37">
        <f>IF(AND($A37&lt;&gt;"",AT$3&gt;=$J37,AT$3&lt;=$M37),1,"")</f>
        <v/>
      </c>
      <c r="AU37">
        <f>IF(AND($A37&lt;&gt;"",AU$3&gt;=$J37,AU$3&lt;=$M37),1,"")</f>
        <v/>
      </c>
      <c r="AV37">
        <f>IF(AND($A37&lt;&gt;"",AV$3&gt;=$J37,AV$3&lt;=$M37),1,"")</f>
        <v/>
      </c>
      <c r="AW37">
        <f>IF(AND($A37&lt;&gt;"",AW$3&gt;=$J37,AW$3&lt;=$M37),1,"")</f>
        <v/>
      </c>
      <c r="AX37">
        <f>IF(AND($A37&lt;&gt;"",AX$3&gt;=$J37,AX$3&lt;=$M37),1,"")</f>
        <v/>
      </c>
      <c r="AY37">
        <f>IF(AND($A37&lt;&gt;"",AY$3&gt;=$J37,AY$3&lt;=$M37),1,"")</f>
        <v/>
      </c>
      <c r="AZ37">
        <f>IF(AND($A37&lt;&gt;"",AZ$3&gt;=$J37,AZ$3&lt;=$M37),1,"")</f>
        <v/>
      </c>
      <c r="BA37">
        <f>IF(AND($A37&lt;&gt;"",BA$3&gt;=$J37,BA$3&lt;=$M37),1,"")</f>
        <v/>
      </c>
      <c r="BB37">
        <f>IF(AND($A37&lt;&gt;"",BB$3&gt;=$J37,BB$3&lt;=$M37),1,"")</f>
        <v/>
      </c>
      <c r="BC37">
        <f>IF(AND($A37&lt;&gt;"",BC$3&gt;=$J37,BC$3&lt;=$M37),1,"")</f>
        <v/>
      </c>
      <c r="BD37">
        <f>IF(AND($A37&lt;&gt;"",BD$3&gt;=$J37,BD$3&lt;=$M37),1,"")</f>
        <v/>
      </c>
      <c r="BE37">
        <f>IF(AND($A37&lt;&gt;"",BE$3&gt;=$J37,BE$3&lt;=$M37),1,"")</f>
        <v/>
      </c>
      <c r="BF37">
        <f>IF(AND($A37&lt;&gt;"",BF$3&gt;=$J37,BF$3&lt;=$M37),1,"")</f>
        <v/>
      </c>
      <c r="BG37">
        <f>IF(AND($A37&lt;&gt;"",BG$3&gt;=$J37,BG$3&lt;=$M37),1,"")</f>
        <v/>
      </c>
      <c r="BH37">
        <f>IF(AND($A37&lt;&gt;"",BH$3&gt;=$J37,BH$3&lt;=$M37),1,"")</f>
        <v/>
      </c>
      <c r="BI37">
        <f>IF(AND($A37&lt;&gt;"",BI$3&gt;=$J37,BI$3&lt;=$M37),1,"")</f>
        <v/>
      </c>
      <c r="BJ37">
        <f>IF(AND($A37&lt;&gt;"",BJ$3&gt;=$J37,BJ$3&lt;=$M37),1,"")</f>
        <v/>
      </c>
      <c r="BK37">
        <f>IF(AND($A37&lt;&gt;"",BK$3&gt;=$J37,BK$3&lt;=$M37),1,"")</f>
        <v/>
      </c>
      <c r="BL37">
        <f>IF(AND($A37&lt;&gt;"",BL$3&gt;=$J37,BL$3&lt;=$M37),1,"")</f>
        <v/>
      </c>
      <c r="BM37">
        <f>IF(AND($A37&lt;&gt;"",BM$3&gt;=$J37,BM$3&lt;=$M37),1,"")</f>
        <v/>
      </c>
      <c r="BN37">
        <f>IF(AND($A37&lt;&gt;"",BN$3&gt;=$J37,BN$3&lt;=$M37),1,"")</f>
        <v/>
      </c>
      <c r="BO37">
        <f>IF(AND($A37&lt;&gt;"",BO$3&gt;=$J37,BO$3&lt;=$M37),1,"")</f>
        <v/>
      </c>
      <c r="BP37">
        <f>IF(AND($A37&lt;&gt;"",BP$3&gt;=$J37,BP$3&lt;=$M37),1,"")</f>
        <v/>
      </c>
      <c r="BQ37">
        <f>IF(AND($A37&lt;&gt;"",BQ$3&gt;=$J37,BQ$3&lt;=$M37),1,"")</f>
        <v/>
      </c>
      <c r="BR37">
        <f>IF(AND($A37&lt;&gt;"",BR$3&gt;=$J37,BR$3&lt;=$M37),1,"")</f>
        <v/>
      </c>
      <c r="BS37">
        <f>IF(AND($A37&lt;&gt;"",BS$3&gt;=$J37,BS$3&lt;=$M37),1,"")</f>
        <v/>
      </c>
      <c r="BT37">
        <f>IF(AND($A37&lt;&gt;"",BT$3&gt;=$J37,BT$3&lt;=$M37),1,"")</f>
        <v/>
      </c>
      <c r="BU37">
        <f>IF(AND($A37&lt;&gt;"",BU$3&gt;=$J37,BU$3&lt;=$M37),1,"")</f>
        <v/>
      </c>
      <c r="BV37">
        <f>IF(AND($A37&lt;&gt;"",BV$3&gt;=$J37,BV$3&lt;=$M37),1,"")</f>
        <v/>
      </c>
    </row>
    <row r="38">
      <c r="A38">
        <f>IF(Job_Master_Ring!$A38="","",Job_Master_Ring!$A38)</f>
        <v/>
      </c>
      <c r="B38">
        <f>IF($A38="","",Job_Master_Ring!B38)</f>
        <v/>
      </c>
      <c r="C38">
        <f>IF($A38="","",Job_Master_Ring!C38)</f>
        <v/>
      </c>
      <c r="D38">
        <f>IF($A38="","",Job_Master_Ring!D38)</f>
        <v/>
      </c>
      <c r="E38">
        <f>IF($A38="","",IF($I38&lt;&gt;"",$I38,IFERROR(INDEX(Machine_List!$B$50:$B$63,MATCH(1,(Machine_List!$H$50:$H$63&lt;=IFERROR(VLOOKUP($B38,CHOOSE(MATCH($C38,Settings!$L$4:$L$10,0),OPR_BR1!$A$4:$K$18,OPR_BR2!$A$4:$K$18,OPR_CR2!$A$4:$K$18,OPR_CR3!$A$4:$K$18,OPR_CR4!$A$4:$K$18,OPR_RIM!$A$4:$K$18,OPR_BPR!$A$4:$K$18),10,0),0))*(Machine_List!$I$50:$I$63&gt;=IFERROR(VLOOKUP($B38,CHOOSE(MATCH($C38,Settings!$L$4:$L$10,0),OPR_BR1!$A$4:$K$18,OPR_BR2!$A$4:$K$18,OPR_CR2!$A$4:$K$18,OPR_CR3!$A$4:$K$18,OPR_CR4!$A$4:$K$18,OPR_RIM!$A$4:$K$18,OPR_BPR!$A$4:$K$18),11,0),9999)),0)),"NO COMPATIBLE MACHINE")))</f>
        <v/>
      </c>
      <c r="F38">
        <f>IF($E38="","",IFERROR(VLOOKUP($E38,Machine_List!$B:$G,6,0),""))</f>
        <v/>
      </c>
      <c r="G38" s="17">
        <f>IF($E38="","",IFERROR(VLOOKUP($E38,Machine_List!$B:$C,2,0),""))</f>
        <v/>
      </c>
      <c r="H38">
        <f>IF($E38="","",IFERROR(VLOOKUP($E38,Machine_List!$B:$D,3,0),""))</f>
        <v/>
      </c>
      <c r="J38" s="16">
        <f>IF($A38="","",IF($I38&lt;&gt;"",$I38,MAX(CNC_Plan!$M38,IFERROR(LOOKUP(2,1/($E$3:INDIRECT("E"&amp;(ROW()-1))=$E38),$M$3:INDIRECT("M"&amp;(ROW()-1))),CNC_Plan!$M38))))</f>
        <v/>
      </c>
      <c r="K38">
        <f>IF($A38="","",IFERROR(VLOOKUP(B38,CHOOSE(MATCH($C38,Settings!$L$4:$L$10,0),OPR_BR1!$A$4:$I$18,OPR_BR2!$A$4:$I$18,OPR_CR2!$A$4:$I$18,OPR_CR3!$A$4:$I$18,OPR_CR4!$A$4:$I$18,OPR_RIM!$A$4:$I$18,OPR_BPR!$A$4:$I$18),6,0),0))</f>
        <v/>
      </c>
      <c r="L38">
        <f>IF($A38="","",K38*D38)</f>
        <v/>
      </c>
      <c r="M38" s="16">
        <f>IF($A38="","",IF(AND(ISNUMBER(G38),G38&gt;=J38,G38&lt;=(J38+(L38/(IF(F38="Contract Workman",Settings!$K$5,Settings!$K$4))))),J38+(L38/(IF(F38="Contract Workman",Settings!$K$5,Settings!$K$4)))+(H38/(IF(F38="Contract Workman",Settings!$K$5,Settings!$K$4))),J38+(L38/(IF(F38="Contract Workman",Settings!$K$5,Settings!$K$4)))))</f>
        <v/>
      </c>
      <c r="N38">
        <f>IF($A38="","",IF(F38="Contract Workman",IF(AND(MOD(M38,1)&gt;=8/24,MOD(M38,1)&lt;20/24),"Shift S1","Shift S2"),IF(AND(MOD(M38,1)&gt;=7/24,MOD(M38,1)&lt;15/24),"Shift A",IF(AND(MOD(M38,1)&gt;=15/24,MOD(M38,1)&lt;23/24),"Shift B","Shift C"))))</f>
        <v/>
      </c>
      <c r="O38">
        <f>IF(B38="","",IF(IFERROR(ISNUMBER(SEARCH(TEXT(B38,"0"),VLOOKUP(E38,Machine_List!$B:$J,9,0))),FALSE),"✅ "&amp; E38,"❌ Sug: "&amp;IFERROR(INDEX(Machine_List!$B$50:$B$63,MATCH(1,(Machine_List!$H$50:$H$63&lt;=IFERROR(VLOOKUP($B38,OPR_BR1!$A$4:$K$18,10,0),0))*(Machine_List!$I$50:$I$63&gt;=IFERROR(VLOOKUP($B38,OPR_BR1!$A$4:$K$18,11,0),9999)),0)),"?")))</f>
        <v/>
      </c>
      <c r="P38">
        <f>IF(AND($A38&lt;&gt;"",P$3&gt;=$J38,P$3&lt;=$M38),1,"")</f>
        <v/>
      </c>
      <c r="Q38">
        <f>IF(AND($A38&lt;&gt;"",Q$3&gt;=$J38,Q$3&lt;=$M38),1,"")</f>
        <v/>
      </c>
      <c r="R38">
        <f>IF(AND($A38&lt;&gt;"",R$3&gt;=$J38,R$3&lt;=$M38),1,"")</f>
        <v/>
      </c>
      <c r="S38">
        <f>IF(AND($A38&lt;&gt;"",S$3&gt;=$J38,S$3&lt;=$M38),1,"")</f>
        <v/>
      </c>
      <c r="T38">
        <f>IF(AND($A38&lt;&gt;"",T$3&gt;=$J38,T$3&lt;=$M38),1,"")</f>
        <v/>
      </c>
      <c r="U38">
        <f>IF(AND($A38&lt;&gt;"",U$3&gt;=$J38,U$3&lt;=$M38),1,"")</f>
        <v/>
      </c>
      <c r="V38">
        <f>IF(AND($A38&lt;&gt;"",V$3&gt;=$J38,V$3&lt;=$M38),1,"")</f>
        <v/>
      </c>
      <c r="W38">
        <f>IF(AND($A38&lt;&gt;"",W$3&gt;=$J38,W$3&lt;=$M38),1,"")</f>
        <v/>
      </c>
      <c r="X38">
        <f>IF(AND($A38&lt;&gt;"",X$3&gt;=$J38,X$3&lt;=$M38),1,"")</f>
        <v/>
      </c>
      <c r="Y38">
        <f>IF(AND($A38&lt;&gt;"",Y$3&gt;=$J38,Y$3&lt;=$M38),1,"")</f>
        <v/>
      </c>
      <c r="Z38">
        <f>IF(AND($A38&lt;&gt;"",Z$3&gt;=$J38,Z$3&lt;=$M38),1,"")</f>
        <v/>
      </c>
      <c r="AA38">
        <f>IF(AND($A38&lt;&gt;"",AA$3&gt;=$J38,AA$3&lt;=$M38),1,"")</f>
        <v/>
      </c>
      <c r="AB38">
        <f>IF(AND($A38&lt;&gt;"",AB$3&gt;=$J38,AB$3&lt;=$M38),1,"")</f>
        <v/>
      </c>
      <c r="AC38">
        <f>IF(AND($A38&lt;&gt;"",AC$3&gt;=$J38,AC$3&lt;=$M38),1,"")</f>
        <v/>
      </c>
      <c r="AD38">
        <f>IF(AND($A38&lt;&gt;"",AD$3&gt;=$J38,AD$3&lt;=$M38),1,"")</f>
        <v/>
      </c>
      <c r="AE38">
        <f>IF(AND($A38&lt;&gt;"",AE$3&gt;=$J38,AE$3&lt;=$M38),1,"")</f>
        <v/>
      </c>
      <c r="AF38">
        <f>IF(AND($A38&lt;&gt;"",AF$3&gt;=$J38,AF$3&lt;=$M38),1,"")</f>
        <v/>
      </c>
      <c r="AG38">
        <f>IF(AND($A38&lt;&gt;"",AG$3&gt;=$J38,AG$3&lt;=$M38),1,"")</f>
        <v/>
      </c>
      <c r="AH38">
        <f>IF(AND($A38&lt;&gt;"",AH$3&gt;=$J38,AH$3&lt;=$M38),1,"")</f>
        <v/>
      </c>
      <c r="AI38">
        <f>IF(AND($A38&lt;&gt;"",AI$3&gt;=$J38,AI$3&lt;=$M38),1,"")</f>
        <v/>
      </c>
      <c r="AJ38">
        <f>IF(AND($A38&lt;&gt;"",AJ$3&gt;=$J38,AJ$3&lt;=$M38),1,"")</f>
        <v/>
      </c>
      <c r="AK38">
        <f>IF(AND($A38&lt;&gt;"",AK$3&gt;=$J38,AK$3&lt;=$M38),1,"")</f>
        <v/>
      </c>
      <c r="AL38">
        <f>IF(AND($A38&lt;&gt;"",AL$3&gt;=$J38,AL$3&lt;=$M38),1,"")</f>
        <v/>
      </c>
      <c r="AM38">
        <f>IF(AND($A38&lt;&gt;"",AM$3&gt;=$J38,AM$3&lt;=$M38),1,"")</f>
        <v/>
      </c>
      <c r="AN38">
        <f>IF(AND($A38&lt;&gt;"",AN$3&gt;=$J38,AN$3&lt;=$M38),1,"")</f>
        <v/>
      </c>
      <c r="AO38">
        <f>IF(AND($A38&lt;&gt;"",AO$3&gt;=$J38,AO$3&lt;=$M38),1,"")</f>
        <v/>
      </c>
      <c r="AP38">
        <f>IF(AND($A38&lt;&gt;"",AP$3&gt;=$J38,AP$3&lt;=$M38),1,"")</f>
        <v/>
      </c>
      <c r="AQ38">
        <f>IF(AND($A38&lt;&gt;"",AQ$3&gt;=$J38,AQ$3&lt;=$M38),1,"")</f>
        <v/>
      </c>
      <c r="AR38">
        <f>IF(AND($A38&lt;&gt;"",AR$3&gt;=$J38,AR$3&lt;=$M38),1,"")</f>
        <v/>
      </c>
      <c r="AS38">
        <f>IF(AND($A38&lt;&gt;"",AS$3&gt;=$J38,AS$3&lt;=$M38),1,"")</f>
        <v/>
      </c>
      <c r="AT38">
        <f>IF(AND($A38&lt;&gt;"",AT$3&gt;=$J38,AT$3&lt;=$M38),1,"")</f>
        <v/>
      </c>
      <c r="AU38">
        <f>IF(AND($A38&lt;&gt;"",AU$3&gt;=$J38,AU$3&lt;=$M38),1,"")</f>
        <v/>
      </c>
      <c r="AV38">
        <f>IF(AND($A38&lt;&gt;"",AV$3&gt;=$J38,AV$3&lt;=$M38),1,"")</f>
        <v/>
      </c>
      <c r="AW38">
        <f>IF(AND($A38&lt;&gt;"",AW$3&gt;=$J38,AW$3&lt;=$M38),1,"")</f>
        <v/>
      </c>
      <c r="AX38">
        <f>IF(AND($A38&lt;&gt;"",AX$3&gt;=$J38,AX$3&lt;=$M38),1,"")</f>
        <v/>
      </c>
      <c r="AY38">
        <f>IF(AND($A38&lt;&gt;"",AY$3&gt;=$J38,AY$3&lt;=$M38),1,"")</f>
        <v/>
      </c>
      <c r="AZ38">
        <f>IF(AND($A38&lt;&gt;"",AZ$3&gt;=$J38,AZ$3&lt;=$M38),1,"")</f>
        <v/>
      </c>
      <c r="BA38">
        <f>IF(AND($A38&lt;&gt;"",BA$3&gt;=$J38,BA$3&lt;=$M38),1,"")</f>
        <v/>
      </c>
      <c r="BB38">
        <f>IF(AND($A38&lt;&gt;"",BB$3&gt;=$J38,BB$3&lt;=$M38),1,"")</f>
        <v/>
      </c>
      <c r="BC38">
        <f>IF(AND($A38&lt;&gt;"",BC$3&gt;=$J38,BC$3&lt;=$M38),1,"")</f>
        <v/>
      </c>
      <c r="BD38">
        <f>IF(AND($A38&lt;&gt;"",BD$3&gt;=$J38,BD$3&lt;=$M38),1,"")</f>
        <v/>
      </c>
      <c r="BE38">
        <f>IF(AND($A38&lt;&gt;"",BE$3&gt;=$J38,BE$3&lt;=$M38),1,"")</f>
        <v/>
      </c>
      <c r="BF38">
        <f>IF(AND($A38&lt;&gt;"",BF$3&gt;=$J38,BF$3&lt;=$M38),1,"")</f>
        <v/>
      </c>
      <c r="BG38">
        <f>IF(AND($A38&lt;&gt;"",BG$3&gt;=$J38,BG$3&lt;=$M38),1,"")</f>
        <v/>
      </c>
      <c r="BH38">
        <f>IF(AND($A38&lt;&gt;"",BH$3&gt;=$J38,BH$3&lt;=$M38),1,"")</f>
        <v/>
      </c>
      <c r="BI38">
        <f>IF(AND($A38&lt;&gt;"",BI$3&gt;=$J38,BI$3&lt;=$M38),1,"")</f>
        <v/>
      </c>
      <c r="BJ38">
        <f>IF(AND($A38&lt;&gt;"",BJ$3&gt;=$J38,BJ$3&lt;=$M38),1,"")</f>
        <v/>
      </c>
      <c r="BK38">
        <f>IF(AND($A38&lt;&gt;"",BK$3&gt;=$J38,BK$3&lt;=$M38),1,"")</f>
        <v/>
      </c>
      <c r="BL38">
        <f>IF(AND($A38&lt;&gt;"",BL$3&gt;=$J38,BL$3&lt;=$M38),1,"")</f>
        <v/>
      </c>
      <c r="BM38">
        <f>IF(AND($A38&lt;&gt;"",BM$3&gt;=$J38,BM$3&lt;=$M38),1,"")</f>
        <v/>
      </c>
      <c r="BN38">
        <f>IF(AND($A38&lt;&gt;"",BN$3&gt;=$J38,BN$3&lt;=$M38),1,"")</f>
        <v/>
      </c>
      <c r="BO38">
        <f>IF(AND($A38&lt;&gt;"",BO$3&gt;=$J38,BO$3&lt;=$M38),1,"")</f>
        <v/>
      </c>
      <c r="BP38">
        <f>IF(AND($A38&lt;&gt;"",BP$3&gt;=$J38,BP$3&lt;=$M38),1,"")</f>
        <v/>
      </c>
      <c r="BQ38">
        <f>IF(AND($A38&lt;&gt;"",BQ$3&gt;=$J38,BQ$3&lt;=$M38),1,"")</f>
        <v/>
      </c>
      <c r="BR38">
        <f>IF(AND($A38&lt;&gt;"",BR$3&gt;=$J38,BR$3&lt;=$M38),1,"")</f>
        <v/>
      </c>
      <c r="BS38">
        <f>IF(AND($A38&lt;&gt;"",BS$3&gt;=$J38,BS$3&lt;=$M38),1,"")</f>
        <v/>
      </c>
      <c r="BT38">
        <f>IF(AND($A38&lt;&gt;"",BT$3&gt;=$J38,BT$3&lt;=$M38),1,"")</f>
        <v/>
      </c>
      <c r="BU38">
        <f>IF(AND($A38&lt;&gt;"",BU$3&gt;=$J38,BU$3&lt;=$M38),1,"")</f>
        <v/>
      </c>
      <c r="BV38">
        <f>IF(AND($A38&lt;&gt;"",BV$3&gt;=$J38,BV$3&lt;=$M38),1,"")</f>
        <v/>
      </c>
    </row>
    <row r="39">
      <c r="A39">
        <f>IF(Job_Master_Ring!$A39="","",Job_Master_Ring!$A39)</f>
        <v/>
      </c>
      <c r="B39">
        <f>IF($A39="","",Job_Master_Ring!B39)</f>
        <v/>
      </c>
      <c r="C39">
        <f>IF($A39="","",Job_Master_Ring!C39)</f>
        <v/>
      </c>
      <c r="D39">
        <f>IF($A39="","",Job_Master_Ring!D39)</f>
        <v/>
      </c>
      <c r="E39">
        <f>IF($A39="","",IF($I39&lt;&gt;"",$I39,IFERROR(INDEX(Machine_List!$B$50:$B$63,MATCH(1,(Machine_List!$H$50:$H$63&lt;=IFERROR(VLOOKUP($B39,CHOOSE(MATCH($C39,Settings!$L$4:$L$10,0),OPR_BR1!$A$4:$K$18,OPR_BR2!$A$4:$K$18,OPR_CR2!$A$4:$K$18,OPR_CR3!$A$4:$K$18,OPR_CR4!$A$4:$K$18,OPR_RIM!$A$4:$K$18,OPR_BPR!$A$4:$K$18),10,0),0))*(Machine_List!$I$50:$I$63&gt;=IFERROR(VLOOKUP($B39,CHOOSE(MATCH($C39,Settings!$L$4:$L$10,0),OPR_BR1!$A$4:$K$18,OPR_BR2!$A$4:$K$18,OPR_CR2!$A$4:$K$18,OPR_CR3!$A$4:$K$18,OPR_CR4!$A$4:$K$18,OPR_RIM!$A$4:$K$18,OPR_BPR!$A$4:$K$18),11,0),9999)),0)),"NO COMPATIBLE MACHINE")))</f>
        <v/>
      </c>
      <c r="F39">
        <f>IF($E39="","",IFERROR(VLOOKUP($E39,Machine_List!$B:$G,6,0),""))</f>
        <v/>
      </c>
      <c r="G39" s="17">
        <f>IF($E39="","",IFERROR(VLOOKUP($E39,Machine_List!$B:$C,2,0),""))</f>
        <v/>
      </c>
      <c r="H39">
        <f>IF($E39="","",IFERROR(VLOOKUP($E39,Machine_List!$B:$D,3,0),""))</f>
        <v/>
      </c>
      <c r="J39" s="16">
        <f>IF($A39="","",IF($I39&lt;&gt;"",$I39,MAX(CNC_Plan!$M39,IFERROR(LOOKUP(2,1/($E$3:INDIRECT("E"&amp;(ROW()-1))=$E39),$M$3:INDIRECT("M"&amp;(ROW()-1))),CNC_Plan!$M39))))</f>
        <v/>
      </c>
      <c r="K39">
        <f>IF($A39="","",IFERROR(VLOOKUP(B39,CHOOSE(MATCH($C39,Settings!$L$4:$L$10,0),OPR_BR1!$A$4:$I$18,OPR_BR2!$A$4:$I$18,OPR_CR2!$A$4:$I$18,OPR_CR3!$A$4:$I$18,OPR_CR4!$A$4:$I$18,OPR_RIM!$A$4:$I$18,OPR_BPR!$A$4:$I$18),6,0),0))</f>
        <v/>
      </c>
      <c r="L39">
        <f>IF($A39="","",K39*D39)</f>
        <v/>
      </c>
      <c r="M39" s="16">
        <f>IF($A39="","",IF(AND(ISNUMBER(G39),G39&gt;=J39,G39&lt;=(J39+(L39/(IF(F39="Contract Workman",Settings!$K$5,Settings!$K$4))))),J39+(L39/(IF(F39="Contract Workman",Settings!$K$5,Settings!$K$4)))+(H39/(IF(F39="Contract Workman",Settings!$K$5,Settings!$K$4))),J39+(L39/(IF(F39="Contract Workman",Settings!$K$5,Settings!$K$4)))))</f>
        <v/>
      </c>
      <c r="N39">
        <f>IF($A39="","",IF(F39="Contract Workman",IF(AND(MOD(M39,1)&gt;=8/24,MOD(M39,1)&lt;20/24),"Shift S1","Shift S2"),IF(AND(MOD(M39,1)&gt;=7/24,MOD(M39,1)&lt;15/24),"Shift A",IF(AND(MOD(M39,1)&gt;=15/24,MOD(M39,1)&lt;23/24),"Shift B","Shift C"))))</f>
        <v/>
      </c>
      <c r="O39">
        <f>IF(B39="","",IF(IFERROR(ISNUMBER(SEARCH(TEXT(B39,"0"),VLOOKUP(E39,Machine_List!$B:$J,9,0))),FALSE),"✅ "&amp; E39,"❌ Sug: "&amp;IFERROR(INDEX(Machine_List!$B$50:$B$63,MATCH(1,(Machine_List!$H$50:$H$63&lt;=IFERROR(VLOOKUP($B39,OPR_BR1!$A$4:$K$18,10,0),0))*(Machine_List!$I$50:$I$63&gt;=IFERROR(VLOOKUP($B39,OPR_BR1!$A$4:$K$18,11,0),9999)),0)),"?")))</f>
        <v/>
      </c>
      <c r="P39">
        <f>IF(AND($A39&lt;&gt;"",P$3&gt;=$J39,P$3&lt;=$M39),1,"")</f>
        <v/>
      </c>
      <c r="Q39">
        <f>IF(AND($A39&lt;&gt;"",Q$3&gt;=$J39,Q$3&lt;=$M39),1,"")</f>
        <v/>
      </c>
      <c r="R39">
        <f>IF(AND($A39&lt;&gt;"",R$3&gt;=$J39,R$3&lt;=$M39),1,"")</f>
        <v/>
      </c>
      <c r="S39">
        <f>IF(AND($A39&lt;&gt;"",S$3&gt;=$J39,S$3&lt;=$M39),1,"")</f>
        <v/>
      </c>
      <c r="T39">
        <f>IF(AND($A39&lt;&gt;"",T$3&gt;=$J39,T$3&lt;=$M39),1,"")</f>
        <v/>
      </c>
      <c r="U39">
        <f>IF(AND($A39&lt;&gt;"",U$3&gt;=$J39,U$3&lt;=$M39),1,"")</f>
        <v/>
      </c>
      <c r="V39">
        <f>IF(AND($A39&lt;&gt;"",V$3&gt;=$J39,V$3&lt;=$M39),1,"")</f>
        <v/>
      </c>
      <c r="W39">
        <f>IF(AND($A39&lt;&gt;"",W$3&gt;=$J39,W$3&lt;=$M39),1,"")</f>
        <v/>
      </c>
      <c r="X39">
        <f>IF(AND($A39&lt;&gt;"",X$3&gt;=$J39,X$3&lt;=$M39),1,"")</f>
        <v/>
      </c>
      <c r="Y39">
        <f>IF(AND($A39&lt;&gt;"",Y$3&gt;=$J39,Y$3&lt;=$M39),1,"")</f>
        <v/>
      </c>
      <c r="Z39">
        <f>IF(AND($A39&lt;&gt;"",Z$3&gt;=$J39,Z$3&lt;=$M39),1,"")</f>
        <v/>
      </c>
      <c r="AA39">
        <f>IF(AND($A39&lt;&gt;"",AA$3&gt;=$J39,AA$3&lt;=$M39),1,"")</f>
        <v/>
      </c>
      <c r="AB39">
        <f>IF(AND($A39&lt;&gt;"",AB$3&gt;=$J39,AB$3&lt;=$M39),1,"")</f>
        <v/>
      </c>
      <c r="AC39">
        <f>IF(AND($A39&lt;&gt;"",AC$3&gt;=$J39,AC$3&lt;=$M39),1,"")</f>
        <v/>
      </c>
      <c r="AD39">
        <f>IF(AND($A39&lt;&gt;"",AD$3&gt;=$J39,AD$3&lt;=$M39),1,"")</f>
        <v/>
      </c>
      <c r="AE39">
        <f>IF(AND($A39&lt;&gt;"",AE$3&gt;=$J39,AE$3&lt;=$M39),1,"")</f>
        <v/>
      </c>
      <c r="AF39">
        <f>IF(AND($A39&lt;&gt;"",AF$3&gt;=$J39,AF$3&lt;=$M39),1,"")</f>
        <v/>
      </c>
      <c r="AG39">
        <f>IF(AND($A39&lt;&gt;"",AG$3&gt;=$J39,AG$3&lt;=$M39),1,"")</f>
        <v/>
      </c>
      <c r="AH39">
        <f>IF(AND($A39&lt;&gt;"",AH$3&gt;=$J39,AH$3&lt;=$M39),1,"")</f>
        <v/>
      </c>
      <c r="AI39">
        <f>IF(AND($A39&lt;&gt;"",AI$3&gt;=$J39,AI$3&lt;=$M39),1,"")</f>
        <v/>
      </c>
      <c r="AJ39">
        <f>IF(AND($A39&lt;&gt;"",AJ$3&gt;=$J39,AJ$3&lt;=$M39),1,"")</f>
        <v/>
      </c>
      <c r="AK39">
        <f>IF(AND($A39&lt;&gt;"",AK$3&gt;=$J39,AK$3&lt;=$M39),1,"")</f>
        <v/>
      </c>
      <c r="AL39">
        <f>IF(AND($A39&lt;&gt;"",AL$3&gt;=$J39,AL$3&lt;=$M39),1,"")</f>
        <v/>
      </c>
      <c r="AM39">
        <f>IF(AND($A39&lt;&gt;"",AM$3&gt;=$J39,AM$3&lt;=$M39),1,"")</f>
        <v/>
      </c>
      <c r="AN39">
        <f>IF(AND($A39&lt;&gt;"",AN$3&gt;=$J39,AN$3&lt;=$M39),1,"")</f>
        <v/>
      </c>
      <c r="AO39">
        <f>IF(AND($A39&lt;&gt;"",AO$3&gt;=$J39,AO$3&lt;=$M39),1,"")</f>
        <v/>
      </c>
      <c r="AP39">
        <f>IF(AND($A39&lt;&gt;"",AP$3&gt;=$J39,AP$3&lt;=$M39),1,"")</f>
        <v/>
      </c>
      <c r="AQ39">
        <f>IF(AND($A39&lt;&gt;"",AQ$3&gt;=$J39,AQ$3&lt;=$M39),1,"")</f>
        <v/>
      </c>
      <c r="AR39">
        <f>IF(AND($A39&lt;&gt;"",AR$3&gt;=$J39,AR$3&lt;=$M39),1,"")</f>
        <v/>
      </c>
      <c r="AS39">
        <f>IF(AND($A39&lt;&gt;"",AS$3&gt;=$J39,AS$3&lt;=$M39),1,"")</f>
        <v/>
      </c>
      <c r="AT39">
        <f>IF(AND($A39&lt;&gt;"",AT$3&gt;=$J39,AT$3&lt;=$M39),1,"")</f>
        <v/>
      </c>
      <c r="AU39">
        <f>IF(AND($A39&lt;&gt;"",AU$3&gt;=$J39,AU$3&lt;=$M39),1,"")</f>
        <v/>
      </c>
      <c r="AV39">
        <f>IF(AND($A39&lt;&gt;"",AV$3&gt;=$J39,AV$3&lt;=$M39),1,"")</f>
        <v/>
      </c>
      <c r="AW39">
        <f>IF(AND($A39&lt;&gt;"",AW$3&gt;=$J39,AW$3&lt;=$M39),1,"")</f>
        <v/>
      </c>
      <c r="AX39">
        <f>IF(AND($A39&lt;&gt;"",AX$3&gt;=$J39,AX$3&lt;=$M39),1,"")</f>
        <v/>
      </c>
      <c r="AY39">
        <f>IF(AND($A39&lt;&gt;"",AY$3&gt;=$J39,AY$3&lt;=$M39),1,"")</f>
        <v/>
      </c>
      <c r="AZ39">
        <f>IF(AND($A39&lt;&gt;"",AZ$3&gt;=$J39,AZ$3&lt;=$M39),1,"")</f>
        <v/>
      </c>
      <c r="BA39">
        <f>IF(AND($A39&lt;&gt;"",BA$3&gt;=$J39,BA$3&lt;=$M39),1,"")</f>
        <v/>
      </c>
      <c r="BB39">
        <f>IF(AND($A39&lt;&gt;"",BB$3&gt;=$J39,BB$3&lt;=$M39),1,"")</f>
        <v/>
      </c>
      <c r="BC39">
        <f>IF(AND($A39&lt;&gt;"",BC$3&gt;=$J39,BC$3&lt;=$M39),1,"")</f>
        <v/>
      </c>
      <c r="BD39">
        <f>IF(AND($A39&lt;&gt;"",BD$3&gt;=$J39,BD$3&lt;=$M39),1,"")</f>
        <v/>
      </c>
      <c r="BE39">
        <f>IF(AND($A39&lt;&gt;"",BE$3&gt;=$J39,BE$3&lt;=$M39),1,"")</f>
        <v/>
      </c>
      <c r="BF39">
        <f>IF(AND($A39&lt;&gt;"",BF$3&gt;=$J39,BF$3&lt;=$M39),1,"")</f>
        <v/>
      </c>
      <c r="BG39">
        <f>IF(AND($A39&lt;&gt;"",BG$3&gt;=$J39,BG$3&lt;=$M39),1,"")</f>
        <v/>
      </c>
      <c r="BH39">
        <f>IF(AND($A39&lt;&gt;"",BH$3&gt;=$J39,BH$3&lt;=$M39),1,"")</f>
        <v/>
      </c>
      <c r="BI39">
        <f>IF(AND($A39&lt;&gt;"",BI$3&gt;=$J39,BI$3&lt;=$M39),1,"")</f>
        <v/>
      </c>
      <c r="BJ39">
        <f>IF(AND($A39&lt;&gt;"",BJ$3&gt;=$J39,BJ$3&lt;=$M39),1,"")</f>
        <v/>
      </c>
      <c r="BK39">
        <f>IF(AND($A39&lt;&gt;"",BK$3&gt;=$J39,BK$3&lt;=$M39),1,"")</f>
        <v/>
      </c>
      <c r="BL39">
        <f>IF(AND($A39&lt;&gt;"",BL$3&gt;=$J39,BL$3&lt;=$M39),1,"")</f>
        <v/>
      </c>
      <c r="BM39">
        <f>IF(AND($A39&lt;&gt;"",BM$3&gt;=$J39,BM$3&lt;=$M39),1,"")</f>
        <v/>
      </c>
      <c r="BN39">
        <f>IF(AND($A39&lt;&gt;"",BN$3&gt;=$J39,BN$3&lt;=$M39),1,"")</f>
        <v/>
      </c>
      <c r="BO39">
        <f>IF(AND($A39&lt;&gt;"",BO$3&gt;=$J39,BO$3&lt;=$M39),1,"")</f>
        <v/>
      </c>
      <c r="BP39">
        <f>IF(AND($A39&lt;&gt;"",BP$3&gt;=$J39,BP$3&lt;=$M39),1,"")</f>
        <v/>
      </c>
      <c r="BQ39">
        <f>IF(AND($A39&lt;&gt;"",BQ$3&gt;=$J39,BQ$3&lt;=$M39),1,"")</f>
        <v/>
      </c>
      <c r="BR39">
        <f>IF(AND($A39&lt;&gt;"",BR$3&gt;=$J39,BR$3&lt;=$M39),1,"")</f>
        <v/>
      </c>
      <c r="BS39">
        <f>IF(AND($A39&lt;&gt;"",BS$3&gt;=$J39,BS$3&lt;=$M39),1,"")</f>
        <v/>
      </c>
      <c r="BT39">
        <f>IF(AND($A39&lt;&gt;"",BT$3&gt;=$J39,BT$3&lt;=$M39),1,"")</f>
        <v/>
      </c>
      <c r="BU39">
        <f>IF(AND($A39&lt;&gt;"",BU$3&gt;=$J39,BU$3&lt;=$M39),1,"")</f>
        <v/>
      </c>
      <c r="BV39">
        <f>IF(AND($A39&lt;&gt;"",BV$3&gt;=$J39,BV$3&lt;=$M39),1,"")</f>
        <v/>
      </c>
    </row>
    <row r="40">
      <c r="A40">
        <f>IF(Job_Master_Ring!$A40="","",Job_Master_Ring!$A40)</f>
        <v/>
      </c>
      <c r="B40">
        <f>IF($A40="","",Job_Master_Ring!B40)</f>
        <v/>
      </c>
      <c r="C40">
        <f>IF($A40="","",Job_Master_Ring!C40)</f>
        <v/>
      </c>
      <c r="D40">
        <f>IF($A40="","",Job_Master_Ring!D40)</f>
        <v/>
      </c>
      <c r="E40">
        <f>IF($A40="","",IF($I40&lt;&gt;"",$I40,IFERROR(INDEX(Machine_List!$B$50:$B$63,MATCH(1,(Machine_List!$H$50:$H$63&lt;=IFERROR(VLOOKUP($B40,CHOOSE(MATCH($C40,Settings!$L$4:$L$10,0),OPR_BR1!$A$4:$K$18,OPR_BR2!$A$4:$K$18,OPR_CR2!$A$4:$K$18,OPR_CR3!$A$4:$K$18,OPR_CR4!$A$4:$K$18,OPR_RIM!$A$4:$K$18,OPR_BPR!$A$4:$K$18),10,0),0))*(Machine_List!$I$50:$I$63&gt;=IFERROR(VLOOKUP($B40,CHOOSE(MATCH($C40,Settings!$L$4:$L$10,0),OPR_BR1!$A$4:$K$18,OPR_BR2!$A$4:$K$18,OPR_CR2!$A$4:$K$18,OPR_CR3!$A$4:$K$18,OPR_CR4!$A$4:$K$18,OPR_RIM!$A$4:$K$18,OPR_BPR!$A$4:$K$18),11,0),9999)),0)),"NO COMPATIBLE MACHINE")))</f>
        <v/>
      </c>
      <c r="F40">
        <f>IF($E40="","",IFERROR(VLOOKUP($E40,Machine_List!$B:$G,6,0),""))</f>
        <v/>
      </c>
      <c r="G40" s="17">
        <f>IF($E40="","",IFERROR(VLOOKUP($E40,Machine_List!$B:$C,2,0),""))</f>
        <v/>
      </c>
      <c r="H40">
        <f>IF($E40="","",IFERROR(VLOOKUP($E40,Machine_List!$B:$D,3,0),""))</f>
        <v/>
      </c>
      <c r="J40" s="16">
        <f>IF($A40="","",IF($I40&lt;&gt;"",$I40,MAX(CNC_Plan!$M40,IFERROR(LOOKUP(2,1/($E$3:INDIRECT("E"&amp;(ROW()-1))=$E40),$M$3:INDIRECT("M"&amp;(ROW()-1))),CNC_Plan!$M40))))</f>
        <v/>
      </c>
      <c r="K40">
        <f>IF($A40="","",IFERROR(VLOOKUP(B40,CHOOSE(MATCH($C40,Settings!$L$4:$L$10,0),OPR_BR1!$A$4:$I$18,OPR_BR2!$A$4:$I$18,OPR_CR2!$A$4:$I$18,OPR_CR3!$A$4:$I$18,OPR_CR4!$A$4:$I$18,OPR_RIM!$A$4:$I$18,OPR_BPR!$A$4:$I$18),6,0),0))</f>
        <v/>
      </c>
      <c r="L40">
        <f>IF($A40="","",K40*D40)</f>
        <v/>
      </c>
      <c r="M40" s="16">
        <f>IF($A40="","",IF(AND(ISNUMBER(G40),G40&gt;=J40,G40&lt;=(J40+(L40/(IF(F40="Contract Workman",Settings!$K$5,Settings!$K$4))))),J40+(L40/(IF(F40="Contract Workman",Settings!$K$5,Settings!$K$4)))+(H40/(IF(F40="Contract Workman",Settings!$K$5,Settings!$K$4))),J40+(L40/(IF(F40="Contract Workman",Settings!$K$5,Settings!$K$4)))))</f>
        <v/>
      </c>
      <c r="N40">
        <f>IF($A40="","",IF(F40="Contract Workman",IF(AND(MOD(M40,1)&gt;=8/24,MOD(M40,1)&lt;20/24),"Shift S1","Shift S2"),IF(AND(MOD(M40,1)&gt;=7/24,MOD(M40,1)&lt;15/24),"Shift A",IF(AND(MOD(M40,1)&gt;=15/24,MOD(M40,1)&lt;23/24),"Shift B","Shift C"))))</f>
        <v/>
      </c>
      <c r="O40">
        <f>IF(B40="","",IF(IFERROR(ISNUMBER(SEARCH(TEXT(B40,"0"),VLOOKUP(E40,Machine_List!$B:$J,9,0))),FALSE),"✅ "&amp; E40,"❌ Sug: "&amp;IFERROR(INDEX(Machine_List!$B$50:$B$63,MATCH(1,(Machine_List!$H$50:$H$63&lt;=IFERROR(VLOOKUP($B40,OPR_BR1!$A$4:$K$18,10,0),0))*(Machine_List!$I$50:$I$63&gt;=IFERROR(VLOOKUP($B40,OPR_BR1!$A$4:$K$18,11,0),9999)),0)),"?")))</f>
        <v/>
      </c>
      <c r="P40">
        <f>IF(AND($A40&lt;&gt;"",P$3&gt;=$J40,P$3&lt;=$M40),1,"")</f>
        <v/>
      </c>
      <c r="Q40">
        <f>IF(AND($A40&lt;&gt;"",Q$3&gt;=$J40,Q$3&lt;=$M40),1,"")</f>
        <v/>
      </c>
      <c r="R40">
        <f>IF(AND($A40&lt;&gt;"",R$3&gt;=$J40,R$3&lt;=$M40),1,"")</f>
        <v/>
      </c>
      <c r="S40">
        <f>IF(AND($A40&lt;&gt;"",S$3&gt;=$J40,S$3&lt;=$M40),1,"")</f>
        <v/>
      </c>
      <c r="T40">
        <f>IF(AND($A40&lt;&gt;"",T$3&gt;=$J40,T$3&lt;=$M40),1,"")</f>
        <v/>
      </c>
      <c r="U40">
        <f>IF(AND($A40&lt;&gt;"",U$3&gt;=$J40,U$3&lt;=$M40),1,"")</f>
        <v/>
      </c>
      <c r="V40">
        <f>IF(AND($A40&lt;&gt;"",V$3&gt;=$J40,V$3&lt;=$M40),1,"")</f>
        <v/>
      </c>
      <c r="W40">
        <f>IF(AND($A40&lt;&gt;"",W$3&gt;=$J40,W$3&lt;=$M40),1,"")</f>
        <v/>
      </c>
      <c r="X40">
        <f>IF(AND($A40&lt;&gt;"",X$3&gt;=$J40,X$3&lt;=$M40),1,"")</f>
        <v/>
      </c>
      <c r="Y40">
        <f>IF(AND($A40&lt;&gt;"",Y$3&gt;=$J40,Y$3&lt;=$M40),1,"")</f>
        <v/>
      </c>
      <c r="Z40">
        <f>IF(AND($A40&lt;&gt;"",Z$3&gt;=$J40,Z$3&lt;=$M40),1,"")</f>
        <v/>
      </c>
      <c r="AA40">
        <f>IF(AND($A40&lt;&gt;"",AA$3&gt;=$J40,AA$3&lt;=$M40),1,"")</f>
        <v/>
      </c>
      <c r="AB40">
        <f>IF(AND($A40&lt;&gt;"",AB$3&gt;=$J40,AB$3&lt;=$M40),1,"")</f>
        <v/>
      </c>
      <c r="AC40">
        <f>IF(AND($A40&lt;&gt;"",AC$3&gt;=$J40,AC$3&lt;=$M40),1,"")</f>
        <v/>
      </c>
      <c r="AD40">
        <f>IF(AND($A40&lt;&gt;"",AD$3&gt;=$J40,AD$3&lt;=$M40),1,"")</f>
        <v/>
      </c>
      <c r="AE40">
        <f>IF(AND($A40&lt;&gt;"",AE$3&gt;=$J40,AE$3&lt;=$M40),1,"")</f>
        <v/>
      </c>
      <c r="AF40">
        <f>IF(AND($A40&lt;&gt;"",AF$3&gt;=$J40,AF$3&lt;=$M40),1,"")</f>
        <v/>
      </c>
      <c r="AG40">
        <f>IF(AND($A40&lt;&gt;"",AG$3&gt;=$J40,AG$3&lt;=$M40),1,"")</f>
        <v/>
      </c>
      <c r="AH40">
        <f>IF(AND($A40&lt;&gt;"",AH$3&gt;=$J40,AH$3&lt;=$M40),1,"")</f>
        <v/>
      </c>
      <c r="AI40">
        <f>IF(AND($A40&lt;&gt;"",AI$3&gt;=$J40,AI$3&lt;=$M40),1,"")</f>
        <v/>
      </c>
      <c r="AJ40">
        <f>IF(AND($A40&lt;&gt;"",AJ$3&gt;=$J40,AJ$3&lt;=$M40),1,"")</f>
        <v/>
      </c>
      <c r="AK40">
        <f>IF(AND($A40&lt;&gt;"",AK$3&gt;=$J40,AK$3&lt;=$M40),1,"")</f>
        <v/>
      </c>
      <c r="AL40">
        <f>IF(AND($A40&lt;&gt;"",AL$3&gt;=$J40,AL$3&lt;=$M40),1,"")</f>
        <v/>
      </c>
      <c r="AM40">
        <f>IF(AND($A40&lt;&gt;"",AM$3&gt;=$J40,AM$3&lt;=$M40),1,"")</f>
        <v/>
      </c>
      <c r="AN40">
        <f>IF(AND($A40&lt;&gt;"",AN$3&gt;=$J40,AN$3&lt;=$M40),1,"")</f>
        <v/>
      </c>
      <c r="AO40">
        <f>IF(AND($A40&lt;&gt;"",AO$3&gt;=$J40,AO$3&lt;=$M40),1,"")</f>
        <v/>
      </c>
      <c r="AP40">
        <f>IF(AND($A40&lt;&gt;"",AP$3&gt;=$J40,AP$3&lt;=$M40),1,"")</f>
        <v/>
      </c>
      <c r="AQ40">
        <f>IF(AND($A40&lt;&gt;"",AQ$3&gt;=$J40,AQ$3&lt;=$M40),1,"")</f>
        <v/>
      </c>
      <c r="AR40">
        <f>IF(AND($A40&lt;&gt;"",AR$3&gt;=$J40,AR$3&lt;=$M40),1,"")</f>
        <v/>
      </c>
      <c r="AS40">
        <f>IF(AND($A40&lt;&gt;"",AS$3&gt;=$J40,AS$3&lt;=$M40),1,"")</f>
        <v/>
      </c>
      <c r="AT40">
        <f>IF(AND($A40&lt;&gt;"",AT$3&gt;=$J40,AT$3&lt;=$M40),1,"")</f>
        <v/>
      </c>
      <c r="AU40">
        <f>IF(AND($A40&lt;&gt;"",AU$3&gt;=$J40,AU$3&lt;=$M40),1,"")</f>
        <v/>
      </c>
      <c r="AV40">
        <f>IF(AND($A40&lt;&gt;"",AV$3&gt;=$J40,AV$3&lt;=$M40),1,"")</f>
        <v/>
      </c>
      <c r="AW40">
        <f>IF(AND($A40&lt;&gt;"",AW$3&gt;=$J40,AW$3&lt;=$M40),1,"")</f>
        <v/>
      </c>
      <c r="AX40">
        <f>IF(AND($A40&lt;&gt;"",AX$3&gt;=$J40,AX$3&lt;=$M40),1,"")</f>
        <v/>
      </c>
      <c r="AY40">
        <f>IF(AND($A40&lt;&gt;"",AY$3&gt;=$J40,AY$3&lt;=$M40),1,"")</f>
        <v/>
      </c>
      <c r="AZ40">
        <f>IF(AND($A40&lt;&gt;"",AZ$3&gt;=$J40,AZ$3&lt;=$M40),1,"")</f>
        <v/>
      </c>
      <c r="BA40">
        <f>IF(AND($A40&lt;&gt;"",BA$3&gt;=$J40,BA$3&lt;=$M40),1,"")</f>
        <v/>
      </c>
      <c r="BB40">
        <f>IF(AND($A40&lt;&gt;"",BB$3&gt;=$J40,BB$3&lt;=$M40),1,"")</f>
        <v/>
      </c>
      <c r="BC40">
        <f>IF(AND($A40&lt;&gt;"",BC$3&gt;=$J40,BC$3&lt;=$M40),1,"")</f>
        <v/>
      </c>
      <c r="BD40">
        <f>IF(AND($A40&lt;&gt;"",BD$3&gt;=$J40,BD$3&lt;=$M40),1,"")</f>
        <v/>
      </c>
      <c r="BE40">
        <f>IF(AND($A40&lt;&gt;"",BE$3&gt;=$J40,BE$3&lt;=$M40),1,"")</f>
        <v/>
      </c>
      <c r="BF40">
        <f>IF(AND($A40&lt;&gt;"",BF$3&gt;=$J40,BF$3&lt;=$M40),1,"")</f>
        <v/>
      </c>
      <c r="BG40">
        <f>IF(AND($A40&lt;&gt;"",BG$3&gt;=$J40,BG$3&lt;=$M40),1,"")</f>
        <v/>
      </c>
      <c r="BH40">
        <f>IF(AND($A40&lt;&gt;"",BH$3&gt;=$J40,BH$3&lt;=$M40),1,"")</f>
        <v/>
      </c>
      <c r="BI40">
        <f>IF(AND($A40&lt;&gt;"",BI$3&gt;=$J40,BI$3&lt;=$M40),1,"")</f>
        <v/>
      </c>
      <c r="BJ40">
        <f>IF(AND($A40&lt;&gt;"",BJ$3&gt;=$J40,BJ$3&lt;=$M40),1,"")</f>
        <v/>
      </c>
      <c r="BK40">
        <f>IF(AND($A40&lt;&gt;"",BK$3&gt;=$J40,BK$3&lt;=$M40),1,"")</f>
        <v/>
      </c>
      <c r="BL40">
        <f>IF(AND($A40&lt;&gt;"",BL$3&gt;=$J40,BL$3&lt;=$M40),1,"")</f>
        <v/>
      </c>
      <c r="BM40">
        <f>IF(AND($A40&lt;&gt;"",BM$3&gt;=$J40,BM$3&lt;=$M40),1,"")</f>
        <v/>
      </c>
      <c r="BN40">
        <f>IF(AND($A40&lt;&gt;"",BN$3&gt;=$J40,BN$3&lt;=$M40),1,"")</f>
        <v/>
      </c>
      <c r="BO40">
        <f>IF(AND($A40&lt;&gt;"",BO$3&gt;=$J40,BO$3&lt;=$M40),1,"")</f>
        <v/>
      </c>
      <c r="BP40">
        <f>IF(AND($A40&lt;&gt;"",BP$3&gt;=$J40,BP$3&lt;=$M40),1,"")</f>
        <v/>
      </c>
      <c r="BQ40">
        <f>IF(AND($A40&lt;&gt;"",BQ$3&gt;=$J40,BQ$3&lt;=$M40),1,"")</f>
        <v/>
      </c>
      <c r="BR40">
        <f>IF(AND($A40&lt;&gt;"",BR$3&gt;=$J40,BR$3&lt;=$M40),1,"")</f>
        <v/>
      </c>
      <c r="BS40">
        <f>IF(AND($A40&lt;&gt;"",BS$3&gt;=$J40,BS$3&lt;=$M40),1,"")</f>
        <v/>
      </c>
      <c r="BT40">
        <f>IF(AND($A40&lt;&gt;"",BT$3&gt;=$J40,BT$3&lt;=$M40),1,"")</f>
        <v/>
      </c>
      <c r="BU40">
        <f>IF(AND($A40&lt;&gt;"",BU$3&gt;=$J40,BU$3&lt;=$M40),1,"")</f>
        <v/>
      </c>
      <c r="BV40">
        <f>IF(AND($A40&lt;&gt;"",BV$3&gt;=$J40,BV$3&lt;=$M40),1,"")</f>
        <v/>
      </c>
    </row>
    <row r="41">
      <c r="A41">
        <f>IF(Job_Master_Ring!$A41="","",Job_Master_Ring!$A41)</f>
        <v/>
      </c>
      <c r="B41">
        <f>IF($A41="","",Job_Master_Ring!B41)</f>
        <v/>
      </c>
      <c r="C41">
        <f>IF($A41="","",Job_Master_Ring!C41)</f>
        <v/>
      </c>
      <c r="D41">
        <f>IF($A41="","",Job_Master_Ring!D41)</f>
        <v/>
      </c>
      <c r="E41">
        <f>IF($A41="","",IF($I41&lt;&gt;"",$I41,IFERROR(INDEX(Machine_List!$B$50:$B$63,MATCH(1,(Machine_List!$H$50:$H$63&lt;=IFERROR(VLOOKUP($B41,CHOOSE(MATCH($C41,Settings!$L$4:$L$10,0),OPR_BR1!$A$4:$K$18,OPR_BR2!$A$4:$K$18,OPR_CR2!$A$4:$K$18,OPR_CR3!$A$4:$K$18,OPR_CR4!$A$4:$K$18,OPR_RIM!$A$4:$K$18,OPR_BPR!$A$4:$K$18),10,0),0))*(Machine_List!$I$50:$I$63&gt;=IFERROR(VLOOKUP($B41,CHOOSE(MATCH($C41,Settings!$L$4:$L$10,0),OPR_BR1!$A$4:$K$18,OPR_BR2!$A$4:$K$18,OPR_CR2!$A$4:$K$18,OPR_CR3!$A$4:$K$18,OPR_CR4!$A$4:$K$18,OPR_RIM!$A$4:$K$18,OPR_BPR!$A$4:$K$18),11,0),9999)),0)),"NO COMPATIBLE MACHINE")))</f>
        <v/>
      </c>
      <c r="F41">
        <f>IF($E41="","",IFERROR(VLOOKUP($E41,Machine_List!$B:$G,6,0),""))</f>
        <v/>
      </c>
      <c r="G41" s="17">
        <f>IF($E41="","",IFERROR(VLOOKUP($E41,Machine_List!$B:$C,2,0),""))</f>
        <v/>
      </c>
      <c r="H41">
        <f>IF($E41="","",IFERROR(VLOOKUP($E41,Machine_List!$B:$D,3,0),""))</f>
        <v/>
      </c>
      <c r="J41" s="16">
        <f>IF($A41="","",IF($I41&lt;&gt;"",$I41,MAX(CNC_Plan!$M41,IFERROR(LOOKUP(2,1/($E$3:INDIRECT("E"&amp;(ROW()-1))=$E41),$M$3:INDIRECT("M"&amp;(ROW()-1))),CNC_Plan!$M41))))</f>
        <v/>
      </c>
      <c r="K41">
        <f>IF($A41="","",IFERROR(VLOOKUP(B41,CHOOSE(MATCH($C41,Settings!$L$4:$L$10,0),OPR_BR1!$A$4:$I$18,OPR_BR2!$A$4:$I$18,OPR_CR2!$A$4:$I$18,OPR_CR3!$A$4:$I$18,OPR_CR4!$A$4:$I$18,OPR_RIM!$A$4:$I$18,OPR_BPR!$A$4:$I$18),6,0),0))</f>
        <v/>
      </c>
      <c r="L41">
        <f>IF($A41="","",K41*D41)</f>
        <v/>
      </c>
      <c r="M41" s="16">
        <f>IF($A41="","",IF(AND(ISNUMBER(G41),G41&gt;=J41,G41&lt;=(J41+(L41/(IF(F41="Contract Workman",Settings!$K$5,Settings!$K$4))))),J41+(L41/(IF(F41="Contract Workman",Settings!$K$5,Settings!$K$4)))+(H41/(IF(F41="Contract Workman",Settings!$K$5,Settings!$K$4))),J41+(L41/(IF(F41="Contract Workman",Settings!$K$5,Settings!$K$4)))))</f>
        <v/>
      </c>
      <c r="N41">
        <f>IF($A41="","",IF(F41="Contract Workman",IF(AND(MOD(M41,1)&gt;=8/24,MOD(M41,1)&lt;20/24),"Shift S1","Shift S2"),IF(AND(MOD(M41,1)&gt;=7/24,MOD(M41,1)&lt;15/24),"Shift A",IF(AND(MOD(M41,1)&gt;=15/24,MOD(M41,1)&lt;23/24),"Shift B","Shift C"))))</f>
        <v/>
      </c>
      <c r="O41">
        <f>IF(B41="","",IF(IFERROR(ISNUMBER(SEARCH(TEXT(B41,"0"),VLOOKUP(E41,Machine_List!$B:$J,9,0))),FALSE),"✅ "&amp; E41,"❌ Sug: "&amp;IFERROR(INDEX(Machine_List!$B$50:$B$63,MATCH(1,(Machine_List!$H$50:$H$63&lt;=IFERROR(VLOOKUP($B41,OPR_BR1!$A$4:$K$18,10,0),0))*(Machine_List!$I$50:$I$63&gt;=IFERROR(VLOOKUP($B41,OPR_BR1!$A$4:$K$18,11,0),9999)),0)),"?")))</f>
        <v/>
      </c>
      <c r="P41">
        <f>IF(AND($A41&lt;&gt;"",P$3&gt;=$J41,P$3&lt;=$M41),1,"")</f>
        <v/>
      </c>
      <c r="Q41">
        <f>IF(AND($A41&lt;&gt;"",Q$3&gt;=$J41,Q$3&lt;=$M41),1,"")</f>
        <v/>
      </c>
      <c r="R41">
        <f>IF(AND($A41&lt;&gt;"",R$3&gt;=$J41,R$3&lt;=$M41),1,"")</f>
        <v/>
      </c>
      <c r="S41">
        <f>IF(AND($A41&lt;&gt;"",S$3&gt;=$J41,S$3&lt;=$M41),1,"")</f>
        <v/>
      </c>
      <c r="T41">
        <f>IF(AND($A41&lt;&gt;"",T$3&gt;=$J41,T$3&lt;=$M41),1,"")</f>
        <v/>
      </c>
      <c r="U41">
        <f>IF(AND($A41&lt;&gt;"",U$3&gt;=$J41,U$3&lt;=$M41),1,"")</f>
        <v/>
      </c>
      <c r="V41">
        <f>IF(AND($A41&lt;&gt;"",V$3&gt;=$J41,V$3&lt;=$M41),1,"")</f>
        <v/>
      </c>
      <c r="W41">
        <f>IF(AND($A41&lt;&gt;"",W$3&gt;=$J41,W$3&lt;=$M41),1,"")</f>
        <v/>
      </c>
      <c r="X41">
        <f>IF(AND($A41&lt;&gt;"",X$3&gt;=$J41,X$3&lt;=$M41),1,"")</f>
        <v/>
      </c>
      <c r="Y41">
        <f>IF(AND($A41&lt;&gt;"",Y$3&gt;=$J41,Y$3&lt;=$M41),1,"")</f>
        <v/>
      </c>
      <c r="Z41">
        <f>IF(AND($A41&lt;&gt;"",Z$3&gt;=$J41,Z$3&lt;=$M41),1,"")</f>
        <v/>
      </c>
      <c r="AA41">
        <f>IF(AND($A41&lt;&gt;"",AA$3&gt;=$J41,AA$3&lt;=$M41),1,"")</f>
        <v/>
      </c>
      <c r="AB41">
        <f>IF(AND($A41&lt;&gt;"",AB$3&gt;=$J41,AB$3&lt;=$M41),1,"")</f>
        <v/>
      </c>
      <c r="AC41">
        <f>IF(AND($A41&lt;&gt;"",AC$3&gt;=$J41,AC$3&lt;=$M41),1,"")</f>
        <v/>
      </c>
      <c r="AD41">
        <f>IF(AND($A41&lt;&gt;"",AD$3&gt;=$J41,AD$3&lt;=$M41),1,"")</f>
        <v/>
      </c>
      <c r="AE41">
        <f>IF(AND($A41&lt;&gt;"",AE$3&gt;=$J41,AE$3&lt;=$M41),1,"")</f>
        <v/>
      </c>
      <c r="AF41">
        <f>IF(AND($A41&lt;&gt;"",AF$3&gt;=$J41,AF$3&lt;=$M41),1,"")</f>
        <v/>
      </c>
      <c r="AG41">
        <f>IF(AND($A41&lt;&gt;"",AG$3&gt;=$J41,AG$3&lt;=$M41),1,"")</f>
        <v/>
      </c>
      <c r="AH41">
        <f>IF(AND($A41&lt;&gt;"",AH$3&gt;=$J41,AH$3&lt;=$M41),1,"")</f>
        <v/>
      </c>
      <c r="AI41">
        <f>IF(AND($A41&lt;&gt;"",AI$3&gt;=$J41,AI$3&lt;=$M41),1,"")</f>
        <v/>
      </c>
      <c r="AJ41">
        <f>IF(AND($A41&lt;&gt;"",AJ$3&gt;=$J41,AJ$3&lt;=$M41),1,"")</f>
        <v/>
      </c>
      <c r="AK41">
        <f>IF(AND($A41&lt;&gt;"",AK$3&gt;=$J41,AK$3&lt;=$M41),1,"")</f>
        <v/>
      </c>
      <c r="AL41">
        <f>IF(AND($A41&lt;&gt;"",AL$3&gt;=$J41,AL$3&lt;=$M41),1,"")</f>
        <v/>
      </c>
      <c r="AM41">
        <f>IF(AND($A41&lt;&gt;"",AM$3&gt;=$J41,AM$3&lt;=$M41),1,"")</f>
        <v/>
      </c>
      <c r="AN41">
        <f>IF(AND($A41&lt;&gt;"",AN$3&gt;=$J41,AN$3&lt;=$M41),1,"")</f>
        <v/>
      </c>
      <c r="AO41">
        <f>IF(AND($A41&lt;&gt;"",AO$3&gt;=$J41,AO$3&lt;=$M41),1,"")</f>
        <v/>
      </c>
      <c r="AP41">
        <f>IF(AND($A41&lt;&gt;"",AP$3&gt;=$J41,AP$3&lt;=$M41),1,"")</f>
        <v/>
      </c>
      <c r="AQ41">
        <f>IF(AND($A41&lt;&gt;"",AQ$3&gt;=$J41,AQ$3&lt;=$M41),1,"")</f>
        <v/>
      </c>
      <c r="AR41">
        <f>IF(AND($A41&lt;&gt;"",AR$3&gt;=$J41,AR$3&lt;=$M41),1,"")</f>
        <v/>
      </c>
      <c r="AS41">
        <f>IF(AND($A41&lt;&gt;"",AS$3&gt;=$J41,AS$3&lt;=$M41),1,"")</f>
        <v/>
      </c>
      <c r="AT41">
        <f>IF(AND($A41&lt;&gt;"",AT$3&gt;=$J41,AT$3&lt;=$M41),1,"")</f>
        <v/>
      </c>
      <c r="AU41">
        <f>IF(AND($A41&lt;&gt;"",AU$3&gt;=$J41,AU$3&lt;=$M41),1,"")</f>
        <v/>
      </c>
      <c r="AV41">
        <f>IF(AND($A41&lt;&gt;"",AV$3&gt;=$J41,AV$3&lt;=$M41),1,"")</f>
        <v/>
      </c>
      <c r="AW41">
        <f>IF(AND($A41&lt;&gt;"",AW$3&gt;=$J41,AW$3&lt;=$M41),1,"")</f>
        <v/>
      </c>
      <c r="AX41">
        <f>IF(AND($A41&lt;&gt;"",AX$3&gt;=$J41,AX$3&lt;=$M41),1,"")</f>
        <v/>
      </c>
      <c r="AY41">
        <f>IF(AND($A41&lt;&gt;"",AY$3&gt;=$J41,AY$3&lt;=$M41),1,"")</f>
        <v/>
      </c>
      <c r="AZ41">
        <f>IF(AND($A41&lt;&gt;"",AZ$3&gt;=$J41,AZ$3&lt;=$M41),1,"")</f>
        <v/>
      </c>
      <c r="BA41">
        <f>IF(AND($A41&lt;&gt;"",BA$3&gt;=$J41,BA$3&lt;=$M41),1,"")</f>
        <v/>
      </c>
      <c r="BB41">
        <f>IF(AND($A41&lt;&gt;"",BB$3&gt;=$J41,BB$3&lt;=$M41),1,"")</f>
        <v/>
      </c>
      <c r="BC41">
        <f>IF(AND($A41&lt;&gt;"",BC$3&gt;=$J41,BC$3&lt;=$M41),1,"")</f>
        <v/>
      </c>
      <c r="BD41">
        <f>IF(AND($A41&lt;&gt;"",BD$3&gt;=$J41,BD$3&lt;=$M41),1,"")</f>
        <v/>
      </c>
      <c r="BE41">
        <f>IF(AND($A41&lt;&gt;"",BE$3&gt;=$J41,BE$3&lt;=$M41),1,"")</f>
        <v/>
      </c>
      <c r="BF41">
        <f>IF(AND($A41&lt;&gt;"",BF$3&gt;=$J41,BF$3&lt;=$M41),1,"")</f>
        <v/>
      </c>
      <c r="BG41">
        <f>IF(AND($A41&lt;&gt;"",BG$3&gt;=$J41,BG$3&lt;=$M41),1,"")</f>
        <v/>
      </c>
      <c r="BH41">
        <f>IF(AND($A41&lt;&gt;"",BH$3&gt;=$J41,BH$3&lt;=$M41),1,"")</f>
        <v/>
      </c>
      <c r="BI41">
        <f>IF(AND($A41&lt;&gt;"",BI$3&gt;=$J41,BI$3&lt;=$M41),1,"")</f>
        <v/>
      </c>
      <c r="BJ41">
        <f>IF(AND($A41&lt;&gt;"",BJ$3&gt;=$J41,BJ$3&lt;=$M41),1,"")</f>
        <v/>
      </c>
      <c r="BK41">
        <f>IF(AND($A41&lt;&gt;"",BK$3&gt;=$J41,BK$3&lt;=$M41),1,"")</f>
        <v/>
      </c>
      <c r="BL41">
        <f>IF(AND($A41&lt;&gt;"",BL$3&gt;=$J41,BL$3&lt;=$M41),1,"")</f>
        <v/>
      </c>
      <c r="BM41">
        <f>IF(AND($A41&lt;&gt;"",BM$3&gt;=$J41,BM$3&lt;=$M41),1,"")</f>
        <v/>
      </c>
      <c r="BN41">
        <f>IF(AND($A41&lt;&gt;"",BN$3&gt;=$J41,BN$3&lt;=$M41),1,"")</f>
        <v/>
      </c>
      <c r="BO41">
        <f>IF(AND($A41&lt;&gt;"",BO$3&gt;=$J41,BO$3&lt;=$M41),1,"")</f>
        <v/>
      </c>
      <c r="BP41">
        <f>IF(AND($A41&lt;&gt;"",BP$3&gt;=$J41,BP$3&lt;=$M41),1,"")</f>
        <v/>
      </c>
      <c r="BQ41">
        <f>IF(AND($A41&lt;&gt;"",BQ$3&gt;=$J41,BQ$3&lt;=$M41),1,"")</f>
        <v/>
      </c>
      <c r="BR41">
        <f>IF(AND($A41&lt;&gt;"",BR$3&gt;=$J41,BR$3&lt;=$M41),1,"")</f>
        <v/>
      </c>
      <c r="BS41">
        <f>IF(AND($A41&lt;&gt;"",BS$3&gt;=$J41,BS$3&lt;=$M41),1,"")</f>
        <v/>
      </c>
      <c r="BT41">
        <f>IF(AND($A41&lt;&gt;"",BT$3&gt;=$J41,BT$3&lt;=$M41),1,"")</f>
        <v/>
      </c>
      <c r="BU41">
        <f>IF(AND($A41&lt;&gt;"",BU$3&gt;=$J41,BU$3&lt;=$M41),1,"")</f>
        <v/>
      </c>
      <c r="BV41">
        <f>IF(AND($A41&lt;&gt;"",BV$3&gt;=$J41,BV$3&lt;=$M41),1,"")</f>
        <v/>
      </c>
    </row>
    <row r="42">
      <c r="A42">
        <f>IF(Job_Master_Ring!$A42="","",Job_Master_Ring!$A42)</f>
        <v/>
      </c>
      <c r="B42">
        <f>IF($A42="","",Job_Master_Ring!B42)</f>
        <v/>
      </c>
      <c r="C42">
        <f>IF($A42="","",Job_Master_Ring!C42)</f>
        <v/>
      </c>
      <c r="D42">
        <f>IF($A42="","",Job_Master_Ring!D42)</f>
        <v/>
      </c>
      <c r="E42">
        <f>IF($A42="","",IF($I42&lt;&gt;"",$I42,IFERROR(INDEX(Machine_List!$B$50:$B$63,MATCH(1,(Machine_List!$H$50:$H$63&lt;=IFERROR(VLOOKUP($B42,CHOOSE(MATCH($C42,Settings!$L$4:$L$10,0),OPR_BR1!$A$4:$K$18,OPR_BR2!$A$4:$K$18,OPR_CR2!$A$4:$K$18,OPR_CR3!$A$4:$K$18,OPR_CR4!$A$4:$K$18,OPR_RIM!$A$4:$K$18,OPR_BPR!$A$4:$K$18),10,0),0))*(Machine_List!$I$50:$I$63&gt;=IFERROR(VLOOKUP($B42,CHOOSE(MATCH($C42,Settings!$L$4:$L$10,0),OPR_BR1!$A$4:$K$18,OPR_BR2!$A$4:$K$18,OPR_CR2!$A$4:$K$18,OPR_CR3!$A$4:$K$18,OPR_CR4!$A$4:$K$18,OPR_RIM!$A$4:$K$18,OPR_BPR!$A$4:$K$18),11,0),9999)),0)),"NO COMPATIBLE MACHINE")))</f>
        <v/>
      </c>
      <c r="F42">
        <f>IF($E42="","",IFERROR(VLOOKUP($E42,Machine_List!$B:$G,6,0),""))</f>
        <v/>
      </c>
      <c r="G42" s="17">
        <f>IF($E42="","",IFERROR(VLOOKUP($E42,Machine_List!$B:$C,2,0),""))</f>
        <v/>
      </c>
      <c r="H42">
        <f>IF($E42="","",IFERROR(VLOOKUP($E42,Machine_List!$B:$D,3,0),""))</f>
        <v/>
      </c>
      <c r="J42" s="16">
        <f>IF($A42="","",IF($I42&lt;&gt;"",$I42,MAX(CNC_Plan!$M42,IFERROR(LOOKUP(2,1/($E$3:INDIRECT("E"&amp;(ROW()-1))=$E42),$M$3:INDIRECT("M"&amp;(ROW()-1))),CNC_Plan!$M42))))</f>
        <v/>
      </c>
      <c r="K42">
        <f>IF($A42="","",IFERROR(VLOOKUP(B42,CHOOSE(MATCH($C42,Settings!$L$4:$L$10,0),OPR_BR1!$A$4:$I$18,OPR_BR2!$A$4:$I$18,OPR_CR2!$A$4:$I$18,OPR_CR3!$A$4:$I$18,OPR_CR4!$A$4:$I$18,OPR_RIM!$A$4:$I$18,OPR_BPR!$A$4:$I$18),6,0),0))</f>
        <v/>
      </c>
      <c r="L42">
        <f>IF($A42="","",K42*D42)</f>
        <v/>
      </c>
      <c r="M42" s="16">
        <f>IF($A42="","",IF(AND(ISNUMBER(G42),G42&gt;=J42,G42&lt;=(J42+(L42/(IF(F42="Contract Workman",Settings!$K$5,Settings!$K$4))))),J42+(L42/(IF(F42="Contract Workman",Settings!$K$5,Settings!$K$4)))+(H42/(IF(F42="Contract Workman",Settings!$K$5,Settings!$K$4))),J42+(L42/(IF(F42="Contract Workman",Settings!$K$5,Settings!$K$4)))))</f>
        <v/>
      </c>
      <c r="N42">
        <f>IF($A42="","",IF(F42="Contract Workman",IF(AND(MOD(M42,1)&gt;=8/24,MOD(M42,1)&lt;20/24),"Shift S1","Shift S2"),IF(AND(MOD(M42,1)&gt;=7/24,MOD(M42,1)&lt;15/24),"Shift A",IF(AND(MOD(M42,1)&gt;=15/24,MOD(M42,1)&lt;23/24),"Shift B","Shift C"))))</f>
        <v/>
      </c>
      <c r="O42">
        <f>IF(B42="","",IF(IFERROR(ISNUMBER(SEARCH(TEXT(B42,"0"),VLOOKUP(E42,Machine_List!$B:$J,9,0))),FALSE),"✅ "&amp; E42,"❌ Sug: "&amp;IFERROR(INDEX(Machine_List!$B$50:$B$63,MATCH(1,(Machine_List!$H$50:$H$63&lt;=IFERROR(VLOOKUP($B42,OPR_BR1!$A$4:$K$18,10,0),0))*(Machine_List!$I$50:$I$63&gt;=IFERROR(VLOOKUP($B42,OPR_BR1!$A$4:$K$18,11,0),9999)),0)),"?")))</f>
        <v/>
      </c>
      <c r="P42">
        <f>IF(AND($A42&lt;&gt;"",P$3&gt;=$J42,P$3&lt;=$M42),1,"")</f>
        <v/>
      </c>
      <c r="Q42">
        <f>IF(AND($A42&lt;&gt;"",Q$3&gt;=$J42,Q$3&lt;=$M42),1,"")</f>
        <v/>
      </c>
      <c r="R42">
        <f>IF(AND($A42&lt;&gt;"",R$3&gt;=$J42,R$3&lt;=$M42),1,"")</f>
        <v/>
      </c>
      <c r="S42">
        <f>IF(AND($A42&lt;&gt;"",S$3&gt;=$J42,S$3&lt;=$M42),1,"")</f>
        <v/>
      </c>
      <c r="T42">
        <f>IF(AND($A42&lt;&gt;"",T$3&gt;=$J42,T$3&lt;=$M42),1,"")</f>
        <v/>
      </c>
      <c r="U42">
        <f>IF(AND($A42&lt;&gt;"",U$3&gt;=$J42,U$3&lt;=$M42),1,"")</f>
        <v/>
      </c>
      <c r="V42">
        <f>IF(AND($A42&lt;&gt;"",V$3&gt;=$J42,V$3&lt;=$M42),1,"")</f>
        <v/>
      </c>
      <c r="W42">
        <f>IF(AND($A42&lt;&gt;"",W$3&gt;=$J42,W$3&lt;=$M42),1,"")</f>
        <v/>
      </c>
      <c r="X42">
        <f>IF(AND($A42&lt;&gt;"",X$3&gt;=$J42,X$3&lt;=$M42),1,"")</f>
        <v/>
      </c>
      <c r="Y42">
        <f>IF(AND($A42&lt;&gt;"",Y$3&gt;=$J42,Y$3&lt;=$M42),1,"")</f>
        <v/>
      </c>
      <c r="Z42">
        <f>IF(AND($A42&lt;&gt;"",Z$3&gt;=$J42,Z$3&lt;=$M42),1,"")</f>
        <v/>
      </c>
      <c r="AA42">
        <f>IF(AND($A42&lt;&gt;"",AA$3&gt;=$J42,AA$3&lt;=$M42),1,"")</f>
        <v/>
      </c>
      <c r="AB42">
        <f>IF(AND($A42&lt;&gt;"",AB$3&gt;=$J42,AB$3&lt;=$M42),1,"")</f>
        <v/>
      </c>
      <c r="AC42">
        <f>IF(AND($A42&lt;&gt;"",AC$3&gt;=$J42,AC$3&lt;=$M42),1,"")</f>
        <v/>
      </c>
      <c r="AD42">
        <f>IF(AND($A42&lt;&gt;"",AD$3&gt;=$J42,AD$3&lt;=$M42),1,"")</f>
        <v/>
      </c>
      <c r="AE42">
        <f>IF(AND($A42&lt;&gt;"",AE$3&gt;=$J42,AE$3&lt;=$M42),1,"")</f>
        <v/>
      </c>
      <c r="AF42">
        <f>IF(AND($A42&lt;&gt;"",AF$3&gt;=$J42,AF$3&lt;=$M42),1,"")</f>
        <v/>
      </c>
      <c r="AG42">
        <f>IF(AND($A42&lt;&gt;"",AG$3&gt;=$J42,AG$3&lt;=$M42),1,"")</f>
        <v/>
      </c>
      <c r="AH42">
        <f>IF(AND($A42&lt;&gt;"",AH$3&gt;=$J42,AH$3&lt;=$M42),1,"")</f>
        <v/>
      </c>
      <c r="AI42">
        <f>IF(AND($A42&lt;&gt;"",AI$3&gt;=$J42,AI$3&lt;=$M42),1,"")</f>
        <v/>
      </c>
      <c r="AJ42">
        <f>IF(AND($A42&lt;&gt;"",AJ$3&gt;=$J42,AJ$3&lt;=$M42),1,"")</f>
        <v/>
      </c>
      <c r="AK42">
        <f>IF(AND($A42&lt;&gt;"",AK$3&gt;=$J42,AK$3&lt;=$M42),1,"")</f>
        <v/>
      </c>
      <c r="AL42">
        <f>IF(AND($A42&lt;&gt;"",AL$3&gt;=$J42,AL$3&lt;=$M42),1,"")</f>
        <v/>
      </c>
      <c r="AM42">
        <f>IF(AND($A42&lt;&gt;"",AM$3&gt;=$J42,AM$3&lt;=$M42),1,"")</f>
        <v/>
      </c>
      <c r="AN42">
        <f>IF(AND($A42&lt;&gt;"",AN$3&gt;=$J42,AN$3&lt;=$M42),1,"")</f>
        <v/>
      </c>
      <c r="AO42">
        <f>IF(AND($A42&lt;&gt;"",AO$3&gt;=$J42,AO$3&lt;=$M42),1,"")</f>
        <v/>
      </c>
      <c r="AP42">
        <f>IF(AND($A42&lt;&gt;"",AP$3&gt;=$J42,AP$3&lt;=$M42),1,"")</f>
        <v/>
      </c>
      <c r="AQ42">
        <f>IF(AND($A42&lt;&gt;"",AQ$3&gt;=$J42,AQ$3&lt;=$M42),1,"")</f>
        <v/>
      </c>
      <c r="AR42">
        <f>IF(AND($A42&lt;&gt;"",AR$3&gt;=$J42,AR$3&lt;=$M42),1,"")</f>
        <v/>
      </c>
      <c r="AS42">
        <f>IF(AND($A42&lt;&gt;"",AS$3&gt;=$J42,AS$3&lt;=$M42),1,"")</f>
        <v/>
      </c>
      <c r="AT42">
        <f>IF(AND($A42&lt;&gt;"",AT$3&gt;=$J42,AT$3&lt;=$M42),1,"")</f>
        <v/>
      </c>
      <c r="AU42">
        <f>IF(AND($A42&lt;&gt;"",AU$3&gt;=$J42,AU$3&lt;=$M42),1,"")</f>
        <v/>
      </c>
      <c r="AV42">
        <f>IF(AND($A42&lt;&gt;"",AV$3&gt;=$J42,AV$3&lt;=$M42),1,"")</f>
        <v/>
      </c>
      <c r="AW42">
        <f>IF(AND($A42&lt;&gt;"",AW$3&gt;=$J42,AW$3&lt;=$M42),1,"")</f>
        <v/>
      </c>
      <c r="AX42">
        <f>IF(AND($A42&lt;&gt;"",AX$3&gt;=$J42,AX$3&lt;=$M42),1,"")</f>
        <v/>
      </c>
      <c r="AY42">
        <f>IF(AND($A42&lt;&gt;"",AY$3&gt;=$J42,AY$3&lt;=$M42),1,"")</f>
        <v/>
      </c>
      <c r="AZ42">
        <f>IF(AND($A42&lt;&gt;"",AZ$3&gt;=$J42,AZ$3&lt;=$M42),1,"")</f>
        <v/>
      </c>
      <c r="BA42">
        <f>IF(AND($A42&lt;&gt;"",BA$3&gt;=$J42,BA$3&lt;=$M42),1,"")</f>
        <v/>
      </c>
      <c r="BB42">
        <f>IF(AND($A42&lt;&gt;"",BB$3&gt;=$J42,BB$3&lt;=$M42),1,"")</f>
        <v/>
      </c>
      <c r="BC42">
        <f>IF(AND($A42&lt;&gt;"",BC$3&gt;=$J42,BC$3&lt;=$M42),1,"")</f>
        <v/>
      </c>
      <c r="BD42">
        <f>IF(AND($A42&lt;&gt;"",BD$3&gt;=$J42,BD$3&lt;=$M42),1,"")</f>
        <v/>
      </c>
      <c r="BE42">
        <f>IF(AND($A42&lt;&gt;"",BE$3&gt;=$J42,BE$3&lt;=$M42),1,"")</f>
        <v/>
      </c>
      <c r="BF42">
        <f>IF(AND($A42&lt;&gt;"",BF$3&gt;=$J42,BF$3&lt;=$M42),1,"")</f>
        <v/>
      </c>
      <c r="BG42">
        <f>IF(AND($A42&lt;&gt;"",BG$3&gt;=$J42,BG$3&lt;=$M42),1,"")</f>
        <v/>
      </c>
      <c r="BH42">
        <f>IF(AND($A42&lt;&gt;"",BH$3&gt;=$J42,BH$3&lt;=$M42),1,"")</f>
        <v/>
      </c>
      <c r="BI42">
        <f>IF(AND($A42&lt;&gt;"",BI$3&gt;=$J42,BI$3&lt;=$M42),1,"")</f>
        <v/>
      </c>
      <c r="BJ42">
        <f>IF(AND($A42&lt;&gt;"",BJ$3&gt;=$J42,BJ$3&lt;=$M42),1,"")</f>
        <v/>
      </c>
      <c r="BK42">
        <f>IF(AND($A42&lt;&gt;"",BK$3&gt;=$J42,BK$3&lt;=$M42),1,"")</f>
        <v/>
      </c>
      <c r="BL42">
        <f>IF(AND($A42&lt;&gt;"",BL$3&gt;=$J42,BL$3&lt;=$M42),1,"")</f>
        <v/>
      </c>
      <c r="BM42">
        <f>IF(AND($A42&lt;&gt;"",BM$3&gt;=$J42,BM$3&lt;=$M42),1,"")</f>
        <v/>
      </c>
      <c r="BN42">
        <f>IF(AND($A42&lt;&gt;"",BN$3&gt;=$J42,BN$3&lt;=$M42),1,"")</f>
        <v/>
      </c>
      <c r="BO42">
        <f>IF(AND($A42&lt;&gt;"",BO$3&gt;=$J42,BO$3&lt;=$M42),1,"")</f>
        <v/>
      </c>
      <c r="BP42">
        <f>IF(AND($A42&lt;&gt;"",BP$3&gt;=$J42,BP$3&lt;=$M42),1,"")</f>
        <v/>
      </c>
      <c r="BQ42">
        <f>IF(AND($A42&lt;&gt;"",BQ$3&gt;=$J42,BQ$3&lt;=$M42),1,"")</f>
        <v/>
      </c>
      <c r="BR42">
        <f>IF(AND($A42&lt;&gt;"",BR$3&gt;=$J42,BR$3&lt;=$M42),1,"")</f>
        <v/>
      </c>
      <c r="BS42">
        <f>IF(AND($A42&lt;&gt;"",BS$3&gt;=$J42,BS$3&lt;=$M42),1,"")</f>
        <v/>
      </c>
      <c r="BT42">
        <f>IF(AND($A42&lt;&gt;"",BT$3&gt;=$J42,BT$3&lt;=$M42),1,"")</f>
        <v/>
      </c>
      <c r="BU42">
        <f>IF(AND($A42&lt;&gt;"",BU$3&gt;=$J42,BU$3&lt;=$M42),1,"")</f>
        <v/>
      </c>
      <c r="BV42">
        <f>IF(AND($A42&lt;&gt;"",BV$3&gt;=$J42,BV$3&lt;=$M42),1,"")</f>
        <v/>
      </c>
    </row>
    <row r="43">
      <c r="A43">
        <f>IF(Job_Master_Ring!$A43="","",Job_Master_Ring!$A43)</f>
        <v/>
      </c>
      <c r="B43">
        <f>IF($A43="","",Job_Master_Ring!B43)</f>
        <v/>
      </c>
      <c r="C43">
        <f>IF($A43="","",Job_Master_Ring!C43)</f>
        <v/>
      </c>
      <c r="D43">
        <f>IF($A43="","",Job_Master_Ring!D43)</f>
        <v/>
      </c>
      <c r="E43">
        <f>IF($A43="","",IF($I43&lt;&gt;"",$I43,IFERROR(INDEX(Machine_List!$B$50:$B$63,MATCH(1,(Machine_List!$H$50:$H$63&lt;=IFERROR(VLOOKUP($B43,CHOOSE(MATCH($C43,Settings!$L$4:$L$10,0),OPR_BR1!$A$4:$K$18,OPR_BR2!$A$4:$K$18,OPR_CR2!$A$4:$K$18,OPR_CR3!$A$4:$K$18,OPR_CR4!$A$4:$K$18,OPR_RIM!$A$4:$K$18,OPR_BPR!$A$4:$K$18),10,0),0))*(Machine_List!$I$50:$I$63&gt;=IFERROR(VLOOKUP($B43,CHOOSE(MATCH($C43,Settings!$L$4:$L$10,0),OPR_BR1!$A$4:$K$18,OPR_BR2!$A$4:$K$18,OPR_CR2!$A$4:$K$18,OPR_CR3!$A$4:$K$18,OPR_CR4!$A$4:$K$18,OPR_RIM!$A$4:$K$18,OPR_BPR!$A$4:$K$18),11,0),9999)),0)),"NO COMPATIBLE MACHINE")))</f>
        <v/>
      </c>
      <c r="F43">
        <f>IF($E43="","",IFERROR(VLOOKUP($E43,Machine_List!$B:$G,6,0),""))</f>
        <v/>
      </c>
      <c r="G43" s="17">
        <f>IF($E43="","",IFERROR(VLOOKUP($E43,Machine_List!$B:$C,2,0),""))</f>
        <v/>
      </c>
      <c r="H43">
        <f>IF($E43="","",IFERROR(VLOOKUP($E43,Machine_List!$B:$D,3,0),""))</f>
        <v/>
      </c>
      <c r="J43" s="16">
        <f>IF($A43="","",IF($I43&lt;&gt;"",$I43,MAX(CNC_Plan!$M43,IFERROR(LOOKUP(2,1/($E$3:INDIRECT("E"&amp;(ROW()-1))=$E43),$M$3:INDIRECT("M"&amp;(ROW()-1))),CNC_Plan!$M43))))</f>
        <v/>
      </c>
      <c r="K43">
        <f>IF($A43="","",IFERROR(VLOOKUP(B43,CHOOSE(MATCH($C43,Settings!$L$4:$L$10,0),OPR_BR1!$A$4:$I$18,OPR_BR2!$A$4:$I$18,OPR_CR2!$A$4:$I$18,OPR_CR3!$A$4:$I$18,OPR_CR4!$A$4:$I$18,OPR_RIM!$A$4:$I$18,OPR_BPR!$A$4:$I$18),6,0),0))</f>
        <v/>
      </c>
      <c r="L43">
        <f>IF($A43="","",K43*D43)</f>
        <v/>
      </c>
      <c r="M43" s="16">
        <f>IF($A43="","",IF(AND(ISNUMBER(G43),G43&gt;=J43,G43&lt;=(J43+(L43/(IF(F43="Contract Workman",Settings!$K$5,Settings!$K$4))))),J43+(L43/(IF(F43="Contract Workman",Settings!$K$5,Settings!$K$4)))+(H43/(IF(F43="Contract Workman",Settings!$K$5,Settings!$K$4))),J43+(L43/(IF(F43="Contract Workman",Settings!$K$5,Settings!$K$4)))))</f>
        <v/>
      </c>
      <c r="N43">
        <f>IF($A43="","",IF(F43="Contract Workman",IF(AND(MOD(M43,1)&gt;=8/24,MOD(M43,1)&lt;20/24),"Shift S1","Shift S2"),IF(AND(MOD(M43,1)&gt;=7/24,MOD(M43,1)&lt;15/24),"Shift A",IF(AND(MOD(M43,1)&gt;=15/24,MOD(M43,1)&lt;23/24),"Shift B","Shift C"))))</f>
        <v/>
      </c>
      <c r="O43">
        <f>IF(B43="","",IF(IFERROR(ISNUMBER(SEARCH(TEXT(B43,"0"),VLOOKUP(E43,Machine_List!$B:$J,9,0))),FALSE),"✅ "&amp; E43,"❌ Sug: "&amp;IFERROR(INDEX(Machine_List!$B$50:$B$63,MATCH(1,(Machine_List!$H$50:$H$63&lt;=IFERROR(VLOOKUP($B43,OPR_BR1!$A$4:$K$18,10,0),0))*(Machine_List!$I$50:$I$63&gt;=IFERROR(VLOOKUP($B43,OPR_BR1!$A$4:$K$18,11,0),9999)),0)),"?")))</f>
        <v/>
      </c>
      <c r="P43">
        <f>IF(AND($A43&lt;&gt;"",P$3&gt;=$J43,P$3&lt;=$M43),1,"")</f>
        <v/>
      </c>
      <c r="Q43">
        <f>IF(AND($A43&lt;&gt;"",Q$3&gt;=$J43,Q$3&lt;=$M43),1,"")</f>
        <v/>
      </c>
      <c r="R43">
        <f>IF(AND($A43&lt;&gt;"",R$3&gt;=$J43,R$3&lt;=$M43),1,"")</f>
        <v/>
      </c>
      <c r="S43">
        <f>IF(AND($A43&lt;&gt;"",S$3&gt;=$J43,S$3&lt;=$M43),1,"")</f>
        <v/>
      </c>
      <c r="T43">
        <f>IF(AND($A43&lt;&gt;"",T$3&gt;=$J43,T$3&lt;=$M43),1,"")</f>
        <v/>
      </c>
      <c r="U43">
        <f>IF(AND($A43&lt;&gt;"",U$3&gt;=$J43,U$3&lt;=$M43),1,"")</f>
        <v/>
      </c>
      <c r="V43">
        <f>IF(AND($A43&lt;&gt;"",V$3&gt;=$J43,V$3&lt;=$M43),1,"")</f>
        <v/>
      </c>
      <c r="W43">
        <f>IF(AND($A43&lt;&gt;"",W$3&gt;=$J43,W$3&lt;=$M43),1,"")</f>
        <v/>
      </c>
      <c r="X43">
        <f>IF(AND($A43&lt;&gt;"",X$3&gt;=$J43,X$3&lt;=$M43),1,"")</f>
        <v/>
      </c>
      <c r="Y43">
        <f>IF(AND($A43&lt;&gt;"",Y$3&gt;=$J43,Y$3&lt;=$M43),1,"")</f>
        <v/>
      </c>
      <c r="Z43">
        <f>IF(AND($A43&lt;&gt;"",Z$3&gt;=$J43,Z$3&lt;=$M43),1,"")</f>
        <v/>
      </c>
      <c r="AA43">
        <f>IF(AND($A43&lt;&gt;"",AA$3&gt;=$J43,AA$3&lt;=$M43),1,"")</f>
        <v/>
      </c>
      <c r="AB43">
        <f>IF(AND($A43&lt;&gt;"",AB$3&gt;=$J43,AB$3&lt;=$M43),1,"")</f>
        <v/>
      </c>
      <c r="AC43">
        <f>IF(AND($A43&lt;&gt;"",AC$3&gt;=$J43,AC$3&lt;=$M43),1,"")</f>
        <v/>
      </c>
      <c r="AD43">
        <f>IF(AND($A43&lt;&gt;"",AD$3&gt;=$J43,AD$3&lt;=$M43),1,"")</f>
        <v/>
      </c>
      <c r="AE43">
        <f>IF(AND($A43&lt;&gt;"",AE$3&gt;=$J43,AE$3&lt;=$M43),1,"")</f>
        <v/>
      </c>
      <c r="AF43">
        <f>IF(AND($A43&lt;&gt;"",AF$3&gt;=$J43,AF$3&lt;=$M43),1,"")</f>
        <v/>
      </c>
      <c r="AG43">
        <f>IF(AND($A43&lt;&gt;"",AG$3&gt;=$J43,AG$3&lt;=$M43),1,"")</f>
        <v/>
      </c>
      <c r="AH43">
        <f>IF(AND($A43&lt;&gt;"",AH$3&gt;=$J43,AH$3&lt;=$M43),1,"")</f>
        <v/>
      </c>
      <c r="AI43">
        <f>IF(AND($A43&lt;&gt;"",AI$3&gt;=$J43,AI$3&lt;=$M43),1,"")</f>
        <v/>
      </c>
      <c r="AJ43">
        <f>IF(AND($A43&lt;&gt;"",AJ$3&gt;=$J43,AJ$3&lt;=$M43),1,"")</f>
        <v/>
      </c>
      <c r="AK43">
        <f>IF(AND($A43&lt;&gt;"",AK$3&gt;=$J43,AK$3&lt;=$M43),1,"")</f>
        <v/>
      </c>
      <c r="AL43">
        <f>IF(AND($A43&lt;&gt;"",AL$3&gt;=$J43,AL$3&lt;=$M43),1,"")</f>
        <v/>
      </c>
      <c r="AM43">
        <f>IF(AND($A43&lt;&gt;"",AM$3&gt;=$J43,AM$3&lt;=$M43),1,"")</f>
        <v/>
      </c>
      <c r="AN43">
        <f>IF(AND($A43&lt;&gt;"",AN$3&gt;=$J43,AN$3&lt;=$M43),1,"")</f>
        <v/>
      </c>
      <c r="AO43">
        <f>IF(AND($A43&lt;&gt;"",AO$3&gt;=$J43,AO$3&lt;=$M43),1,"")</f>
        <v/>
      </c>
      <c r="AP43">
        <f>IF(AND($A43&lt;&gt;"",AP$3&gt;=$J43,AP$3&lt;=$M43),1,"")</f>
        <v/>
      </c>
      <c r="AQ43">
        <f>IF(AND($A43&lt;&gt;"",AQ$3&gt;=$J43,AQ$3&lt;=$M43),1,"")</f>
        <v/>
      </c>
      <c r="AR43">
        <f>IF(AND($A43&lt;&gt;"",AR$3&gt;=$J43,AR$3&lt;=$M43),1,"")</f>
        <v/>
      </c>
      <c r="AS43">
        <f>IF(AND($A43&lt;&gt;"",AS$3&gt;=$J43,AS$3&lt;=$M43),1,"")</f>
        <v/>
      </c>
      <c r="AT43">
        <f>IF(AND($A43&lt;&gt;"",AT$3&gt;=$J43,AT$3&lt;=$M43),1,"")</f>
        <v/>
      </c>
      <c r="AU43">
        <f>IF(AND($A43&lt;&gt;"",AU$3&gt;=$J43,AU$3&lt;=$M43),1,"")</f>
        <v/>
      </c>
      <c r="AV43">
        <f>IF(AND($A43&lt;&gt;"",AV$3&gt;=$J43,AV$3&lt;=$M43),1,"")</f>
        <v/>
      </c>
      <c r="AW43">
        <f>IF(AND($A43&lt;&gt;"",AW$3&gt;=$J43,AW$3&lt;=$M43),1,"")</f>
        <v/>
      </c>
      <c r="AX43">
        <f>IF(AND($A43&lt;&gt;"",AX$3&gt;=$J43,AX$3&lt;=$M43),1,"")</f>
        <v/>
      </c>
      <c r="AY43">
        <f>IF(AND($A43&lt;&gt;"",AY$3&gt;=$J43,AY$3&lt;=$M43),1,"")</f>
        <v/>
      </c>
      <c r="AZ43">
        <f>IF(AND($A43&lt;&gt;"",AZ$3&gt;=$J43,AZ$3&lt;=$M43),1,"")</f>
        <v/>
      </c>
      <c r="BA43">
        <f>IF(AND($A43&lt;&gt;"",BA$3&gt;=$J43,BA$3&lt;=$M43),1,"")</f>
        <v/>
      </c>
      <c r="BB43">
        <f>IF(AND($A43&lt;&gt;"",BB$3&gt;=$J43,BB$3&lt;=$M43),1,"")</f>
        <v/>
      </c>
      <c r="BC43">
        <f>IF(AND($A43&lt;&gt;"",BC$3&gt;=$J43,BC$3&lt;=$M43),1,"")</f>
        <v/>
      </c>
      <c r="BD43">
        <f>IF(AND($A43&lt;&gt;"",BD$3&gt;=$J43,BD$3&lt;=$M43),1,"")</f>
        <v/>
      </c>
      <c r="BE43">
        <f>IF(AND($A43&lt;&gt;"",BE$3&gt;=$J43,BE$3&lt;=$M43),1,"")</f>
        <v/>
      </c>
      <c r="BF43">
        <f>IF(AND($A43&lt;&gt;"",BF$3&gt;=$J43,BF$3&lt;=$M43),1,"")</f>
        <v/>
      </c>
      <c r="BG43">
        <f>IF(AND($A43&lt;&gt;"",BG$3&gt;=$J43,BG$3&lt;=$M43),1,"")</f>
        <v/>
      </c>
      <c r="BH43">
        <f>IF(AND($A43&lt;&gt;"",BH$3&gt;=$J43,BH$3&lt;=$M43),1,"")</f>
        <v/>
      </c>
      <c r="BI43">
        <f>IF(AND($A43&lt;&gt;"",BI$3&gt;=$J43,BI$3&lt;=$M43),1,"")</f>
        <v/>
      </c>
      <c r="BJ43">
        <f>IF(AND($A43&lt;&gt;"",BJ$3&gt;=$J43,BJ$3&lt;=$M43),1,"")</f>
        <v/>
      </c>
      <c r="BK43">
        <f>IF(AND($A43&lt;&gt;"",BK$3&gt;=$J43,BK$3&lt;=$M43),1,"")</f>
        <v/>
      </c>
      <c r="BL43">
        <f>IF(AND($A43&lt;&gt;"",BL$3&gt;=$J43,BL$3&lt;=$M43),1,"")</f>
        <v/>
      </c>
      <c r="BM43">
        <f>IF(AND($A43&lt;&gt;"",BM$3&gt;=$J43,BM$3&lt;=$M43),1,"")</f>
        <v/>
      </c>
      <c r="BN43">
        <f>IF(AND($A43&lt;&gt;"",BN$3&gt;=$J43,BN$3&lt;=$M43),1,"")</f>
        <v/>
      </c>
      <c r="BO43">
        <f>IF(AND($A43&lt;&gt;"",BO$3&gt;=$J43,BO$3&lt;=$M43),1,"")</f>
        <v/>
      </c>
      <c r="BP43">
        <f>IF(AND($A43&lt;&gt;"",BP$3&gt;=$J43,BP$3&lt;=$M43),1,"")</f>
        <v/>
      </c>
      <c r="BQ43">
        <f>IF(AND($A43&lt;&gt;"",BQ$3&gt;=$J43,BQ$3&lt;=$M43),1,"")</f>
        <v/>
      </c>
      <c r="BR43">
        <f>IF(AND($A43&lt;&gt;"",BR$3&gt;=$J43,BR$3&lt;=$M43),1,"")</f>
        <v/>
      </c>
      <c r="BS43">
        <f>IF(AND($A43&lt;&gt;"",BS$3&gt;=$J43,BS$3&lt;=$M43),1,"")</f>
        <v/>
      </c>
      <c r="BT43">
        <f>IF(AND($A43&lt;&gt;"",BT$3&gt;=$J43,BT$3&lt;=$M43),1,"")</f>
        <v/>
      </c>
      <c r="BU43">
        <f>IF(AND($A43&lt;&gt;"",BU$3&gt;=$J43,BU$3&lt;=$M43),1,"")</f>
        <v/>
      </c>
      <c r="BV43">
        <f>IF(AND($A43&lt;&gt;"",BV$3&gt;=$J43,BV$3&lt;=$M43),1,"")</f>
        <v/>
      </c>
    </row>
    <row r="44">
      <c r="A44">
        <f>IF(Job_Master_Ring!$A44="","",Job_Master_Ring!$A44)</f>
        <v/>
      </c>
      <c r="B44">
        <f>IF($A44="","",Job_Master_Ring!B44)</f>
        <v/>
      </c>
      <c r="C44">
        <f>IF($A44="","",Job_Master_Ring!C44)</f>
        <v/>
      </c>
      <c r="D44">
        <f>IF($A44="","",Job_Master_Ring!D44)</f>
        <v/>
      </c>
      <c r="E44">
        <f>IF($A44="","",IF($I44&lt;&gt;"",$I44,IFERROR(INDEX(Machine_List!$B$50:$B$63,MATCH(1,(Machine_List!$H$50:$H$63&lt;=IFERROR(VLOOKUP($B44,CHOOSE(MATCH($C44,Settings!$L$4:$L$10,0),OPR_BR1!$A$4:$K$18,OPR_BR2!$A$4:$K$18,OPR_CR2!$A$4:$K$18,OPR_CR3!$A$4:$K$18,OPR_CR4!$A$4:$K$18,OPR_RIM!$A$4:$K$18,OPR_BPR!$A$4:$K$18),10,0),0))*(Machine_List!$I$50:$I$63&gt;=IFERROR(VLOOKUP($B44,CHOOSE(MATCH($C44,Settings!$L$4:$L$10,0),OPR_BR1!$A$4:$K$18,OPR_BR2!$A$4:$K$18,OPR_CR2!$A$4:$K$18,OPR_CR3!$A$4:$K$18,OPR_CR4!$A$4:$K$18,OPR_RIM!$A$4:$K$18,OPR_BPR!$A$4:$K$18),11,0),9999)),0)),"NO COMPATIBLE MACHINE")))</f>
        <v/>
      </c>
      <c r="F44">
        <f>IF($E44="","",IFERROR(VLOOKUP($E44,Machine_List!$B:$G,6,0),""))</f>
        <v/>
      </c>
      <c r="G44" s="17">
        <f>IF($E44="","",IFERROR(VLOOKUP($E44,Machine_List!$B:$C,2,0),""))</f>
        <v/>
      </c>
      <c r="H44">
        <f>IF($E44="","",IFERROR(VLOOKUP($E44,Machine_List!$B:$D,3,0),""))</f>
        <v/>
      </c>
      <c r="J44" s="16">
        <f>IF($A44="","",IF($I44&lt;&gt;"",$I44,MAX(CNC_Plan!$M44,IFERROR(LOOKUP(2,1/($E$3:INDIRECT("E"&amp;(ROW()-1))=$E44),$M$3:INDIRECT("M"&amp;(ROW()-1))),CNC_Plan!$M44))))</f>
        <v/>
      </c>
      <c r="K44">
        <f>IF($A44="","",IFERROR(VLOOKUP(B44,CHOOSE(MATCH($C44,Settings!$L$4:$L$10,0),OPR_BR1!$A$4:$I$18,OPR_BR2!$A$4:$I$18,OPR_CR2!$A$4:$I$18,OPR_CR3!$A$4:$I$18,OPR_CR4!$A$4:$I$18,OPR_RIM!$A$4:$I$18,OPR_BPR!$A$4:$I$18),6,0),0))</f>
        <v/>
      </c>
      <c r="L44">
        <f>IF($A44="","",K44*D44)</f>
        <v/>
      </c>
      <c r="M44" s="16">
        <f>IF($A44="","",IF(AND(ISNUMBER(G44),G44&gt;=J44,G44&lt;=(J44+(L44/(IF(F44="Contract Workman",Settings!$K$5,Settings!$K$4))))),J44+(L44/(IF(F44="Contract Workman",Settings!$K$5,Settings!$K$4)))+(H44/(IF(F44="Contract Workman",Settings!$K$5,Settings!$K$4))),J44+(L44/(IF(F44="Contract Workman",Settings!$K$5,Settings!$K$4)))))</f>
        <v/>
      </c>
      <c r="N44">
        <f>IF($A44="","",IF(F44="Contract Workman",IF(AND(MOD(M44,1)&gt;=8/24,MOD(M44,1)&lt;20/24),"Shift S1","Shift S2"),IF(AND(MOD(M44,1)&gt;=7/24,MOD(M44,1)&lt;15/24),"Shift A",IF(AND(MOD(M44,1)&gt;=15/24,MOD(M44,1)&lt;23/24),"Shift B","Shift C"))))</f>
        <v/>
      </c>
      <c r="O44">
        <f>IF(B44="","",IF(IFERROR(ISNUMBER(SEARCH(TEXT(B44,"0"),VLOOKUP(E44,Machine_List!$B:$J,9,0))),FALSE),"✅ "&amp; E44,"❌ Sug: "&amp;IFERROR(INDEX(Machine_List!$B$50:$B$63,MATCH(1,(Machine_List!$H$50:$H$63&lt;=IFERROR(VLOOKUP($B44,OPR_BR1!$A$4:$K$18,10,0),0))*(Machine_List!$I$50:$I$63&gt;=IFERROR(VLOOKUP($B44,OPR_BR1!$A$4:$K$18,11,0),9999)),0)),"?")))</f>
        <v/>
      </c>
      <c r="P44">
        <f>IF(AND($A44&lt;&gt;"",P$3&gt;=$J44,P$3&lt;=$M44),1,"")</f>
        <v/>
      </c>
      <c r="Q44">
        <f>IF(AND($A44&lt;&gt;"",Q$3&gt;=$J44,Q$3&lt;=$M44),1,"")</f>
        <v/>
      </c>
      <c r="R44">
        <f>IF(AND($A44&lt;&gt;"",R$3&gt;=$J44,R$3&lt;=$M44),1,"")</f>
        <v/>
      </c>
      <c r="S44">
        <f>IF(AND($A44&lt;&gt;"",S$3&gt;=$J44,S$3&lt;=$M44),1,"")</f>
        <v/>
      </c>
      <c r="T44">
        <f>IF(AND($A44&lt;&gt;"",T$3&gt;=$J44,T$3&lt;=$M44),1,"")</f>
        <v/>
      </c>
      <c r="U44">
        <f>IF(AND($A44&lt;&gt;"",U$3&gt;=$J44,U$3&lt;=$M44),1,"")</f>
        <v/>
      </c>
      <c r="V44">
        <f>IF(AND($A44&lt;&gt;"",V$3&gt;=$J44,V$3&lt;=$M44),1,"")</f>
        <v/>
      </c>
      <c r="W44">
        <f>IF(AND($A44&lt;&gt;"",W$3&gt;=$J44,W$3&lt;=$M44),1,"")</f>
        <v/>
      </c>
      <c r="X44">
        <f>IF(AND($A44&lt;&gt;"",X$3&gt;=$J44,X$3&lt;=$M44),1,"")</f>
        <v/>
      </c>
      <c r="Y44">
        <f>IF(AND($A44&lt;&gt;"",Y$3&gt;=$J44,Y$3&lt;=$M44),1,"")</f>
        <v/>
      </c>
      <c r="Z44">
        <f>IF(AND($A44&lt;&gt;"",Z$3&gt;=$J44,Z$3&lt;=$M44),1,"")</f>
        <v/>
      </c>
      <c r="AA44">
        <f>IF(AND($A44&lt;&gt;"",AA$3&gt;=$J44,AA$3&lt;=$M44),1,"")</f>
        <v/>
      </c>
      <c r="AB44">
        <f>IF(AND($A44&lt;&gt;"",AB$3&gt;=$J44,AB$3&lt;=$M44),1,"")</f>
        <v/>
      </c>
      <c r="AC44">
        <f>IF(AND($A44&lt;&gt;"",AC$3&gt;=$J44,AC$3&lt;=$M44),1,"")</f>
        <v/>
      </c>
      <c r="AD44">
        <f>IF(AND($A44&lt;&gt;"",AD$3&gt;=$J44,AD$3&lt;=$M44),1,"")</f>
        <v/>
      </c>
      <c r="AE44">
        <f>IF(AND($A44&lt;&gt;"",AE$3&gt;=$J44,AE$3&lt;=$M44),1,"")</f>
        <v/>
      </c>
      <c r="AF44">
        <f>IF(AND($A44&lt;&gt;"",AF$3&gt;=$J44,AF$3&lt;=$M44),1,"")</f>
        <v/>
      </c>
      <c r="AG44">
        <f>IF(AND($A44&lt;&gt;"",AG$3&gt;=$J44,AG$3&lt;=$M44),1,"")</f>
        <v/>
      </c>
      <c r="AH44">
        <f>IF(AND($A44&lt;&gt;"",AH$3&gt;=$J44,AH$3&lt;=$M44),1,"")</f>
        <v/>
      </c>
      <c r="AI44">
        <f>IF(AND($A44&lt;&gt;"",AI$3&gt;=$J44,AI$3&lt;=$M44),1,"")</f>
        <v/>
      </c>
      <c r="AJ44">
        <f>IF(AND($A44&lt;&gt;"",AJ$3&gt;=$J44,AJ$3&lt;=$M44),1,"")</f>
        <v/>
      </c>
      <c r="AK44">
        <f>IF(AND($A44&lt;&gt;"",AK$3&gt;=$J44,AK$3&lt;=$M44),1,"")</f>
        <v/>
      </c>
      <c r="AL44">
        <f>IF(AND($A44&lt;&gt;"",AL$3&gt;=$J44,AL$3&lt;=$M44),1,"")</f>
        <v/>
      </c>
      <c r="AM44">
        <f>IF(AND($A44&lt;&gt;"",AM$3&gt;=$J44,AM$3&lt;=$M44),1,"")</f>
        <v/>
      </c>
      <c r="AN44">
        <f>IF(AND($A44&lt;&gt;"",AN$3&gt;=$J44,AN$3&lt;=$M44),1,"")</f>
        <v/>
      </c>
      <c r="AO44">
        <f>IF(AND($A44&lt;&gt;"",AO$3&gt;=$J44,AO$3&lt;=$M44),1,"")</f>
        <v/>
      </c>
      <c r="AP44">
        <f>IF(AND($A44&lt;&gt;"",AP$3&gt;=$J44,AP$3&lt;=$M44),1,"")</f>
        <v/>
      </c>
      <c r="AQ44">
        <f>IF(AND($A44&lt;&gt;"",AQ$3&gt;=$J44,AQ$3&lt;=$M44),1,"")</f>
        <v/>
      </c>
      <c r="AR44">
        <f>IF(AND($A44&lt;&gt;"",AR$3&gt;=$J44,AR$3&lt;=$M44),1,"")</f>
        <v/>
      </c>
      <c r="AS44">
        <f>IF(AND($A44&lt;&gt;"",AS$3&gt;=$J44,AS$3&lt;=$M44),1,"")</f>
        <v/>
      </c>
      <c r="AT44">
        <f>IF(AND($A44&lt;&gt;"",AT$3&gt;=$J44,AT$3&lt;=$M44),1,"")</f>
        <v/>
      </c>
      <c r="AU44">
        <f>IF(AND($A44&lt;&gt;"",AU$3&gt;=$J44,AU$3&lt;=$M44),1,"")</f>
        <v/>
      </c>
      <c r="AV44">
        <f>IF(AND($A44&lt;&gt;"",AV$3&gt;=$J44,AV$3&lt;=$M44),1,"")</f>
        <v/>
      </c>
      <c r="AW44">
        <f>IF(AND($A44&lt;&gt;"",AW$3&gt;=$J44,AW$3&lt;=$M44),1,"")</f>
        <v/>
      </c>
      <c r="AX44">
        <f>IF(AND($A44&lt;&gt;"",AX$3&gt;=$J44,AX$3&lt;=$M44),1,"")</f>
        <v/>
      </c>
      <c r="AY44">
        <f>IF(AND($A44&lt;&gt;"",AY$3&gt;=$J44,AY$3&lt;=$M44),1,"")</f>
        <v/>
      </c>
      <c r="AZ44">
        <f>IF(AND($A44&lt;&gt;"",AZ$3&gt;=$J44,AZ$3&lt;=$M44),1,"")</f>
        <v/>
      </c>
      <c r="BA44">
        <f>IF(AND($A44&lt;&gt;"",BA$3&gt;=$J44,BA$3&lt;=$M44),1,"")</f>
        <v/>
      </c>
      <c r="BB44">
        <f>IF(AND($A44&lt;&gt;"",BB$3&gt;=$J44,BB$3&lt;=$M44),1,"")</f>
        <v/>
      </c>
      <c r="BC44">
        <f>IF(AND($A44&lt;&gt;"",BC$3&gt;=$J44,BC$3&lt;=$M44),1,"")</f>
        <v/>
      </c>
      <c r="BD44">
        <f>IF(AND($A44&lt;&gt;"",BD$3&gt;=$J44,BD$3&lt;=$M44),1,"")</f>
        <v/>
      </c>
      <c r="BE44">
        <f>IF(AND($A44&lt;&gt;"",BE$3&gt;=$J44,BE$3&lt;=$M44),1,"")</f>
        <v/>
      </c>
      <c r="BF44">
        <f>IF(AND($A44&lt;&gt;"",BF$3&gt;=$J44,BF$3&lt;=$M44),1,"")</f>
        <v/>
      </c>
      <c r="BG44">
        <f>IF(AND($A44&lt;&gt;"",BG$3&gt;=$J44,BG$3&lt;=$M44),1,"")</f>
        <v/>
      </c>
      <c r="BH44">
        <f>IF(AND($A44&lt;&gt;"",BH$3&gt;=$J44,BH$3&lt;=$M44),1,"")</f>
        <v/>
      </c>
      <c r="BI44">
        <f>IF(AND($A44&lt;&gt;"",BI$3&gt;=$J44,BI$3&lt;=$M44),1,"")</f>
        <v/>
      </c>
      <c r="BJ44">
        <f>IF(AND($A44&lt;&gt;"",BJ$3&gt;=$J44,BJ$3&lt;=$M44),1,"")</f>
        <v/>
      </c>
      <c r="BK44">
        <f>IF(AND($A44&lt;&gt;"",BK$3&gt;=$J44,BK$3&lt;=$M44),1,"")</f>
        <v/>
      </c>
      <c r="BL44">
        <f>IF(AND($A44&lt;&gt;"",BL$3&gt;=$J44,BL$3&lt;=$M44),1,"")</f>
        <v/>
      </c>
      <c r="BM44">
        <f>IF(AND($A44&lt;&gt;"",BM$3&gt;=$J44,BM$3&lt;=$M44),1,"")</f>
        <v/>
      </c>
      <c r="BN44">
        <f>IF(AND($A44&lt;&gt;"",BN$3&gt;=$J44,BN$3&lt;=$M44),1,"")</f>
        <v/>
      </c>
      <c r="BO44">
        <f>IF(AND($A44&lt;&gt;"",BO$3&gt;=$J44,BO$3&lt;=$M44),1,"")</f>
        <v/>
      </c>
      <c r="BP44">
        <f>IF(AND($A44&lt;&gt;"",BP$3&gt;=$J44,BP$3&lt;=$M44),1,"")</f>
        <v/>
      </c>
      <c r="BQ44">
        <f>IF(AND($A44&lt;&gt;"",BQ$3&gt;=$J44,BQ$3&lt;=$M44),1,"")</f>
        <v/>
      </c>
      <c r="BR44">
        <f>IF(AND($A44&lt;&gt;"",BR$3&gt;=$J44,BR$3&lt;=$M44),1,"")</f>
        <v/>
      </c>
      <c r="BS44">
        <f>IF(AND($A44&lt;&gt;"",BS$3&gt;=$J44,BS$3&lt;=$M44),1,"")</f>
        <v/>
      </c>
      <c r="BT44">
        <f>IF(AND($A44&lt;&gt;"",BT$3&gt;=$J44,BT$3&lt;=$M44),1,"")</f>
        <v/>
      </c>
      <c r="BU44">
        <f>IF(AND($A44&lt;&gt;"",BU$3&gt;=$J44,BU$3&lt;=$M44),1,"")</f>
        <v/>
      </c>
      <c r="BV44">
        <f>IF(AND($A44&lt;&gt;"",BV$3&gt;=$J44,BV$3&lt;=$M44),1,"")</f>
        <v/>
      </c>
    </row>
    <row r="45">
      <c r="A45">
        <f>IF(Job_Master_Ring!$A45="","",Job_Master_Ring!$A45)</f>
        <v/>
      </c>
      <c r="B45">
        <f>IF($A45="","",Job_Master_Ring!B45)</f>
        <v/>
      </c>
      <c r="C45">
        <f>IF($A45="","",Job_Master_Ring!C45)</f>
        <v/>
      </c>
      <c r="D45">
        <f>IF($A45="","",Job_Master_Ring!D45)</f>
        <v/>
      </c>
      <c r="E45">
        <f>IF($A45="","",IF($I45&lt;&gt;"",$I45,IFERROR(INDEX(Machine_List!$B$50:$B$63,MATCH(1,(Machine_List!$H$50:$H$63&lt;=IFERROR(VLOOKUP($B45,CHOOSE(MATCH($C45,Settings!$L$4:$L$10,0),OPR_BR1!$A$4:$K$18,OPR_BR2!$A$4:$K$18,OPR_CR2!$A$4:$K$18,OPR_CR3!$A$4:$K$18,OPR_CR4!$A$4:$K$18,OPR_RIM!$A$4:$K$18,OPR_BPR!$A$4:$K$18),10,0),0))*(Machine_List!$I$50:$I$63&gt;=IFERROR(VLOOKUP($B45,CHOOSE(MATCH($C45,Settings!$L$4:$L$10,0),OPR_BR1!$A$4:$K$18,OPR_BR2!$A$4:$K$18,OPR_CR2!$A$4:$K$18,OPR_CR3!$A$4:$K$18,OPR_CR4!$A$4:$K$18,OPR_RIM!$A$4:$K$18,OPR_BPR!$A$4:$K$18),11,0),9999)),0)),"NO COMPATIBLE MACHINE")))</f>
        <v/>
      </c>
      <c r="F45">
        <f>IF($E45="","",IFERROR(VLOOKUP($E45,Machine_List!$B:$G,6,0),""))</f>
        <v/>
      </c>
      <c r="G45" s="17">
        <f>IF($E45="","",IFERROR(VLOOKUP($E45,Machine_List!$B:$C,2,0),""))</f>
        <v/>
      </c>
      <c r="H45">
        <f>IF($E45="","",IFERROR(VLOOKUP($E45,Machine_List!$B:$D,3,0),""))</f>
        <v/>
      </c>
      <c r="J45" s="16">
        <f>IF($A45="","",IF($I45&lt;&gt;"",$I45,MAX(CNC_Plan!$M45,IFERROR(LOOKUP(2,1/($E$3:INDIRECT("E"&amp;(ROW()-1))=$E45),$M$3:INDIRECT("M"&amp;(ROW()-1))),CNC_Plan!$M45))))</f>
        <v/>
      </c>
      <c r="K45">
        <f>IF($A45="","",IFERROR(VLOOKUP(B45,CHOOSE(MATCH($C45,Settings!$L$4:$L$10,0),OPR_BR1!$A$4:$I$18,OPR_BR2!$A$4:$I$18,OPR_CR2!$A$4:$I$18,OPR_CR3!$A$4:$I$18,OPR_CR4!$A$4:$I$18,OPR_RIM!$A$4:$I$18,OPR_BPR!$A$4:$I$18),6,0),0))</f>
        <v/>
      </c>
      <c r="L45">
        <f>IF($A45="","",K45*D45)</f>
        <v/>
      </c>
      <c r="M45" s="16">
        <f>IF($A45="","",IF(AND(ISNUMBER(G45),G45&gt;=J45,G45&lt;=(J45+(L45/(IF(F45="Contract Workman",Settings!$K$5,Settings!$K$4))))),J45+(L45/(IF(F45="Contract Workman",Settings!$K$5,Settings!$K$4)))+(H45/(IF(F45="Contract Workman",Settings!$K$5,Settings!$K$4))),J45+(L45/(IF(F45="Contract Workman",Settings!$K$5,Settings!$K$4)))))</f>
        <v/>
      </c>
      <c r="N45">
        <f>IF($A45="","",IF(F45="Contract Workman",IF(AND(MOD(M45,1)&gt;=8/24,MOD(M45,1)&lt;20/24),"Shift S1","Shift S2"),IF(AND(MOD(M45,1)&gt;=7/24,MOD(M45,1)&lt;15/24),"Shift A",IF(AND(MOD(M45,1)&gt;=15/24,MOD(M45,1)&lt;23/24),"Shift B","Shift C"))))</f>
        <v/>
      </c>
      <c r="O45">
        <f>IF(B45="","",IF(IFERROR(ISNUMBER(SEARCH(TEXT(B45,"0"),VLOOKUP(E45,Machine_List!$B:$J,9,0))),FALSE),"✅ "&amp; E45,"❌ Sug: "&amp;IFERROR(INDEX(Machine_List!$B$50:$B$63,MATCH(1,(Machine_List!$H$50:$H$63&lt;=IFERROR(VLOOKUP($B45,OPR_BR1!$A$4:$K$18,10,0),0))*(Machine_List!$I$50:$I$63&gt;=IFERROR(VLOOKUP($B45,OPR_BR1!$A$4:$K$18,11,0),9999)),0)),"?")))</f>
        <v/>
      </c>
      <c r="P45">
        <f>IF(AND($A45&lt;&gt;"",P$3&gt;=$J45,P$3&lt;=$M45),1,"")</f>
        <v/>
      </c>
      <c r="Q45">
        <f>IF(AND($A45&lt;&gt;"",Q$3&gt;=$J45,Q$3&lt;=$M45),1,"")</f>
        <v/>
      </c>
      <c r="R45">
        <f>IF(AND($A45&lt;&gt;"",R$3&gt;=$J45,R$3&lt;=$M45),1,"")</f>
        <v/>
      </c>
      <c r="S45">
        <f>IF(AND($A45&lt;&gt;"",S$3&gt;=$J45,S$3&lt;=$M45),1,"")</f>
        <v/>
      </c>
      <c r="T45">
        <f>IF(AND($A45&lt;&gt;"",T$3&gt;=$J45,T$3&lt;=$M45),1,"")</f>
        <v/>
      </c>
      <c r="U45">
        <f>IF(AND($A45&lt;&gt;"",U$3&gt;=$J45,U$3&lt;=$M45),1,"")</f>
        <v/>
      </c>
      <c r="V45">
        <f>IF(AND($A45&lt;&gt;"",V$3&gt;=$J45,V$3&lt;=$M45),1,"")</f>
        <v/>
      </c>
      <c r="W45">
        <f>IF(AND($A45&lt;&gt;"",W$3&gt;=$J45,W$3&lt;=$M45),1,"")</f>
        <v/>
      </c>
      <c r="X45">
        <f>IF(AND($A45&lt;&gt;"",X$3&gt;=$J45,X$3&lt;=$M45),1,"")</f>
        <v/>
      </c>
      <c r="Y45">
        <f>IF(AND($A45&lt;&gt;"",Y$3&gt;=$J45,Y$3&lt;=$M45),1,"")</f>
        <v/>
      </c>
      <c r="Z45">
        <f>IF(AND($A45&lt;&gt;"",Z$3&gt;=$J45,Z$3&lt;=$M45),1,"")</f>
        <v/>
      </c>
      <c r="AA45">
        <f>IF(AND($A45&lt;&gt;"",AA$3&gt;=$J45,AA$3&lt;=$M45),1,"")</f>
        <v/>
      </c>
      <c r="AB45">
        <f>IF(AND($A45&lt;&gt;"",AB$3&gt;=$J45,AB$3&lt;=$M45),1,"")</f>
        <v/>
      </c>
      <c r="AC45">
        <f>IF(AND($A45&lt;&gt;"",AC$3&gt;=$J45,AC$3&lt;=$M45),1,"")</f>
        <v/>
      </c>
      <c r="AD45">
        <f>IF(AND($A45&lt;&gt;"",AD$3&gt;=$J45,AD$3&lt;=$M45),1,"")</f>
        <v/>
      </c>
      <c r="AE45">
        <f>IF(AND($A45&lt;&gt;"",AE$3&gt;=$J45,AE$3&lt;=$M45),1,"")</f>
        <v/>
      </c>
      <c r="AF45">
        <f>IF(AND($A45&lt;&gt;"",AF$3&gt;=$J45,AF$3&lt;=$M45),1,"")</f>
        <v/>
      </c>
      <c r="AG45">
        <f>IF(AND($A45&lt;&gt;"",AG$3&gt;=$J45,AG$3&lt;=$M45),1,"")</f>
        <v/>
      </c>
      <c r="AH45">
        <f>IF(AND($A45&lt;&gt;"",AH$3&gt;=$J45,AH$3&lt;=$M45),1,"")</f>
        <v/>
      </c>
      <c r="AI45">
        <f>IF(AND($A45&lt;&gt;"",AI$3&gt;=$J45,AI$3&lt;=$M45),1,"")</f>
        <v/>
      </c>
      <c r="AJ45">
        <f>IF(AND($A45&lt;&gt;"",AJ$3&gt;=$J45,AJ$3&lt;=$M45),1,"")</f>
        <v/>
      </c>
      <c r="AK45">
        <f>IF(AND($A45&lt;&gt;"",AK$3&gt;=$J45,AK$3&lt;=$M45),1,"")</f>
        <v/>
      </c>
      <c r="AL45">
        <f>IF(AND($A45&lt;&gt;"",AL$3&gt;=$J45,AL$3&lt;=$M45),1,"")</f>
        <v/>
      </c>
      <c r="AM45">
        <f>IF(AND($A45&lt;&gt;"",AM$3&gt;=$J45,AM$3&lt;=$M45),1,"")</f>
        <v/>
      </c>
      <c r="AN45">
        <f>IF(AND($A45&lt;&gt;"",AN$3&gt;=$J45,AN$3&lt;=$M45),1,"")</f>
        <v/>
      </c>
      <c r="AO45">
        <f>IF(AND($A45&lt;&gt;"",AO$3&gt;=$J45,AO$3&lt;=$M45),1,"")</f>
        <v/>
      </c>
      <c r="AP45">
        <f>IF(AND($A45&lt;&gt;"",AP$3&gt;=$J45,AP$3&lt;=$M45),1,"")</f>
        <v/>
      </c>
      <c r="AQ45">
        <f>IF(AND($A45&lt;&gt;"",AQ$3&gt;=$J45,AQ$3&lt;=$M45),1,"")</f>
        <v/>
      </c>
      <c r="AR45">
        <f>IF(AND($A45&lt;&gt;"",AR$3&gt;=$J45,AR$3&lt;=$M45),1,"")</f>
        <v/>
      </c>
      <c r="AS45">
        <f>IF(AND($A45&lt;&gt;"",AS$3&gt;=$J45,AS$3&lt;=$M45),1,"")</f>
        <v/>
      </c>
      <c r="AT45">
        <f>IF(AND($A45&lt;&gt;"",AT$3&gt;=$J45,AT$3&lt;=$M45),1,"")</f>
        <v/>
      </c>
      <c r="AU45">
        <f>IF(AND($A45&lt;&gt;"",AU$3&gt;=$J45,AU$3&lt;=$M45),1,"")</f>
        <v/>
      </c>
      <c r="AV45">
        <f>IF(AND($A45&lt;&gt;"",AV$3&gt;=$J45,AV$3&lt;=$M45),1,"")</f>
        <v/>
      </c>
      <c r="AW45">
        <f>IF(AND($A45&lt;&gt;"",AW$3&gt;=$J45,AW$3&lt;=$M45),1,"")</f>
        <v/>
      </c>
      <c r="AX45">
        <f>IF(AND($A45&lt;&gt;"",AX$3&gt;=$J45,AX$3&lt;=$M45),1,"")</f>
        <v/>
      </c>
      <c r="AY45">
        <f>IF(AND($A45&lt;&gt;"",AY$3&gt;=$J45,AY$3&lt;=$M45),1,"")</f>
        <v/>
      </c>
      <c r="AZ45">
        <f>IF(AND($A45&lt;&gt;"",AZ$3&gt;=$J45,AZ$3&lt;=$M45),1,"")</f>
        <v/>
      </c>
      <c r="BA45">
        <f>IF(AND($A45&lt;&gt;"",BA$3&gt;=$J45,BA$3&lt;=$M45),1,"")</f>
        <v/>
      </c>
      <c r="BB45">
        <f>IF(AND($A45&lt;&gt;"",BB$3&gt;=$J45,BB$3&lt;=$M45),1,"")</f>
        <v/>
      </c>
      <c r="BC45">
        <f>IF(AND($A45&lt;&gt;"",BC$3&gt;=$J45,BC$3&lt;=$M45),1,"")</f>
        <v/>
      </c>
      <c r="BD45">
        <f>IF(AND($A45&lt;&gt;"",BD$3&gt;=$J45,BD$3&lt;=$M45),1,"")</f>
        <v/>
      </c>
      <c r="BE45">
        <f>IF(AND($A45&lt;&gt;"",BE$3&gt;=$J45,BE$3&lt;=$M45),1,"")</f>
        <v/>
      </c>
      <c r="BF45">
        <f>IF(AND($A45&lt;&gt;"",BF$3&gt;=$J45,BF$3&lt;=$M45),1,"")</f>
        <v/>
      </c>
      <c r="BG45">
        <f>IF(AND($A45&lt;&gt;"",BG$3&gt;=$J45,BG$3&lt;=$M45),1,"")</f>
        <v/>
      </c>
      <c r="BH45">
        <f>IF(AND($A45&lt;&gt;"",BH$3&gt;=$J45,BH$3&lt;=$M45),1,"")</f>
        <v/>
      </c>
      <c r="BI45">
        <f>IF(AND($A45&lt;&gt;"",BI$3&gt;=$J45,BI$3&lt;=$M45),1,"")</f>
        <v/>
      </c>
      <c r="BJ45">
        <f>IF(AND($A45&lt;&gt;"",BJ$3&gt;=$J45,BJ$3&lt;=$M45),1,"")</f>
        <v/>
      </c>
      <c r="BK45">
        <f>IF(AND($A45&lt;&gt;"",BK$3&gt;=$J45,BK$3&lt;=$M45),1,"")</f>
        <v/>
      </c>
      <c r="BL45">
        <f>IF(AND($A45&lt;&gt;"",BL$3&gt;=$J45,BL$3&lt;=$M45),1,"")</f>
        <v/>
      </c>
      <c r="BM45">
        <f>IF(AND($A45&lt;&gt;"",BM$3&gt;=$J45,BM$3&lt;=$M45),1,"")</f>
        <v/>
      </c>
      <c r="BN45">
        <f>IF(AND($A45&lt;&gt;"",BN$3&gt;=$J45,BN$3&lt;=$M45),1,"")</f>
        <v/>
      </c>
      <c r="BO45">
        <f>IF(AND($A45&lt;&gt;"",BO$3&gt;=$J45,BO$3&lt;=$M45),1,"")</f>
        <v/>
      </c>
      <c r="BP45">
        <f>IF(AND($A45&lt;&gt;"",BP$3&gt;=$J45,BP$3&lt;=$M45),1,"")</f>
        <v/>
      </c>
      <c r="BQ45">
        <f>IF(AND($A45&lt;&gt;"",BQ$3&gt;=$J45,BQ$3&lt;=$M45),1,"")</f>
        <v/>
      </c>
      <c r="BR45">
        <f>IF(AND($A45&lt;&gt;"",BR$3&gt;=$J45,BR$3&lt;=$M45),1,"")</f>
        <v/>
      </c>
      <c r="BS45">
        <f>IF(AND($A45&lt;&gt;"",BS$3&gt;=$J45,BS$3&lt;=$M45),1,"")</f>
        <v/>
      </c>
      <c r="BT45">
        <f>IF(AND($A45&lt;&gt;"",BT$3&gt;=$J45,BT$3&lt;=$M45),1,"")</f>
        <v/>
      </c>
      <c r="BU45">
        <f>IF(AND($A45&lt;&gt;"",BU$3&gt;=$J45,BU$3&lt;=$M45),1,"")</f>
        <v/>
      </c>
      <c r="BV45">
        <f>IF(AND($A45&lt;&gt;"",BV$3&gt;=$J45,BV$3&lt;=$M45),1,"")</f>
        <v/>
      </c>
    </row>
    <row r="46">
      <c r="A46">
        <f>IF(Job_Master_Ring!$A46="","",Job_Master_Ring!$A46)</f>
        <v/>
      </c>
      <c r="B46">
        <f>IF($A46="","",Job_Master_Ring!B46)</f>
        <v/>
      </c>
      <c r="C46">
        <f>IF($A46="","",Job_Master_Ring!C46)</f>
        <v/>
      </c>
      <c r="D46">
        <f>IF($A46="","",Job_Master_Ring!D46)</f>
        <v/>
      </c>
      <c r="E46">
        <f>IF($A46="","",IF($I46&lt;&gt;"",$I46,IFERROR(INDEX(Machine_List!$B$50:$B$63,MATCH(1,(Machine_List!$H$50:$H$63&lt;=IFERROR(VLOOKUP($B46,CHOOSE(MATCH($C46,Settings!$L$4:$L$10,0),OPR_BR1!$A$4:$K$18,OPR_BR2!$A$4:$K$18,OPR_CR2!$A$4:$K$18,OPR_CR3!$A$4:$K$18,OPR_CR4!$A$4:$K$18,OPR_RIM!$A$4:$K$18,OPR_BPR!$A$4:$K$18),10,0),0))*(Machine_List!$I$50:$I$63&gt;=IFERROR(VLOOKUP($B46,CHOOSE(MATCH($C46,Settings!$L$4:$L$10,0),OPR_BR1!$A$4:$K$18,OPR_BR2!$A$4:$K$18,OPR_CR2!$A$4:$K$18,OPR_CR3!$A$4:$K$18,OPR_CR4!$A$4:$K$18,OPR_RIM!$A$4:$K$18,OPR_BPR!$A$4:$K$18),11,0),9999)),0)),"NO COMPATIBLE MACHINE")))</f>
        <v/>
      </c>
      <c r="F46">
        <f>IF($E46="","",IFERROR(VLOOKUP($E46,Machine_List!$B:$G,6,0),""))</f>
        <v/>
      </c>
      <c r="G46" s="17">
        <f>IF($E46="","",IFERROR(VLOOKUP($E46,Machine_List!$B:$C,2,0),""))</f>
        <v/>
      </c>
      <c r="H46">
        <f>IF($E46="","",IFERROR(VLOOKUP($E46,Machine_List!$B:$D,3,0),""))</f>
        <v/>
      </c>
      <c r="J46" s="16">
        <f>IF($A46="","",IF($I46&lt;&gt;"",$I46,MAX(CNC_Plan!$M46,IFERROR(LOOKUP(2,1/($E$3:INDIRECT("E"&amp;(ROW()-1))=$E46),$M$3:INDIRECT("M"&amp;(ROW()-1))),CNC_Plan!$M46))))</f>
        <v/>
      </c>
      <c r="K46">
        <f>IF($A46="","",IFERROR(VLOOKUP(B46,CHOOSE(MATCH($C46,Settings!$L$4:$L$10,0),OPR_BR1!$A$4:$I$18,OPR_BR2!$A$4:$I$18,OPR_CR2!$A$4:$I$18,OPR_CR3!$A$4:$I$18,OPR_CR4!$A$4:$I$18,OPR_RIM!$A$4:$I$18,OPR_BPR!$A$4:$I$18),6,0),0))</f>
        <v/>
      </c>
      <c r="L46">
        <f>IF($A46="","",K46*D46)</f>
        <v/>
      </c>
      <c r="M46" s="16">
        <f>IF($A46="","",IF(AND(ISNUMBER(G46),G46&gt;=J46,G46&lt;=(J46+(L46/(IF(F46="Contract Workman",Settings!$K$5,Settings!$K$4))))),J46+(L46/(IF(F46="Contract Workman",Settings!$K$5,Settings!$K$4)))+(H46/(IF(F46="Contract Workman",Settings!$K$5,Settings!$K$4))),J46+(L46/(IF(F46="Contract Workman",Settings!$K$5,Settings!$K$4)))))</f>
        <v/>
      </c>
      <c r="N46">
        <f>IF($A46="","",IF(F46="Contract Workman",IF(AND(MOD(M46,1)&gt;=8/24,MOD(M46,1)&lt;20/24),"Shift S1","Shift S2"),IF(AND(MOD(M46,1)&gt;=7/24,MOD(M46,1)&lt;15/24),"Shift A",IF(AND(MOD(M46,1)&gt;=15/24,MOD(M46,1)&lt;23/24),"Shift B","Shift C"))))</f>
        <v/>
      </c>
      <c r="O46">
        <f>IF(B46="","",IF(IFERROR(ISNUMBER(SEARCH(TEXT(B46,"0"),VLOOKUP(E46,Machine_List!$B:$J,9,0))),FALSE),"✅ "&amp; E46,"❌ Sug: "&amp;IFERROR(INDEX(Machine_List!$B$50:$B$63,MATCH(1,(Machine_List!$H$50:$H$63&lt;=IFERROR(VLOOKUP($B46,OPR_BR1!$A$4:$K$18,10,0),0))*(Machine_List!$I$50:$I$63&gt;=IFERROR(VLOOKUP($B46,OPR_BR1!$A$4:$K$18,11,0),9999)),0)),"?")))</f>
        <v/>
      </c>
      <c r="P46">
        <f>IF(AND($A46&lt;&gt;"",P$3&gt;=$J46,P$3&lt;=$M46),1,"")</f>
        <v/>
      </c>
      <c r="Q46">
        <f>IF(AND($A46&lt;&gt;"",Q$3&gt;=$J46,Q$3&lt;=$M46),1,"")</f>
        <v/>
      </c>
      <c r="R46">
        <f>IF(AND($A46&lt;&gt;"",R$3&gt;=$J46,R$3&lt;=$M46),1,"")</f>
        <v/>
      </c>
      <c r="S46">
        <f>IF(AND($A46&lt;&gt;"",S$3&gt;=$J46,S$3&lt;=$M46),1,"")</f>
        <v/>
      </c>
      <c r="T46">
        <f>IF(AND($A46&lt;&gt;"",T$3&gt;=$J46,T$3&lt;=$M46),1,"")</f>
        <v/>
      </c>
      <c r="U46">
        <f>IF(AND($A46&lt;&gt;"",U$3&gt;=$J46,U$3&lt;=$M46),1,"")</f>
        <v/>
      </c>
      <c r="V46">
        <f>IF(AND($A46&lt;&gt;"",V$3&gt;=$J46,V$3&lt;=$M46),1,"")</f>
        <v/>
      </c>
      <c r="W46">
        <f>IF(AND($A46&lt;&gt;"",W$3&gt;=$J46,W$3&lt;=$M46),1,"")</f>
        <v/>
      </c>
      <c r="X46">
        <f>IF(AND($A46&lt;&gt;"",X$3&gt;=$J46,X$3&lt;=$M46),1,"")</f>
        <v/>
      </c>
      <c r="Y46">
        <f>IF(AND($A46&lt;&gt;"",Y$3&gt;=$J46,Y$3&lt;=$M46),1,"")</f>
        <v/>
      </c>
      <c r="Z46">
        <f>IF(AND($A46&lt;&gt;"",Z$3&gt;=$J46,Z$3&lt;=$M46),1,"")</f>
        <v/>
      </c>
      <c r="AA46">
        <f>IF(AND($A46&lt;&gt;"",AA$3&gt;=$J46,AA$3&lt;=$M46),1,"")</f>
        <v/>
      </c>
      <c r="AB46">
        <f>IF(AND($A46&lt;&gt;"",AB$3&gt;=$J46,AB$3&lt;=$M46),1,"")</f>
        <v/>
      </c>
      <c r="AC46">
        <f>IF(AND($A46&lt;&gt;"",AC$3&gt;=$J46,AC$3&lt;=$M46),1,"")</f>
        <v/>
      </c>
      <c r="AD46">
        <f>IF(AND($A46&lt;&gt;"",AD$3&gt;=$J46,AD$3&lt;=$M46),1,"")</f>
        <v/>
      </c>
      <c r="AE46">
        <f>IF(AND($A46&lt;&gt;"",AE$3&gt;=$J46,AE$3&lt;=$M46),1,"")</f>
        <v/>
      </c>
      <c r="AF46">
        <f>IF(AND($A46&lt;&gt;"",AF$3&gt;=$J46,AF$3&lt;=$M46),1,"")</f>
        <v/>
      </c>
      <c r="AG46">
        <f>IF(AND($A46&lt;&gt;"",AG$3&gt;=$J46,AG$3&lt;=$M46),1,"")</f>
        <v/>
      </c>
      <c r="AH46">
        <f>IF(AND($A46&lt;&gt;"",AH$3&gt;=$J46,AH$3&lt;=$M46),1,"")</f>
        <v/>
      </c>
      <c r="AI46">
        <f>IF(AND($A46&lt;&gt;"",AI$3&gt;=$J46,AI$3&lt;=$M46),1,"")</f>
        <v/>
      </c>
      <c r="AJ46">
        <f>IF(AND($A46&lt;&gt;"",AJ$3&gt;=$J46,AJ$3&lt;=$M46),1,"")</f>
        <v/>
      </c>
      <c r="AK46">
        <f>IF(AND($A46&lt;&gt;"",AK$3&gt;=$J46,AK$3&lt;=$M46),1,"")</f>
        <v/>
      </c>
      <c r="AL46">
        <f>IF(AND($A46&lt;&gt;"",AL$3&gt;=$J46,AL$3&lt;=$M46),1,"")</f>
        <v/>
      </c>
      <c r="AM46">
        <f>IF(AND($A46&lt;&gt;"",AM$3&gt;=$J46,AM$3&lt;=$M46),1,"")</f>
        <v/>
      </c>
      <c r="AN46">
        <f>IF(AND($A46&lt;&gt;"",AN$3&gt;=$J46,AN$3&lt;=$M46),1,"")</f>
        <v/>
      </c>
      <c r="AO46">
        <f>IF(AND($A46&lt;&gt;"",AO$3&gt;=$J46,AO$3&lt;=$M46),1,"")</f>
        <v/>
      </c>
      <c r="AP46">
        <f>IF(AND($A46&lt;&gt;"",AP$3&gt;=$J46,AP$3&lt;=$M46),1,"")</f>
        <v/>
      </c>
      <c r="AQ46">
        <f>IF(AND($A46&lt;&gt;"",AQ$3&gt;=$J46,AQ$3&lt;=$M46),1,"")</f>
        <v/>
      </c>
      <c r="AR46">
        <f>IF(AND($A46&lt;&gt;"",AR$3&gt;=$J46,AR$3&lt;=$M46),1,"")</f>
        <v/>
      </c>
      <c r="AS46">
        <f>IF(AND($A46&lt;&gt;"",AS$3&gt;=$J46,AS$3&lt;=$M46),1,"")</f>
        <v/>
      </c>
      <c r="AT46">
        <f>IF(AND($A46&lt;&gt;"",AT$3&gt;=$J46,AT$3&lt;=$M46),1,"")</f>
        <v/>
      </c>
      <c r="AU46">
        <f>IF(AND($A46&lt;&gt;"",AU$3&gt;=$J46,AU$3&lt;=$M46),1,"")</f>
        <v/>
      </c>
      <c r="AV46">
        <f>IF(AND($A46&lt;&gt;"",AV$3&gt;=$J46,AV$3&lt;=$M46),1,"")</f>
        <v/>
      </c>
      <c r="AW46">
        <f>IF(AND($A46&lt;&gt;"",AW$3&gt;=$J46,AW$3&lt;=$M46),1,"")</f>
        <v/>
      </c>
      <c r="AX46">
        <f>IF(AND($A46&lt;&gt;"",AX$3&gt;=$J46,AX$3&lt;=$M46),1,"")</f>
        <v/>
      </c>
      <c r="AY46">
        <f>IF(AND($A46&lt;&gt;"",AY$3&gt;=$J46,AY$3&lt;=$M46),1,"")</f>
        <v/>
      </c>
      <c r="AZ46">
        <f>IF(AND($A46&lt;&gt;"",AZ$3&gt;=$J46,AZ$3&lt;=$M46),1,"")</f>
        <v/>
      </c>
      <c r="BA46">
        <f>IF(AND($A46&lt;&gt;"",BA$3&gt;=$J46,BA$3&lt;=$M46),1,"")</f>
        <v/>
      </c>
      <c r="BB46">
        <f>IF(AND($A46&lt;&gt;"",BB$3&gt;=$J46,BB$3&lt;=$M46),1,"")</f>
        <v/>
      </c>
      <c r="BC46">
        <f>IF(AND($A46&lt;&gt;"",BC$3&gt;=$J46,BC$3&lt;=$M46),1,"")</f>
        <v/>
      </c>
      <c r="BD46">
        <f>IF(AND($A46&lt;&gt;"",BD$3&gt;=$J46,BD$3&lt;=$M46),1,"")</f>
        <v/>
      </c>
      <c r="BE46">
        <f>IF(AND($A46&lt;&gt;"",BE$3&gt;=$J46,BE$3&lt;=$M46),1,"")</f>
        <v/>
      </c>
      <c r="BF46">
        <f>IF(AND($A46&lt;&gt;"",BF$3&gt;=$J46,BF$3&lt;=$M46),1,"")</f>
        <v/>
      </c>
      <c r="BG46">
        <f>IF(AND($A46&lt;&gt;"",BG$3&gt;=$J46,BG$3&lt;=$M46),1,"")</f>
        <v/>
      </c>
      <c r="BH46">
        <f>IF(AND($A46&lt;&gt;"",BH$3&gt;=$J46,BH$3&lt;=$M46),1,"")</f>
        <v/>
      </c>
      <c r="BI46">
        <f>IF(AND($A46&lt;&gt;"",BI$3&gt;=$J46,BI$3&lt;=$M46),1,"")</f>
        <v/>
      </c>
      <c r="BJ46">
        <f>IF(AND($A46&lt;&gt;"",BJ$3&gt;=$J46,BJ$3&lt;=$M46),1,"")</f>
        <v/>
      </c>
      <c r="BK46">
        <f>IF(AND($A46&lt;&gt;"",BK$3&gt;=$J46,BK$3&lt;=$M46),1,"")</f>
        <v/>
      </c>
      <c r="BL46">
        <f>IF(AND($A46&lt;&gt;"",BL$3&gt;=$J46,BL$3&lt;=$M46),1,"")</f>
        <v/>
      </c>
      <c r="BM46">
        <f>IF(AND($A46&lt;&gt;"",BM$3&gt;=$J46,BM$3&lt;=$M46),1,"")</f>
        <v/>
      </c>
      <c r="BN46">
        <f>IF(AND($A46&lt;&gt;"",BN$3&gt;=$J46,BN$3&lt;=$M46),1,"")</f>
        <v/>
      </c>
      <c r="BO46">
        <f>IF(AND($A46&lt;&gt;"",BO$3&gt;=$J46,BO$3&lt;=$M46),1,"")</f>
        <v/>
      </c>
      <c r="BP46">
        <f>IF(AND($A46&lt;&gt;"",BP$3&gt;=$J46,BP$3&lt;=$M46),1,"")</f>
        <v/>
      </c>
      <c r="BQ46">
        <f>IF(AND($A46&lt;&gt;"",BQ$3&gt;=$J46,BQ$3&lt;=$M46),1,"")</f>
        <v/>
      </c>
      <c r="BR46">
        <f>IF(AND($A46&lt;&gt;"",BR$3&gt;=$J46,BR$3&lt;=$M46),1,"")</f>
        <v/>
      </c>
      <c r="BS46">
        <f>IF(AND($A46&lt;&gt;"",BS$3&gt;=$J46,BS$3&lt;=$M46),1,"")</f>
        <v/>
      </c>
      <c r="BT46">
        <f>IF(AND($A46&lt;&gt;"",BT$3&gt;=$J46,BT$3&lt;=$M46),1,"")</f>
        <v/>
      </c>
      <c r="BU46">
        <f>IF(AND($A46&lt;&gt;"",BU$3&gt;=$J46,BU$3&lt;=$M46),1,"")</f>
        <v/>
      </c>
      <c r="BV46">
        <f>IF(AND($A46&lt;&gt;"",BV$3&gt;=$J46,BV$3&lt;=$M46),1,"")</f>
        <v/>
      </c>
    </row>
    <row r="47">
      <c r="A47">
        <f>IF(Job_Master_Ring!$A47="","",Job_Master_Ring!$A47)</f>
        <v/>
      </c>
      <c r="B47">
        <f>IF($A47="","",Job_Master_Ring!B47)</f>
        <v/>
      </c>
      <c r="C47">
        <f>IF($A47="","",Job_Master_Ring!C47)</f>
        <v/>
      </c>
      <c r="D47">
        <f>IF($A47="","",Job_Master_Ring!D47)</f>
        <v/>
      </c>
      <c r="E47">
        <f>IF($A47="","",IF($I47&lt;&gt;"",$I47,IFERROR(INDEX(Machine_List!$B$50:$B$63,MATCH(1,(Machine_List!$H$50:$H$63&lt;=IFERROR(VLOOKUP($B47,CHOOSE(MATCH($C47,Settings!$L$4:$L$10,0),OPR_BR1!$A$4:$K$18,OPR_BR2!$A$4:$K$18,OPR_CR2!$A$4:$K$18,OPR_CR3!$A$4:$K$18,OPR_CR4!$A$4:$K$18,OPR_RIM!$A$4:$K$18,OPR_BPR!$A$4:$K$18),10,0),0))*(Machine_List!$I$50:$I$63&gt;=IFERROR(VLOOKUP($B47,CHOOSE(MATCH($C47,Settings!$L$4:$L$10,0),OPR_BR1!$A$4:$K$18,OPR_BR2!$A$4:$K$18,OPR_CR2!$A$4:$K$18,OPR_CR3!$A$4:$K$18,OPR_CR4!$A$4:$K$18,OPR_RIM!$A$4:$K$18,OPR_BPR!$A$4:$K$18),11,0),9999)),0)),"NO COMPATIBLE MACHINE")))</f>
        <v/>
      </c>
      <c r="F47">
        <f>IF($E47="","",IFERROR(VLOOKUP($E47,Machine_List!$B:$G,6,0),""))</f>
        <v/>
      </c>
      <c r="G47" s="17">
        <f>IF($E47="","",IFERROR(VLOOKUP($E47,Machine_List!$B:$C,2,0),""))</f>
        <v/>
      </c>
      <c r="H47">
        <f>IF($E47="","",IFERROR(VLOOKUP($E47,Machine_List!$B:$D,3,0),""))</f>
        <v/>
      </c>
      <c r="J47" s="16">
        <f>IF($A47="","",IF($I47&lt;&gt;"",$I47,MAX(CNC_Plan!$M47,IFERROR(LOOKUP(2,1/($E$3:INDIRECT("E"&amp;(ROW()-1))=$E47),$M$3:INDIRECT("M"&amp;(ROW()-1))),CNC_Plan!$M47))))</f>
        <v/>
      </c>
      <c r="K47">
        <f>IF($A47="","",IFERROR(VLOOKUP(B47,CHOOSE(MATCH($C47,Settings!$L$4:$L$10,0),OPR_BR1!$A$4:$I$18,OPR_BR2!$A$4:$I$18,OPR_CR2!$A$4:$I$18,OPR_CR3!$A$4:$I$18,OPR_CR4!$A$4:$I$18,OPR_RIM!$A$4:$I$18,OPR_BPR!$A$4:$I$18),6,0),0))</f>
        <v/>
      </c>
      <c r="L47">
        <f>IF($A47="","",K47*D47)</f>
        <v/>
      </c>
      <c r="M47" s="16">
        <f>IF($A47="","",IF(AND(ISNUMBER(G47),G47&gt;=J47,G47&lt;=(J47+(L47/(IF(F47="Contract Workman",Settings!$K$5,Settings!$K$4))))),J47+(L47/(IF(F47="Contract Workman",Settings!$K$5,Settings!$K$4)))+(H47/(IF(F47="Contract Workman",Settings!$K$5,Settings!$K$4))),J47+(L47/(IF(F47="Contract Workman",Settings!$K$5,Settings!$K$4)))))</f>
        <v/>
      </c>
      <c r="N47">
        <f>IF($A47="","",IF(F47="Contract Workman",IF(AND(MOD(M47,1)&gt;=8/24,MOD(M47,1)&lt;20/24),"Shift S1","Shift S2"),IF(AND(MOD(M47,1)&gt;=7/24,MOD(M47,1)&lt;15/24),"Shift A",IF(AND(MOD(M47,1)&gt;=15/24,MOD(M47,1)&lt;23/24),"Shift B","Shift C"))))</f>
        <v/>
      </c>
      <c r="O47">
        <f>IF(B47="","",IF(IFERROR(ISNUMBER(SEARCH(TEXT(B47,"0"),VLOOKUP(E47,Machine_List!$B:$J,9,0))),FALSE),"✅ "&amp; E47,"❌ Sug: "&amp;IFERROR(INDEX(Machine_List!$B$50:$B$63,MATCH(1,(Machine_List!$H$50:$H$63&lt;=IFERROR(VLOOKUP($B47,OPR_BR1!$A$4:$K$18,10,0),0))*(Machine_List!$I$50:$I$63&gt;=IFERROR(VLOOKUP($B47,OPR_BR1!$A$4:$K$18,11,0),9999)),0)),"?")))</f>
        <v/>
      </c>
      <c r="P47">
        <f>IF(AND($A47&lt;&gt;"",P$3&gt;=$J47,P$3&lt;=$M47),1,"")</f>
        <v/>
      </c>
      <c r="Q47">
        <f>IF(AND($A47&lt;&gt;"",Q$3&gt;=$J47,Q$3&lt;=$M47),1,"")</f>
        <v/>
      </c>
      <c r="R47">
        <f>IF(AND($A47&lt;&gt;"",R$3&gt;=$J47,R$3&lt;=$M47),1,"")</f>
        <v/>
      </c>
      <c r="S47">
        <f>IF(AND($A47&lt;&gt;"",S$3&gt;=$J47,S$3&lt;=$M47),1,"")</f>
        <v/>
      </c>
      <c r="T47">
        <f>IF(AND($A47&lt;&gt;"",T$3&gt;=$J47,T$3&lt;=$M47),1,"")</f>
        <v/>
      </c>
      <c r="U47">
        <f>IF(AND($A47&lt;&gt;"",U$3&gt;=$J47,U$3&lt;=$M47),1,"")</f>
        <v/>
      </c>
      <c r="V47">
        <f>IF(AND($A47&lt;&gt;"",V$3&gt;=$J47,V$3&lt;=$M47),1,"")</f>
        <v/>
      </c>
      <c r="W47">
        <f>IF(AND($A47&lt;&gt;"",W$3&gt;=$J47,W$3&lt;=$M47),1,"")</f>
        <v/>
      </c>
      <c r="X47">
        <f>IF(AND($A47&lt;&gt;"",X$3&gt;=$J47,X$3&lt;=$M47),1,"")</f>
        <v/>
      </c>
      <c r="Y47">
        <f>IF(AND($A47&lt;&gt;"",Y$3&gt;=$J47,Y$3&lt;=$M47),1,"")</f>
        <v/>
      </c>
      <c r="Z47">
        <f>IF(AND($A47&lt;&gt;"",Z$3&gt;=$J47,Z$3&lt;=$M47),1,"")</f>
        <v/>
      </c>
      <c r="AA47">
        <f>IF(AND($A47&lt;&gt;"",AA$3&gt;=$J47,AA$3&lt;=$M47),1,"")</f>
        <v/>
      </c>
      <c r="AB47">
        <f>IF(AND($A47&lt;&gt;"",AB$3&gt;=$J47,AB$3&lt;=$M47),1,"")</f>
        <v/>
      </c>
      <c r="AC47">
        <f>IF(AND($A47&lt;&gt;"",AC$3&gt;=$J47,AC$3&lt;=$M47),1,"")</f>
        <v/>
      </c>
      <c r="AD47">
        <f>IF(AND($A47&lt;&gt;"",AD$3&gt;=$J47,AD$3&lt;=$M47),1,"")</f>
        <v/>
      </c>
      <c r="AE47">
        <f>IF(AND($A47&lt;&gt;"",AE$3&gt;=$J47,AE$3&lt;=$M47),1,"")</f>
        <v/>
      </c>
      <c r="AF47">
        <f>IF(AND($A47&lt;&gt;"",AF$3&gt;=$J47,AF$3&lt;=$M47),1,"")</f>
        <v/>
      </c>
      <c r="AG47">
        <f>IF(AND($A47&lt;&gt;"",AG$3&gt;=$J47,AG$3&lt;=$M47),1,"")</f>
        <v/>
      </c>
      <c r="AH47">
        <f>IF(AND($A47&lt;&gt;"",AH$3&gt;=$J47,AH$3&lt;=$M47),1,"")</f>
        <v/>
      </c>
      <c r="AI47">
        <f>IF(AND($A47&lt;&gt;"",AI$3&gt;=$J47,AI$3&lt;=$M47),1,"")</f>
        <v/>
      </c>
      <c r="AJ47">
        <f>IF(AND($A47&lt;&gt;"",AJ$3&gt;=$J47,AJ$3&lt;=$M47),1,"")</f>
        <v/>
      </c>
      <c r="AK47">
        <f>IF(AND($A47&lt;&gt;"",AK$3&gt;=$J47,AK$3&lt;=$M47),1,"")</f>
        <v/>
      </c>
      <c r="AL47">
        <f>IF(AND($A47&lt;&gt;"",AL$3&gt;=$J47,AL$3&lt;=$M47),1,"")</f>
        <v/>
      </c>
      <c r="AM47">
        <f>IF(AND($A47&lt;&gt;"",AM$3&gt;=$J47,AM$3&lt;=$M47),1,"")</f>
        <v/>
      </c>
      <c r="AN47">
        <f>IF(AND($A47&lt;&gt;"",AN$3&gt;=$J47,AN$3&lt;=$M47),1,"")</f>
        <v/>
      </c>
      <c r="AO47">
        <f>IF(AND($A47&lt;&gt;"",AO$3&gt;=$J47,AO$3&lt;=$M47),1,"")</f>
        <v/>
      </c>
      <c r="AP47">
        <f>IF(AND($A47&lt;&gt;"",AP$3&gt;=$J47,AP$3&lt;=$M47),1,"")</f>
        <v/>
      </c>
      <c r="AQ47">
        <f>IF(AND($A47&lt;&gt;"",AQ$3&gt;=$J47,AQ$3&lt;=$M47),1,"")</f>
        <v/>
      </c>
      <c r="AR47">
        <f>IF(AND($A47&lt;&gt;"",AR$3&gt;=$J47,AR$3&lt;=$M47),1,"")</f>
        <v/>
      </c>
      <c r="AS47">
        <f>IF(AND($A47&lt;&gt;"",AS$3&gt;=$J47,AS$3&lt;=$M47),1,"")</f>
        <v/>
      </c>
      <c r="AT47">
        <f>IF(AND($A47&lt;&gt;"",AT$3&gt;=$J47,AT$3&lt;=$M47),1,"")</f>
        <v/>
      </c>
      <c r="AU47">
        <f>IF(AND($A47&lt;&gt;"",AU$3&gt;=$J47,AU$3&lt;=$M47),1,"")</f>
        <v/>
      </c>
      <c r="AV47">
        <f>IF(AND($A47&lt;&gt;"",AV$3&gt;=$J47,AV$3&lt;=$M47),1,"")</f>
        <v/>
      </c>
      <c r="AW47">
        <f>IF(AND($A47&lt;&gt;"",AW$3&gt;=$J47,AW$3&lt;=$M47),1,"")</f>
        <v/>
      </c>
      <c r="AX47">
        <f>IF(AND($A47&lt;&gt;"",AX$3&gt;=$J47,AX$3&lt;=$M47),1,"")</f>
        <v/>
      </c>
      <c r="AY47">
        <f>IF(AND($A47&lt;&gt;"",AY$3&gt;=$J47,AY$3&lt;=$M47),1,"")</f>
        <v/>
      </c>
      <c r="AZ47">
        <f>IF(AND($A47&lt;&gt;"",AZ$3&gt;=$J47,AZ$3&lt;=$M47),1,"")</f>
        <v/>
      </c>
      <c r="BA47">
        <f>IF(AND($A47&lt;&gt;"",BA$3&gt;=$J47,BA$3&lt;=$M47),1,"")</f>
        <v/>
      </c>
      <c r="BB47">
        <f>IF(AND($A47&lt;&gt;"",BB$3&gt;=$J47,BB$3&lt;=$M47),1,"")</f>
        <v/>
      </c>
      <c r="BC47">
        <f>IF(AND($A47&lt;&gt;"",BC$3&gt;=$J47,BC$3&lt;=$M47),1,"")</f>
        <v/>
      </c>
      <c r="BD47">
        <f>IF(AND($A47&lt;&gt;"",BD$3&gt;=$J47,BD$3&lt;=$M47),1,"")</f>
        <v/>
      </c>
      <c r="BE47">
        <f>IF(AND($A47&lt;&gt;"",BE$3&gt;=$J47,BE$3&lt;=$M47),1,"")</f>
        <v/>
      </c>
      <c r="BF47">
        <f>IF(AND($A47&lt;&gt;"",BF$3&gt;=$J47,BF$3&lt;=$M47),1,"")</f>
        <v/>
      </c>
      <c r="BG47">
        <f>IF(AND($A47&lt;&gt;"",BG$3&gt;=$J47,BG$3&lt;=$M47),1,"")</f>
        <v/>
      </c>
      <c r="BH47">
        <f>IF(AND($A47&lt;&gt;"",BH$3&gt;=$J47,BH$3&lt;=$M47),1,"")</f>
        <v/>
      </c>
      <c r="BI47">
        <f>IF(AND($A47&lt;&gt;"",BI$3&gt;=$J47,BI$3&lt;=$M47),1,"")</f>
        <v/>
      </c>
      <c r="BJ47">
        <f>IF(AND($A47&lt;&gt;"",BJ$3&gt;=$J47,BJ$3&lt;=$M47),1,"")</f>
        <v/>
      </c>
      <c r="BK47">
        <f>IF(AND($A47&lt;&gt;"",BK$3&gt;=$J47,BK$3&lt;=$M47),1,"")</f>
        <v/>
      </c>
      <c r="BL47">
        <f>IF(AND($A47&lt;&gt;"",BL$3&gt;=$J47,BL$3&lt;=$M47),1,"")</f>
        <v/>
      </c>
      <c r="BM47">
        <f>IF(AND($A47&lt;&gt;"",BM$3&gt;=$J47,BM$3&lt;=$M47),1,"")</f>
        <v/>
      </c>
      <c r="BN47">
        <f>IF(AND($A47&lt;&gt;"",BN$3&gt;=$J47,BN$3&lt;=$M47),1,"")</f>
        <v/>
      </c>
      <c r="BO47">
        <f>IF(AND($A47&lt;&gt;"",BO$3&gt;=$J47,BO$3&lt;=$M47),1,"")</f>
        <v/>
      </c>
      <c r="BP47">
        <f>IF(AND($A47&lt;&gt;"",BP$3&gt;=$J47,BP$3&lt;=$M47),1,"")</f>
        <v/>
      </c>
      <c r="BQ47">
        <f>IF(AND($A47&lt;&gt;"",BQ$3&gt;=$J47,BQ$3&lt;=$M47),1,"")</f>
        <v/>
      </c>
      <c r="BR47">
        <f>IF(AND($A47&lt;&gt;"",BR$3&gt;=$J47,BR$3&lt;=$M47),1,"")</f>
        <v/>
      </c>
      <c r="BS47">
        <f>IF(AND($A47&lt;&gt;"",BS$3&gt;=$J47,BS$3&lt;=$M47),1,"")</f>
        <v/>
      </c>
      <c r="BT47">
        <f>IF(AND($A47&lt;&gt;"",BT$3&gt;=$J47,BT$3&lt;=$M47),1,"")</f>
        <v/>
      </c>
      <c r="BU47">
        <f>IF(AND($A47&lt;&gt;"",BU$3&gt;=$J47,BU$3&lt;=$M47),1,"")</f>
        <v/>
      </c>
      <c r="BV47">
        <f>IF(AND($A47&lt;&gt;"",BV$3&gt;=$J47,BV$3&lt;=$M47),1,"")</f>
        <v/>
      </c>
    </row>
    <row r="48">
      <c r="A48">
        <f>IF(Job_Master_Ring!$A48="","",Job_Master_Ring!$A48)</f>
        <v/>
      </c>
      <c r="B48">
        <f>IF($A48="","",Job_Master_Ring!B48)</f>
        <v/>
      </c>
      <c r="C48">
        <f>IF($A48="","",Job_Master_Ring!C48)</f>
        <v/>
      </c>
      <c r="D48">
        <f>IF($A48="","",Job_Master_Ring!D48)</f>
        <v/>
      </c>
      <c r="E48">
        <f>IF($A48="","",IF($I48&lt;&gt;"",$I48,IFERROR(INDEX(Machine_List!$B$50:$B$63,MATCH(1,(Machine_List!$H$50:$H$63&lt;=IFERROR(VLOOKUP($B48,CHOOSE(MATCH($C48,Settings!$L$4:$L$10,0),OPR_BR1!$A$4:$K$18,OPR_BR2!$A$4:$K$18,OPR_CR2!$A$4:$K$18,OPR_CR3!$A$4:$K$18,OPR_CR4!$A$4:$K$18,OPR_RIM!$A$4:$K$18,OPR_BPR!$A$4:$K$18),10,0),0))*(Machine_List!$I$50:$I$63&gt;=IFERROR(VLOOKUP($B48,CHOOSE(MATCH($C48,Settings!$L$4:$L$10,0),OPR_BR1!$A$4:$K$18,OPR_BR2!$A$4:$K$18,OPR_CR2!$A$4:$K$18,OPR_CR3!$A$4:$K$18,OPR_CR4!$A$4:$K$18,OPR_RIM!$A$4:$K$18,OPR_BPR!$A$4:$K$18),11,0),9999)),0)),"NO COMPATIBLE MACHINE")))</f>
        <v/>
      </c>
      <c r="F48">
        <f>IF($E48="","",IFERROR(VLOOKUP($E48,Machine_List!$B:$G,6,0),""))</f>
        <v/>
      </c>
      <c r="G48" s="17">
        <f>IF($E48="","",IFERROR(VLOOKUP($E48,Machine_List!$B:$C,2,0),""))</f>
        <v/>
      </c>
      <c r="H48">
        <f>IF($E48="","",IFERROR(VLOOKUP($E48,Machine_List!$B:$D,3,0),""))</f>
        <v/>
      </c>
      <c r="J48" s="16">
        <f>IF($A48="","",IF($I48&lt;&gt;"",$I48,MAX(CNC_Plan!$M48,IFERROR(LOOKUP(2,1/($E$3:INDIRECT("E"&amp;(ROW()-1))=$E48),$M$3:INDIRECT("M"&amp;(ROW()-1))),CNC_Plan!$M48))))</f>
        <v/>
      </c>
      <c r="K48">
        <f>IF($A48="","",IFERROR(VLOOKUP(B48,CHOOSE(MATCH($C48,Settings!$L$4:$L$10,0),OPR_BR1!$A$4:$I$18,OPR_BR2!$A$4:$I$18,OPR_CR2!$A$4:$I$18,OPR_CR3!$A$4:$I$18,OPR_CR4!$A$4:$I$18,OPR_RIM!$A$4:$I$18,OPR_BPR!$A$4:$I$18),6,0),0))</f>
        <v/>
      </c>
      <c r="L48">
        <f>IF($A48="","",K48*D48)</f>
        <v/>
      </c>
      <c r="M48" s="16">
        <f>IF($A48="","",IF(AND(ISNUMBER(G48),G48&gt;=J48,G48&lt;=(J48+(L48/(IF(F48="Contract Workman",Settings!$K$5,Settings!$K$4))))),J48+(L48/(IF(F48="Contract Workman",Settings!$K$5,Settings!$K$4)))+(H48/(IF(F48="Contract Workman",Settings!$K$5,Settings!$K$4))),J48+(L48/(IF(F48="Contract Workman",Settings!$K$5,Settings!$K$4)))))</f>
        <v/>
      </c>
      <c r="N48">
        <f>IF($A48="","",IF(F48="Contract Workman",IF(AND(MOD(M48,1)&gt;=8/24,MOD(M48,1)&lt;20/24),"Shift S1","Shift S2"),IF(AND(MOD(M48,1)&gt;=7/24,MOD(M48,1)&lt;15/24),"Shift A",IF(AND(MOD(M48,1)&gt;=15/24,MOD(M48,1)&lt;23/24),"Shift B","Shift C"))))</f>
        <v/>
      </c>
      <c r="O48">
        <f>IF(B48="","",IF(IFERROR(ISNUMBER(SEARCH(TEXT(B48,"0"),VLOOKUP(E48,Machine_List!$B:$J,9,0))),FALSE),"✅ "&amp; E48,"❌ Sug: "&amp;IFERROR(INDEX(Machine_List!$B$50:$B$63,MATCH(1,(Machine_List!$H$50:$H$63&lt;=IFERROR(VLOOKUP($B48,OPR_BR1!$A$4:$K$18,10,0),0))*(Machine_List!$I$50:$I$63&gt;=IFERROR(VLOOKUP($B48,OPR_BR1!$A$4:$K$18,11,0),9999)),0)),"?")))</f>
        <v/>
      </c>
      <c r="P48">
        <f>IF(AND($A48&lt;&gt;"",P$3&gt;=$J48,P$3&lt;=$M48),1,"")</f>
        <v/>
      </c>
      <c r="Q48">
        <f>IF(AND($A48&lt;&gt;"",Q$3&gt;=$J48,Q$3&lt;=$M48),1,"")</f>
        <v/>
      </c>
      <c r="R48">
        <f>IF(AND($A48&lt;&gt;"",R$3&gt;=$J48,R$3&lt;=$M48),1,"")</f>
        <v/>
      </c>
      <c r="S48">
        <f>IF(AND($A48&lt;&gt;"",S$3&gt;=$J48,S$3&lt;=$M48),1,"")</f>
        <v/>
      </c>
      <c r="T48">
        <f>IF(AND($A48&lt;&gt;"",T$3&gt;=$J48,T$3&lt;=$M48),1,"")</f>
        <v/>
      </c>
      <c r="U48">
        <f>IF(AND($A48&lt;&gt;"",U$3&gt;=$J48,U$3&lt;=$M48),1,"")</f>
        <v/>
      </c>
      <c r="V48">
        <f>IF(AND($A48&lt;&gt;"",V$3&gt;=$J48,V$3&lt;=$M48),1,"")</f>
        <v/>
      </c>
      <c r="W48">
        <f>IF(AND($A48&lt;&gt;"",W$3&gt;=$J48,W$3&lt;=$M48),1,"")</f>
        <v/>
      </c>
      <c r="X48">
        <f>IF(AND($A48&lt;&gt;"",X$3&gt;=$J48,X$3&lt;=$M48),1,"")</f>
        <v/>
      </c>
      <c r="Y48">
        <f>IF(AND($A48&lt;&gt;"",Y$3&gt;=$J48,Y$3&lt;=$M48),1,"")</f>
        <v/>
      </c>
      <c r="Z48">
        <f>IF(AND($A48&lt;&gt;"",Z$3&gt;=$J48,Z$3&lt;=$M48),1,"")</f>
        <v/>
      </c>
      <c r="AA48">
        <f>IF(AND($A48&lt;&gt;"",AA$3&gt;=$J48,AA$3&lt;=$M48),1,"")</f>
        <v/>
      </c>
      <c r="AB48">
        <f>IF(AND($A48&lt;&gt;"",AB$3&gt;=$J48,AB$3&lt;=$M48),1,"")</f>
        <v/>
      </c>
      <c r="AC48">
        <f>IF(AND($A48&lt;&gt;"",AC$3&gt;=$J48,AC$3&lt;=$M48),1,"")</f>
        <v/>
      </c>
      <c r="AD48">
        <f>IF(AND($A48&lt;&gt;"",AD$3&gt;=$J48,AD$3&lt;=$M48),1,"")</f>
        <v/>
      </c>
      <c r="AE48">
        <f>IF(AND($A48&lt;&gt;"",AE$3&gt;=$J48,AE$3&lt;=$M48),1,"")</f>
        <v/>
      </c>
      <c r="AF48">
        <f>IF(AND($A48&lt;&gt;"",AF$3&gt;=$J48,AF$3&lt;=$M48),1,"")</f>
        <v/>
      </c>
      <c r="AG48">
        <f>IF(AND($A48&lt;&gt;"",AG$3&gt;=$J48,AG$3&lt;=$M48),1,"")</f>
        <v/>
      </c>
      <c r="AH48">
        <f>IF(AND($A48&lt;&gt;"",AH$3&gt;=$J48,AH$3&lt;=$M48),1,"")</f>
        <v/>
      </c>
      <c r="AI48">
        <f>IF(AND($A48&lt;&gt;"",AI$3&gt;=$J48,AI$3&lt;=$M48),1,"")</f>
        <v/>
      </c>
      <c r="AJ48">
        <f>IF(AND($A48&lt;&gt;"",AJ$3&gt;=$J48,AJ$3&lt;=$M48),1,"")</f>
        <v/>
      </c>
      <c r="AK48">
        <f>IF(AND($A48&lt;&gt;"",AK$3&gt;=$J48,AK$3&lt;=$M48),1,"")</f>
        <v/>
      </c>
      <c r="AL48">
        <f>IF(AND($A48&lt;&gt;"",AL$3&gt;=$J48,AL$3&lt;=$M48),1,"")</f>
        <v/>
      </c>
      <c r="AM48">
        <f>IF(AND($A48&lt;&gt;"",AM$3&gt;=$J48,AM$3&lt;=$M48),1,"")</f>
        <v/>
      </c>
      <c r="AN48">
        <f>IF(AND($A48&lt;&gt;"",AN$3&gt;=$J48,AN$3&lt;=$M48),1,"")</f>
        <v/>
      </c>
      <c r="AO48">
        <f>IF(AND($A48&lt;&gt;"",AO$3&gt;=$J48,AO$3&lt;=$M48),1,"")</f>
        <v/>
      </c>
      <c r="AP48">
        <f>IF(AND($A48&lt;&gt;"",AP$3&gt;=$J48,AP$3&lt;=$M48),1,"")</f>
        <v/>
      </c>
      <c r="AQ48">
        <f>IF(AND($A48&lt;&gt;"",AQ$3&gt;=$J48,AQ$3&lt;=$M48),1,"")</f>
        <v/>
      </c>
      <c r="AR48">
        <f>IF(AND($A48&lt;&gt;"",AR$3&gt;=$J48,AR$3&lt;=$M48),1,"")</f>
        <v/>
      </c>
      <c r="AS48">
        <f>IF(AND($A48&lt;&gt;"",AS$3&gt;=$J48,AS$3&lt;=$M48),1,"")</f>
        <v/>
      </c>
      <c r="AT48">
        <f>IF(AND($A48&lt;&gt;"",AT$3&gt;=$J48,AT$3&lt;=$M48),1,"")</f>
        <v/>
      </c>
      <c r="AU48">
        <f>IF(AND($A48&lt;&gt;"",AU$3&gt;=$J48,AU$3&lt;=$M48),1,"")</f>
        <v/>
      </c>
      <c r="AV48">
        <f>IF(AND($A48&lt;&gt;"",AV$3&gt;=$J48,AV$3&lt;=$M48),1,"")</f>
        <v/>
      </c>
      <c r="AW48">
        <f>IF(AND($A48&lt;&gt;"",AW$3&gt;=$J48,AW$3&lt;=$M48),1,"")</f>
        <v/>
      </c>
      <c r="AX48">
        <f>IF(AND($A48&lt;&gt;"",AX$3&gt;=$J48,AX$3&lt;=$M48),1,"")</f>
        <v/>
      </c>
      <c r="AY48">
        <f>IF(AND($A48&lt;&gt;"",AY$3&gt;=$J48,AY$3&lt;=$M48),1,"")</f>
        <v/>
      </c>
      <c r="AZ48">
        <f>IF(AND($A48&lt;&gt;"",AZ$3&gt;=$J48,AZ$3&lt;=$M48),1,"")</f>
        <v/>
      </c>
      <c r="BA48">
        <f>IF(AND($A48&lt;&gt;"",BA$3&gt;=$J48,BA$3&lt;=$M48),1,"")</f>
        <v/>
      </c>
      <c r="BB48">
        <f>IF(AND($A48&lt;&gt;"",BB$3&gt;=$J48,BB$3&lt;=$M48),1,"")</f>
        <v/>
      </c>
      <c r="BC48">
        <f>IF(AND($A48&lt;&gt;"",BC$3&gt;=$J48,BC$3&lt;=$M48),1,"")</f>
        <v/>
      </c>
      <c r="BD48">
        <f>IF(AND($A48&lt;&gt;"",BD$3&gt;=$J48,BD$3&lt;=$M48),1,"")</f>
        <v/>
      </c>
      <c r="BE48">
        <f>IF(AND($A48&lt;&gt;"",BE$3&gt;=$J48,BE$3&lt;=$M48),1,"")</f>
        <v/>
      </c>
      <c r="BF48">
        <f>IF(AND($A48&lt;&gt;"",BF$3&gt;=$J48,BF$3&lt;=$M48),1,"")</f>
        <v/>
      </c>
      <c r="BG48">
        <f>IF(AND($A48&lt;&gt;"",BG$3&gt;=$J48,BG$3&lt;=$M48),1,"")</f>
        <v/>
      </c>
      <c r="BH48">
        <f>IF(AND($A48&lt;&gt;"",BH$3&gt;=$J48,BH$3&lt;=$M48),1,"")</f>
        <v/>
      </c>
      <c r="BI48">
        <f>IF(AND($A48&lt;&gt;"",BI$3&gt;=$J48,BI$3&lt;=$M48),1,"")</f>
        <v/>
      </c>
      <c r="BJ48">
        <f>IF(AND($A48&lt;&gt;"",BJ$3&gt;=$J48,BJ$3&lt;=$M48),1,"")</f>
        <v/>
      </c>
      <c r="BK48">
        <f>IF(AND($A48&lt;&gt;"",BK$3&gt;=$J48,BK$3&lt;=$M48),1,"")</f>
        <v/>
      </c>
      <c r="BL48">
        <f>IF(AND($A48&lt;&gt;"",BL$3&gt;=$J48,BL$3&lt;=$M48),1,"")</f>
        <v/>
      </c>
      <c r="BM48">
        <f>IF(AND($A48&lt;&gt;"",BM$3&gt;=$J48,BM$3&lt;=$M48),1,"")</f>
        <v/>
      </c>
      <c r="BN48">
        <f>IF(AND($A48&lt;&gt;"",BN$3&gt;=$J48,BN$3&lt;=$M48),1,"")</f>
        <v/>
      </c>
      <c r="BO48">
        <f>IF(AND($A48&lt;&gt;"",BO$3&gt;=$J48,BO$3&lt;=$M48),1,"")</f>
        <v/>
      </c>
      <c r="BP48">
        <f>IF(AND($A48&lt;&gt;"",BP$3&gt;=$J48,BP$3&lt;=$M48),1,"")</f>
        <v/>
      </c>
      <c r="BQ48">
        <f>IF(AND($A48&lt;&gt;"",BQ$3&gt;=$J48,BQ$3&lt;=$M48),1,"")</f>
        <v/>
      </c>
      <c r="BR48">
        <f>IF(AND($A48&lt;&gt;"",BR$3&gt;=$J48,BR$3&lt;=$M48),1,"")</f>
        <v/>
      </c>
      <c r="BS48">
        <f>IF(AND($A48&lt;&gt;"",BS$3&gt;=$J48,BS$3&lt;=$M48),1,"")</f>
        <v/>
      </c>
      <c r="BT48">
        <f>IF(AND($A48&lt;&gt;"",BT$3&gt;=$J48,BT$3&lt;=$M48),1,"")</f>
        <v/>
      </c>
      <c r="BU48">
        <f>IF(AND($A48&lt;&gt;"",BU$3&gt;=$J48,BU$3&lt;=$M48),1,"")</f>
        <v/>
      </c>
      <c r="BV48">
        <f>IF(AND($A48&lt;&gt;"",BV$3&gt;=$J48,BV$3&lt;=$M48),1,"")</f>
        <v/>
      </c>
    </row>
    <row r="49">
      <c r="A49">
        <f>IF(Job_Master_Ring!$A49="","",Job_Master_Ring!$A49)</f>
        <v/>
      </c>
      <c r="B49">
        <f>IF($A49="","",Job_Master_Ring!B49)</f>
        <v/>
      </c>
      <c r="C49">
        <f>IF($A49="","",Job_Master_Ring!C49)</f>
        <v/>
      </c>
      <c r="D49">
        <f>IF($A49="","",Job_Master_Ring!D49)</f>
        <v/>
      </c>
      <c r="E49">
        <f>IF($A49="","",IF($I49&lt;&gt;"",$I49,IFERROR(INDEX(Machine_List!$B$50:$B$63,MATCH(1,(Machine_List!$H$50:$H$63&lt;=IFERROR(VLOOKUP($B49,CHOOSE(MATCH($C49,Settings!$L$4:$L$10,0),OPR_BR1!$A$4:$K$18,OPR_BR2!$A$4:$K$18,OPR_CR2!$A$4:$K$18,OPR_CR3!$A$4:$K$18,OPR_CR4!$A$4:$K$18,OPR_RIM!$A$4:$K$18,OPR_BPR!$A$4:$K$18),10,0),0))*(Machine_List!$I$50:$I$63&gt;=IFERROR(VLOOKUP($B49,CHOOSE(MATCH($C49,Settings!$L$4:$L$10,0),OPR_BR1!$A$4:$K$18,OPR_BR2!$A$4:$K$18,OPR_CR2!$A$4:$K$18,OPR_CR3!$A$4:$K$18,OPR_CR4!$A$4:$K$18,OPR_RIM!$A$4:$K$18,OPR_BPR!$A$4:$K$18),11,0),9999)),0)),"NO COMPATIBLE MACHINE")))</f>
        <v/>
      </c>
      <c r="F49">
        <f>IF($E49="","",IFERROR(VLOOKUP($E49,Machine_List!$B:$G,6,0),""))</f>
        <v/>
      </c>
      <c r="G49" s="17">
        <f>IF($E49="","",IFERROR(VLOOKUP($E49,Machine_List!$B:$C,2,0),""))</f>
        <v/>
      </c>
      <c r="H49">
        <f>IF($E49="","",IFERROR(VLOOKUP($E49,Machine_List!$B:$D,3,0),""))</f>
        <v/>
      </c>
      <c r="J49" s="16">
        <f>IF($A49="","",IF($I49&lt;&gt;"",$I49,MAX(CNC_Plan!$M49,IFERROR(LOOKUP(2,1/($E$3:INDIRECT("E"&amp;(ROW()-1))=$E49),$M$3:INDIRECT("M"&amp;(ROW()-1))),CNC_Plan!$M49))))</f>
        <v/>
      </c>
      <c r="K49">
        <f>IF($A49="","",IFERROR(VLOOKUP(B49,CHOOSE(MATCH($C49,Settings!$L$4:$L$10,0),OPR_BR1!$A$4:$I$18,OPR_BR2!$A$4:$I$18,OPR_CR2!$A$4:$I$18,OPR_CR3!$A$4:$I$18,OPR_CR4!$A$4:$I$18,OPR_RIM!$A$4:$I$18,OPR_BPR!$A$4:$I$18),6,0),0))</f>
        <v/>
      </c>
      <c r="L49">
        <f>IF($A49="","",K49*D49)</f>
        <v/>
      </c>
      <c r="M49" s="16">
        <f>IF($A49="","",IF(AND(ISNUMBER(G49),G49&gt;=J49,G49&lt;=(J49+(L49/(IF(F49="Contract Workman",Settings!$K$5,Settings!$K$4))))),J49+(L49/(IF(F49="Contract Workman",Settings!$K$5,Settings!$K$4)))+(H49/(IF(F49="Contract Workman",Settings!$K$5,Settings!$K$4))),J49+(L49/(IF(F49="Contract Workman",Settings!$K$5,Settings!$K$4)))))</f>
        <v/>
      </c>
      <c r="N49">
        <f>IF($A49="","",IF(F49="Contract Workman",IF(AND(MOD(M49,1)&gt;=8/24,MOD(M49,1)&lt;20/24),"Shift S1","Shift S2"),IF(AND(MOD(M49,1)&gt;=7/24,MOD(M49,1)&lt;15/24),"Shift A",IF(AND(MOD(M49,1)&gt;=15/24,MOD(M49,1)&lt;23/24),"Shift B","Shift C"))))</f>
        <v/>
      </c>
      <c r="O49">
        <f>IF(B49="","",IF(IFERROR(ISNUMBER(SEARCH(TEXT(B49,"0"),VLOOKUP(E49,Machine_List!$B:$J,9,0))),FALSE),"✅ "&amp; E49,"❌ Sug: "&amp;IFERROR(INDEX(Machine_List!$B$50:$B$63,MATCH(1,(Machine_List!$H$50:$H$63&lt;=IFERROR(VLOOKUP($B49,OPR_BR1!$A$4:$K$18,10,0),0))*(Machine_List!$I$50:$I$63&gt;=IFERROR(VLOOKUP($B49,OPR_BR1!$A$4:$K$18,11,0),9999)),0)),"?")))</f>
        <v/>
      </c>
      <c r="P49">
        <f>IF(AND($A49&lt;&gt;"",P$3&gt;=$J49,P$3&lt;=$M49),1,"")</f>
        <v/>
      </c>
      <c r="Q49">
        <f>IF(AND($A49&lt;&gt;"",Q$3&gt;=$J49,Q$3&lt;=$M49),1,"")</f>
        <v/>
      </c>
      <c r="R49">
        <f>IF(AND($A49&lt;&gt;"",R$3&gt;=$J49,R$3&lt;=$M49),1,"")</f>
        <v/>
      </c>
      <c r="S49">
        <f>IF(AND($A49&lt;&gt;"",S$3&gt;=$J49,S$3&lt;=$M49),1,"")</f>
        <v/>
      </c>
      <c r="T49">
        <f>IF(AND($A49&lt;&gt;"",T$3&gt;=$J49,T$3&lt;=$M49),1,"")</f>
        <v/>
      </c>
      <c r="U49">
        <f>IF(AND($A49&lt;&gt;"",U$3&gt;=$J49,U$3&lt;=$M49),1,"")</f>
        <v/>
      </c>
      <c r="V49">
        <f>IF(AND($A49&lt;&gt;"",V$3&gt;=$J49,V$3&lt;=$M49),1,"")</f>
        <v/>
      </c>
      <c r="W49">
        <f>IF(AND($A49&lt;&gt;"",W$3&gt;=$J49,W$3&lt;=$M49),1,"")</f>
        <v/>
      </c>
      <c r="X49">
        <f>IF(AND($A49&lt;&gt;"",X$3&gt;=$J49,X$3&lt;=$M49),1,"")</f>
        <v/>
      </c>
      <c r="Y49">
        <f>IF(AND($A49&lt;&gt;"",Y$3&gt;=$J49,Y$3&lt;=$M49),1,"")</f>
        <v/>
      </c>
      <c r="Z49">
        <f>IF(AND($A49&lt;&gt;"",Z$3&gt;=$J49,Z$3&lt;=$M49),1,"")</f>
        <v/>
      </c>
      <c r="AA49">
        <f>IF(AND($A49&lt;&gt;"",AA$3&gt;=$J49,AA$3&lt;=$M49),1,"")</f>
        <v/>
      </c>
      <c r="AB49">
        <f>IF(AND($A49&lt;&gt;"",AB$3&gt;=$J49,AB$3&lt;=$M49),1,"")</f>
        <v/>
      </c>
      <c r="AC49">
        <f>IF(AND($A49&lt;&gt;"",AC$3&gt;=$J49,AC$3&lt;=$M49),1,"")</f>
        <v/>
      </c>
      <c r="AD49">
        <f>IF(AND($A49&lt;&gt;"",AD$3&gt;=$J49,AD$3&lt;=$M49),1,"")</f>
        <v/>
      </c>
      <c r="AE49">
        <f>IF(AND($A49&lt;&gt;"",AE$3&gt;=$J49,AE$3&lt;=$M49),1,"")</f>
        <v/>
      </c>
      <c r="AF49">
        <f>IF(AND($A49&lt;&gt;"",AF$3&gt;=$J49,AF$3&lt;=$M49),1,"")</f>
        <v/>
      </c>
      <c r="AG49">
        <f>IF(AND($A49&lt;&gt;"",AG$3&gt;=$J49,AG$3&lt;=$M49),1,"")</f>
        <v/>
      </c>
      <c r="AH49">
        <f>IF(AND($A49&lt;&gt;"",AH$3&gt;=$J49,AH$3&lt;=$M49),1,"")</f>
        <v/>
      </c>
      <c r="AI49">
        <f>IF(AND($A49&lt;&gt;"",AI$3&gt;=$J49,AI$3&lt;=$M49),1,"")</f>
        <v/>
      </c>
      <c r="AJ49">
        <f>IF(AND($A49&lt;&gt;"",AJ$3&gt;=$J49,AJ$3&lt;=$M49),1,"")</f>
        <v/>
      </c>
      <c r="AK49">
        <f>IF(AND($A49&lt;&gt;"",AK$3&gt;=$J49,AK$3&lt;=$M49),1,"")</f>
        <v/>
      </c>
      <c r="AL49">
        <f>IF(AND($A49&lt;&gt;"",AL$3&gt;=$J49,AL$3&lt;=$M49),1,"")</f>
        <v/>
      </c>
      <c r="AM49">
        <f>IF(AND($A49&lt;&gt;"",AM$3&gt;=$J49,AM$3&lt;=$M49),1,"")</f>
        <v/>
      </c>
      <c r="AN49">
        <f>IF(AND($A49&lt;&gt;"",AN$3&gt;=$J49,AN$3&lt;=$M49),1,"")</f>
        <v/>
      </c>
      <c r="AO49">
        <f>IF(AND($A49&lt;&gt;"",AO$3&gt;=$J49,AO$3&lt;=$M49),1,"")</f>
        <v/>
      </c>
      <c r="AP49">
        <f>IF(AND($A49&lt;&gt;"",AP$3&gt;=$J49,AP$3&lt;=$M49),1,"")</f>
        <v/>
      </c>
      <c r="AQ49">
        <f>IF(AND($A49&lt;&gt;"",AQ$3&gt;=$J49,AQ$3&lt;=$M49),1,"")</f>
        <v/>
      </c>
      <c r="AR49">
        <f>IF(AND($A49&lt;&gt;"",AR$3&gt;=$J49,AR$3&lt;=$M49),1,"")</f>
        <v/>
      </c>
      <c r="AS49">
        <f>IF(AND($A49&lt;&gt;"",AS$3&gt;=$J49,AS$3&lt;=$M49),1,"")</f>
        <v/>
      </c>
      <c r="AT49">
        <f>IF(AND($A49&lt;&gt;"",AT$3&gt;=$J49,AT$3&lt;=$M49),1,"")</f>
        <v/>
      </c>
      <c r="AU49">
        <f>IF(AND($A49&lt;&gt;"",AU$3&gt;=$J49,AU$3&lt;=$M49),1,"")</f>
        <v/>
      </c>
      <c r="AV49">
        <f>IF(AND($A49&lt;&gt;"",AV$3&gt;=$J49,AV$3&lt;=$M49),1,"")</f>
        <v/>
      </c>
      <c r="AW49">
        <f>IF(AND($A49&lt;&gt;"",AW$3&gt;=$J49,AW$3&lt;=$M49),1,"")</f>
        <v/>
      </c>
      <c r="AX49">
        <f>IF(AND($A49&lt;&gt;"",AX$3&gt;=$J49,AX$3&lt;=$M49),1,"")</f>
        <v/>
      </c>
      <c r="AY49">
        <f>IF(AND($A49&lt;&gt;"",AY$3&gt;=$J49,AY$3&lt;=$M49),1,"")</f>
        <v/>
      </c>
      <c r="AZ49">
        <f>IF(AND($A49&lt;&gt;"",AZ$3&gt;=$J49,AZ$3&lt;=$M49),1,"")</f>
        <v/>
      </c>
      <c r="BA49">
        <f>IF(AND($A49&lt;&gt;"",BA$3&gt;=$J49,BA$3&lt;=$M49),1,"")</f>
        <v/>
      </c>
      <c r="BB49">
        <f>IF(AND($A49&lt;&gt;"",BB$3&gt;=$J49,BB$3&lt;=$M49),1,"")</f>
        <v/>
      </c>
      <c r="BC49">
        <f>IF(AND($A49&lt;&gt;"",BC$3&gt;=$J49,BC$3&lt;=$M49),1,"")</f>
        <v/>
      </c>
      <c r="BD49">
        <f>IF(AND($A49&lt;&gt;"",BD$3&gt;=$J49,BD$3&lt;=$M49),1,"")</f>
        <v/>
      </c>
      <c r="BE49">
        <f>IF(AND($A49&lt;&gt;"",BE$3&gt;=$J49,BE$3&lt;=$M49),1,"")</f>
        <v/>
      </c>
      <c r="BF49">
        <f>IF(AND($A49&lt;&gt;"",BF$3&gt;=$J49,BF$3&lt;=$M49),1,"")</f>
        <v/>
      </c>
      <c r="BG49">
        <f>IF(AND($A49&lt;&gt;"",BG$3&gt;=$J49,BG$3&lt;=$M49),1,"")</f>
        <v/>
      </c>
      <c r="BH49">
        <f>IF(AND($A49&lt;&gt;"",BH$3&gt;=$J49,BH$3&lt;=$M49),1,"")</f>
        <v/>
      </c>
      <c r="BI49">
        <f>IF(AND($A49&lt;&gt;"",BI$3&gt;=$J49,BI$3&lt;=$M49),1,"")</f>
        <v/>
      </c>
      <c r="BJ49">
        <f>IF(AND($A49&lt;&gt;"",BJ$3&gt;=$J49,BJ$3&lt;=$M49),1,"")</f>
        <v/>
      </c>
      <c r="BK49">
        <f>IF(AND($A49&lt;&gt;"",BK$3&gt;=$J49,BK$3&lt;=$M49),1,"")</f>
        <v/>
      </c>
      <c r="BL49">
        <f>IF(AND($A49&lt;&gt;"",BL$3&gt;=$J49,BL$3&lt;=$M49),1,"")</f>
        <v/>
      </c>
      <c r="BM49">
        <f>IF(AND($A49&lt;&gt;"",BM$3&gt;=$J49,BM$3&lt;=$M49),1,"")</f>
        <v/>
      </c>
      <c r="BN49">
        <f>IF(AND($A49&lt;&gt;"",BN$3&gt;=$J49,BN$3&lt;=$M49),1,"")</f>
        <v/>
      </c>
      <c r="BO49">
        <f>IF(AND($A49&lt;&gt;"",BO$3&gt;=$J49,BO$3&lt;=$M49),1,"")</f>
        <v/>
      </c>
      <c r="BP49">
        <f>IF(AND($A49&lt;&gt;"",BP$3&gt;=$J49,BP$3&lt;=$M49),1,"")</f>
        <v/>
      </c>
      <c r="BQ49">
        <f>IF(AND($A49&lt;&gt;"",BQ$3&gt;=$J49,BQ$3&lt;=$M49),1,"")</f>
        <v/>
      </c>
      <c r="BR49">
        <f>IF(AND($A49&lt;&gt;"",BR$3&gt;=$J49,BR$3&lt;=$M49),1,"")</f>
        <v/>
      </c>
      <c r="BS49">
        <f>IF(AND($A49&lt;&gt;"",BS$3&gt;=$J49,BS$3&lt;=$M49),1,"")</f>
        <v/>
      </c>
      <c r="BT49">
        <f>IF(AND($A49&lt;&gt;"",BT$3&gt;=$J49,BT$3&lt;=$M49),1,"")</f>
        <v/>
      </c>
      <c r="BU49">
        <f>IF(AND($A49&lt;&gt;"",BU$3&gt;=$J49,BU$3&lt;=$M49),1,"")</f>
        <v/>
      </c>
      <c r="BV49">
        <f>IF(AND($A49&lt;&gt;"",BV$3&gt;=$J49,BV$3&lt;=$M49),1,"")</f>
        <v/>
      </c>
    </row>
    <row r="50">
      <c r="A50">
        <f>IF(Job_Master_Ring!$A50="","",Job_Master_Ring!$A50)</f>
        <v/>
      </c>
      <c r="B50">
        <f>IF($A50="","",Job_Master_Ring!B50)</f>
        <v/>
      </c>
      <c r="C50">
        <f>IF($A50="","",Job_Master_Ring!C50)</f>
        <v/>
      </c>
      <c r="D50">
        <f>IF($A50="","",Job_Master_Ring!D50)</f>
        <v/>
      </c>
      <c r="E50">
        <f>IF($A50="","",IF($I50&lt;&gt;"",$I50,IFERROR(INDEX(Machine_List!$B$50:$B$63,MATCH(1,(Machine_List!$H$50:$H$63&lt;=IFERROR(VLOOKUP($B50,CHOOSE(MATCH($C50,Settings!$L$4:$L$10,0),OPR_BR1!$A$4:$K$18,OPR_BR2!$A$4:$K$18,OPR_CR2!$A$4:$K$18,OPR_CR3!$A$4:$K$18,OPR_CR4!$A$4:$K$18,OPR_RIM!$A$4:$K$18,OPR_BPR!$A$4:$K$18),10,0),0))*(Machine_List!$I$50:$I$63&gt;=IFERROR(VLOOKUP($B50,CHOOSE(MATCH($C50,Settings!$L$4:$L$10,0),OPR_BR1!$A$4:$K$18,OPR_BR2!$A$4:$K$18,OPR_CR2!$A$4:$K$18,OPR_CR3!$A$4:$K$18,OPR_CR4!$A$4:$K$18,OPR_RIM!$A$4:$K$18,OPR_BPR!$A$4:$K$18),11,0),9999)),0)),"NO COMPATIBLE MACHINE")))</f>
        <v/>
      </c>
      <c r="F50">
        <f>IF($E50="","",IFERROR(VLOOKUP($E50,Machine_List!$B:$G,6,0),""))</f>
        <v/>
      </c>
      <c r="G50" s="17">
        <f>IF($E50="","",IFERROR(VLOOKUP($E50,Machine_List!$B:$C,2,0),""))</f>
        <v/>
      </c>
      <c r="H50">
        <f>IF($E50="","",IFERROR(VLOOKUP($E50,Machine_List!$B:$D,3,0),""))</f>
        <v/>
      </c>
      <c r="J50" s="16">
        <f>IF($A50="","",IF($I50&lt;&gt;"",$I50,MAX(CNC_Plan!$M50,IFERROR(LOOKUP(2,1/($E$3:INDIRECT("E"&amp;(ROW()-1))=$E50),$M$3:INDIRECT("M"&amp;(ROW()-1))),CNC_Plan!$M50))))</f>
        <v/>
      </c>
      <c r="K50">
        <f>IF($A50="","",IFERROR(VLOOKUP(B50,CHOOSE(MATCH($C50,Settings!$L$4:$L$10,0),OPR_BR1!$A$4:$I$18,OPR_BR2!$A$4:$I$18,OPR_CR2!$A$4:$I$18,OPR_CR3!$A$4:$I$18,OPR_CR4!$A$4:$I$18,OPR_RIM!$A$4:$I$18,OPR_BPR!$A$4:$I$18),6,0),0))</f>
        <v/>
      </c>
      <c r="L50">
        <f>IF($A50="","",K50*D50)</f>
        <v/>
      </c>
      <c r="M50" s="16">
        <f>IF($A50="","",IF(AND(ISNUMBER(G50),G50&gt;=J50,G50&lt;=(J50+(L50/(IF(F50="Contract Workman",Settings!$K$5,Settings!$K$4))))),J50+(L50/(IF(F50="Contract Workman",Settings!$K$5,Settings!$K$4)))+(H50/(IF(F50="Contract Workman",Settings!$K$5,Settings!$K$4))),J50+(L50/(IF(F50="Contract Workman",Settings!$K$5,Settings!$K$4)))))</f>
        <v/>
      </c>
      <c r="N50">
        <f>IF($A50="","",IF(F50="Contract Workman",IF(AND(MOD(M50,1)&gt;=8/24,MOD(M50,1)&lt;20/24),"Shift S1","Shift S2"),IF(AND(MOD(M50,1)&gt;=7/24,MOD(M50,1)&lt;15/24),"Shift A",IF(AND(MOD(M50,1)&gt;=15/24,MOD(M50,1)&lt;23/24),"Shift B","Shift C"))))</f>
        <v/>
      </c>
      <c r="O50">
        <f>IF(B50="","",IF(IFERROR(ISNUMBER(SEARCH(TEXT(B50,"0"),VLOOKUP(E50,Machine_List!$B:$J,9,0))),FALSE),"✅ "&amp; E50,"❌ Sug: "&amp;IFERROR(INDEX(Machine_List!$B$50:$B$63,MATCH(1,(Machine_List!$H$50:$H$63&lt;=IFERROR(VLOOKUP($B50,OPR_BR1!$A$4:$K$18,10,0),0))*(Machine_List!$I$50:$I$63&gt;=IFERROR(VLOOKUP($B50,OPR_BR1!$A$4:$K$18,11,0),9999)),0)),"?")))</f>
        <v/>
      </c>
      <c r="P50">
        <f>IF(AND($A50&lt;&gt;"",P$3&gt;=$J50,P$3&lt;=$M50),1,"")</f>
        <v/>
      </c>
      <c r="Q50">
        <f>IF(AND($A50&lt;&gt;"",Q$3&gt;=$J50,Q$3&lt;=$M50),1,"")</f>
        <v/>
      </c>
      <c r="R50">
        <f>IF(AND($A50&lt;&gt;"",R$3&gt;=$J50,R$3&lt;=$M50),1,"")</f>
        <v/>
      </c>
      <c r="S50">
        <f>IF(AND($A50&lt;&gt;"",S$3&gt;=$J50,S$3&lt;=$M50),1,"")</f>
        <v/>
      </c>
      <c r="T50">
        <f>IF(AND($A50&lt;&gt;"",T$3&gt;=$J50,T$3&lt;=$M50),1,"")</f>
        <v/>
      </c>
      <c r="U50">
        <f>IF(AND($A50&lt;&gt;"",U$3&gt;=$J50,U$3&lt;=$M50),1,"")</f>
        <v/>
      </c>
      <c r="V50">
        <f>IF(AND($A50&lt;&gt;"",V$3&gt;=$J50,V$3&lt;=$M50),1,"")</f>
        <v/>
      </c>
      <c r="W50">
        <f>IF(AND($A50&lt;&gt;"",W$3&gt;=$J50,W$3&lt;=$M50),1,"")</f>
        <v/>
      </c>
      <c r="X50">
        <f>IF(AND($A50&lt;&gt;"",X$3&gt;=$J50,X$3&lt;=$M50),1,"")</f>
        <v/>
      </c>
      <c r="Y50">
        <f>IF(AND($A50&lt;&gt;"",Y$3&gt;=$J50,Y$3&lt;=$M50),1,"")</f>
        <v/>
      </c>
      <c r="Z50">
        <f>IF(AND($A50&lt;&gt;"",Z$3&gt;=$J50,Z$3&lt;=$M50),1,"")</f>
        <v/>
      </c>
      <c r="AA50">
        <f>IF(AND($A50&lt;&gt;"",AA$3&gt;=$J50,AA$3&lt;=$M50),1,"")</f>
        <v/>
      </c>
      <c r="AB50">
        <f>IF(AND($A50&lt;&gt;"",AB$3&gt;=$J50,AB$3&lt;=$M50),1,"")</f>
        <v/>
      </c>
      <c r="AC50">
        <f>IF(AND($A50&lt;&gt;"",AC$3&gt;=$J50,AC$3&lt;=$M50),1,"")</f>
        <v/>
      </c>
      <c r="AD50">
        <f>IF(AND($A50&lt;&gt;"",AD$3&gt;=$J50,AD$3&lt;=$M50),1,"")</f>
        <v/>
      </c>
      <c r="AE50">
        <f>IF(AND($A50&lt;&gt;"",AE$3&gt;=$J50,AE$3&lt;=$M50),1,"")</f>
        <v/>
      </c>
      <c r="AF50">
        <f>IF(AND($A50&lt;&gt;"",AF$3&gt;=$J50,AF$3&lt;=$M50),1,"")</f>
        <v/>
      </c>
      <c r="AG50">
        <f>IF(AND($A50&lt;&gt;"",AG$3&gt;=$J50,AG$3&lt;=$M50),1,"")</f>
        <v/>
      </c>
      <c r="AH50">
        <f>IF(AND($A50&lt;&gt;"",AH$3&gt;=$J50,AH$3&lt;=$M50),1,"")</f>
        <v/>
      </c>
      <c r="AI50">
        <f>IF(AND($A50&lt;&gt;"",AI$3&gt;=$J50,AI$3&lt;=$M50),1,"")</f>
        <v/>
      </c>
      <c r="AJ50">
        <f>IF(AND($A50&lt;&gt;"",AJ$3&gt;=$J50,AJ$3&lt;=$M50),1,"")</f>
        <v/>
      </c>
      <c r="AK50">
        <f>IF(AND($A50&lt;&gt;"",AK$3&gt;=$J50,AK$3&lt;=$M50),1,"")</f>
        <v/>
      </c>
      <c r="AL50">
        <f>IF(AND($A50&lt;&gt;"",AL$3&gt;=$J50,AL$3&lt;=$M50),1,"")</f>
        <v/>
      </c>
      <c r="AM50">
        <f>IF(AND($A50&lt;&gt;"",AM$3&gt;=$J50,AM$3&lt;=$M50),1,"")</f>
        <v/>
      </c>
      <c r="AN50">
        <f>IF(AND($A50&lt;&gt;"",AN$3&gt;=$J50,AN$3&lt;=$M50),1,"")</f>
        <v/>
      </c>
      <c r="AO50">
        <f>IF(AND($A50&lt;&gt;"",AO$3&gt;=$J50,AO$3&lt;=$M50),1,"")</f>
        <v/>
      </c>
      <c r="AP50">
        <f>IF(AND($A50&lt;&gt;"",AP$3&gt;=$J50,AP$3&lt;=$M50),1,"")</f>
        <v/>
      </c>
      <c r="AQ50">
        <f>IF(AND($A50&lt;&gt;"",AQ$3&gt;=$J50,AQ$3&lt;=$M50),1,"")</f>
        <v/>
      </c>
      <c r="AR50">
        <f>IF(AND($A50&lt;&gt;"",AR$3&gt;=$J50,AR$3&lt;=$M50),1,"")</f>
        <v/>
      </c>
      <c r="AS50">
        <f>IF(AND($A50&lt;&gt;"",AS$3&gt;=$J50,AS$3&lt;=$M50),1,"")</f>
        <v/>
      </c>
      <c r="AT50">
        <f>IF(AND($A50&lt;&gt;"",AT$3&gt;=$J50,AT$3&lt;=$M50),1,"")</f>
        <v/>
      </c>
      <c r="AU50">
        <f>IF(AND($A50&lt;&gt;"",AU$3&gt;=$J50,AU$3&lt;=$M50),1,"")</f>
        <v/>
      </c>
      <c r="AV50">
        <f>IF(AND($A50&lt;&gt;"",AV$3&gt;=$J50,AV$3&lt;=$M50),1,"")</f>
        <v/>
      </c>
      <c r="AW50">
        <f>IF(AND($A50&lt;&gt;"",AW$3&gt;=$J50,AW$3&lt;=$M50),1,"")</f>
        <v/>
      </c>
      <c r="AX50">
        <f>IF(AND($A50&lt;&gt;"",AX$3&gt;=$J50,AX$3&lt;=$M50),1,"")</f>
        <v/>
      </c>
      <c r="AY50">
        <f>IF(AND($A50&lt;&gt;"",AY$3&gt;=$J50,AY$3&lt;=$M50),1,"")</f>
        <v/>
      </c>
      <c r="AZ50">
        <f>IF(AND($A50&lt;&gt;"",AZ$3&gt;=$J50,AZ$3&lt;=$M50),1,"")</f>
        <v/>
      </c>
      <c r="BA50">
        <f>IF(AND($A50&lt;&gt;"",BA$3&gt;=$J50,BA$3&lt;=$M50),1,"")</f>
        <v/>
      </c>
      <c r="BB50">
        <f>IF(AND($A50&lt;&gt;"",BB$3&gt;=$J50,BB$3&lt;=$M50),1,"")</f>
        <v/>
      </c>
      <c r="BC50">
        <f>IF(AND($A50&lt;&gt;"",BC$3&gt;=$J50,BC$3&lt;=$M50),1,"")</f>
        <v/>
      </c>
      <c r="BD50">
        <f>IF(AND($A50&lt;&gt;"",BD$3&gt;=$J50,BD$3&lt;=$M50),1,"")</f>
        <v/>
      </c>
      <c r="BE50">
        <f>IF(AND($A50&lt;&gt;"",BE$3&gt;=$J50,BE$3&lt;=$M50),1,"")</f>
        <v/>
      </c>
      <c r="BF50">
        <f>IF(AND($A50&lt;&gt;"",BF$3&gt;=$J50,BF$3&lt;=$M50),1,"")</f>
        <v/>
      </c>
      <c r="BG50">
        <f>IF(AND($A50&lt;&gt;"",BG$3&gt;=$J50,BG$3&lt;=$M50),1,"")</f>
        <v/>
      </c>
      <c r="BH50">
        <f>IF(AND($A50&lt;&gt;"",BH$3&gt;=$J50,BH$3&lt;=$M50),1,"")</f>
        <v/>
      </c>
      <c r="BI50">
        <f>IF(AND($A50&lt;&gt;"",BI$3&gt;=$J50,BI$3&lt;=$M50),1,"")</f>
        <v/>
      </c>
      <c r="BJ50">
        <f>IF(AND($A50&lt;&gt;"",BJ$3&gt;=$J50,BJ$3&lt;=$M50),1,"")</f>
        <v/>
      </c>
      <c r="BK50">
        <f>IF(AND($A50&lt;&gt;"",BK$3&gt;=$J50,BK$3&lt;=$M50),1,"")</f>
        <v/>
      </c>
      <c r="BL50">
        <f>IF(AND($A50&lt;&gt;"",BL$3&gt;=$J50,BL$3&lt;=$M50),1,"")</f>
        <v/>
      </c>
      <c r="BM50">
        <f>IF(AND($A50&lt;&gt;"",BM$3&gt;=$J50,BM$3&lt;=$M50),1,"")</f>
        <v/>
      </c>
      <c r="BN50">
        <f>IF(AND($A50&lt;&gt;"",BN$3&gt;=$J50,BN$3&lt;=$M50),1,"")</f>
        <v/>
      </c>
      <c r="BO50">
        <f>IF(AND($A50&lt;&gt;"",BO$3&gt;=$J50,BO$3&lt;=$M50),1,"")</f>
        <v/>
      </c>
      <c r="BP50">
        <f>IF(AND($A50&lt;&gt;"",BP$3&gt;=$J50,BP$3&lt;=$M50),1,"")</f>
        <v/>
      </c>
      <c r="BQ50">
        <f>IF(AND($A50&lt;&gt;"",BQ$3&gt;=$J50,BQ$3&lt;=$M50),1,"")</f>
        <v/>
      </c>
      <c r="BR50">
        <f>IF(AND($A50&lt;&gt;"",BR$3&gt;=$J50,BR$3&lt;=$M50),1,"")</f>
        <v/>
      </c>
      <c r="BS50">
        <f>IF(AND($A50&lt;&gt;"",BS$3&gt;=$J50,BS$3&lt;=$M50),1,"")</f>
        <v/>
      </c>
      <c r="BT50">
        <f>IF(AND($A50&lt;&gt;"",BT$3&gt;=$J50,BT$3&lt;=$M50),1,"")</f>
        <v/>
      </c>
      <c r="BU50">
        <f>IF(AND($A50&lt;&gt;"",BU$3&gt;=$J50,BU$3&lt;=$M50),1,"")</f>
        <v/>
      </c>
      <c r="BV50">
        <f>IF(AND($A50&lt;&gt;"",BV$3&gt;=$J50,BV$3&lt;=$M50),1,"")</f>
        <v/>
      </c>
    </row>
    <row r="51">
      <c r="A51">
        <f>IF(Job_Master_Ring!$A51="","",Job_Master_Ring!$A51)</f>
        <v/>
      </c>
      <c r="B51">
        <f>IF($A51="","",Job_Master_Ring!B51)</f>
        <v/>
      </c>
      <c r="C51">
        <f>IF($A51="","",Job_Master_Ring!C51)</f>
        <v/>
      </c>
      <c r="D51">
        <f>IF($A51="","",Job_Master_Ring!D51)</f>
        <v/>
      </c>
      <c r="E51">
        <f>IF($A51="","",IF($I51&lt;&gt;"",$I51,IFERROR(INDEX(Machine_List!$B$50:$B$63,MATCH(1,(Machine_List!$H$50:$H$63&lt;=IFERROR(VLOOKUP($B51,CHOOSE(MATCH($C51,Settings!$L$4:$L$10,0),OPR_BR1!$A$4:$K$18,OPR_BR2!$A$4:$K$18,OPR_CR2!$A$4:$K$18,OPR_CR3!$A$4:$K$18,OPR_CR4!$A$4:$K$18,OPR_RIM!$A$4:$K$18,OPR_BPR!$A$4:$K$18),10,0),0))*(Machine_List!$I$50:$I$63&gt;=IFERROR(VLOOKUP($B51,CHOOSE(MATCH($C51,Settings!$L$4:$L$10,0),OPR_BR1!$A$4:$K$18,OPR_BR2!$A$4:$K$18,OPR_CR2!$A$4:$K$18,OPR_CR3!$A$4:$K$18,OPR_CR4!$A$4:$K$18,OPR_RIM!$A$4:$K$18,OPR_BPR!$A$4:$K$18),11,0),9999)),0)),"NO COMPATIBLE MACHINE")))</f>
        <v/>
      </c>
      <c r="F51">
        <f>IF($E51="","",IFERROR(VLOOKUP($E51,Machine_List!$B:$G,6,0),""))</f>
        <v/>
      </c>
      <c r="G51" s="17">
        <f>IF($E51="","",IFERROR(VLOOKUP($E51,Machine_List!$B:$C,2,0),""))</f>
        <v/>
      </c>
      <c r="H51">
        <f>IF($E51="","",IFERROR(VLOOKUP($E51,Machine_List!$B:$D,3,0),""))</f>
        <v/>
      </c>
      <c r="J51" s="16">
        <f>IF($A51="","",IF($I51&lt;&gt;"",$I51,MAX(CNC_Plan!$M51,IFERROR(LOOKUP(2,1/($E$3:INDIRECT("E"&amp;(ROW()-1))=$E51),$M$3:INDIRECT("M"&amp;(ROW()-1))),CNC_Plan!$M51))))</f>
        <v/>
      </c>
      <c r="K51">
        <f>IF($A51="","",IFERROR(VLOOKUP(B51,CHOOSE(MATCH($C51,Settings!$L$4:$L$10,0),OPR_BR1!$A$4:$I$18,OPR_BR2!$A$4:$I$18,OPR_CR2!$A$4:$I$18,OPR_CR3!$A$4:$I$18,OPR_CR4!$A$4:$I$18,OPR_RIM!$A$4:$I$18,OPR_BPR!$A$4:$I$18),6,0),0))</f>
        <v/>
      </c>
      <c r="L51">
        <f>IF($A51="","",K51*D51)</f>
        <v/>
      </c>
      <c r="M51" s="16">
        <f>IF($A51="","",IF(AND(ISNUMBER(G51),G51&gt;=J51,G51&lt;=(J51+(L51/(IF(F51="Contract Workman",Settings!$K$5,Settings!$K$4))))),J51+(L51/(IF(F51="Contract Workman",Settings!$K$5,Settings!$K$4)))+(H51/(IF(F51="Contract Workman",Settings!$K$5,Settings!$K$4))),J51+(L51/(IF(F51="Contract Workman",Settings!$K$5,Settings!$K$4)))))</f>
        <v/>
      </c>
      <c r="N51">
        <f>IF($A51="","",IF(F51="Contract Workman",IF(AND(MOD(M51,1)&gt;=8/24,MOD(M51,1)&lt;20/24),"Shift S1","Shift S2"),IF(AND(MOD(M51,1)&gt;=7/24,MOD(M51,1)&lt;15/24),"Shift A",IF(AND(MOD(M51,1)&gt;=15/24,MOD(M51,1)&lt;23/24),"Shift B","Shift C"))))</f>
        <v/>
      </c>
      <c r="O51">
        <f>IF(B51="","",IF(IFERROR(ISNUMBER(SEARCH(TEXT(B51,"0"),VLOOKUP(E51,Machine_List!$B:$J,9,0))),FALSE),"✅ "&amp; E51,"❌ Sug: "&amp;IFERROR(INDEX(Machine_List!$B$50:$B$63,MATCH(1,(Machine_List!$H$50:$H$63&lt;=IFERROR(VLOOKUP($B51,OPR_BR1!$A$4:$K$18,10,0),0))*(Machine_List!$I$50:$I$63&gt;=IFERROR(VLOOKUP($B51,OPR_BR1!$A$4:$K$18,11,0),9999)),0)),"?")))</f>
        <v/>
      </c>
      <c r="P51">
        <f>IF(AND($A51&lt;&gt;"",P$3&gt;=$J51,P$3&lt;=$M51),1,"")</f>
        <v/>
      </c>
      <c r="Q51">
        <f>IF(AND($A51&lt;&gt;"",Q$3&gt;=$J51,Q$3&lt;=$M51),1,"")</f>
        <v/>
      </c>
      <c r="R51">
        <f>IF(AND($A51&lt;&gt;"",R$3&gt;=$J51,R$3&lt;=$M51),1,"")</f>
        <v/>
      </c>
      <c r="S51">
        <f>IF(AND($A51&lt;&gt;"",S$3&gt;=$J51,S$3&lt;=$M51),1,"")</f>
        <v/>
      </c>
      <c r="T51">
        <f>IF(AND($A51&lt;&gt;"",T$3&gt;=$J51,T$3&lt;=$M51),1,"")</f>
        <v/>
      </c>
      <c r="U51">
        <f>IF(AND($A51&lt;&gt;"",U$3&gt;=$J51,U$3&lt;=$M51),1,"")</f>
        <v/>
      </c>
      <c r="V51">
        <f>IF(AND($A51&lt;&gt;"",V$3&gt;=$J51,V$3&lt;=$M51),1,"")</f>
        <v/>
      </c>
      <c r="W51">
        <f>IF(AND($A51&lt;&gt;"",W$3&gt;=$J51,W$3&lt;=$M51),1,"")</f>
        <v/>
      </c>
      <c r="X51">
        <f>IF(AND($A51&lt;&gt;"",X$3&gt;=$J51,X$3&lt;=$M51),1,"")</f>
        <v/>
      </c>
      <c r="Y51">
        <f>IF(AND($A51&lt;&gt;"",Y$3&gt;=$J51,Y$3&lt;=$M51),1,"")</f>
        <v/>
      </c>
      <c r="Z51">
        <f>IF(AND($A51&lt;&gt;"",Z$3&gt;=$J51,Z$3&lt;=$M51),1,"")</f>
        <v/>
      </c>
      <c r="AA51">
        <f>IF(AND($A51&lt;&gt;"",AA$3&gt;=$J51,AA$3&lt;=$M51),1,"")</f>
        <v/>
      </c>
      <c r="AB51">
        <f>IF(AND($A51&lt;&gt;"",AB$3&gt;=$J51,AB$3&lt;=$M51),1,"")</f>
        <v/>
      </c>
      <c r="AC51">
        <f>IF(AND($A51&lt;&gt;"",AC$3&gt;=$J51,AC$3&lt;=$M51),1,"")</f>
        <v/>
      </c>
      <c r="AD51">
        <f>IF(AND($A51&lt;&gt;"",AD$3&gt;=$J51,AD$3&lt;=$M51),1,"")</f>
        <v/>
      </c>
      <c r="AE51">
        <f>IF(AND($A51&lt;&gt;"",AE$3&gt;=$J51,AE$3&lt;=$M51),1,"")</f>
        <v/>
      </c>
      <c r="AF51">
        <f>IF(AND($A51&lt;&gt;"",AF$3&gt;=$J51,AF$3&lt;=$M51),1,"")</f>
        <v/>
      </c>
      <c r="AG51">
        <f>IF(AND($A51&lt;&gt;"",AG$3&gt;=$J51,AG$3&lt;=$M51),1,"")</f>
        <v/>
      </c>
      <c r="AH51">
        <f>IF(AND($A51&lt;&gt;"",AH$3&gt;=$J51,AH$3&lt;=$M51),1,"")</f>
        <v/>
      </c>
      <c r="AI51">
        <f>IF(AND($A51&lt;&gt;"",AI$3&gt;=$J51,AI$3&lt;=$M51),1,"")</f>
        <v/>
      </c>
      <c r="AJ51">
        <f>IF(AND($A51&lt;&gt;"",AJ$3&gt;=$J51,AJ$3&lt;=$M51),1,"")</f>
        <v/>
      </c>
      <c r="AK51">
        <f>IF(AND($A51&lt;&gt;"",AK$3&gt;=$J51,AK$3&lt;=$M51),1,"")</f>
        <v/>
      </c>
      <c r="AL51">
        <f>IF(AND($A51&lt;&gt;"",AL$3&gt;=$J51,AL$3&lt;=$M51),1,"")</f>
        <v/>
      </c>
      <c r="AM51">
        <f>IF(AND($A51&lt;&gt;"",AM$3&gt;=$J51,AM$3&lt;=$M51),1,"")</f>
        <v/>
      </c>
      <c r="AN51">
        <f>IF(AND($A51&lt;&gt;"",AN$3&gt;=$J51,AN$3&lt;=$M51),1,"")</f>
        <v/>
      </c>
      <c r="AO51">
        <f>IF(AND($A51&lt;&gt;"",AO$3&gt;=$J51,AO$3&lt;=$M51),1,"")</f>
        <v/>
      </c>
      <c r="AP51">
        <f>IF(AND($A51&lt;&gt;"",AP$3&gt;=$J51,AP$3&lt;=$M51),1,"")</f>
        <v/>
      </c>
      <c r="AQ51">
        <f>IF(AND($A51&lt;&gt;"",AQ$3&gt;=$J51,AQ$3&lt;=$M51),1,"")</f>
        <v/>
      </c>
      <c r="AR51">
        <f>IF(AND($A51&lt;&gt;"",AR$3&gt;=$J51,AR$3&lt;=$M51),1,"")</f>
        <v/>
      </c>
      <c r="AS51">
        <f>IF(AND($A51&lt;&gt;"",AS$3&gt;=$J51,AS$3&lt;=$M51),1,"")</f>
        <v/>
      </c>
      <c r="AT51">
        <f>IF(AND($A51&lt;&gt;"",AT$3&gt;=$J51,AT$3&lt;=$M51),1,"")</f>
        <v/>
      </c>
      <c r="AU51">
        <f>IF(AND($A51&lt;&gt;"",AU$3&gt;=$J51,AU$3&lt;=$M51),1,"")</f>
        <v/>
      </c>
      <c r="AV51">
        <f>IF(AND($A51&lt;&gt;"",AV$3&gt;=$J51,AV$3&lt;=$M51),1,"")</f>
        <v/>
      </c>
      <c r="AW51">
        <f>IF(AND($A51&lt;&gt;"",AW$3&gt;=$J51,AW$3&lt;=$M51),1,"")</f>
        <v/>
      </c>
      <c r="AX51">
        <f>IF(AND($A51&lt;&gt;"",AX$3&gt;=$J51,AX$3&lt;=$M51),1,"")</f>
        <v/>
      </c>
      <c r="AY51">
        <f>IF(AND($A51&lt;&gt;"",AY$3&gt;=$J51,AY$3&lt;=$M51),1,"")</f>
        <v/>
      </c>
      <c r="AZ51">
        <f>IF(AND($A51&lt;&gt;"",AZ$3&gt;=$J51,AZ$3&lt;=$M51),1,"")</f>
        <v/>
      </c>
      <c r="BA51">
        <f>IF(AND($A51&lt;&gt;"",BA$3&gt;=$J51,BA$3&lt;=$M51),1,"")</f>
        <v/>
      </c>
      <c r="BB51">
        <f>IF(AND($A51&lt;&gt;"",BB$3&gt;=$J51,BB$3&lt;=$M51),1,"")</f>
        <v/>
      </c>
      <c r="BC51">
        <f>IF(AND($A51&lt;&gt;"",BC$3&gt;=$J51,BC$3&lt;=$M51),1,"")</f>
        <v/>
      </c>
      <c r="BD51">
        <f>IF(AND($A51&lt;&gt;"",BD$3&gt;=$J51,BD$3&lt;=$M51),1,"")</f>
        <v/>
      </c>
      <c r="BE51">
        <f>IF(AND($A51&lt;&gt;"",BE$3&gt;=$J51,BE$3&lt;=$M51),1,"")</f>
        <v/>
      </c>
      <c r="BF51">
        <f>IF(AND($A51&lt;&gt;"",BF$3&gt;=$J51,BF$3&lt;=$M51),1,"")</f>
        <v/>
      </c>
      <c r="BG51">
        <f>IF(AND($A51&lt;&gt;"",BG$3&gt;=$J51,BG$3&lt;=$M51),1,"")</f>
        <v/>
      </c>
      <c r="BH51">
        <f>IF(AND($A51&lt;&gt;"",BH$3&gt;=$J51,BH$3&lt;=$M51),1,"")</f>
        <v/>
      </c>
      <c r="BI51">
        <f>IF(AND($A51&lt;&gt;"",BI$3&gt;=$J51,BI$3&lt;=$M51),1,"")</f>
        <v/>
      </c>
      <c r="BJ51">
        <f>IF(AND($A51&lt;&gt;"",BJ$3&gt;=$J51,BJ$3&lt;=$M51),1,"")</f>
        <v/>
      </c>
      <c r="BK51">
        <f>IF(AND($A51&lt;&gt;"",BK$3&gt;=$J51,BK$3&lt;=$M51),1,"")</f>
        <v/>
      </c>
      <c r="BL51">
        <f>IF(AND($A51&lt;&gt;"",BL$3&gt;=$J51,BL$3&lt;=$M51),1,"")</f>
        <v/>
      </c>
      <c r="BM51">
        <f>IF(AND($A51&lt;&gt;"",BM$3&gt;=$J51,BM$3&lt;=$M51),1,"")</f>
        <v/>
      </c>
      <c r="BN51">
        <f>IF(AND($A51&lt;&gt;"",BN$3&gt;=$J51,BN$3&lt;=$M51),1,"")</f>
        <v/>
      </c>
      <c r="BO51">
        <f>IF(AND($A51&lt;&gt;"",BO$3&gt;=$J51,BO$3&lt;=$M51),1,"")</f>
        <v/>
      </c>
      <c r="BP51">
        <f>IF(AND($A51&lt;&gt;"",BP$3&gt;=$J51,BP$3&lt;=$M51),1,"")</f>
        <v/>
      </c>
      <c r="BQ51">
        <f>IF(AND($A51&lt;&gt;"",BQ$3&gt;=$J51,BQ$3&lt;=$M51),1,"")</f>
        <v/>
      </c>
      <c r="BR51">
        <f>IF(AND($A51&lt;&gt;"",BR$3&gt;=$J51,BR$3&lt;=$M51),1,"")</f>
        <v/>
      </c>
      <c r="BS51">
        <f>IF(AND($A51&lt;&gt;"",BS$3&gt;=$J51,BS$3&lt;=$M51),1,"")</f>
        <v/>
      </c>
      <c r="BT51">
        <f>IF(AND($A51&lt;&gt;"",BT$3&gt;=$J51,BT$3&lt;=$M51),1,"")</f>
        <v/>
      </c>
      <c r="BU51">
        <f>IF(AND($A51&lt;&gt;"",BU$3&gt;=$J51,BU$3&lt;=$M51),1,"")</f>
        <v/>
      </c>
      <c r="BV51">
        <f>IF(AND($A51&lt;&gt;"",BV$3&gt;=$J51,BV$3&lt;=$M51),1,"")</f>
        <v/>
      </c>
    </row>
    <row r="52">
      <c r="A52">
        <f>IF(Job_Master_Ring!$A52="","",Job_Master_Ring!$A52)</f>
        <v/>
      </c>
      <c r="B52">
        <f>IF($A52="","",Job_Master_Ring!B52)</f>
        <v/>
      </c>
      <c r="C52">
        <f>IF($A52="","",Job_Master_Ring!C52)</f>
        <v/>
      </c>
      <c r="D52">
        <f>IF($A52="","",Job_Master_Ring!D52)</f>
        <v/>
      </c>
      <c r="E52">
        <f>IF($A52="","",IF($I52&lt;&gt;"",$I52,IFERROR(INDEX(Machine_List!$B$50:$B$63,MATCH(1,(Machine_List!$H$50:$H$63&lt;=IFERROR(VLOOKUP($B52,CHOOSE(MATCH($C52,Settings!$L$4:$L$10,0),OPR_BR1!$A$4:$K$18,OPR_BR2!$A$4:$K$18,OPR_CR2!$A$4:$K$18,OPR_CR3!$A$4:$K$18,OPR_CR4!$A$4:$K$18,OPR_RIM!$A$4:$K$18,OPR_BPR!$A$4:$K$18),10,0),0))*(Machine_List!$I$50:$I$63&gt;=IFERROR(VLOOKUP($B52,CHOOSE(MATCH($C52,Settings!$L$4:$L$10,0),OPR_BR1!$A$4:$K$18,OPR_BR2!$A$4:$K$18,OPR_CR2!$A$4:$K$18,OPR_CR3!$A$4:$K$18,OPR_CR4!$A$4:$K$18,OPR_RIM!$A$4:$K$18,OPR_BPR!$A$4:$K$18),11,0),9999)),0)),"NO COMPATIBLE MACHINE")))</f>
        <v/>
      </c>
      <c r="F52">
        <f>IF($E52="","",IFERROR(VLOOKUP($E52,Machine_List!$B:$G,6,0),""))</f>
        <v/>
      </c>
      <c r="G52" s="17">
        <f>IF($E52="","",IFERROR(VLOOKUP($E52,Machine_List!$B:$C,2,0),""))</f>
        <v/>
      </c>
      <c r="H52">
        <f>IF($E52="","",IFERROR(VLOOKUP($E52,Machine_List!$B:$D,3,0),""))</f>
        <v/>
      </c>
      <c r="J52" s="16">
        <f>IF($A52="","",IF($I52&lt;&gt;"",$I52,MAX(CNC_Plan!$M52,IFERROR(LOOKUP(2,1/($E$3:INDIRECT("E"&amp;(ROW()-1))=$E52),$M$3:INDIRECT("M"&amp;(ROW()-1))),CNC_Plan!$M52))))</f>
        <v/>
      </c>
      <c r="K52">
        <f>IF($A52="","",IFERROR(VLOOKUP(B52,CHOOSE(MATCH($C52,Settings!$L$4:$L$10,0),OPR_BR1!$A$4:$I$18,OPR_BR2!$A$4:$I$18,OPR_CR2!$A$4:$I$18,OPR_CR3!$A$4:$I$18,OPR_CR4!$A$4:$I$18,OPR_RIM!$A$4:$I$18,OPR_BPR!$A$4:$I$18),6,0),0))</f>
        <v/>
      </c>
      <c r="L52">
        <f>IF($A52="","",K52*D52)</f>
        <v/>
      </c>
      <c r="M52" s="16">
        <f>IF($A52="","",IF(AND(ISNUMBER(G52),G52&gt;=J52,G52&lt;=(J52+(L52/(IF(F52="Contract Workman",Settings!$K$5,Settings!$K$4))))),J52+(L52/(IF(F52="Contract Workman",Settings!$K$5,Settings!$K$4)))+(H52/(IF(F52="Contract Workman",Settings!$K$5,Settings!$K$4))),J52+(L52/(IF(F52="Contract Workman",Settings!$K$5,Settings!$K$4)))))</f>
        <v/>
      </c>
      <c r="N52">
        <f>IF($A52="","",IF(F52="Contract Workman",IF(AND(MOD(M52,1)&gt;=8/24,MOD(M52,1)&lt;20/24),"Shift S1","Shift S2"),IF(AND(MOD(M52,1)&gt;=7/24,MOD(M52,1)&lt;15/24),"Shift A",IF(AND(MOD(M52,1)&gt;=15/24,MOD(M52,1)&lt;23/24),"Shift B","Shift C"))))</f>
        <v/>
      </c>
      <c r="O52">
        <f>IF(B52="","",IF(IFERROR(ISNUMBER(SEARCH(TEXT(B52,"0"),VLOOKUP(E52,Machine_List!$B:$J,9,0))),FALSE),"✅ "&amp; E52,"❌ Sug: "&amp;IFERROR(INDEX(Machine_List!$B$50:$B$63,MATCH(1,(Machine_List!$H$50:$H$63&lt;=IFERROR(VLOOKUP($B52,OPR_BR1!$A$4:$K$18,10,0),0))*(Machine_List!$I$50:$I$63&gt;=IFERROR(VLOOKUP($B52,OPR_BR1!$A$4:$K$18,11,0),9999)),0)),"?")))</f>
        <v/>
      </c>
      <c r="P52">
        <f>IF(AND($A52&lt;&gt;"",P$3&gt;=$J52,P$3&lt;=$M52),1,"")</f>
        <v/>
      </c>
      <c r="Q52">
        <f>IF(AND($A52&lt;&gt;"",Q$3&gt;=$J52,Q$3&lt;=$M52),1,"")</f>
        <v/>
      </c>
      <c r="R52">
        <f>IF(AND($A52&lt;&gt;"",R$3&gt;=$J52,R$3&lt;=$M52),1,"")</f>
        <v/>
      </c>
      <c r="S52">
        <f>IF(AND($A52&lt;&gt;"",S$3&gt;=$J52,S$3&lt;=$M52),1,"")</f>
        <v/>
      </c>
      <c r="T52">
        <f>IF(AND($A52&lt;&gt;"",T$3&gt;=$J52,T$3&lt;=$M52),1,"")</f>
        <v/>
      </c>
      <c r="U52">
        <f>IF(AND($A52&lt;&gt;"",U$3&gt;=$J52,U$3&lt;=$M52),1,"")</f>
        <v/>
      </c>
      <c r="V52">
        <f>IF(AND($A52&lt;&gt;"",V$3&gt;=$J52,V$3&lt;=$M52),1,"")</f>
        <v/>
      </c>
      <c r="W52">
        <f>IF(AND($A52&lt;&gt;"",W$3&gt;=$J52,W$3&lt;=$M52),1,"")</f>
        <v/>
      </c>
      <c r="X52">
        <f>IF(AND($A52&lt;&gt;"",X$3&gt;=$J52,X$3&lt;=$M52),1,"")</f>
        <v/>
      </c>
      <c r="Y52">
        <f>IF(AND($A52&lt;&gt;"",Y$3&gt;=$J52,Y$3&lt;=$M52),1,"")</f>
        <v/>
      </c>
      <c r="Z52">
        <f>IF(AND($A52&lt;&gt;"",Z$3&gt;=$J52,Z$3&lt;=$M52),1,"")</f>
        <v/>
      </c>
      <c r="AA52">
        <f>IF(AND($A52&lt;&gt;"",AA$3&gt;=$J52,AA$3&lt;=$M52),1,"")</f>
        <v/>
      </c>
      <c r="AB52">
        <f>IF(AND($A52&lt;&gt;"",AB$3&gt;=$J52,AB$3&lt;=$M52),1,"")</f>
        <v/>
      </c>
      <c r="AC52">
        <f>IF(AND($A52&lt;&gt;"",AC$3&gt;=$J52,AC$3&lt;=$M52),1,"")</f>
        <v/>
      </c>
      <c r="AD52">
        <f>IF(AND($A52&lt;&gt;"",AD$3&gt;=$J52,AD$3&lt;=$M52),1,"")</f>
        <v/>
      </c>
      <c r="AE52">
        <f>IF(AND($A52&lt;&gt;"",AE$3&gt;=$J52,AE$3&lt;=$M52),1,"")</f>
        <v/>
      </c>
      <c r="AF52">
        <f>IF(AND($A52&lt;&gt;"",AF$3&gt;=$J52,AF$3&lt;=$M52),1,"")</f>
        <v/>
      </c>
      <c r="AG52">
        <f>IF(AND($A52&lt;&gt;"",AG$3&gt;=$J52,AG$3&lt;=$M52),1,"")</f>
        <v/>
      </c>
      <c r="AH52">
        <f>IF(AND($A52&lt;&gt;"",AH$3&gt;=$J52,AH$3&lt;=$M52),1,"")</f>
        <v/>
      </c>
      <c r="AI52">
        <f>IF(AND($A52&lt;&gt;"",AI$3&gt;=$J52,AI$3&lt;=$M52),1,"")</f>
        <v/>
      </c>
      <c r="AJ52">
        <f>IF(AND($A52&lt;&gt;"",AJ$3&gt;=$J52,AJ$3&lt;=$M52),1,"")</f>
        <v/>
      </c>
      <c r="AK52">
        <f>IF(AND($A52&lt;&gt;"",AK$3&gt;=$J52,AK$3&lt;=$M52),1,"")</f>
        <v/>
      </c>
      <c r="AL52">
        <f>IF(AND($A52&lt;&gt;"",AL$3&gt;=$J52,AL$3&lt;=$M52),1,"")</f>
        <v/>
      </c>
      <c r="AM52">
        <f>IF(AND($A52&lt;&gt;"",AM$3&gt;=$J52,AM$3&lt;=$M52),1,"")</f>
        <v/>
      </c>
      <c r="AN52">
        <f>IF(AND($A52&lt;&gt;"",AN$3&gt;=$J52,AN$3&lt;=$M52),1,"")</f>
        <v/>
      </c>
      <c r="AO52">
        <f>IF(AND($A52&lt;&gt;"",AO$3&gt;=$J52,AO$3&lt;=$M52),1,"")</f>
        <v/>
      </c>
      <c r="AP52">
        <f>IF(AND($A52&lt;&gt;"",AP$3&gt;=$J52,AP$3&lt;=$M52),1,"")</f>
        <v/>
      </c>
      <c r="AQ52">
        <f>IF(AND($A52&lt;&gt;"",AQ$3&gt;=$J52,AQ$3&lt;=$M52),1,"")</f>
        <v/>
      </c>
      <c r="AR52">
        <f>IF(AND($A52&lt;&gt;"",AR$3&gt;=$J52,AR$3&lt;=$M52),1,"")</f>
        <v/>
      </c>
      <c r="AS52">
        <f>IF(AND($A52&lt;&gt;"",AS$3&gt;=$J52,AS$3&lt;=$M52),1,"")</f>
        <v/>
      </c>
      <c r="AT52">
        <f>IF(AND($A52&lt;&gt;"",AT$3&gt;=$J52,AT$3&lt;=$M52),1,"")</f>
        <v/>
      </c>
      <c r="AU52">
        <f>IF(AND($A52&lt;&gt;"",AU$3&gt;=$J52,AU$3&lt;=$M52),1,"")</f>
        <v/>
      </c>
      <c r="AV52">
        <f>IF(AND($A52&lt;&gt;"",AV$3&gt;=$J52,AV$3&lt;=$M52),1,"")</f>
        <v/>
      </c>
      <c r="AW52">
        <f>IF(AND($A52&lt;&gt;"",AW$3&gt;=$J52,AW$3&lt;=$M52),1,"")</f>
        <v/>
      </c>
      <c r="AX52">
        <f>IF(AND($A52&lt;&gt;"",AX$3&gt;=$J52,AX$3&lt;=$M52),1,"")</f>
        <v/>
      </c>
      <c r="AY52">
        <f>IF(AND($A52&lt;&gt;"",AY$3&gt;=$J52,AY$3&lt;=$M52),1,"")</f>
        <v/>
      </c>
      <c r="AZ52">
        <f>IF(AND($A52&lt;&gt;"",AZ$3&gt;=$J52,AZ$3&lt;=$M52),1,"")</f>
        <v/>
      </c>
      <c r="BA52">
        <f>IF(AND($A52&lt;&gt;"",BA$3&gt;=$J52,BA$3&lt;=$M52),1,"")</f>
        <v/>
      </c>
      <c r="BB52">
        <f>IF(AND($A52&lt;&gt;"",BB$3&gt;=$J52,BB$3&lt;=$M52),1,"")</f>
        <v/>
      </c>
      <c r="BC52">
        <f>IF(AND($A52&lt;&gt;"",BC$3&gt;=$J52,BC$3&lt;=$M52),1,"")</f>
        <v/>
      </c>
      <c r="BD52">
        <f>IF(AND($A52&lt;&gt;"",BD$3&gt;=$J52,BD$3&lt;=$M52),1,"")</f>
        <v/>
      </c>
      <c r="BE52">
        <f>IF(AND($A52&lt;&gt;"",BE$3&gt;=$J52,BE$3&lt;=$M52),1,"")</f>
        <v/>
      </c>
      <c r="BF52">
        <f>IF(AND($A52&lt;&gt;"",BF$3&gt;=$J52,BF$3&lt;=$M52),1,"")</f>
        <v/>
      </c>
      <c r="BG52">
        <f>IF(AND($A52&lt;&gt;"",BG$3&gt;=$J52,BG$3&lt;=$M52),1,"")</f>
        <v/>
      </c>
      <c r="BH52">
        <f>IF(AND($A52&lt;&gt;"",BH$3&gt;=$J52,BH$3&lt;=$M52),1,"")</f>
        <v/>
      </c>
      <c r="BI52">
        <f>IF(AND($A52&lt;&gt;"",BI$3&gt;=$J52,BI$3&lt;=$M52),1,"")</f>
        <v/>
      </c>
      <c r="BJ52">
        <f>IF(AND($A52&lt;&gt;"",BJ$3&gt;=$J52,BJ$3&lt;=$M52),1,"")</f>
        <v/>
      </c>
      <c r="BK52">
        <f>IF(AND($A52&lt;&gt;"",BK$3&gt;=$J52,BK$3&lt;=$M52),1,"")</f>
        <v/>
      </c>
      <c r="BL52">
        <f>IF(AND($A52&lt;&gt;"",BL$3&gt;=$J52,BL$3&lt;=$M52),1,"")</f>
        <v/>
      </c>
      <c r="BM52">
        <f>IF(AND($A52&lt;&gt;"",BM$3&gt;=$J52,BM$3&lt;=$M52),1,"")</f>
        <v/>
      </c>
      <c r="BN52">
        <f>IF(AND($A52&lt;&gt;"",BN$3&gt;=$J52,BN$3&lt;=$M52),1,"")</f>
        <v/>
      </c>
      <c r="BO52">
        <f>IF(AND($A52&lt;&gt;"",BO$3&gt;=$J52,BO$3&lt;=$M52),1,"")</f>
        <v/>
      </c>
      <c r="BP52">
        <f>IF(AND($A52&lt;&gt;"",BP$3&gt;=$J52,BP$3&lt;=$M52),1,"")</f>
        <v/>
      </c>
      <c r="BQ52">
        <f>IF(AND($A52&lt;&gt;"",BQ$3&gt;=$J52,BQ$3&lt;=$M52),1,"")</f>
        <v/>
      </c>
      <c r="BR52">
        <f>IF(AND($A52&lt;&gt;"",BR$3&gt;=$J52,BR$3&lt;=$M52),1,"")</f>
        <v/>
      </c>
      <c r="BS52">
        <f>IF(AND($A52&lt;&gt;"",BS$3&gt;=$J52,BS$3&lt;=$M52),1,"")</f>
        <v/>
      </c>
      <c r="BT52">
        <f>IF(AND($A52&lt;&gt;"",BT$3&gt;=$J52,BT$3&lt;=$M52),1,"")</f>
        <v/>
      </c>
      <c r="BU52">
        <f>IF(AND($A52&lt;&gt;"",BU$3&gt;=$J52,BU$3&lt;=$M52),1,"")</f>
        <v/>
      </c>
      <c r="BV52">
        <f>IF(AND($A52&lt;&gt;"",BV$3&gt;=$J52,BV$3&lt;=$M52),1,"")</f>
        <v/>
      </c>
    </row>
    <row r="53">
      <c r="A53">
        <f>IF(Job_Master_Ring!$A53="","",Job_Master_Ring!$A53)</f>
        <v/>
      </c>
      <c r="B53">
        <f>IF($A53="","",Job_Master_Ring!B53)</f>
        <v/>
      </c>
      <c r="C53">
        <f>IF($A53="","",Job_Master_Ring!C53)</f>
        <v/>
      </c>
      <c r="D53">
        <f>IF($A53="","",Job_Master_Ring!D53)</f>
        <v/>
      </c>
      <c r="E53">
        <f>IF($A53="","",IF($I53&lt;&gt;"",$I53,IFERROR(INDEX(Machine_List!$B$50:$B$63,MATCH(1,(Machine_List!$H$50:$H$63&lt;=IFERROR(VLOOKUP($B53,CHOOSE(MATCH($C53,Settings!$L$4:$L$10,0),OPR_BR1!$A$4:$K$18,OPR_BR2!$A$4:$K$18,OPR_CR2!$A$4:$K$18,OPR_CR3!$A$4:$K$18,OPR_CR4!$A$4:$K$18,OPR_RIM!$A$4:$K$18,OPR_BPR!$A$4:$K$18),10,0),0))*(Machine_List!$I$50:$I$63&gt;=IFERROR(VLOOKUP($B53,CHOOSE(MATCH($C53,Settings!$L$4:$L$10,0),OPR_BR1!$A$4:$K$18,OPR_BR2!$A$4:$K$18,OPR_CR2!$A$4:$K$18,OPR_CR3!$A$4:$K$18,OPR_CR4!$A$4:$K$18,OPR_RIM!$A$4:$K$18,OPR_BPR!$A$4:$K$18),11,0),9999)),0)),"NO COMPATIBLE MACHINE")))</f>
        <v/>
      </c>
      <c r="F53">
        <f>IF($E53="","",IFERROR(VLOOKUP($E53,Machine_List!$B:$G,6,0),""))</f>
        <v/>
      </c>
      <c r="G53" s="17">
        <f>IF($E53="","",IFERROR(VLOOKUP($E53,Machine_List!$B:$C,2,0),""))</f>
        <v/>
      </c>
      <c r="H53">
        <f>IF($E53="","",IFERROR(VLOOKUP($E53,Machine_List!$B:$D,3,0),""))</f>
        <v/>
      </c>
      <c r="J53" s="16">
        <f>IF($A53="","",IF($I53&lt;&gt;"",$I53,MAX(CNC_Plan!$M53,IFERROR(LOOKUP(2,1/($E$3:INDIRECT("E"&amp;(ROW()-1))=$E53),$M$3:INDIRECT("M"&amp;(ROW()-1))),CNC_Plan!$M53))))</f>
        <v/>
      </c>
      <c r="K53">
        <f>IF($A53="","",IFERROR(VLOOKUP(B53,CHOOSE(MATCH($C53,Settings!$L$4:$L$10,0),OPR_BR1!$A$4:$I$18,OPR_BR2!$A$4:$I$18,OPR_CR2!$A$4:$I$18,OPR_CR3!$A$4:$I$18,OPR_CR4!$A$4:$I$18,OPR_RIM!$A$4:$I$18,OPR_BPR!$A$4:$I$18),6,0),0))</f>
        <v/>
      </c>
      <c r="L53">
        <f>IF($A53="","",K53*D53)</f>
        <v/>
      </c>
      <c r="M53" s="16">
        <f>IF($A53="","",IF(AND(ISNUMBER(G53),G53&gt;=J53,G53&lt;=(J53+(L53/(IF(F53="Contract Workman",Settings!$K$5,Settings!$K$4))))),J53+(L53/(IF(F53="Contract Workman",Settings!$K$5,Settings!$K$4)))+(H53/(IF(F53="Contract Workman",Settings!$K$5,Settings!$K$4))),J53+(L53/(IF(F53="Contract Workman",Settings!$K$5,Settings!$K$4)))))</f>
        <v/>
      </c>
      <c r="N53">
        <f>IF($A53="","",IF(F53="Contract Workman",IF(AND(MOD(M53,1)&gt;=8/24,MOD(M53,1)&lt;20/24),"Shift S1","Shift S2"),IF(AND(MOD(M53,1)&gt;=7/24,MOD(M53,1)&lt;15/24),"Shift A",IF(AND(MOD(M53,1)&gt;=15/24,MOD(M53,1)&lt;23/24),"Shift B","Shift C"))))</f>
        <v/>
      </c>
      <c r="O53">
        <f>IF(B53="","",IF(IFERROR(ISNUMBER(SEARCH(TEXT(B53,"0"),VLOOKUP(E53,Machine_List!$B:$J,9,0))),FALSE),"✅ "&amp; E53,"❌ Sug: "&amp;IFERROR(INDEX(Machine_List!$B$50:$B$63,MATCH(1,(Machine_List!$H$50:$H$63&lt;=IFERROR(VLOOKUP($B53,OPR_BR1!$A$4:$K$18,10,0),0))*(Machine_List!$I$50:$I$63&gt;=IFERROR(VLOOKUP($B53,OPR_BR1!$A$4:$K$18,11,0),9999)),0)),"?")))</f>
        <v/>
      </c>
      <c r="P53">
        <f>IF(AND($A53&lt;&gt;"",P$3&gt;=$J53,P$3&lt;=$M53),1,"")</f>
        <v/>
      </c>
      <c r="Q53">
        <f>IF(AND($A53&lt;&gt;"",Q$3&gt;=$J53,Q$3&lt;=$M53),1,"")</f>
        <v/>
      </c>
      <c r="R53">
        <f>IF(AND($A53&lt;&gt;"",R$3&gt;=$J53,R$3&lt;=$M53),1,"")</f>
        <v/>
      </c>
      <c r="S53">
        <f>IF(AND($A53&lt;&gt;"",S$3&gt;=$J53,S$3&lt;=$M53),1,"")</f>
        <v/>
      </c>
      <c r="T53">
        <f>IF(AND($A53&lt;&gt;"",T$3&gt;=$J53,T$3&lt;=$M53),1,"")</f>
        <v/>
      </c>
      <c r="U53">
        <f>IF(AND($A53&lt;&gt;"",U$3&gt;=$J53,U$3&lt;=$M53),1,"")</f>
        <v/>
      </c>
      <c r="V53">
        <f>IF(AND($A53&lt;&gt;"",V$3&gt;=$J53,V$3&lt;=$M53),1,"")</f>
        <v/>
      </c>
      <c r="W53">
        <f>IF(AND($A53&lt;&gt;"",W$3&gt;=$J53,W$3&lt;=$M53),1,"")</f>
        <v/>
      </c>
      <c r="X53">
        <f>IF(AND($A53&lt;&gt;"",X$3&gt;=$J53,X$3&lt;=$M53),1,"")</f>
        <v/>
      </c>
      <c r="Y53">
        <f>IF(AND($A53&lt;&gt;"",Y$3&gt;=$J53,Y$3&lt;=$M53),1,"")</f>
        <v/>
      </c>
      <c r="Z53">
        <f>IF(AND($A53&lt;&gt;"",Z$3&gt;=$J53,Z$3&lt;=$M53),1,"")</f>
        <v/>
      </c>
      <c r="AA53">
        <f>IF(AND($A53&lt;&gt;"",AA$3&gt;=$J53,AA$3&lt;=$M53),1,"")</f>
        <v/>
      </c>
      <c r="AB53">
        <f>IF(AND($A53&lt;&gt;"",AB$3&gt;=$J53,AB$3&lt;=$M53),1,"")</f>
        <v/>
      </c>
      <c r="AC53">
        <f>IF(AND($A53&lt;&gt;"",AC$3&gt;=$J53,AC$3&lt;=$M53),1,"")</f>
        <v/>
      </c>
      <c r="AD53">
        <f>IF(AND($A53&lt;&gt;"",AD$3&gt;=$J53,AD$3&lt;=$M53),1,"")</f>
        <v/>
      </c>
      <c r="AE53">
        <f>IF(AND($A53&lt;&gt;"",AE$3&gt;=$J53,AE$3&lt;=$M53),1,"")</f>
        <v/>
      </c>
      <c r="AF53">
        <f>IF(AND($A53&lt;&gt;"",AF$3&gt;=$J53,AF$3&lt;=$M53),1,"")</f>
        <v/>
      </c>
      <c r="AG53">
        <f>IF(AND($A53&lt;&gt;"",AG$3&gt;=$J53,AG$3&lt;=$M53),1,"")</f>
        <v/>
      </c>
      <c r="AH53">
        <f>IF(AND($A53&lt;&gt;"",AH$3&gt;=$J53,AH$3&lt;=$M53),1,"")</f>
        <v/>
      </c>
      <c r="AI53">
        <f>IF(AND($A53&lt;&gt;"",AI$3&gt;=$J53,AI$3&lt;=$M53),1,"")</f>
        <v/>
      </c>
      <c r="AJ53">
        <f>IF(AND($A53&lt;&gt;"",AJ$3&gt;=$J53,AJ$3&lt;=$M53),1,"")</f>
        <v/>
      </c>
      <c r="AK53">
        <f>IF(AND($A53&lt;&gt;"",AK$3&gt;=$J53,AK$3&lt;=$M53),1,"")</f>
        <v/>
      </c>
      <c r="AL53">
        <f>IF(AND($A53&lt;&gt;"",AL$3&gt;=$J53,AL$3&lt;=$M53),1,"")</f>
        <v/>
      </c>
      <c r="AM53">
        <f>IF(AND($A53&lt;&gt;"",AM$3&gt;=$J53,AM$3&lt;=$M53),1,"")</f>
        <v/>
      </c>
      <c r="AN53">
        <f>IF(AND($A53&lt;&gt;"",AN$3&gt;=$J53,AN$3&lt;=$M53),1,"")</f>
        <v/>
      </c>
      <c r="AO53">
        <f>IF(AND($A53&lt;&gt;"",AO$3&gt;=$J53,AO$3&lt;=$M53),1,"")</f>
        <v/>
      </c>
      <c r="AP53">
        <f>IF(AND($A53&lt;&gt;"",AP$3&gt;=$J53,AP$3&lt;=$M53),1,"")</f>
        <v/>
      </c>
      <c r="AQ53">
        <f>IF(AND($A53&lt;&gt;"",AQ$3&gt;=$J53,AQ$3&lt;=$M53),1,"")</f>
        <v/>
      </c>
      <c r="AR53">
        <f>IF(AND($A53&lt;&gt;"",AR$3&gt;=$J53,AR$3&lt;=$M53),1,"")</f>
        <v/>
      </c>
      <c r="AS53">
        <f>IF(AND($A53&lt;&gt;"",AS$3&gt;=$J53,AS$3&lt;=$M53),1,"")</f>
        <v/>
      </c>
      <c r="AT53">
        <f>IF(AND($A53&lt;&gt;"",AT$3&gt;=$J53,AT$3&lt;=$M53),1,"")</f>
        <v/>
      </c>
      <c r="AU53">
        <f>IF(AND($A53&lt;&gt;"",AU$3&gt;=$J53,AU$3&lt;=$M53),1,"")</f>
        <v/>
      </c>
      <c r="AV53">
        <f>IF(AND($A53&lt;&gt;"",AV$3&gt;=$J53,AV$3&lt;=$M53),1,"")</f>
        <v/>
      </c>
      <c r="AW53">
        <f>IF(AND($A53&lt;&gt;"",AW$3&gt;=$J53,AW$3&lt;=$M53),1,"")</f>
        <v/>
      </c>
      <c r="AX53">
        <f>IF(AND($A53&lt;&gt;"",AX$3&gt;=$J53,AX$3&lt;=$M53),1,"")</f>
        <v/>
      </c>
      <c r="AY53">
        <f>IF(AND($A53&lt;&gt;"",AY$3&gt;=$J53,AY$3&lt;=$M53),1,"")</f>
        <v/>
      </c>
      <c r="AZ53">
        <f>IF(AND($A53&lt;&gt;"",AZ$3&gt;=$J53,AZ$3&lt;=$M53),1,"")</f>
        <v/>
      </c>
      <c r="BA53">
        <f>IF(AND($A53&lt;&gt;"",BA$3&gt;=$J53,BA$3&lt;=$M53),1,"")</f>
        <v/>
      </c>
      <c r="BB53">
        <f>IF(AND($A53&lt;&gt;"",BB$3&gt;=$J53,BB$3&lt;=$M53),1,"")</f>
        <v/>
      </c>
      <c r="BC53">
        <f>IF(AND($A53&lt;&gt;"",BC$3&gt;=$J53,BC$3&lt;=$M53),1,"")</f>
        <v/>
      </c>
      <c r="BD53">
        <f>IF(AND($A53&lt;&gt;"",BD$3&gt;=$J53,BD$3&lt;=$M53),1,"")</f>
        <v/>
      </c>
      <c r="BE53">
        <f>IF(AND($A53&lt;&gt;"",BE$3&gt;=$J53,BE$3&lt;=$M53),1,"")</f>
        <v/>
      </c>
      <c r="BF53">
        <f>IF(AND($A53&lt;&gt;"",BF$3&gt;=$J53,BF$3&lt;=$M53),1,"")</f>
        <v/>
      </c>
      <c r="BG53">
        <f>IF(AND($A53&lt;&gt;"",BG$3&gt;=$J53,BG$3&lt;=$M53),1,"")</f>
        <v/>
      </c>
      <c r="BH53">
        <f>IF(AND($A53&lt;&gt;"",BH$3&gt;=$J53,BH$3&lt;=$M53),1,"")</f>
        <v/>
      </c>
      <c r="BI53">
        <f>IF(AND($A53&lt;&gt;"",BI$3&gt;=$J53,BI$3&lt;=$M53),1,"")</f>
        <v/>
      </c>
      <c r="BJ53">
        <f>IF(AND($A53&lt;&gt;"",BJ$3&gt;=$J53,BJ$3&lt;=$M53),1,"")</f>
        <v/>
      </c>
      <c r="BK53">
        <f>IF(AND($A53&lt;&gt;"",BK$3&gt;=$J53,BK$3&lt;=$M53),1,"")</f>
        <v/>
      </c>
      <c r="BL53">
        <f>IF(AND($A53&lt;&gt;"",BL$3&gt;=$J53,BL$3&lt;=$M53),1,"")</f>
        <v/>
      </c>
      <c r="BM53">
        <f>IF(AND($A53&lt;&gt;"",BM$3&gt;=$J53,BM$3&lt;=$M53),1,"")</f>
        <v/>
      </c>
      <c r="BN53">
        <f>IF(AND($A53&lt;&gt;"",BN$3&gt;=$J53,BN$3&lt;=$M53),1,"")</f>
        <v/>
      </c>
      <c r="BO53">
        <f>IF(AND($A53&lt;&gt;"",BO$3&gt;=$J53,BO$3&lt;=$M53),1,"")</f>
        <v/>
      </c>
      <c r="BP53">
        <f>IF(AND($A53&lt;&gt;"",BP$3&gt;=$J53,BP$3&lt;=$M53),1,"")</f>
        <v/>
      </c>
      <c r="BQ53">
        <f>IF(AND($A53&lt;&gt;"",BQ$3&gt;=$J53,BQ$3&lt;=$M53),1,"")</f>
        <v/>
      </c>
      <c r="BR53">
        <f>IF(AND($A53&lt;&gt;"",BR$3&gt;=$J53,BR$3&lt;=$M53),1,"")</f>
        <v/>
      </c>
      <c r="BS53">
        <f>IF(AND($A53&lt;&gt;"",BS$3&gt;=$J53,BS$3&lt;=$M53),1,"")</f>
        <v/>
      </c>
      <c r="BT53">
        <f>IF(AND($A53&lt;&gt;"",BT$3&gt;=$J53,BT$3&lt;=$M53),1,"")</f>
        <v/>
      </c>
      <c r="BU53">
        <f>IF(AND($A53&lt;&gt;"",BU$3&gt;=$J53,BU$3&lt;=$M53),1,"")</f>
        <v/>
      </c>
      <c r="BV53">
        <f>IF(AND($A53&lt;&gt;"",BV$3&gt;=$J53,BV$3&lt;=$M53),1,"")</f>
        <v/>
      </c>
    </row>
    <row r="54">
      <c r="A54">
        <f>IF(Job_Master_Ring!$A54="","",Job_Master_Ring!$A54)</f>
        <v/>
      </c>
      <c r="B54">
        <f>IF($A54="","",Job_Master_Ring!B54)</f>
        <v/>
      </c>
      <c r="C54">
        <f>IF($A54="","",Job_Master_Ring!C54)</f>
        <v/>
      </c>
      <c r="D54">
        <f>IF($A54="","",Job_Master_Ring!D54)</f>
        <v/>
      </c>
      <c r="E54">
        <f>IF($A54="","",IF($I54&lt;&gt;"",$I54,IFERROR(INDEX(Machine_List!$B$50:$B$63,MATCH(1,(Machine_List!$H$50:$H$63&lt;=IFERROR(VLOOKUP($B54,CHOOSE(MATCH($C54,Settings!$L$4:$L$10,0),OPR_BR1!$A$4:$K$18,OPR_BR2!$A$4:$K$18,OPR_CR2!$A$4:$K$18,OPR_CR3!$A$4:$K$18,OPR_CR4!$A$4:$K$18,OPR_RIM!$A$4:$K$18,OPR_BPR!$A$4:$K$18),10,0),0))*(Machine_List!$I$50:$I$63&gt;=IFERROR(VLOOKUP($B54,CHOOSE(MATCH($C54,Settings!$L$4:$L$10,0),OPR_BR1!$A$4:$K$18,OPR_BR2!$A$4:$K$18,OPR_CR2!$A$4:$K$18,OPR_CR3!$A$4:$K$18,OPR_CR4!$A$4:$K$18,OPR_RIM!$A$4:$K$18,OPR_BPR!$A$4:$K$18),11,0),9999)),0)),"NO COMPATIBLE MACHINE")))</f>
        <v/>
      </c>
      <c r="F54">
        <f>IF($E54="","",IFERROR(VLOOKUP($E54,Machine_List!$B:$G,6,0),""))</f>
        <v/>
      </c>
      <c r="G54" s="17">
        <f>IF($E54="","",IFERROR(VLOOKUP($E54,Machine_List!$B:$C,2,0),""))</f>
        <v/>
      </c>
      <c r="H54">
        <f>IF($E54="","",IFERROR(VLOOKUP($E54,Machine_List!$B:$D,3,0),""))</f>
        <v/>
      </c>
      <c r="J54" s="16">
        <f>IF($A54="","",IF($I54&lt;&gt;"",$I54,MAX(CNC_Plan!$M54,IFERROR(LOOKUP(2,1/($E$3:INDIRECT("E"&amp;(ROW()-1))=$E54),$M$3:INDIRECT("M"&amp;(ROW()-1))),CNC_Plan!$M54))))</f>
        <v/>
      </c>
      <c r="K54">
        <f>IF($A54="","",IFERROR(VLOOKUP(B54,CHOOSE(MATCH($C54,Settings!$L$4:$L$10,0),OPR_BR1!$A$4:$I$18,OPR_BR2!$A$4:$I$18,OPR_CR2!$A$4:$I$18,OPR_CR3!$A$4:$I$18,OPR_CR4!$A$4:$I$18,OPR_RIM!$A$4:$I$18,OPR_BPR!$A$4:$I$18),6,0),0))</f>
        <v/>
      </c>
      <c r="L54">
        <f>IF($A54="","",K54*D54)</f>
        <v/>
      </c>
      <c r="M54" s="16">
        <f>IF($A54="","",IF(AND(ISNUMBER(G54),G54&gt;=J54,G54&lt;=(J54+(L54/(IF(F54="Contract Workman",Settings!$K$5,Settings!$K$4))))),J54+(L54/(IF(F54="Contract Workman",Settings!$K$5,Settings!$K$4)))+(H54/(IF(F54="Contract Workman",Settings!$K$5,Settings!$K$4))),J54+(L54/(IF(F54="Contract Workman",Settings!$K$5,Settings!$K$4)))))</f>
        <v/>
      </c>
      <c r="N54">
        <f>IF($A54="","",IF(F54="Contract Workman",IF(AND(MOD(M54,1)&gt;=8/24,MOD(M54,1)&lt;20/24),"Shift S1","Shift S2"),IF(AND(MOD(M54,1)&gt;=7/24,MOD(M54,1)&lt;15/24),"Shift A",IF(AND(MOD(M54,1)&gt;=15/24,MOD(M54,1)&lt;23/24),"Shift B","Shift C"))))</f>
        <v/>
      </c>
      <c r="O54">
        <f>IF(B54="","",IF(IFERROR(ISNUMBER(SEARCH(TEXT(B54,"0"),VLOOKUP(E54,Machine_List!$B:$J,9,0))),FALSE),"✅ "&amp; E54,"❌ Sug: "&amp;IFERROR(INDEX(Machine_List!$B$50:$B$63,MATCH(1,(Machine_List!$H$50:$H$63&lt;=IFERROR(VLOOKUP($B54,OPR_BR1!$A$4:$K$18,10,0),0))*(Machine_List!$I$50:$I$63&gt;=IFERROR(VLOOKUP($B54,OPR_BR1!$A$4:$K$18,11,0),9999)),0)),"?")))</f>
        <v/>
      </c>
      <c r="P54">
        <f>IF(AND($A54&lt;&gt;"",P$3&gt;=$J54,P$3&lt;=$M54),1,"")</f>
        <v/>
      </c>
      <c r="Q54">
        <f>IF(AND($A54&lt;&gt;"",Q$3&gt;=$J54,Q$3&lt;=$M54),1,"")</f>
        <v/>
      </c>
      <c r="R54">
        <f>IF(AND($A54&lt;&gt;"",R$3&gt;=$J54,R$3&lt;=$M54),1,"")</f>
        <v/>
      </c>
      <c r="S54">
        <f>IF(AND($A54&lt;&gt;"",S$3&gt;=$J54,S$3&lt;=$M54),1,"")</f>
        <v/>
      </c>
      <c r="T54">
        <f>IF(AND($A54&lt;&gt;"",T$3&gt;=$J54,T$3&lt;=$M54),1,"")</f>
        <v/>
      </c>
      <c r="U54">
        <f>IF(AND($A54&lt;&gt;"",U$3&gt;=$J54,U$3&lt;=$M54),1,"")</f>
        <v/>
      </c>
      <c r="V54">
        <f>IF(AND($A54&lt;&gt;"",V$3&gt;=$J54,V$3&lt;=$M54),1,"")</f>
        <v/>
      </c>
      <c r="W54">
        <f>IF(AND($A54&lt;&gt;"",W$3&gt;=$J54,W$3&lt;=$M54),1,"")</f>
        <v/>
      </c>
      <c r="X54">
        <f>IF(AND($A54&lt;&gt;"",X$3&gt;=$J54,X$3&lt;=$M54),1,"")</f>
        <v/>
      </c>
      <c r="Y54">
        <f>IF(AND($A54&lt;&gt;"",Y$3&gt;=$J54,Y$3&lt;=$M54),1,"")</f>
        <v/>
      </c>
      <c r="Z54">
        <f>IF(AND($A54&lt;&gt;"",Z$3&gt;=$J54,Z$3&lt;=$M54),1,"")</f>
        <v/>
      </c>
      <c r="AA54">
        <f>IF(AND($A54&lt;&gt;"",AA$3&gt;=$J54,AA$3&lt;=$M54),1,"")</f>
        <v/>
      </c>
      <c r="AB54">
        <f>IF(AND($A54&lt;&gt;"",AB$3&gt;=$J54,AB$3&lt;=$M54),1,"")</f>
        <v/>
      </c>
      <c r="AC54">
        <f>IF(AND($A54&lt;&gt;"",AC$3&gt;=$J54,AC$3&lt;=$M54),1,"")</f>
        <v/>
      </c>
      <c r="AD54">
        <f>IF(AND($A54&lt;&gt;"",AD$3&gt;=$J54,AD$3&lt;=$M54),1,"")</f>
        <v/>
      </c>
      <c r="AE54">
        <f>IF(AND($A54&lt;&gt;"",AE$3&gt;=$J54,AE$3&lt;=$M54),1,"")</f>
        <v/>
      </c>
      <c r="AF54">
        <f>IF(AND($A54&lt;&gt;"",AF$3&gt;=$J54,AF$3&lt;=$M54),1,"")</f>
        <v/>
      </c>
      <c r="AG54">
        <f>IF(AND($A54&lt;&gt;"",AG$3&gt;=$J54,AG$3&lt;=$M54),1,"")</f>
        <v/>
      </c>
      <c r="AH54">
        <f>IF(AND($A54&lt;&gt;"",AH$3&gt;=$J54,AH$3&lt;=$M54),1,"")</f>
        <v/>
      </c>
      <c r="AI54">
        <f>IF(AND($A54&lt;&gt;"",AI$3&gt;=$J54,AI$3&lt;=$M54),1,"")</f>
        <v/>
      </c>
      <c r="AJ54">
        <f>IF(AND($A54&lt;&gt;"",AJ$3&gt;=$J54,AJ$3&lt;=$M54),1,"")</f>
        <v/>
      </c>
      <c r="AK54">
        <f>IF(AND($A54&lt;&gt;"",AK$3&gt;=$J54,AK$3&lt;=$M54),1,"")</f>
        <v/>
      </c>
      <c r="AL54">
        <f>IF(AND($A54&lt;&gt;"",AL$3&gt;=$J54,AL$3&lt;=$M54),1,"")</f>
        <v/>
      </c>
      <c r="AM54">
        <f>IF(AND($A54&lt;&gt;"",AM$3&gt;=$J54,AM$3&lt;=$M54),1,"")</f>
        <v/>
      </c>
      <c r="AN54">
        <f>IF(AND($A54&lt;&gt;"",AN$3&gt;=$J54,AN$3&lt;=$M54),1,"")</f>
        <v/>
      </c>
      <c r="AO54">
        <f>IF(AND($A54&lt;&gt;"",AO$3&gt;=$J54,AO$3&lt;=$M54),1,"")</f>
        <v/>
      </c>
      <c r="AP54">
        <f>IF(AND($A54&lt;&gt;"",AP$3&gt;=$J54,AP$3&lt;=$M54),1,"")</f>
        <v/>
      </c>
      <c r="AQ54">
        <f>IF(AND($A54&lt;&gt;"",AQ$3&gt;=$J54,AQ$3&lt;=$M54),1,"")</f>
        <v/>
      </c>
      <c r="AR54">
        <f>IF(AND($A54&lt;&gt;"",AR$3&gt;=$J54,AR$3&lt;=$M54),1,"")</f>
        <v/>
      </c>
      <c r="AS54">
        <f>IF(AND($A54&lt;&gt;"",AS$3&gt;=$J54,AS$3&lt;=$M54),1,"")</f>
        <v/>
      </c>
      <c r="AT54">
        <f>IF(AND($A54&lt;&gt;"",AT$3&gt;=$J54,AT$3&lt;=$M54),1,"")</f>
        <v/>
      </c>
      <c r="AU54">
        <f>IF(AND($A54&lt;&gt;"",AU$3&gt;=$J54,AU$3&lt;=$M54),1,"")</f>
        <v/>
      </c>
      <c r="AV54">
        <f>IF(AND($A54&lt;&gt;"",AV$3&gt;=$J54,AV$3&lt;=$M54),1,"")</f>
        <v/>
      </c>
      <c r="AW54">
        <f>IF(AND($A54&lt;&gt;"",AW$3&gt;=$J54,AW$3&lt;=$M54),1,"")</f>
        <v/>
      </c>
      <c r="AX54">
        <f>IF(AND($A54&lt;&gt;"",AX$3&gt;=$J54,AX$3&lt;=$M54),1,"")</f>
        <v/>
      </c>
      <c r="AY54">
        <f>IF(AND($A54&lt;&gt;"",AY$3&gt;=$J54,AY$3&lt;=$M54),1,"")</f>
        <v/>
      </c>
      <c r="AZ54">
        <f>IF(AND($A54&lt;&gt;"",AZ$3&gt;=$J54,AZ$3&lt;=$M54),1,"")</f>
        <v/>
      </c>
      <c r="BA54">
        <f>IF(AND($A54&lt;&gt;"",BA$3&gt;=$J54,BA$3&lt;=$M54),1,"")</f>
        <v/>
      </c>
      <c r="BB54">
        <f>IF(AND($A54&lt;&gt;"",BB$3&gt;=$J54,BB$3&lt;=$M54),1,"")</f>
        <v/>
      </c>
      <c r="BC54">
        <f>IF(AND($A54&lt;&gt;"",BC$3&gt;=$J54,BC$3&lt;=$M54),1,"")</f>
        <v/>
      </c>
      <c r="BD54">
        <f>IF(AND($A54&lt;&gt;"",BD$3&gt;=$J54,BD$3&lt;=$M54),1,"")</f>
        <v/>
      </c>
      <c r="BE54">
        <f>IF(AND($A54&lt;&gt;"",BE$3&gt;=$J54,BE$3&lt;=$M54),1,"")</f>
        <v/>
      </c>
      <c r="BF54">
        <f>IF(AND($A54&lt;&gt;"",BF$3&gt;=$J54,BF$3&lt;=$M54),1,"")</f>
        <v/>
      </c>
      <c r="BG54">
        <f>IF(AND($A54&lt;&gt;"",BG$3&gt;=$J54,BG$3&lt;=$M54),1,"")</f>
        <v/>
      </c>
      <c r="BH54">
        <f>IF(AND($A54&lt;&gt;"",BH$3&gt;=$J54,BH$3&lt;=$M54),1,"")</f>
        <v/>
      </c>
      <c r="BI54">
        <f>IF(AND($A54&lt;&gt;"",BI$3&gt;=$J54,BI$3&lt;=$M54),1,"")</f>
        <v/>
      </c>
      <c r="BJ54">
        <f>IF(AND($A54&lt;&gt;"",BJ$3&gt;=$J54,BJ$3&lt;=$M54),1,"")</f>
        <v/>
      </c>
      <c r="BK54">
        <f>IF(AND($A54&lt;&gt;"",BK$3&gt;=$J54,BK$3&lt;=$M54),1,"")</f>
        <v/>
      </c>
      <c r="BL54">
        <f>IF(AND($A54&lt;&gt;"",BL$3&gt;=$J54,BL$3&lt;=$M54),1,"")</f>
        <v/>
      </c>
      <c r="BM54">
        <f>IF(AND($A54&lt;&gt;"",BM$3&gt;=$J54,BM$3&lt;=$M54),1,"")</f>
        <v/>
      </c>
      <c r="BN54">
        <f>IF(AND($A54&lt;&gt;"",BN$3&gt;=$J54,BN$3&lt;=$M54),1,"")</f>
        <v/>
      </c>
      <c r="BO54">
        <f>IF(AND($A54&lt;&gt;"",BO$3&gt;=$J54,BO$3&lt;=$M54),1,"")</f>
        <v/>
      </c>
      <c r="BP54">
        <f>IF(AND($A54&lt;&gt;"",BP$3&gt;=$J54,BP$3&lt;=$M54),1,"")</f>
        <v/>
      </c>
      <c r="BQ54">
        <f>IF(AND($A54&lt;&gt;"",BQ$3&gt;=$J54,BQ$3&lt;=$M54),1,"")</f>
        <v/>
      </c>
      <c r="BR54">
        <f>IF(AND($A54&lt;&gt;"",BR$3&gt;=$J54,BR$3&lt;=$M54),1,"")</f>
        <v/>
      </c>
      <c r="BS54">
        <f>IF(AND($A54&lt;&gt;"",BS$3&gt;=$J54,BS$3&lt;=$M54),1,"")</f>
        <v/>
      </c>
      <c r="BT54">
        <f>IF(AND($A54&lt;&gt;"",BT$3&gt;=$J54,BT$3&lt;=$M54),1,"")</f>
        <v/>
      </c>
      <c r="BU54">
        <f>IF(AND($A54&lt;&gt;"",BU$3&gt;=$J54,BU$3&lt;=$M54),1,"")</f>
        <v/>
      </c>
      <c r="BV54">
        <f>IF(AND($A54&lt;&gt;"",BV$3&gt;=$J54,BV$3&lt;=$M54),1,"")</f>
        <v/>
      </c>
    </row>
    <row r="55">
      <c r="A55">
        <f>IF(Job_Master_Ring!$A55="","",Job_Master_Ring!$A55)</f>
        <v/>
      </c>
      <c r="B55">
        <f>IF($A55="","",Job_Master_Ring!B55)</f>
        <v/>
      </c>
      <c r="C55">
        <f>IF($A55="","",Job_Master_Ring!C55)</f>
        <v/>
      </c>
      <c r="D55">
        <f>IF($A55="","",Job_Master_Ring!D55)</f>
        <v/>
      </c>
      <c r="E55">
        <f>IF($A55="","",IF($I55&lt;&gt;"",$I55,IFERROR(INDEX(Machine_List!$B$50:$B$63,MATCH(1,(Machine_List!$H$50:$H$63&lt;=IFERROR(VLOOKUP($B55,CHOOSE(MATCH($C55,Settings!$L$4:$L$10,0),OPR_BR1!$A$4:$K$18,OPR_BR2!$A$4:$K$18,OPR_CR2!$A$4:$K$18,OPR_CR3!$A$4:$K$18,OPR_CR4!$A$4:$K$18,OPR_RIM!$A$4:$K$18,OPR_BPR!$A$4:$K$18),10,0),0))*(Machine_List!$I$50:$I$63&gt;=IFERROR(VLOOKUP($B55,CHOOSE(MATCH($C55,Settings!$L$4:$L$10,0),OPR_BR1!$A$4:$K$18,OPR_BR2!$A$4:$K$18,OPR_CR2!$A$4:$K$18,OPR_CR3!$A$4:$K$18,OPR_CR4!$A$4:$K$18,OPR_RIM!$A$4:$K$18,OPR_BPR!$A$4:$K$18),11,0),9999)),0)),"NO COMPATIBLE MACHINE")))</f>
        <v/>
      </c>
      <c r="F55">
        <f>IF($E55="","",IFERROR(VLOOKUP($E55,Machine_List!$B:$G,6,0),""))</f>
        <v/>
      </c>
      <c r="G55" s="17">
        <f>IF($E55="","",IFERROR(VLOOKUP($E55,Machine_List!$B:$C,2,0),""))</f>
        <v/>
      </c>
      <c r="H55">
        <f>IF($E55="","",IFERROR(VLOOKUP($E55,Machine_List!$B:$D,3,0),""))</f>
        <v/>
      </c>
      <c r="J55" s="16">
        <f>IF($A55="","",IF($I55&lt;&gt;"",$I55,MAX(CNC_Plan!$M55,IFERROR(LOOKUP(2,1/($E$3:INDIRECT("E"&amp;(ROW()-1))=$E55),$M$3:INDIRECT("M"&amp;(ROW()-1))),CNC_Plan!$M55))))</f>
        <v/>
      </c>
      <c r="K55">
        <f>IF($A55="","",IFERROR(VLOOKUP(B55,CHOOSE(MATCH($C55,Settings!$L$4:$L$10,0),OPR_BR1!$A$4:$I$18,OPR_BR2!$A$4:$I$18,OPR_CR2!$A$4:$I$18,OPR_CR3!$A$4:$I$18,OPR_CR4!$A$4:$I$18,OPR_RIM!$A$4:$I$18,OPR_BPR!$A$4:$I$18),6,0),0))</f>
        <v/>
      </c>
      <c r="L55">
        <f>IF($A55="","",K55*D55)</f>
        <v/>
      </c>
      <c r="M55" s="16">
        <f>IF($A55="","",IF(AND(ISNUMBER(G55),G55&gt;=J55,G55&lt;=(J55+(L55/(IF(F55="Contract Workman",Settings!$K$5,Settings!$K$4))))),J55+(L55/(IF(F55="Contract Workman",Settings!$K$5,Settings!$K$4)))+(H55/(IF(F55="Contract Workman",Settings!$K$5,Settings!$K$4))),J55+(L55/(IF(F55="Contract Workman",Settings!$K$5,Settings!$K$4)))))</f>
        <v/>
      </c>
      <c r="N55">
        <f>IF($A55="","",IF(F55="Contract Workman",IF(AND(MOD(M55,1)&gt;=8/24,MOD(M55,1)&lt;20/24),"Shift S1","Shift S2"),IF(AND(MOD(M55,1)&gt;=7/24,MOD(M55,1)&lt;15/24),"Shift A",IF(AND(MOD(M55,1)&gt;=15/24,MOD(M55,1)&lt;23/24),"Shift B","Shift C"))))</f>
        <v/>
      </c>
      <c r="O55">
        <f>IF(B55="","",IF(IFERROR(ISNUMBER(SEARCH(TEXT(B55,"0"),VLOOKUP(E55,Machine_List!$B:$J,9,0))),FALSE),"✅ "&amp; E55,"❌ Sug: "&amp;IFERROR(INDEX(Machine_List!$B$50:$B$63,MATCH(1,(Machine_List!$H$50:$H$63&lt;=IFERROR(VLOOKUP($B55,OPR_BR1!$A$4:$K$18,10,0),0))*(Machine_List!$I$50:$I$63&gt;=IFERROR(VLOOKUP($B55,OPR_BR1!$A$4:$K$18,11,0),9999)),0)),"?")))</f>
        <v/>
      </c>
      <c r="P55">
        <f>IF(AND($A55&lt;&gt;"",P$3&gt;=$J55,P$3&lt;=$M55),1,"")</f>
        <v/>
      </c>
      <c r="Q55">
        <f>IF(AND($A55&lt;&gt;"",Q$3&gt;=$J55,Q$3&lt;=$M55),1,"")</f>
        <v/>
      </c>
      <c r="R55">
        <f>IF(AND($A55&lt;&gt;"",R$3&gt;=$J55,R$3&lt;=$M55),1,"")</f>
        <v/>
      </c>
      <c r="S55">
        <f>IF(AND($A55&lt;&gt;"",S$3&gt;=$J55,S$3&lt;=$M55),1,"")</f>
        <v/>
      </c>
      <c r="T55">
        <f>IF(AND($A55&lt;&gt;"",T$3&gt;=$J55,T$3&lt;=$M55),1,"")</f>
        <v/>
      </c>
      <c r="U55">
        <f>IF(AND($A55&lt;&gt;"",U$3&gt;=$J55,U$3&lt;=$M55),1,"")</f>
        <v/>
      </c>
      <c r="V55">
        <f>IF(AND($A55&lt;&gt;"",V$3&gt;=$J55,V$3&lt;=$M55),1,"")</f>
        <v/>
      </c>
      <c r="W55">
        <f>IF(AND($A55&lt;&gt;"",W$3&gt;=$J55,W$3&lt;=$M55),1,"")</f>
        <v/>
      </c>
      <c r="X55">
        <f>IF(AND($A55&lt;&gt;"",X$3&gt;=$J55,X$3&lt;=$M55),1,"")</f>
        <v/>
      </c>
      <c r="Y55">
        <f>IF(AND($A55&lt;&gt;"",Y$3&gt;=$J55,Y$3&lt;=$M55),1,"")</f>
        <v/>
      </c>
      <c r="Z55">
        <f>IF(AND($A55&lt;&gt;"",Z$3&gt;=$J55,Z$3&lt;=$M55),1,"")</f>
        <v/>
      </c>
      <c r="AA55">
        <f>IF(AND($A55&lt;&gt;"",AA$3&gt;=$J55,AA$3&lt;=$M55),1,"")</f>
        <v/>
      </c>
      <c r="AB55">
        <f>IF(AND($A55&lt;&gt;"",AB$3&gt;=$J55,AB$3&lt;=$M55),1,"")</f>
        <v/>
      </c>
      <c r="AC55">
        <f>IF(AND($A55&lt;&gt;"",AC$3&gt;=$J55,AC$3&lt;=$M55),1,"")</f>
        <v/>
      </c>
      <c r="AD55">
        <f>IF(AND($A55&lt;&gt;"",AD$3&gt;=$J55,AD$3&lt;=$M55),1,"")</f>
        <v/>
      </c>
      <c r="AE55">
        <f>IF(AND($A55&lt;&gt;"",AE$3&gt;=$J55,AE$3&lt;=$M55),1,"")</f>
        <v/>
      </c>
      <c r="AF55">
        <f>IF(AND($A55&lt;&gt;"",AF$3&gt;=$J55,AF$3&lt;=$M55),1,"")</f>
        <v/>
      </c>
      <c r="AG55">
        <f>IF(AND($A55&lt;&gt;"",AG$3&gt;=$J55,AG$3&lt;=$M55),1,"")</f>
        <v/>
      </c>
      <c r="AH55">
        <f>IF(AND($A55&lt;&gt;"",AH$3&gt;=$J55,AH$3&lt;=$M55),1,"")</f>
        <v/>
      </c>
      <c r="AI55">
        <f>IF(AND($A55&lt;&gt;"",AI$3&gt;=$J55,AI$3&lt;=$M55),1,"")</f>
        <v/>
      </c>
      <c r="AJ55">
        <f>IF(AND($A55&lt;&gt;"",AJ$3&gt;=$J55,AJ$3&lt;=$M55),1,"")</f>
        <v/>
      </c>
      <c r="AK55">
        <f>IF(AND($A55&lt;&gt;"",AK$3&gt;=$J55,AK$3&lt;=$M55),1,"")</f>
        <v/>
      </c>
      <c r="AL55">
        <f>IF(AND($A55&lt;&gt;"",AL$3&gt;=$J55,AL$3&lt;=$M55),1,"")</f>
        <v/>
      </c>
      <c r="AM55">
        <f>IF(AND($A55&lt;&gt;"",AM$3&gt;=$J55,AM$3&lt;=$M55),1,"")</f>
        <v/>
      </c>
      <c r="AN55">
        <f>IF(AND($A55&lt;&gt;"",AN$3&gt;=$J55,AN$3&lt;=$M55),1,"")</f>
        <v/>
      </c>
      <c r="AO55">
        <f>IF(AND($A55&lt;&gt;"",AO$3&gt;=$J55,AO$3&lt;=$M55),1,"")</f>
        <v/>
      </c>
      <c r="AP55">
        <f>IF(AND($A55&lt;&gt;"",AP$3&gt;=$J55,AP$3&lt;=$M55),1,"")</f>
        <v/>
      </c>
      <c r="AQ55">
        <f>IF(AND($A55&lt;&gt;"",AQ$3&gt;=$J55,AQ$3&lt;=$M55),1,"")</f>
        <v/>
      </c>
      <c r="AR55">
        <f>IF(AND($A55&lt;&gt;"",AR$3&gt;=$J55,AR$3&lt;=$M55),1,"")</f>
        <v/>
      </c>
      <c r="AS55">
        <f>IF(AND($A55&lt;&gt;"",AS$3&gt;=$J55,AS$3&lt;=$M55),1,"")</f>
        <v/>
      </c>
      <c r="AT55">
        <f>IF(AND($A55&lt;&gt;"",AT$3&gt;=$J55,AT$3&lt;=$M55),1,"")</f>
        <v/>
      </c>
      <c r="AU55">
        <f>IF(AND($A55&lt;&gt;"",AU$3&gt;=$J55,AU$3&lt;=$M55),1,"")</f>
        <v/>
      </c>
      <c r="AV55">
        <f>IF(AND($A55&lt;&gt;"",AV$3&gt;=$J55,AV$3&lt;=$M55),1,"")</f>
        <v/>
      </c>
      <c r="AW55">
        <f>IF(AND($A55&lt;&gt;"",AW$3&gt;=$J55,AW$3&lt;=$M55),1,"")</f>
        <v/>
      </c>
      <c r="AX55">
        <f>IF(AND($A55&lt;&gt;"",AX$3&gt;=$J55,AX$3&lt;=$M55),1,"")</f>
        <v/>
      </c>
      <c r="AY55">
        <f>IF(AND($A55&lt;&gt;"",AY$3&gt;=$J55,AY$3&lt;=$M55),1,"")</f>
        <v/>
      </c>
      <c r="AZ55">
        <f>IF(AND($A55&lt;&gt;"",AZ$3&gt;=$J55,AZ$3&lt;=$M55),1,"")</f>
        <v/>
      </c>
      <c r="BA55">
        <f>IF(AND($A55&lt;&gt;"",BA$3&gt;=$J55,BA$3&lt;=$M55),1,"")</f>
        <v/>
      </c>
      <c r="BB55">
        <f>IF(AND($A55&lt;&gt;"",BB$3&gt;=$J55,BB$3&lt;=$M55),1,"")</f>
        <v/>
      </c>
      <c r="BC55">
        <f>IF(AND($A55&lt;&gt;"",BC$3&gt;=$J55,BC$3&lt;=$M55),1,"")</f>
        <v/>
      </c>
      <c r="BD55">
        <f>IF(AND($A55&lt;&gt;"",BD$3&gt;=$J55,BD$3&lt;=$M55),1,"")</f>
        <v/>
      </c>
      <c r="BE55">
        <f>IF(AND($A55&lt;&gt;"",BE$3&gt;=$J55,BE$3&lt;=$M55),1,"")</f>
        <v/>
      </c>
      <c r="BF55">
        <f>IF(AND($A55&lt;&gt;"",BF$3&gt;=$J55,BF$3&lt;=$M55),1,"")</f>
        <v/>
      </c>
      <c r="BG55">
        <f>IF(AND($A55&lt;&gt;"",BG$3&gt;=$J55,BG$3&lt;=$M55),1,"")</f>
        <v/>
      </c>
      <c r="BH55">
        <f>IF(AND($A55&lt;&gt;"",BH$3&gt;=$J55,BH$3&lt;=$M55),1,"")</f>
        <v/>
      </c>
      <c r="BI55">
        <f>IF(AND($A55&lt;&gt;"",BI$3&gt;=$J55,BI$3&lt;=$M55),1,"")</f>
        <v/>
      </c>
      <c r="BJ55">
        <f>IF(AND($A55&lt;&gt;"",BJ$3&gt;=$J55,BJ$3&lt;=$M55),1,"")</f>
        <v/>
      </c>
      <c r="BK55">
        <f>IF(AND($A55&lt;&gt;"",BK$3&gt;=$J55,BK$3&lt;=$M55),1,"")</f>
        <v/>
      </c>
      <c r="BL55">
        <f>IF(AND($A55&lt;&gt;"",BL$3&gt;=$J55,BL$3&lt;=$M55),1,"")</f>
        <v/>
      </c>
      <c r="BM55">
        <f>IF(AND($A55&lt;&gt;"",BM$3&gt;=$J55,BM$3&lt;=$M55),1,"")</f>
        <v/>
      </c>
      <c r="BN55">
        <f>IF(AND($A55&lt;&gt;"",BN$3&gt;=$J55,BN$3&lt;=$M55),1,"")</f>
        <v/>
      </c>
      <c r="BO55">
        <f>IF(AND($A55&lt;&gt;"",BO$3&gt;=$J55,BO$3&lt;=$M55),1,"")</f>
        <v/>
      </c>
      <c r="BP55">
        <f>IF(AND($A55&lt;&gt;"",BP$3&gt;=$J55,BP$3&lt;=$M55),1,"")</f>
        <v/>
      </c>
      <c r="BQ55">
        <f>IF(AND($A55&lt;&gt;"",BQ$3&gt;=$J55,BQ$3&lt;=$M55),1,"")</f>
        <v/>
      </c>
      <c r="BR55">
        <f>IF(AND($A55&lt;&gt;"",BR$3&gt;=$J55,BR$3&lt;=$M55),1,"")</f>
        <v/>
      </c>
      <c r="BS55">
        <f>IF(AND($A55&lt;&gt;"",BS$3&gt;=$J55,BS$3&lt;=$M55),1,"")</f>
        <v/>
      </c>
      <c r="BT55">
        <f>IF(AND($A55&lt;&gt;"",BT$3&gt;=$J55,BT$3&lt;=$M55),1,"")</f>
        <v/>
      </c>
      <c r="BU55">
        <f>IF(AND($A55&lt;&gt;"",BU$3&gt;=$J55,BU$3&lt;=$M55),1,"")</f>
        <v/>
      </c>
      <c r="BV55">
        <f>IF(AND($A55&lt;&gt;"",BV$3&gt;=$J55,BV$3&lt;=$M55),1,"")</f>
        <v/>
      </c>
    </row>
    <row r="56">
      <c r="A56">
        <f>IF(Job_Master_Ring!$A56="","",Job_Master_Ring!$A56)</f>
        <v/>
      </c>
      <c r="B56">
        <f>IF($A56="","",Job_Master_Ring!B56)</f>
        <v/>
      </c>
      <c r="C56">
        <f>IF($A56="","",Job_Master_Ring!C56)</f>
        <v/>
      </c>
      <c r="D56">
        <f>IF($A56="","",Job_Master_Ring!D56)</f>
        <v/>
      </c>
      <c r="E56">
        <f>IF($A56="","",IF($I56&lt;&gt;"",$I56,IFERROR(INDEX(Machine_List!$B$50:$B$63,MATCH(1,(Machine_List!$H$50:$H$63&lt;=IFERROR(VLOOKUP($B56,CHOOSE(MATCH($C56,Settings!$L$4:$L$10,0),OPR_BR1!$A$4:$K$18,OPR_BR2!$A$4:$K$18,OPR_CR2!$A$4:$K$18,OPR_CR3!$A$4:$K$18,OPR_CR4!$A$4:$K$18,OPR_RIM!$A$4:$K$18,OPR_BPR!$A$4:$K$18),10,0),0))*(Machine_List!$I$50:$I$63&gt;=IFERROR(VLOOKUP($B56,CHOOSE(MATCH($C56,Settings!$L$4:$L$10,0),OPR_BR1!$A$4:$K$18,OPR_BR2!$A$4:$K$18,OPR_CR2!$A$4:$K$18,OPR_CR3!$A$4:$K$18,OPR_CR4!$A$4:$K$18,OPR_RIM!$A$4:$K$18,OPR_BPR!$A$4:$K$18),11,0),9999)),0)),"NO COMPATIBLE MACHINE")))</f>
        <v/>
      </c>
      <c r="F56">
        <f>IF($E56="","",IFERROR(VLOOKUP($E56,Machine_List!$B:$G,6,0),""))</f>
        <v/>
      </c>
      <c r="G56" s="17">
        <f>IF($E56="","",IFERROR(VLOOKUP($E56,Machine_List!$B:$C,2,0),""))</f>
        <v/>
      </c>
      <c r="H56">
        <f>IF($E56="","",IFERROR(VLOOKUP($E56,Machine_List!$B:$D,3,0),""))</f>
        <v/>
      </c>
      <c r="J56" s="16">
        <f>IF($A56="","",IF($I56&lt;&gt;"",$I56,MAX(CNC_Plan!$M56,IFERROR(LOOKUP(2,1/($E$3:INDIRECT("E"&amp;(ROW()-1))=$E56),$M$3:INDIRECT("M"&amp;(ROW()-1))),CNC_Plan!$M56))))</f>
        <v/>
      </c>
      <c r="K56">
        <f>IF($A56="","",IFERROR(VLOOKUP(B56,CHOOSE(MATCH($C56,Settings!$L$4:$L$10,0),OPR_BR1!$A$4:$I$18,OPR_BR2!$A$4:$I$18,OPR_CR2!$A$4:$I$18,OPR_CR3!$A$4:$I$18,OPR_CR4!$A$4:$I$18,OPR_RIM!$A$4:$I$18,OPR_BPR!$A$4:$I$18),6,0),0))</f>
        <v/>
      </c>
      <c r="L56">
        <f>IF($A56="","",K56*D56)</f>
        <v/>
      </c>
      <c r="M56" s="16">
        <f>IF($A56="","",IF(AND(ISNUMBER(G56),G56&gt;=J56,G56&lt;=(J56+(L56/(IF(F56="Contract Workman",Settings!$K$5,Settings!$K$4))))),J56+(L56/(IF(F56="Contract Workman",Settings!$K$5,Settings!$K$4)))+(H56/(IF(F56="Contract Workman",Settings!$K$5,Settings!$K$4))),J56+(L56/(IF(F56="Contract Workman",Settings!$K$5,Settings!$K$4)))))</f>
        <v/>
      </c>
      <c r="N56">
        <f>IF($A56="","",IF(F56="Contract Workman",IF(AND(MOD(M56,1)&gt;=8/24,MOD(M56,1)&lt;20/24),"Shift S1","Shift S2"),IF(AND(MOD(M56,1)&gt;=7/24,MOD(M56,1)&lt;15/24),"Shift A",IF(AND(MOD(M56,1)&gt;=15/24,MOD(M56,1)&lt;23/24),"Shift B","Shift C"))))</f>
        <v/>
      </c>
      <c r="O56">
        <f>IF(B56="","",IF(IFERROR(ISNUMBER(SEARCH(TEXT(B56,"0"),VLOOKUP(E56,Machine_List!$B:$J,9,0))),FALSE),"✅ "&amp; E56,"❌ Sug: "&amp;IFERROR(INDEX(Machine_List!$B$50:$B$63,MATCH(1,(Machine_List!$H$50:$H$63&lt;=IFERROR(VLOOKUP($B56,OPR_BR1!$A$4:$K$18,10,0),0))*(Machine_List!$I$50:$I$63&gt;=IFERROR(VLOOKUP($B56,OPR_BR1!$A$4:$K$18,11,0),9999)),0)),"?")))</f>
        <v/>
      </c>
      <c r="P56">
        <f>IF(AND($A56&lt;&gt;"",P$3&gt;=$J56,P$3&lt;=$M56),1,"")</f>
        <v/>
      </c>
      <c r="Q56">
        <f>IF(AND($A56&lt;&gt;"",Q$3&gt;=$J56,Q$3&lt;=$M56),1,"")</f>
        <v/>
      </c>
      <c r="R56">
        <f>IF(AND($A56&lt;&gt;"",R$3&gt;=$J56,R$3&lt;=$M56),1,"")</f>
        <v/>
      </c>
      <c r="S56">
        <f>IF(AND($A56&lt;&gt;"",S$3&gt;=$J56,S$3&lt;=$M56),1,"")</f>
        <v/>
      </c>
      <c r="T56">
        <f>IF(AND($A56&lt;&gt;"",T$3&gt;=$J56,T$3&lt;=$M56),1,"")</f>
        <v/>
      </c>
      <c r="U56">
        <f>IF(AND($A56&lt;&gt;"",U$3&gt;=$J56,U$3&lt;=$M56),1,"")</f>
        <v/>
      </c>
      <c r="V56">
        <f>IF(AND($A56&lt;&gt;"",V$3&gt;=$J56,V$3&lt;=$M56),1,"")</f>
        <v/>
      </c>
      <c r="W56">
        <f>IF(AND($A56&lt;&gt;"",W$3&gt;=$J56,W$3&lt;=$M56),1,"")</f>
        <v/>
      </c>
      <c r="X56">
        <f>IF(AND($A56&lt;&gt;"",X$3&gt;=$J56,X$3&lt;=$M56),1,"")</f>
        <v/>
      </c>
      <c r="Y56">
        <f>IF(AND($A56&lt;&gt;"",Y$3&gt;=$J56,Y$3&lt;=$M56),1,"")</f>
        <v/>
      </c>
      <c r="Z56">
        <f>IF(AND($A56&lt;&gt;"",Z$3&gt;=$J56,Z$3&lt;=$M56),1,"")</f>
        <v/>
      </c>
      <c r="AA56">
        <f>IF(AND($A56&lt;&gt;"",AA$3&gt;=$J56,AA$3&lt;=$M56),1,"")</f>
        <v/>
      </c>
      <c r="AB56">
        <f>IF(AND($A56&lt;&gt;"",AB$3&gt;=$J56,AB$3&lt;=$M56),1,"")</f>
        <v/>
      </c>
      <c r="AC56">
        <f>IF(AND($A56&lt;&gt;"",AC$3&gt;=$J56,AC$3&lt;=$M56),1,"")</f>
        <v/>
      </c>
      <c r="AD56">
        <f>IF(AND($A56&lt;&gt;"",AD$3&gt;=$J56,AD$3&lt;=$M56),1,"")</f>
        <v/>
      </c>
      <c r="AE56">
        <f>IF(AND($A56&lt;&gt;"",AE$3&gt;=$J56,AE$3&lt;=$M56),1,"")</f>
        <v/>
      </c>
      <c r="AF56">
        <f>IF(AND($A56&lt;&gt;"",AF$3&gt;=$J56,AF$3&lt;=$M56),1,"")</f>
        <v/>
      </c>
      <c r="AG56">
        <f>IF(AND($A56&lt;&gt;"",AG$3&gt;=$J56,AG$3&lt;=$M56),1,"")</f>
        <v/>
      </c>
      <c r="AH56">
        <f>IF(AND($A56&lt;&gt;"",AH$3&gt;=$J56,AH$3&lt;=$M56),1,"")</f>
        <v/>
      </c>
      <c r="AI56">
        <f>IF(AND($A56&lt;&gt;"",AI$3&gt;=$J56,AI$3&lt;=$M56),1,"")</f>
        <v/>
      </c>
      <c r="AJ56">
        <f>IF(AND($A56&lt;&gt;"",AJ$3&gt;=$J56,AJ$3&lt;=$M56),1,"")</f>
        <v/>
      </c>
      <c r="AK56">
        <f>IF(AND($A56&lt;&gt;"",AK$3&gt;=$J56,AK$3&lt;=$M56),1,"")</f>
        <v/>
      </c>
      <c r="AL56">
        <f>IF(AND($A56&lt;&gt;"",AL$3&gt;=$J56,AL$3&lt;=$M56),1,"")</f>
        <v/>
      </c>
      <c r="AM56">
        <f>IF(AND($A56&lt;&gt;"",AM$3&gt;=$J56,AM$3&lt;=$M56),1,"")</f>
        <v/>
      </c>
      <c r="AN56">
        <f>IF(AND($A56&lt;&gt;"",AN$3&gt;=$J56,AN$3&lt;=$M56),1,"")</f>
        <v/>
      </c>
      <c r="AO56">
        <f>IF(AND($A56&lt;&gt;"",AO$3&gt;=$J56,AO$3&lt;=$M56),1,"")</f>
        <v/>
      </c>
      <c r="AP56">
        <f>IF(AND($A56&lt;&gt;"",AP$3&gt;=$J56,AP$3&lt;=$M56),1,"")</f>
        <v/>
      </c>
      <c r="AQ56">
        <f>IF(AND($A56&lt;&gt;"",AQ$3&gt;=$J56,AQ$3&lt;=$M56),1,"")</f>
        <v/>
      </c>
      <c r="AR56">
        <f>IF(AND($A56&lt;&gt;"",AR$3&gt;=$J56,AR$3&lt;=$M56),1,"")</f>
        <v/>
      </c>
      <c r="AS56">
        <f>IF(AND($A56&lt;&gt;"",AS$3&gt;=$J56,AS$3&lt;=$M56),1,"")</f>
        <v/>
      </c>
      <c r="AT56">
        <f>IF(AND($A56&lt;&gt;"",AT$3&gt;=$J56,AT$3&lt;=$M56),1,"")</f>
        <v/>
      </c>
      <c r="AU56">
        <f>IF(AND($A56&lt;&gt;"",AU$3&gt;=$J56,AU$3&lt;=$M56),1,"")</f>
        <v/>
      </c>
      <c r="AV56">
        <f>IF(AND($A56&lt;&gt;"",AV$3&gt;=$J56,AV$3&lt;=$M56),1,"")</f>
        <v/>
      </c>
      <c r="AW56">
        <f>IF(AND($A56&lt;&gt;"",AW$3&gt;=$J56,AW$3&lt;=$M56),1,"")</f>
        <v/>
      </c>
      <c r="AX56">
        <f>IF(AND($A56&lt;&gt;"",AX$3&gt;=$J56,AX$3&lt;=$M56),1,"")</f>
        <v/>
      </c>
      <c r="AY56">
        <f>IF(AND($A56&lt;&gt;"",AY$3&gt;=$J56,AY$3&lt;=$M56),1,"")</f>
        <v/>
      </c>
      <c r="AZ56">
        <f>IF(AND($A56&lt;&gt;"",AZ$3&gt;=$J56,AZ$3&lt;=$M56),1,"")</f>
        <v/>
      </c>
      <c r="BA56">
        <f>IF(AND($A56&lt;&gt;"",BA$3&gt;=$J56,BA$3&lt;=$M56),1,"")</f>
        <v/>
      </c>
      <c r="BB56">
        <f>IF(AND($A56&lt;&gt;"",BB$3&gt;=$J56,BB$3&lt;=$M56),1,"")</f>
        <v/>
      </c>
      <c r="BC56">
        <f>IF(AND($A56&lt;&gt;"",BC$3&gt;=$J56,BC$3&lt;=$M56),1,"")</f>
        <v/>
      </c>
      <c r="BD56">
        <f>IF(AND($A56&lt;&gt;"",BD$3&gt;=$J56,BD$3&lt;=$M56),1,"")</f>
        <v/>
      </c>
      <c r="BE56">
        <f>IF(AND($A56&lt;&gt;"",BE$3&gt;=$J56,BE$3&lt;=$M56),1,"")</f>
        <v/>
      </c>
      <c r="BF56">
        <f>IF(AND($A56&lt;&gt;"",BF$3&gt;=$J56,BF$3&lt;=$M56),1,"")</f>
        <v/>
      </c>
      <c r="BG56">
        <f>IF(AND($A56&lt;&gt;"",BG$3&gt;=$J56,BG$3&lt;=$M56),1,"")</f>
        <v/>
      </c>
      <c r="BH56">
        <f>IF(AND($A56&lt;&gt;"",BH$3&gt;=$J56,BH$3&lt;=$M56),1,"")</f>
        <v/>
      </c>
      <c r="BI56">
        <f>IF(AND($A56&lt;&gt;"",BI$3&gt;=$J56,BI$3&lt;=$M56),1,"")</f>
        <v/>
      </c>
      <c r="BJ56">
        <f>IF(AND($A56&lt;&gt;"",BJ$3&gt;=$J56,BJ$3&lt;=$M56),1,"")</f>
        <v/>
      </c>
      <c r="BK56">
        <f>IF(AND($A56&lt;&gt;"",BK$3&gt;=$J56,BK$3&lt;=$M56),1,"")</f>
        <v/>
      </c>
      <c r="BL56">
        <f>IF(AND($A56&lt;&gt;"",BL$3&gt;=$J56,BL$3&lt;=$M56),1,"")</f>
        <v/>
      </c>
      <c r="BM56">
        <f>IF(AND($A56&lt;&gt;"",BM$3&gt;=$J56,BM$3&lt;=$M56),1,"")</f>
        <v/>
      </c>
      <c r="BN56">
        <f>IF(AND($A56&lt;&gt;"",BN$3&gt;=$J56,BN$3&lt;=$M56),1,"")</f>
        <v/>
      </c>
      <c r="BO56">
        <f>IF(AND($A56&lt;&gt;"",BO$3&gt;=$J56,BO$3&lt;=$M56),1,"")</f>
        <v/>
      </c>
      <c r="BP56">
        <f>IF(AND($A56&lt;&gt;"",BP$3&gt;=$J56,BP$3&lt;=$M56),1,"")</f>
        <v/>
      </c>
      <c r="BQ56">
        <f>IF(AND($A56&lt;&gt;"",BQ$3&gt;=$J56,BQ$3&lt;=$M56),1,"")</f>
        <v/>
      </c>
      <c r="BR56">
        <f>IF(AND($A56&lt;&gt;"",BR$3&gt;=$J56,BR$3&lt;=$M56),1,"")</f>
        <v/>
      </c>
      <c r="BS56">
        <f>IF(AND($A56&lt;&gt;"",BS$3&gt;=$J56,BS$3&lt;=$M56),1,"")</f>
        <v/>
      </c>
      <c r="BT56">
        <f>IF(AND($A56&lt;&gt;"",BT$3&gt;=$J56,BT$3&lt;=$M56),1,"")</f>
        <v/>
      </c>
      <c r="BU56">
        <f>IF(AND($A56&lt;&gt;"",BU$3&gt;=$J56,BU$3&lt;=$M56),1,"")</f>
        <v/>
      </c>
      <c r="BV56">
        <f>IF(AND($A56&lt;&gt;"",BV$3&gt;=$J56,BV$3&lt;=$M56),1,"")</f>
        <v/>
      </c>
    </row>
    <row r="57">
      <c r="A57">
        <f>IF(Job_Master_Ring!$A57="","",Job_Master_Ring!$A57)</f>
        <v/>
      </c>
      <c r="B57">
        <f>IF($A57="","",Job_Master_Ring!B57)</f>
        <v/>
      </c>
      <c r="C57">
        <f>IF($A57="","",Job_Master_Ring!C57)</f>
        <v/>
      </c>
      <c r="D57">
        <f>IF($A57="","",Job_Master_Ring!D57)</f>
        <v/>
      </c>
      <c r="E57">
        <f>IF($A57="","",IF($I57&lt;&gt;"",$I57,IFERROR(INDEX(Machine_List!$B$50:$B$63,MATCH(1,(Machine_List!$H$50:$H$63&lt;=IFERROR(VLOOKUP($B57,CHOOSE(MATCH($C57,Settings!$L$4:$L$10,0),OPR_BR1!$A$4:$K$18,OPR_BR2!$A$4:$K$18,OPR_CR2!$A$4:$K$18,OPR_CR3!$A$4:$K$18,OPR_CR4!$A$4:$K$18,OPR_RIM!$A$4:$K$18,OPR_BPR!$A$4:$K$18),10,0),0))*(Machine_List!$I$50:$I$63&gt;=IFERROR(VLOOKUP($B57,CHOOSE(MATCH($C57,Settings!$L$4:$L$10,0),OPR_BR1!$A$4:$K$18,OPR_BR2!$A$4:$K$18,OPR_CR2!$A$4:$K$18,OPR_CR3!$A$4:$K$18,OPR_CR4!$A$4:$K$18,OPR_RIM!$A$4:$K$18,OPR_BPR!$A$4:$K$18),11,0),9999)),0)),"NO COMPATIBLE MACHINE")))</f>
        <v/>
      </c>
      <c r="F57">
        <f>IF($E57="","",IFERROR(VLOOKUP($E57,Machine_List!$B:$G,6,0),""))</f>
        <v/>
      </c>
      <c r="G57" s="17">
        <f>IF($E57="","",IFERROR(VLOOKUP($E57,Machine_List!$B:$C,2,0),""))</f>
        <v/>
      </c>
      <c r="H57">
        <f>IF($E57="","",IFERROR(VLOOKUP($E57,Machine_List!$B:$D,3,0),""))</f>
        <v/>
      </c>
      <c r="J57" s="16">
        <f>IF($A57="","",IF($I57&lt;&gt;"",$I57,MAX(CNC_Plan!$M57,IFERROR(LOOKUP(2,1/($E$3:INDIRECT("E"&amp;(ROW()-1))=$E57),$M$3:INDIRECT("M"&amp;(ROW()-1))),CNC_Plan!$M57))))</f>
        <v/>
      </c>
      <c r="K57">
        <f>IF($A57="","",IFERROR(VLOOKUP(B57,CHOOSE(MATCH($C57,Settings!$L$4:$L$10,0),OPR_BR1!$A$4:$I$18,OPR_BR2!$A$4:$I$18,OPR_CR2!$A$4:$I$18,OPR_CR3!$A$4:$I$18,OPR_CR4!$A$4:$I$18,OPR_RIM!$A$4:$I$18,OPR_BPR!$A$4:$I$18),6,0),0))</f>
        <v/>
      </c>
      <c r="L57">
        <f>IF($A57="","",K57*D57)</f>
        <v/>
      </c>
      <c r="M57" s="16">
        <f>IF($A57="","",IF(AND(ISNUMBER(G57),G57&gt;=J57,G57&lt;=(J57+(L57/(IF(F57="Contract Workman",Settings!$K$5,Settings!$K$4))))),J57+(L57/(IF(F57="Contract Workman",Settings!$K$5,Settings!$K$4)))+(H57/(IF(F57="Contract Workman",Settings!$K$5,Settings!$K$4))),J57+(L57/(IF(F57="Contract Workman",Settings!$K$5,Settings!$K$4)))))</f>
        <v/>
      </c>
      <c r="N57">
        <f>IF($A57="","",IF(F57="Contract Workman",IF(AND(MOD(M57,1)&gt;=8/24,MOD(M57,1)&lt;20/24),"Shift S1","Shift S2"),IF(AND(MOD(M57,1)&gt;=7/24,MOD(M57,1)&lt;15/24),"Shift A",IF(AND(MOD(M57,1)&gt;=15/24,MOD(M57,1)&lt;23/24),"Shift B","Shift C"))))</f>
        <v/>
      </c>
      <c r="O57">
        <f>IF(B57="","",IF(IFERROR(ISNUMBER(SEARCH(TEXT(B57,"0"),VLOOKUP(E57,Machine_List!$B:$J,9,0))),FALSE),"✅ "&amp; E57,"❌ Sug: "&amp;IFERROR(INDEX(Machine_List!$B$50:$B$63,MATCH(1,(Machine_List!$H$50:$H$63&lt;=IFERROR(VLOOKUP($B57,OPR_BR1!$A$4:$K$18,10,0),0))*(Machine_List!$I$50:$I$63&gt;=IFERROR(VLOOKUP($B57,OPR_BR1!$A$4:$K$18,11,0),9999)),0)),"?")))</f>
        <v/>
      </c>
      <c r="P57">
        <f>IF(AND($A57&lt;&gt;"",P$3&gt;=$J57,P$3&lt;=$M57),1,"")</f>
        <v/>
      </c>
      <c r="Q57">
        <f>IF(AND($A57&lt;&gt;"",Q$3&gt;=$J57,Q$3&lt;=$M57),1,"")</f>
        <v/>
      </c>
      <c r="R57">
        <f>IF(AND($A57&lt;&gt;"",R$3&gt;=$J57,R$3&lt;=$M57),1,"")</f>
        <v/>
      </c>
      <c r="S57">
        <f>IF(AND($A57&lt;&gt;"",S$3&gt;=$J57,S$3&lt;=$M57),1,"")</f>
        <v/>
      </c>
      <c r="T57">
        <f>IF(AND($A57&lt;&gt;"",T$3&gt;=$J57,T$3&lt;=$M57),1,"")</f>
        <v/>
      </c>
      <c r="U57">
        <f>IF(AND($A57&lt;&gt;"",U$3&gt;=$J57,U$3&lt;=$M57),1,"")</f>
        <v/>
      </c>
      <c r="V57">
        <f>IF(AND($A57&lt;&gt;"",V$3&gt;=$J57,V$3&lt;=$M57),1,"")</f>
        <v/>
      </c>
      <c r="W57">
        <f>IF(AND($A57&lt;&gt;"",W$3&gt;=$J57,W$3&lt;=$M57),1,"")</f>
        <v/>
      </c>
      <c r="X57">
        <f>IF(AND($A57&lt;&gt;"",X$3&gt;=$J57,X$3&lt;=$M57),1,"")</f>
        <v/>
      </c>
      <c r="Y57">
        <f>IF(AND($A57&lt;&gt;"",Y$3&gt;=$J57,Y$3&lt;=$M57),1,"")</f>
        <v/>
      </c>
      <c r="Z57">
        <f>IF(AND($A57&lt;&gt;"",Z$3&gt;=$J57,Z$3&lt;=$M57),1,"")</f>
        <v/>
      </c>
      <c r="AA57">
        <f>IF(AND($A57&lt;&gt;"",AA$3&gt;=$J57,AA$3&lt;=$M57),1,"")</f>
        <v/>
      </c>
      <c r="AB57">
        <f>IF(AND($A57&lt;&gt;"",AB$3&gt;=$J57,AB$3&lt;=$M57),1,"")</f>
        <v/>
      </c>
      <c r="AC57">
        <f>IF(AND($A57&lt;&gt;"",AC$3&gt;=$J57,AC$3&lt;=$M57),1,"")</f>
        <v/>
      </c>
      <c r="AD57">
        <f>IF(AND($A57&lt;&gt;"",AD$3&gt;=$J57,AD$3&lt;=$M57),1,"")</f>
        <v/>
      </c>
      <c r="AE57">
        <f>IF(AND($A57&lt;&gt;"",AE$3&gt;=$J57,AE$3&lt;=$M57),1,"")</f>
        <v/>
      </c>
      <c r="AF57">
        <f>IF(AND($A57&lt;&gt;"",AF$3&gt;=$J57,AF$3&lt;=$M57),1,"")</f>
        <v/>
      </c>
      <c r="AG57">
        <f>IF(AND($A57&lt;&gt;"",AG$3&gt;=$J57,AG$3&lt;=$M57),1,"")</f>
        <v/>
      </c>
      <c r="AH57">
        <f>IF(AND($A57&lt;&gt;"",AH$3&gt;=$J57,AH$3&lt;=$M57),1,"")</f>
        <v/>
      </c>
      <c r="AI57">
        <f>IF(AND($A57&lt;&gt;"",AI$3&gt;=$J57,AI$3&lt;=$M57),1,"")</f>
        <v/>
      </c>
      <c r="AJ57">
        <f>IF(AND($A57&lt;&gt;"",AJ$3&gt;=$J57,AJ$3&lt;=$M57),1,"")</f>
        <v/>
      </c>
      <c r="AK57">
        <f>IF(AND($A57&lt;&gt;"",AK$3&gt;=$J57,AK$3&lt;=$M57),1,"")</f>
        <v/>
      </c>
      <c r="AL57">
        <f>IF(AND($A57&lt;&gt;"",AL$3&gt;=$J57,AL$3&lt;=$M57),1,"")</f>
        <v/>
      </c>
      <c r="AM57">
        <f>IF(AND($A57&lt;&gt;"",AM$3&gt;=$J57,AM$3&lt;=$M57),1,"")</f>
        <v/>
      </c>
      <c r="AN57">
        <f>IF(AND($A57&lt;&gt;"",AN$3&gt;=$J57,AN$3&lt;=$M57),1,"")</f>
        <v/>
      </c>
      <c r="AO57">
        <f>IF(AND($A57&lt;&gt;"",AO$3&gt;=$J57,AO$3&lt;=$M57),1,"")</f>
        <v/>
      </c>
      <c r="AP57">
        <f>IF(AND($A57&lt;&gt;"",AP$3&gt;=$J57,AP$3&lt;=$M57),1,"")</f>
        <v/>
      </c>
      <c r="AQ57">
        <f>IF(AND($A57&lt;&gt;"",AQ$3&gt;=$J57,AQ$3&lt;=$M57),1,"")</f>
        <v/>
      </c>
      <c r="AR57">
        <f>IF(AND($A57&lt;&gt;"",AR$3&gt;=$J57,AR$3&lt;=$M57),1,"")</f>
        <v/>
      </c>
      <c r="AS57">
        <f>IF(AND($A57&lt;&gt;"",AS$3&gt;=$J57,AS$3&lt;=$M57),1,"")</f>
        <v/>
      </c>
      <c r="AT57">
        <f>IF(AND($A57&lt;&gt;"",AT$3&gt;=$J57,AT$3&lt;=$M57),1,"")</f>
        <v/>
      </c>
      <c r="AU57">
        <f>IF(AND($A57&lt;&gt;"",AU$3&gt;=$J57,AU$3&lt;=$M57),1,"")</f>
        <v/>
      </c>
      <c r="AV57">
        <f>IF(AND($A57&lt;&gt;"",AV$3&gt;=$J57,AV$3&lt;=$M57),1,"")</f>
        <v/>
      </c>
      <c r="AW57">
        <f>IF(AND($A57&lt;&gt;"",AW$3&gt;=$J57,AW$3&lt;=$M57),1,"")</f>
        <v/>
      </c>
      <c r="AX57">
        <f>IF(AND($A57&lt;&gt;"",AX$3&gt;=$J57,AX$3&lt;=$M57),1,"")</f>
        <v/>
      </c>
      <c r="AY57">
        <f>IF(AND($A57&lt;&gt;"",AY$3&gt;=$J57,AY$3&lt;=$M57),1,"")</f>
        <v/>
      </c>
      <c r="AZ57">
        <f>IF(AND($A57&lt;&gt;"",AZ$3&gt;=$J57,AZ$3&lt;=$M57),1,"")</f>
        <v/>
      </c>
      <c r="BA57">
        <f>IF(AND($A57&lt;&gt;"",BA$3&gt;=$J57,BA$3&lt;=$M57),1,"")</f>
        <v/>
      </c>
      <c r="BB57">
        <f>IF(AND($A57&lt;&gt;"",BB$3&gt;=$J57,BB$3&lt;=$M57),1,"")</f>
        <v/>
      </c>
      <c r="BC57">
        <f>IF(AND($A57&lt;&gt;"",BC$3&gt;=$J57,BC$3&lt;=$M57),1,"")</f>
        <v/>
      </c>
      <c r="BD57">
        <f>IF(AND($A57&lt;&gt;"",BD$3&gt;=$J57,BD$3&lt;=$M57),1,"")</f>
        <v/>
      </c>
      <c r="BE57">
        <f>IF(AND($A57&lt;&gt;"",BE$3&gt;=$J57,BE$3&lt;=$M57),1,"")</f>
        <v/>
      </c>
      <c r="BF57">
        <f>IF(AND($A57&lt;&gt;"",BF$3&gt;=$J57,BF$3&lt;=$M57),1,"")</f>
        <v/>
      </c>
      <c r="BG57">
        <f>IF(AND($A57&lt;&gt;"",BG$3&gt;=$J57,BG$3&lt;=$M57),1,"")</f>
        <v/>
      </c>
      <c r="BH57">
        <f>IF(AND($A57&lt;&gt;"",BH$3&gt;=$J57,BH$3&lt;=$M57),1,"")</f>
        <v/>
      </c>
      <c r="BI57">
        <f>IF(AND($A57&lt;&gt;"",BI$3&gt;=$J57,BI$3&lt;=$M57),1,"")</f>
        <v/>
      </c>
      <c r="BJ57">
        <f>IF(AND($A57&lt;&gt;"",BJ$3&gt;=$J57,BJ$3&lt;=$M57),1,"")</f>
        <v/>
      </c>
      <c r="BK57">
        <f>IF(AND($A57&lt;&gt;"",BK$3&gt;=$J57,BK$3&lt;=$M57),1,"")</f>
        <v/>
      </c>
      <c r="BL57">
        <f>IF(AND($A57&lt;&gt;"",BL$3&gt;=$J57,BL$3&lt;=$M57),1,"")</f>
        <v/>
      </c>
      <c r="BM57">
        <f>IF(AND($A57&lt;&gt;"",BM$3&gt;=$J57,BM$3&lt;=$M57),1,"")</f>
        <v/>
      </c>
      <c r="BN57">
        <f>IF(AND($A57&lt;&gt;"",BN$3&gt;=$J57,BN$3&lt;=$M57),1,"")</f>
        <v/>
      </c>
      <c r="BO57">
        <f>IF(AND($A57&lt;&gt;"",BO$3&gt;=$J57,BO$3&lt;=$M57),1,"")</f>
        <v/>
      </c>
      <c r="BP57">
        <f>IF(AND($A57&lt;&gt;"",BP$3&gt;=$J57,BP$3&lt;=$M57),1,"")</f>
        <v/>
      </c>
      <c r="BQ57">
        <f>IF(AND($A57&lt;&gt;"",BQ$3&gt;=$J57,BQ$3&lt;=$M57),1,"")</f>
        <v/>
      </c>
      <c r="BR57">
        <f>IF(AND($A57&lt;&gt;"",BR$3&gt;=$J57,BR$3&lt;=$M57),1,"")</f>
        <v/>
      </c>
      <c r="BS57">
        <f>IF(AND($A57&lt;&gt;"",BS$3&gt;=$J57,BS$3&lt;=$M57),1,"")</f>
        <v/>
      </c>
      <c r="BT57">
        <f>IF(AND($A57&lt;&gt;"",BT$3&gt;=$J57,BT$3&lt;=$M57),1,"")</f>
        <v/>
      </c>
      <c r="BU57">
        <f>IF(AND($A57&lt;&gt;"",BU$3&gt;=$J57,BU$3&lt;=$M57),1,"")</f>
        <v/>
      </c>
      <c r="BV57">
        <f>IF(AND($A57&lt;&gt;"",BV$3&gt;=$J57,BV$3&lt;=$M57),1,"")</f>
        <v/>
      </c>
    </row>
    <row r="58">
      <c r="A58">
        <f>IF(Job_Master_Ring!$A58="","",Job_Master_Ring!$A58)</f>
        <v/>
      </c>
      <c r="B58">
        <f>IF($A58="","",Job_Master_Ring!B58)</f>
        <v/>
      </c>
      <c r="C58">
        <f>IF($A58="","",Job_Master_Ring!C58)</f>
        <v/>
      </c>
      <c r="D58">
        <f>IF($A58="","",Job_Master_Ring!D58)</f>
        <v/>
      </c>
      <c r="E58">
        <f>IF($A58="","",IF($I58&lt;&gt;"",$I58,IFERROR(INDEX(Machine_List!$B$50:$B$63,MATCH(1,(Machine_List!$H$50:$H$63&lt;=IFERROR(VLOOKUP($B58,CHOOSE(MATCH($C58,Settings!$L$4:$L$10,0),OPR_BR1!$A$4:$K$18,OPR_BR2!$A$4:$K$18,OPR_CR2!$A$4:$K$18,OPR_CR3!$A$4:$K$18,OPR_CR4!$A$4:$K$18,OPR_RIM!$A$4:$K$18,OPR_BPR!$A$4:$K$18),10,0),0))*(Machine_List!$I$50:$I$63&gt;=IFERROR(VLOOKUP($B58,CHOOSE(MATCH($C58,Settings!$L$4:$L$10,0),OPR_BR1!$A$4:$K$18,OPR_BR2!$A$4:$K$18,OPR_CR2!$A$4:$K$18,OPR_CR3!$A$4:$K$18,OPR_CR4!$A$4:$K$18,OPR_RIM!$A$4:$K$18,OPR_BPR!$A$4:$K$18),11,0),9999)),0)),"NO COMPATIBLE MACHINE")))</f>
        <v/>
      </c>
      <c r="F58">
        <f>IF($E58="","",IFERROR(VLOOKUP($E58,Machine_List!$B:$G,6,0),""))</f>
        <v/>
      </c>
      <c r="G58" s="17">
        <f>IF($E58="","",IFERROR(VLOOKUP($E58,Machine_List!$B:$C,2,0),""))</f>
        <v/>
      </c>
      <c r="H58">
        <f>IF($E58="","",IFERROR(VLOOKUP($E58,Machine_List!$B:$D,3,0),""))</f>
        <v/>
      </c>
      <c r="J58" s="16">
        <f>IF($A58="","",IF($I58&lt;&gt;"",$I58,MAX(CNC_Plan!$M58,IFERROR(LOOKUP(2,1/($E$3:INDIRECT("E"&amp;(ROW()-1))=$E58),$M$3:INDIRECT("M"&amp;(ROW()-1))),CNC_Plan!$M58))))</f>
        <v/>
      </c>
      <c r="K58">
        <f>IF($A58="","",IFERROR(VLOOKUP(B58,CHOOSE(MATCH($C58,Settings!$L$4:$L$10,0),OPR_BR1!$A$4:$I$18,OPR_BR2!$A$4:$I$18,OPR_CR2!$A$4:$I$18,OPR_CR3!$A$4:$I$18,OPR_CR4!$A$4:$I$18,OPR_RIM!$A$4:$I$18,OPR_BPR!$A$4:$I$18),6,0),0))</f>
        <v/>
      </c>
      <c r="L58">
        <f>IF($A58="","",K58*D58)</f>
        <v/>
      </c>
      <c r="M58" s="16">
        <f>IF($A58="","",IF(AND(ISNUMBER(G58),G58&gt;=J58,G58&lt;=(J58+(L58/(IF(F58="Contract Workman",Settings!$K$5,Settings!$K$4))))),J58+(L58/(IF(F58="Contract Workman",Settings!$K$5,Settings!$K$4)))+(H58/(IF(F58="Contract Workman",Settings!$K$5,Settings!$K$4))),J58+(L58/(IF(F58="Contract Workman",Settings!$K$5,Settings!$K$4)))))</f>
        <v/>
      </c>
      <c r="N58">
        <f>IF($A58="","",IF(F58="Contract Workman",IF(AND(MOD(M58,1)&gt;=8/24,MOD(M58,1)&lt;20/24),"Shift S1","Shift S2"),IF(AND(MOD(M58,1)&gt;=7/24,MOD(M58,1)&lt;15/24),"Shift A",IF(AND(MOD(M58,1)&gt;=15/24,MOD(M58,1)&lt;23/24),"Shift B","Shift C"))))</f>
        <v/>
      </c>
      <c r="O58">
        <f>IF(B58="","",IF(IFERROR(ISNUMBER(SEARCH(TEXT(B58,"0"),VLOOKUP(E58,Machine_List!$B:$J,9,0))),FALSE),"✅ "&amp; E58,"❌ Sug: "&amp;IFERROR(INDEX(Machine_List!$B$50:$B$63,MATCH(1,(Machine_List!$H$50:$H$63&lt;=IFERROR(VLOOKUP($B58,OPR_BR1!$A$4:$K$18,10,0),0))*(Machine_List!$I$50:$I$63&gt;=IFERROR(VLOOKUP($B58,OPR_BR1!$A$4:$K$18,11,0),9999)),0)),"?")))</f>
        <v/>
      </c>
      <c r="P58">
        <f>IF(AND($A58&lt;&gt;"",P$3&gt;=$J58,P$3&lt;=$M58),1,"")</f>
        <v/>
      </c>
      <c r="Q58">
        <f>IF(AND($A58&lt;&gt;"",Q$3&gt;=$J58,Q$3&lt;=$M58),1,"")</f>
        <v/>
      </c>
      <c r="R58">
        <f>IF(AND($A58&lt;&gt;"",R$3&gt;=$J58,R$3&lt;=$M58),1,"")</f>
        <v/>
      </c>
      <c r="S58">
        <f>IF(AND($A58&lt;&gt;"",S$3&gt;=$J58,S$3&lt;=$M58),1,"")</f>
        <v/>
      </c>
      <c r="T58">
        <f>IF(AND($A58&lt;&gt;"",T$3&gt;=$J58,T$3&lt;=$M58),1,"")</f>
        <v/>
      </c>
      <c r="U58">
        <f>IF(AND($A58&lt;&gt;"",U$3&gt;=$J58,U$3&lt;=$M58),1,"")</f>
        <v/>
      </c>
      <c r="V58">
        <f>IF(AND($A58&lt;&gt;"",V$3&gt;=$J58,V$3&lt;=$M58),1,"")</f>
        <v/>
      </c>
      <c r="W58">
        <f>IF(AND($A58&lt;&gt;"",W$3&gt;=$J58,W$3&lt;=$M58),1,"")</f>
        <v/>
      </c>
      <c r="X58">
        <f>IF(AND($A58&lt;&gt;"",X$3&gt;=$J58,X$3&lt;=$M58),1,"")</f>
        <v/>
      </c>
      <c r="Y58">
        <f>IF(AND($A58&lt;&gt;"",Y$3&gt;=$J58,Y$3&lt;=$M58),1,"")</f>
        <v/>
      </c>
      <c r="Z58">
        <f>IF(AND($A58&lt;&gt;"",Z$3&gt;=$J58,Z$3&lt;=$M58),1,"")</f>
        <v/>
      </c>
      <c r="AA58">
        <f>IF(AND($A58&lt;&gt;"",AA$3&gt;=$J58,AA$3&lt;=$M58),1,"")</f>
        <v/>
      </c>
      <c r="AB58">
        <f>IF(AND($A58&lt;&gt;"",AB$3&gt;=$J58,AB$3&lt;=$M58),1,"")</f>
        <v/>
      </c>
      <c r="AC58">
        <f>IF(AND($A58&lt;&gt;"",AC$3&gt;=$J58,AC$3&lt;=$M58),1,"")</f>
        <v/>
      </c>
      <c r="AD58">
        <f>IF(AND($A58&lt;&gt;"",AD$3&gt;=$J58,AD$3&lt;=$M58),1,"")</f>
        <v/>
      </c>
      <c r="AE58">
        <f>IF(AND($A58&lt;&gt;"",AE$3&gt;=$J58,AE$3&lt;=$M58),1,"")</f>
        <v/>
      </c>
      <c r="AF58">
        <f>IF(AND($A58&lt;&gt;"",AF$3&gt;=$J58,AF$3&lt;=$M58),1,"")</f>
        <v/>
      </c>
      <c r="AG58">
        <f>IF(AND($A58&lt;&gt;"",AG$3&gt;=$J58,AG$3&lt;=$M58),1,"")</f>
        <v/>
      </c>
      <c r="AH58">
        <f>IF(AND($A58&lt;&gt;"",AH$3&gt;=$J58,AH$3&lt;=$M58),1,"")</f>
        <v/>
      </c>
      <c r="AI58">
        <f>IF(AND($A58&lt;&gt;"",AI$3&gt;=$J58,AI$3&lt;=$M58),1,"")</f>
        <v/>
      </c>
      <c r="AJ58">
        <f>IF(AND($A58&lt;&gt;"",AJ$3&gt;=$J58,AJ$3&lt;=$M58),1,"")</f>
        <v/>
      </c>
      <c r="AK58">
        <f>IF(AND($A58&lt;&gt;"",AK$3&gt;=$J58,AK$3&lt;=$M58),1,"")</f>
        <v/>
      </c>
      <c r="AL58">
        <f>IF(AND($A58&lt;&gt;"",AL$3&gt;=$J58,AL$3&lt;=$M58),1,"")</f>
        <v/>
      </c>
      <c r="AM58">
        <f>IF(AND($A58&lt;&gt;"",AM$3&gt;=$J58,AM$3&lt;=$M58),1,"")</f>
        <v/>
      </c>
      <c r="AN58">
        <f>IF(AND($A58&lt;&gt;"",AN$3&gt;=$J58,AN$3&lt;=$M58),1,"")</f>
        <v/>
      </c>
      <c r="AO58">
        <f>IF(AND($A58&lt;&gt;"",AO$3&gt;=$J58,AO$3&lt;=$M58),1,"")</f>
        <v/>
      </c>
      <c r="AP58">
        <f>IF(AND($A58&lt;&gt;"",AP$3&gt;=$J58,AP$3&lt;=$M58),1,"")</f>
        <v/>
      </c>
      <c r="AQ58">
        <f>IF(AND($A58&lt;&gt;"",AQ$3&gt;=$J58,AQ$3&lt;=$M58),1,"")</f>
        <v/>
      </c>
      <c r="AR58">
        <f>IF(AND($A58&lt;&gt;"",AR$3&gt;=$J58,AR$3&lt;=$M58),1,"")</f>
        <v/>
      </c>
      <c r="AS58">
        <f>IF(AND($A58&lt;&gt;"",AS$3&gt;=$J58,AS$3&lt;=$M58),1,"")</f>
        <v/>
      </c>
      <c r="AT58">
        <f>IF(AND($A58&lt;&gt;"",AT$3&gt;=$J58,AT$3&lt;=$M58),1,"")</f>
        <v/>
      </c>
      <c r="AU58">
        <f>IF(AND($A58&lt;&gt;"",AU$3&gt;=$J58,AU$3&lt;=$M58),1,"")</f>
        <v/>
      </c>
      <c r="AV58">
        <f>IF(AND($A58&lt;&gt;"",AV$3&gt;=$J58,AV$3&lt;=$M58),1,"")</f>
        <v/>
      </c>
      <c r="AW58">
        <f>IF(AND($A58&lt;&gt;"",AW$3&gt;=$J58,AW$3&lt;=$M58),1,"")</f>
        <v/>
      </c>
      <c r="AX58">
        <f>IF(AND($A58&lt;&gt;"",AX$3&gt;=$J58,AX$3&lt;=$M58),1,"")</f>
        <v/>
      </c>
      <c r="AY58">
        <f>IF(AND($A58&lt;&gt;"",AY$3&gt;=$J58,AY$3&lt;=$M58),1,"")</f>
        <v/>
      </c>
      <c r="AZ58">
        <f>IF(AND($A58&lt;&gt;"",AZ$3&gt;=$J58,AZ$3&lt;=$M58),1,"")</f>
        <v/>
      </c>
      <c r="BA58">
        <f>IF(AND($A58&lt;&gt;"",BA$3&gt;=$J58,BA$3&lt;=$M58),1,"")</f>
        <v/>
      </c>
      <c r="BB58">
        <f>IF(AND($A58&lt;&gt;"",BB$3&gt;=$J58,BB$3&lt;=$M58),1,"")</f>
        <v/>
      </c>
      <c r="BC58">
        <f>IF(AND($A58&lt;&gt;"",BC$3&gt;=$J58,BC$3&lt;=$M58),1,"")</f>
        <v/>
      </c>
      <c r="BD58">
        <f>IF(AND($A58&lt;&gt;"",BD$3&gt;=$J58,BD$3&lt;=$M58),1,"")</f>
        <v/>
      </c>
      <c r="BE58">
        <f>IF(AND($A58&lt;&gt;"",BE$3&gt;=$J58,BE$3&lt;=$M58),1,"")</f>
        <v/>
      </c>
      <c r="BF58">
        <f>IF(AND($A58&lt;&gt;"",BF$3&gt;=$J58,BF$3&lt;=$M58),1,"")</f>
        <v/>
      </c>
      <c r="BG58">
        <f>IF(AND($A58&lt;&gt;"",BG$3&gt;=$J58,BG$3&lt;=$M58),1,"")</f>
        <v/>
      </c>
      <c r="BH58">
        <f>IF(AND($A58&lt;&gt;"",BH$3&gt;=$J58,BH$3&lt;=$M58),1,"")</f>
        <v/>
      </c>
      <c r="BI58">
        <f>IF(AND($A58&lt;&gt;"",BI$3&gt;=$J58,BI$3&lt;=$M58),1,"")</f>
        <v/>
      </c>
      <c r="BJ58">
        <f>IF(AND($A58&lt;&gt;"",BJ$3&gt;=$J58,BJ$3&lt;=$M58),1,"")</f>
        <v/>
      </c>
      <c r="BK58">
        <f>IF(AND($A58&lt;&gt;"",BK$3&gt;=$J58,BK$3&lt;=$M58),1,"")</f>
        <v/>
      </c>
      <c r="BL58">
        <f>IF(AND($A58&lt;&gt;"",BL$3&gt;=$J58,BL$3&lt;=$M58),1,"")</f>
        <v/>
      </c>
      <c r="BM58">
        <f>IF(AND($A58&lt;&gt;"",BM$3&gt;=$J58,BM$3&lt;=$M58),1,"")</f>
        <v/>
      </c>
      <c r="BN58">
        <f>IF(AND($A58&lt;&gt;"",BN$3&gt;=$J58,BN$3&lt;=$M58),1,"")</f>
        <v/>
      </c>
      <c r="BO58">
        <f>IF(AND($A58&lt;&gt;"",BO$3&gt;=$J58,BO$3&lt;=$M58),1,"")</f>
        <v/>
      </c>
      <c r="BP58">
        <f>IF(AND($A58&lt;&gt;"",BP$3&gt;=$J58,BP$3&lt;=$M58),1,"")</f>
        <v/>
      </c>
      <c r="BQ58">
        <f>IF(AND($A58&lt;&gt;"",BQ$3&gt;=$J58,BQ$3&lt;=$M58),1,"")</f>
        <v/>
      </c>
      <c r="BR58">
        <f>IF(AND($A58&lt;&gt;"",BR$3&gt;=$J58,BR$3&lt;=$M58),1,"")</f>
        <v/>
      </c>
      <c r="BS58">
        <f>IF(AND($A58&lt;&gt;"",BS$3&gt;=$J58,BS$3&lt;=$M58),1,"")</f>
        <v/>
      </c>
      <c r="BT58">
        <f>IF(AND($A58&lt;&gt;"",BT$3&gt;=$J58,BT$3&lt;=$M58),1,"")</f>
        <v/>
      </c>
      <c r="BU58">
        <f>IF(AND($A58&lt;&gt;"",BU$3&gt;=$J58,BU$3&lt;=$M58),1,"")</f>
        <v/>
      </c>
      <c r="BV58">
        <f>IF(AND($A58&lt;&gt;"",BV$3&gt;=$J58,BV$3&lt;=$M58),1,"")</f>
        <v/>
      </c>
    </row>
    <row r="59">
      <c r="A59">
        <f>IF(Job_Master_Ring!$A59="","",Job_Master_Ring!$A59)</f>
        <v/>
      </c>
      <c r="B59">
        <f>IF($A59="","",Job_Master_Ring!B59)</f>
        <v/>
      </c>
      <c r="C59">
        <f>IF($A59="","",Job_Master_Ring!C59)</f>
        <v/>
      </c>
      <c r="D59">
        <f>IF($A59="","",Job_Master_Ring!D59)</f>
        <v/>
      </c>
      <c r="E59">
        <f>IF($A59="","",IF($I59&lt;&gt;"",$I59,IFERROR(INDEX(Machine_List!$B$50:$B$63,MATCH(1,(Machine_List!$H$50:$H$63&lt;=IFERROR(VLOOKUP($B59,CHOOSE(MATCH($C59,Settings!$L$4:$L$10,0),OPR_BR1!$A$4:$K$18,OPR_BR2!$A$4:$K$18,OPR_CR2!$A$4:$K$18,OPR_CR3!$A$4:$K$18,OPR_CR4!$A$4:$K$18,OPR_RIM!$A$4:$K$18,OPR_BPR!$A$4:$K$18),10,0),0))*(Machine_List!$I$50:$I$63&gt;=IFERROR(VLOOKUP($B59,CHOOSE(MATCH($C59,Settings!$L$4:$L$10,0),OPR_BR1!$A$4:$K$18,OPR_BR2!$A$4:$K$18,OPR_CR2!$A$4:$K$18,OPR_CR3!$A$4:$K$18,OPR_CR4!$A$4:$K$18,OPR_RIM!$A$4:$K$18,OPR_BPR!$A$4:$K$18),11,0),9999)),0)),"NO COMPATIBLE MACHINE")))</f>
        <v/>
      </c>
      <c r="F59">
        <f>IF($E59="","",IFERROR(VLOOKUP($E59,Machine_List!$B:$G,6,0),""))</f>
        <v/>
      </c>
      <c r="G59" s="17">
        <f>IF($E59="","",IFERROR(VLOOKUP($E59,Machine_List!$B:$C,2,0),""))</f>
        <v/>
      </c>
      <c r="H59">
        <f>IF($E59="","",IFERROR(VLOOKUP($E59,Machine_List!$B:$D,3,0),""))</f>
        <v/>
      </c>
      <c r="J59" s="16">
        <f>IF($A59="","",IF($I59&lt;&gt;"",$I59,MAX(CNC_Plan!$M59,IFERROR(LOOKUP(2,1/($E$3:INDIRECT("E"&amp;(ROW()-1))=$E59),$M$3:INDIRECT("M"&amp;(ROW()-1))),CNC_Plan!$M59))))</f>
        <v/>
      </c>
      <c r="K59">
        <f>IF($A59="","",IFERROR(VLOOKUP(B59,CHOOSE(MATCH($C59,Settings!$L$4:$L$10,0),OPR_BR1!$A$4:$I$18,OPR_BR2!$A$4:$I$18,OPR_CR2!$A$4:$I$18,OPR_CR3!$A$4:$I$18,OPR_CR4!$A$4:$I$18,OPR_RIM!$A$4:$I$18,OPR_BPR!$A$4:$I$18),6,0),0))</f>
        <v/>
      </c>
      <c r="L59">
        <f>IF($A59="","",K59*D59)</f>
        <v/>
      </c>
      <c r="M59" s="16">
        <f>IF($A59="","",IF(AND(ISNUMBER(G59),G59&gt;=J59,G59&lt;=(J59+(L59/(IF(F59="Contract Workman",Settings!$K$5,Settings!$K$4))))),J59+(L59/(IF(F59="Contract Workman",Settings!$K$5,Settings!$K$4)))+(H59/(IF(F59="Contract Workman",Settings!$K$5,Settings!$K$4))),J59+(L59/(IF(F59="Contract Workman",Settings!$K$5,Settings!$K$4)))))</f>
        <v/>
      </c>
      <c r="N59">
        <f>IF($A59="","",IF(F59="Contract Workman",IF(AND(MOD(M59,1)&gt;=8/24,MOD(M59,1)&lt;20/24),"Shift S1","Shift S2"),IF(AND(MOD(M59,1)&gt;=7/24,MOD(M59,1)&lt;15/24),"Shift A",IF(AND(MOD(M59,1)&gt;=15/24,MOD(M59,1)&lt;23/24),"Shift B","Shift C"))))</f>
        <v/>
      </c>
      <c r="O59">
        <f>IF(B59="","",IF(IFERROR(ISNUMBER(SEARCH(TEXT(B59,"0"),VLOOKUP(E59,Machine_List!$B:$J,9,0))),FALSE),"✅ "&amp; E59,"❌ Sug: "&amp;IFERROR(INDEX(Machine_List!$B$50:$B$63,MATCH(1,(Machine_List!$H$50:$H$63&lt;=IFERROR(VLOOKUP($B59,OPR_BR1!$A$4:$K$18,10,0),0))*(Machine_List!$I$50:$I$63&gt;=IFERROR(VLOOKUP($B59,OPR_BR1!$A$4:$K$18,11,0),9999)),0)),"?")))</f>
        <v/>
      </c>
      <c r="P59">
        <f>IF(AND($A59&lt;&gt;"",P$3&gt;=$J59,P$3&lt;=$M59),1,"")</f>
        <v/>
      </c>
      <c r="Q59">
        <f>IF(AND($A59&lt;&gt;"",Q$3&gt;=$J59,Q$3&lt;=$M59),1,"")</f>
        <v/>
      </c>
      <c r="R59">
        <f>IF(AND($A59&lt;&gt;"",R$3&gt;=$J59,R$3&lt;=$M59),1,"")</f>
        <v/>
      </c>
      <c r="S59">
        <f>IF(AND($A59&lt;&gt;"",S$3&gt;=$J59,S$3&lt;=$M59),1,"")</f>
        <v/>
      </c>
      <c r="T59">
        <f>IF(AND($A59&lt;&gt;"",T$3&gt;=$J59,T$3&lt;=$M59),1,"")</f>
        <v/>
      </c>
      <c r="U59">
        <f>IF(AND($A59&lt;&gt;"",U$3&gt;=$J59,U$3&lt;=$M59),1,"")</f>
        <v/>
      </c>
      <c r="V59">
        <f>IF(AND($A59&lt;&gt;"",V$3&gt;=$J59,V$3&lt;=$M59),1,"")</f>
        <v/>
      </c>
      <c r="W59">
        <f>IF(AND($A59&lt;&gt;"",W$3&gt;=$J59,W$3&lt;=$M59),1,"")</f>
        <v/>
      </c>
      <c r="X59">
        <f>IF(AND($A59&lt;&gt;"",X$3&gt;=$J59,X$3&lt;=$M59),1,"")</f>
        <v/>
      </c>
      <c r="Y59">
        <f>IF(AND($A59&lt;&gt;"",Y$3&gt;=$J59,Y$3&lt;=$M59),1,"")</f>
        <v/>
      </c>
      <c r="Z59">
        <f>IF(AND($A59&lt;&gt;"",Z$3&gt;=$J59,Z$3&lt;=$M59),1,"")</f>
        <v/>
      </c>
      <c r="AA59">
        <f>IF(AND($A59&lt;&gt;"",AA$3&gt;=$J59,AA$3&lt;=$M59),1,"")</f>
        <v/>
      </c>
      <c r="AB59">
        <f>IF(AND($A59&lt;&gt;"",AB$3&gt;=$J59,AB$3&lt;=$M59),1,"")</f>
        <v/>
      </c>
      <c r="AC59">
        <f>IF(AND($A59&lt;&gt;"",AC$3&gt;=$J59,AC$3&lt;=$M59),1,"")</f>
        <v/>
      </c>
      <c r="AD59">
        <f>IF(AND($A59&lt;&gt;"",AD$3&gt;=$J59,AD$3&lt;=$M59),1,"")</f>
        <v/>
      </c>
      <c r="AE59">
        <f>IF(AND($A59&lt;&gt;"",AE$3&gt;=$J59,AE$3&lt;=$M59),1,"")</f>
        <v/>
      </c>
      <c r="AF59">
        <f>IF(AND($A59&lt;&gt;"",AF$3&gt;=$J59,AF$3&lt;=$M59),1,"")</f>
        <v/>
      </c>
      <c r="AG59">
        <f>IF(AND($A59&lt;&gt;"",AG$3&gt;=$J59,AG$3&lt;=$M59),1,"")</f>
        <v/>
      </c>
      <c r="AH59">
        <f>IF(AND($A59&lt;&gt;"",AH$3&gt;=$J59,AH$3&lt;=$M59),1,"")</f>
        <v/>
      </c>
      <c r="AI59">
        <f>IF(AND($A59&lt;&gt;"",AI$3&gt;=$J59,AI$3&lt;=$M59),1,"")</f>
        <v/>
      </c>
      <c r="AJ59">
        <f>IF(AND($A59&lt;&gt;"",AJ$3&gt;=$J59,AJ$3&lt;=$M59),1,"")</f>
        <v/>
      </c>
      <c r="AK59">
        <f>IF(AND($A59&lt;&gt;"",AK$3&gt;=$J59,AK$3&lt;=$M59),1,"")</f>
        <v/>
      </c>
      <c r="AL59">
        <f>IF(AND($A59&lt;&gt;"",AL$3&gt;=$J59,AL$3&lt;=$M59),1,"")</f>
        <v/>
      </c>
      <c r="AM59">
        <f>IF(AND($A59&lt;&gt;"",AM$3&gt;=$J59,AM$3&lt;=$M59),1,"")</f>
        <v/>
      </c>
      <c r="AN59">
        <f>IF(AND($A59&lt;&gt;"",AN$3&gt;=$J59,AN$3&lt;=$M59),1,"")</f>
        <v/>
      </c>
      <c r="AO59">
        <f>IF(AND($A59&lt;&gt;"",AO$3&gt;=$J59,AO$3&lt;=$M59),1,"")</f>
        <v/>
      </c>
      <c r="AP59">
        <f>IF(AND($A59&lt;&gt;"",AP$3&gt;=$J59,AP$3&lt;=$M59),1,"")</f>
        <v/>
      </c>
      <c r="AQ59">
        <f>IF(AND($A59&lt;&gt;"",AQ$3&gt;=$J59,AQ$3&lt;=$M59),1,"")</f>
        <v/>
      </c>
      <c r="AR59">
        <f>IF(AND($A59&lt;&gt;"",AR$3&gt;=$J59,AR$3&lt;=$M59),1,"")</f>
        <v/>
      </c>
      <c r="AS59">
        <f>IF(AND($A59&lt;&gt;"",AS$3&gt;=$J59,AS$3&lt;=$M59),1,"")</f>
        <v/>
      </c>
      <c r="AT59">
        <f>IF(AND($A59&lt;&gt;"",AT$3&gt;=$J59,AT$3&lt;=$M59),1,"")</f>
        <v/>
      </c>
      <c r="AU59">
        <f>IF(AND($A59&lt;&gt;"",AU$3&gt;=$J59,AU$3&lt;=$M59),1,"")</f>
        <v/>
      </c>
      <c r="AV59">
        <f>IF(AND($A59&lt;&gt;"",AV$3&gt;=$J59,AV$3&lt;=$M59),1,"")</f>
        <v/>
      </c>
      <c r="AW59">
        <f>IF(AND($A59&lt;&gt;"",AW$3&gt;=$J59,AW$3&lt;=$M59),1,"")</f>
        <v/>
      </c>
      <c r="AX59">
        <f>IF(AND($A59&lt;&gt;"",AX$3&gt;=$J59,AX$3&lt;=$M59),1,"")</f>
        <v/>
      </c>
      <c r="AY59">
        <f>IF(AND($A59&lt;&gt;"",AY$3&gt;=$J59,AY$3&lt;=$M59),1,"")</f>
        <v/>
      </c>
      <c r="AZ59">
        <f>IF(AND($A59&lt;&gt;"",AZ$3&gt;=$J59,AZ$3&lt;=$M59),1,"")</f>
        <v/>
      </c>
      <c r="BA59">
        <f>IF(AND($A59&lt;&gt;"",BA$3&gt;=$J59,BA$3&lt;=$M59),1,"")</f>
        <v/>
      </c>
      <c r="BB59">
        <f>IF(AND($A59&lt;&gt;"",BB$3&gt;=$J59,BB$3&lt;=$M59),1,"")</f>
        <v/>
      </c>
      <c r="BC59">
        <f>IF(AND($A59&lt;&gt;"",BC$3&gt;=$J59,BC$3&lt;=$M59),1,"")</f>
        <v/>
      </c>
      <c r="BD59">
        <f>IF(AND($A59&lt;&gt;"",BD$3&gt;=$J59,BD$3&lt;=$M59),1,"")</f>
        <v/>
      </c>
      <c r="BE59">
        <f>IF(AND($A59&lt;&gt;"",BE$3&gt;=$J59,BE$3&lt;=$M59),1,"")</f>
        <v/>
      </c>
      <c r="BF59">
        <f>IF(AND($A59&lt;&gt;"",BF$3&gt;=$J59,BF$3&lt;=$M59),1,"")</f>
        <v/>
      </c>
      <c r="BG59">
        <f>IF(AND($A59&lt;&gt;"",BG$3&gt;=$J59,BG$3&lt;=$M59),1,"")</f>
        <v/>
      </c>
      <c r="BH59">
        <f>IF(AND($A59&lt;&gt;"",BH$3&gt;=$J59,BH$3&lt;=$M59),1,"")</f>
        <v/>
      </c>
      <c r="BI59">
        <f>IF(AND($A59&lt;&gt;"",BI$3&gt;=$J59,BI$3&lt;=$M59),1,"")</f>
        <v/>
      </c>
      <c r="BJ59">
        <f>IF(AND($A59&lt;&gt;"",BJ$3&gt;=$J59,BJ$3&lt;=$M59),1,"")</f>
        <v/>
      </c>
      <c r="BK59">
        <f>IF(AND($A59&lt;&gt;"",BK$3&gt;=$J59,BK$3&lt;=$M59),1,"")</f>
        <v/>
      </c>
      <c r="BL59">
        <f>IF(AND($A59&lt;&gt;"",BL$3&gt;=$J59,BL$3&lt;=$M59),1,"")</f>
        <v/>
      </c>
      <c r="BM59">
        <f>IF(AND($A59&lt;&gt;"",BM$3&gt;=$J59,BM$3&lt;=$M59),1,"")</f>
        <v/>
      </c>
      <c r="BN59">
        <f>IF(AND($A59&lt;&gt;"",BN$3&gt;=$J59,BN$3&lt;=$M59),1,"")</f>
        <v/>
      </c>
      <c r="BO59">
        <f>IF(AND($A59&lt;&gt;"",BO$3&gt;=$J59,BO$3&lt;=$M59),1,"")</f>
        <v/>
      </c>
      <c r="BP59">
        <f>IF(AND($A59&lt;&gt;"",BP$3&gt;=$J59,BP$3&lt;=$M59),1,"")</f>
        <v/>
      </c>
      <c r="BQ59">
        <f>IF(AND($A59&lt;&gt;"",BQ$3&gt;=$J59,BQ$3&lt;=$M59),1,"")</f>
        <v/>
      </c>
      <c r="BR59">
        <f>IF(AND($A59&lt;&gt;"",BR$3&gt;=$J59,BR$3&lt;=$M59),1,"")</f>
        <v/>
      </c>
      <c r="BS59">
        <f>IF(AND($A59&lt;&gt;"",BS$3&gt;=$J59,BS$3&lt;=$M59),1,"")</f>
        <v/>
      </c>
      <c r="BT59">
        <f>IF(AND($A59&lt;&gt;"",BT$3&gt;=$J59,BT$3&lt;=$M59),1,"")</f>
        <v/>
      </c>
      <c r="BU59">
        <f>IF(AND($A59&lt;&gt;"",BU$3&gt;=$J59,BU$3&lt;=$M59),1,"")</f>
        <v/>
      </c>
      <c r="BV59">
        <f>IF(AND($A59&lt;&gt;"",BV$3&gt;=$J59,BV$3&lt;=$M59),1,"")</f>
        <v/>
      </c>
    </row>
    <row r="60">
      <c r="A60">
        <f>IF(Job_Master_Ring!$A60="","",Job_Master_Ring!$A60)</f>
        <v/>
      </c>
      <c r="B60">
        <f>IF($A60="","",Job_Master_Ring!B60)</f>
        <v/>
      </c>
      <c r="C60">
        <f>IF($A60="","",Job_Master_Ring!C60)</f>
        <v/>
      </c>
      <c r="D60">
        <f>IF($A60="","",Job_Master_Ring!D60)</f>
        <v/>
      </c>
      <c r="E60">
        <f>IF($A60="","",IF($I60&lt;&gt;"",$I60,IFERROR(INDEX(Machine_List!$B$50:$B$63,MATCH(1,(Machine_List!$H$50:$H$63&lt;=IFERROR(VLOOKUP($B60,CHOOSE(MATCH($C60,Settings!$L$4:$L$10,0),OPR_BR1!$A$4:$K$18,OPR_BR2!$A$4:$K$18,OPR_CR2!$A$4:$K$18,OPR_CR3!$A$4:$K$18,OPR_CR4!$A$4:$K$18,OPR_RIM!$A$4:$K$18,OPR_BPR!$A$4:$K$18),10,0),0))*(Machine_List!$I$50:$I$63&gt;=IFERROR(VLOOKUP($B60,CHOOSE(MATCH($C60,Settings!$L$4:$L$10,0),OPR_BR1!$A$4:$K$18,OPR_BR2!$A$4:$K$18,OPR_CR2!$A$4:$K$18,OPR_CR3!$A$4:$K$18,OPR_CR4!$A$4:$K$18,OPR_RIM!$A$4:$K$18,OPR_BPR!$A$4:$K$18),11,0),9999)),0)),"NO COMPATIBLE MACHINE")))</f>
        <v/>
      </c>
      <c r="F60">
        <f>IF($E60="","",IFERROR(VLOOKUP($E60,Machine_List!$B:$G,6,0),""))</f>
        <v/>
      </c>
      <c r="G60" s="17">
        <f>IF($E60="","",IFERROR(VLOOKUP($E60,Machine_List!$B:$C,2,0),""))</f>
        <v/>
      </c>
      <c r="H60">
        <f>IF($E60="","",IFERROR(VLOOKUP($E60,Machine_List!$B:$D,3,0),""))</f>
        <v/>
      </c>
      <c r="J60" s="16">
        <f>IF($A60="","",IF($I60&lt;&gt;"",$I60,MAX(CNC_Plan!$M60,IFERROR(LOOKUP(2,1/($E$3:INDIRECT("E"&amp;(ROW()-1))=$E60),$M$3:INDIRECT("M"&amp;(ROW()-1))),CNC_Plan!$M60))))</f>
        <v/>
      </c>
      <c r="K60">
        <f>IF($A60="","",IFERROR(VLOOKUP(B60,CHOOSE(MATCH($C60,Settings!$L$4:$L$10,0),OPR_BR1!$A$4:$I$18,OPR_BR2!$A$4:$I$18,OPR_CR2!$A$4:$I$18,OPR_CR3!$A$4:$I$18,OPR_CR4!$A$4:$I$18,OPR_RIM!$A$4:$I$18,OPR_BPR!$A$4:$I$18),6,0),0))</f>
        <v/>
      </c>
      <c r="L60">
        <f>IF($A60="","",K60*D60)</f>
        <v/>
      </c>
      <c r="M60" s="16">
        <f>IF($A60="","",IF(AND(ISNUMBER(G60),G60&gt;=J60,G60&lt;=(J60+(L60/(IF(F60="Contract Workman",Settings!$K$5,Settings!$K$4))))),J60+(L60/(IF(F60="Contract Workman",Settings!$K$5,Settings!$K$4)))+(H60/(IF(F60="Contract Workman",Settings!$K$5,Settings!$K$4))),J60+(L60/(IF(F60="Contract Workman",Settings!$K$5,Settings!$K$4)))))</f>
        <v/>
      </c>
      <c r="N60">
        <f>IF($A60="","",IF(F60="Contract Workman",IF(AND(MOD(M60,1)&gt;=8/24,MOD(M60,1)&lt;20/24),"Shift S1","Shift S2"),IF(AND(MOD(M60,1)&gt;=7/24,MOD(M60,1)&lt;15/24),"Shift A",IF(AND(MOD(M60,1)&gt;=15/24,MOD(M60,1)&lt;23/24),"Shift B","Shift C"))))</f>
        <v/>
      </c>
      <c r="O60">
        <f>IF(B60="","",IF(IFERROR(ISNUMBER(SEARCH(TEXT(B60,"0"),VLOOKUP(E60,Machine_List!$B:$J,9,0))),FALSE),"✅ "&amp; E60,"❌ Sug: "&amp;IFERROR(INDEX(Machine_List!$B$50:$B$63,MATCH(1,(Machine_List!$H$50:$H$63&lt;=IFERROR(VLOOKUP($B60,OPR_BR1!$A$4:$K$18,10,0),0))*(Machine_List!$I$50:$I$63&gt;=IFERROR(VLOOKUP($B60,OPR_BR1!$A$4:$K$18,11,0),9999)),0)),"?")))</f>
        <v/>
      </c>
      <c r="P60">
        <f>IF(AND($A60&lt;&gt;"",P$3&gt;=$J60,P$3&lt;=$M60),1,"")</f>
        <v/>
      </c>
      <c r="Q60">
        <f>IF(AND($A60&lt;&gt;"",Q$3&gt;=$J60,Q$3&lt;=$M60),1,"")</f>
        <v/>
      </c>
      <c r="R60">
        <f>IF(AND($A60&lt;&gt;"",R$3&gt;=$J60,R$3&lt;=$M60),1,"")</f>
        <v/>
      </c>
      <c r="S60">
        <f>IF(AND($A60&lt;&gt;"",S$3&gt;=$J60,S$3&lt;=$M60),1,"")</f>
        <v/>
      </c>
      <c r="T60">
        <f>IF(AND($A60&lt;&gt;"",T$3&gt;=$J60,T$3&lt;=$M60),1,"")</f>
        <v/>
      </c>
      <c r="U60">
        <f>IF(AND($A60&lt;&gt;"",U$3&gt;=$J60,U$3&lt;=$M60),1,"")</f>
        <v/>
      </c>
      <c r="V60">
        <f>IF(AND($A60&lt;&gt;"",V$3&gt;=$J60,V$3&lt;=$M60),1,"")</f>
        <v/>
      </c>
      <c r="W60">
        <f>IF(AND($A60&lt;&gt;"",W$3&gt;=$J60,W$3&lt;=$M60),1,"")</f>
        <v/>
      </c>
      <c r="X60">
        <f>IF(AND($A60&lt;&gt;"",X$3&gt;=$J60,X$3&lt;=$M60),1,"")</f>
        <v/>
      </c>
      <c r="Y60">
        <f>IF(AND($A60&lt;&gt;"",Y$3&gt;=$J60,Y$3&lt;=$M60),1,"")</f>
        <v/>
      </c>
      <c r="Z60">
        <f>IF(AND($A60&lt;&gt;"",Z$3&gt;=$J60,Z$3&lt;=$M60),1,"")</f>
        <v/>
      </c>
      <c r="AA60">
        <f>IF(AND($A60&lt;&gt;"",AA$3&gt;=$J60,AA$3&lt;=$M60),1,"")</f>
        <v/>
      </c>
      <c r="AB60">
        <f>IF(AND($A60&lt;&gt;"",AB$3&gt;=$J60,AB$3&lt;=$M60),1,"")</f>
        <v/>
      </c>
      <c r="AC60">
        <f>IF(AND($A60&lt;&gt;"",AC$3&gt;=$J60,AC$3&lt;=$M60),1,"")</f>
        <v/>
      </c>
      <c r="AD60">
        <f>IF(AND($A60&lt;&gt;"",AD$3&gt;=$J60,AD$3&lt;=$M60),1,"")</f>
        <v/>
      </c>
      <c r="AE60">
        <f>IF(AND($A60&lt;&gt;"",AE$3&gt;=$J60,AE$3&lt;=$M60),1,"")</f>
        <v/>
      </c>
      <c r="AF60">
        <f>IF(AND($A60&lt;&gt;"",AF$3&gt;=$J60,AF$3&lt;=$M60),1,"")</f>
        <v/>
      </c>
      <c r="AG60">
        <f>IF(AND($A60&lt;&gt;"",AG$3&gt;=$J60,AG$3&lt;=$M60),1,"")</f>
        <v/>
      </c>
      <c r="AH60">
        <f>IF(AND($A60&lt;&gt;"",AH$3&gt;=$J60,AH$3&lt;=$M60),1,"")</f>
        <v/>
      </c>
      <c r="AI60">
        <f>IF(AND($A60&lt;&gt;"",AI$3&gt;=$J60,AI$3&lt;=$M60),1,"")</f>
        <v/>
      </c>
      <c r="AJ60">
        <f>IF(AND($A60&lt;&gt;"",AJ$3&gt;=$J60,AJ$3&lt;=$M60),1,"")</f>
        <v/>
      </c>
      <c r="AK60">
        <f>IF(AND($A60&lt;&gt;"",AK$3&gt;=$J60,AK$3&lt;=$M60),1,"")</f>
        <v/>
      </c>
      <c r="AL60">
        <f>IF(AND($A60&lt;&gt;"",AL$3&gt;=$J60,AL$3&lt;=$M60),1,"")</f>
        <v/>
      </c>
      <c r="AM60">
        <f>IF(AND($A60&lt;&gt;"",AM$3&gt;=$J60,AM$3&lt;=$M60),1,"")</f>
        <v/>
      </c>
      <c r="AN60">
        <f>IF(AND($A60&lt;&gt;"",AN$3&gt;=$J60,AN$3&lt;=$M60),1,"")</f>
        <v/>
      </c>
      <c r="AO60">
        <f>IF(AND($A60&lt;&gt;"",AO$3&gt;=$J60,AO$3&lt;=$M60),1,"")</f>
        <v/>
      </c>
      <c r="AP60">
        <f>IF(AND($A60&lt;&gt;"",AP$3&gt;=$J60,AP$3&lt;=$M60),1,"")</f>
        <v/>
      </c>
      <c r="AQ60">
        <f>IF(AND($A60&lt;&gt;"",AQ$3&gt;=$J60,AQ$3&lt;=$M60),1,"")</f>
        <v/>
      </c>
      <c r="AR60">
        <f>IF(AND($A60&lt;&gt;"",AR$3&gt;=$J60,AR$3&lt;=$M60),1,"")</f>
        <v/>
      </c>
      <c r="AS60">
        <f>IF(AND($A60&lt;&gt;"",AS$3&gt;=$J60,AS$3&lt;=$M60),1,"")</f>
        <v/>
      </c>
      <c r="AT60">
        <f>IF(AND($A60&lt;&gt;"",AT$3&gt;=$J60,AT$3&lt;=$M60),1,"")</f>
        <v/>
      </c>
      <c r="AU60">
        <f>IF(AND($A60&lt;&gt;"",AU$3&gt;=$J60,AU$3&lt;=$M60),1,"")</f>
        <v/>
      </c>
      <c r="AV60">
        <f>IF(AND($A60&lt;&gt;"",AV$3&gt;=$J60,AV$3&lt;=$M60),1,"")</f>
        <v/>
      </c>
      <c r="AW60">
        <f>IF(AND($A60&lt;&gt;"",AW$3&gt;=$J60,AW$3&lt;=$M60),1,"")</f>
        <v/>
      </c>
      <c r="AX60">
        <f>IF(AND($A60&lt;&gt;"",AX$3&gt;=$J60,AX$3&lt;=$M60),1,"")</f>
        <v/>
      </c>
      <c r="AY60">
        <f>IF(AND($A60&lt;&gt;"",AY$3&gt;=$J60,AY$3&lt;=$M60),1,"")</f>
        <v/>
      </c>
      <c r="AZ60">
        <f>IF(AND($A60&lt;&gt;"",AZ$3&gt;=$J60,AZ$3&lt;=$M60),1,"")</f>
        <v/>
      </c>
      <c r="BA60">
        <f>IF(AND($A60&lt;&gt;"",BA$3&gt;=$J60,BA$3&lt;=$M60),1,"")</f>
        <v/>
      </c>
      <c r="BB60">
        <f>IF(AND($A60&lt;&gt;"",BB$3&gt;=$J60,BB$3&lt;=$M60),1,"")</f>
        <v/>
      </c>
      <c r="BC60">
        <f>IF(AND($A60&lt;&gt;"",BC$3&gt;=$J60,BC$3&lt;=$M60),1,"")</f>
        <v/>
      </c>
      <c r="BD60">
        <f>IF(AND($A60&lt;&gt;"",BD$3&gt;=$J60,BD$3&lt;=$M60),1,"")</f>
        <v/>
      </c>
      <c r="BE60">
        <f>IF(AND($A60&lt;&gt;"",BE$3&gt;=$J60,BE$3&lt;=$M60),1,"")</f>
        <v/>
      </c>
      <c r="BF60">
        <f>IF(AND($A60&lt;&gt;"",BF$3&gt;=$J60,BF$3&lt;=$M60),1,"")</f>
        <v/>
      </c>
      <c r="BG60">
        <f>IF(AND($A60&lt;&gt;"",BG$3&gt;=$J60,BG$3&lt;=$M60),1,"")</f>
        <v/>
      </c>
      <c r="BH60">
        <f>IF(AND($A60&lt;&gt;"",BH$3&gt;=$J60,BH$3&lt;=$M60),1,"")</f>
        <v/>
      </c>
      <c r="BI60">
        <f>IF(AND($A60&lt;&gt;"",BI$3&gt;=$J60,BI$3&lt;=$M60),1,"")</f>
        <v/>
      </c>
      <c r="BJ60">
        <f>IF(AND($A60&lt;&gt;"",BJ$3&gt;=$J60,BJ$3&lt;=$M60),1,"")</f>
        <v/>
      </c>
      <c r="BK60">
        <f>IF(AND($A60&lt;&gt;"",BK$3&gt;=$J60,BK$3&lt;=$M60),1,"")</f>
        <v/>
      </c>
      <c r="BL60">
        <f>IF(AND($A60&lt;&gt;"",BL$3&gt;=$J60,BL$3&lt;=$M60),1,"")</f>
        <v/>
      </c>
      <c r="BM60">
        <f>IF(AND($A60&lt;&gt;"",BM$3&gt;=$J60,BM$3&lt;=$M60),1,"")</f>
        <v/>
      </c>
      <c r="BN60">
        <f>IF(AND($A60&lt;&gt;"",BN$3&gt;=$J60,BN$3&lt;=$M60),1,"")</f>
        <v/>
      </c>
      <c r="BO60">
        <f>IF(AND($A60&lt;&gt;"",BO$3&gt;=$J60,BO$3&lt;=$M60),1,"")</f>
        <v/>
      </c>
      <c r="BP60">
        <f>IF(AND($A60&lt;&gt;"",BP$3&gt;=$J60,BP$3&lt;=$M60),1,"")</f>
        <v/>
      </c>
      <c r="BQ60">
        <f>IF(AND($A60&lt;&gt;"",BQ$3&gt;=$J60,BQ$3&lt;=$M60),1,"")</f>
        <v/>
      </c>
      <c r="BR60">
        <f>IF(AND($A60&lt;&gt;"",BR$3&gt;=$J60,BR$3&lt;=$M60),1,"")</f>
        <v/>
      </c>
      <c r="BS60">
        <f>IF(AND($A60&lt;&gt;"",BS$3&gt;=$J60,BS$3&lt;=$M60),1,"")</f>
        <v/>
      </c>
      <c r="BT60">
        <f>IF(AND($A60&lt;&gt;"",BT$3&gt;=$J60,BT$3&lt;=$M60),1,"")</f>
        <v/>
      </c>
      <c r="BU60">
        <f>IF(AND($A60&lt;&gt;"",BU$3&gt;=$J60,BU$3&lt;=$M60),1,"")</f>
        <v/>
      </c>
      <c r="BV60">
        <f>IF(AND($A60&lt;&gt;"",BV$3&gt;=$J60,BV$3&lt;=$M60),1,"")</f>
        <v/>
      </c>
    </row>
    <row r="61">
      <c r="A61">
        <f>IF(Job_Master_Ring!$A61="","",Job_Master_Ring!$A61)</f>
        <v/>
      </c>
      <c r="B61">
        <f>IF($A61="","",Job_Master_Ring!B61)</f>
        <v/>
      </c>
      <c r="C61">
        <f>IF($A61="","",Job_Master_Ring!C61)</f>
        <v/>
      </c>
      <c r="D61">
        <f>IF($A61="","",Job_Master_Ring!D61)</f>
        <v/>
      </c>
      <c r="E61">
        <f>IF($A61="","",IF($I61&lt;&gt;"",$I61,IFERROR(INDEX(Machine_List!$B$50:$B$63,MATCH(1,(Machine_List!$H$50:$H$63&lt;=IFERROR(VLOOKUP($B61,CHOOSE(MATCH($C61,Settings!$L$4:$L$10,0),OPR_BR1!$A$4:$K$18,OPR_BR2!$A$4:$K$18,OPR_CR2!$A$4:$K$18,OPR_CR3!$A$4:$K$18,OPR_CR4!$A$4:$K$18,OPR_RIM!$A$4:$K$18,OPR_BPR!$A$4:$K$18),10,0),0))*(Machine_List!$I$50:$I$63&gt;=IFERROR(VLOOKUP($B61,CHOOSE(MATCH($C61,Settings!$L$4:$L$10,0),OPR_BR1!$A$4:$K$18,OPR_BR2!$A$4:$K$18,OPR_CR2!$A$4:$K$18,OPR_CR3!$A$4:$K$18,OPR_CR4!$A$4:$K$18,OPR_RIM!$A$4:$K$18,OPR_BPR!$A$4:$K$18),11,0),9999)),0)),"NO COMPATIBLE MACHINE")))</f>
        <v/>
      </c>
      <c r="F61">
        <f>IF($E61="","",IFERROR(VLOOKUP($E61,Machine_List!$B:$G,6,0),""))</f>
        <v/>
      </c>
      <c r="G61" s="17">
        <f>IF($E61="","",IFERROR(VLOOKUP($E61,Machine_List!$B:$C,2,0),""))</f>
        <v/>
      </c>
      <c r="H61">
        <f>IF($E61="","",IFERROR(VLOOKUP($E61,Machine_List!$B:$D,3,0),""))</f>
        <v/>
      </c>
      <c r="J61" s="16">
        <f>IF($A61="","",IF($I61&lt;&gt;"",$I61,MAX(CNC_Plan!$M61,IFERROR(LOOKUP(2,1/($E$3:INDIRECT("E"&amp;(ROW()-1))=$E61),$M$3:INDIRECT("M"&amp;(ROW()-1))),CNC_Plan!$M61))))</f>
        <v/>
      </c>
      <c r="K61">
        <f>IF($A61="","",IFERROR(VLOOKUP(B61,CHOOSE(MATCH($C61,Settings!$L$4:$L$10,0),OPR_BR1!$A$4:$I$18,OPR_BR2!$A$4:$I$18,OPR_CR2!$A$4:$I$18,OPR_CR3!$A$4:$I$18,OPR_CR4!$A$4:$I$18,OPR_RIM!$A$4:$I$18,OPR_BPR!$A$4:$I$18),6,0),0))</f>
        <v/>
      </c>
      <c r="L61">
        <f>IF($A61="","",K61*D61)</f>
        <v/>
      </c>
      <c r="M61" s="16">
        <f>IF($A61="","",IF(AND(ISNUMBER(G61),G61&gt;=J61,G61&lt;=(J61+(L61/(IF(F61="Contract Workman",Settings!$K$5,Settings!$K$4))))),J61+(L61/(IF(F61="Contract Workman",Settings!$K$5,Settings!$K$4)))+(H61/(IF(F61="Contract Workman",Settings!$K$5,Settings!$K$4))),J61+(L61/(IF(F61="Contract Workman",Settings!$K$5,Settings!$K$4)))))</f>
        <v/>
      </c>
      <c r="N61">
        <f>IF($A61="","",IF(F61="Contract Workman",IF(AND(MOD(M61,1)&gt;=8/24,MOD(M61,1)&lt;20/24),"Shift S1","Shift S2"),IF(AND(MOD(M61,1)&gt;=7/24,MOD(M61,1)&lt;15/24),"Shift A",IF(AND(MOD(M61,1)&gt;=15/24,MOD(M61,1)&lt;23/24),"Shift B","Shift C"))))</f>
        <v/>
      </c>
      <c r="O61">
        <f>IF(B61="","",IF(IFERROR(ISNUMBER(SEARCH(TEXT(B61,"0"),VLOOKUP(E61,Machine_List!$B:$J,9,0))),FALSE),"✅ "&amp; E61,"❌ Sug: "&amp;IFERROR(INDEX(Machine_List!$B$50:$B$63,MATCH(1,(Machine_List!$H$50:$H$63&lt;=IFERROR(VLOOKUP($B61,OPR_BR1!$A$4:$K$18,10,0),0))*(Machine_List!$I$50:$I$63&gt;=IFERROR(VLOOKUP($B61,OPR_BR1!$A$4:$K$18,11,0),9999)),0)),"?")))</f>
        <v/>
      </c>
      <c r="P61">
        <f>IF(AND($A61&lt;&gt;"",P$3&gt;=$J61,P$3&lt;=$M61),1,"")</f>
        <v/>
      </c>
      <c r="Q61">
        <f>IF(AND($A61&lt;&gt;"",Q$3&gt;=$J61,Q$3&lt;=$M61),1,"")</f>
        <v/>
      </c>
      <c r="R61">
        <f>IF(AND($A61&lt;&gt;"",R$3&gt;=$J61,R$3&lt;=$M61),1,"")</f>
        <v/>
      </c>
      <c r="S61">
        <f>IF(AND($A61&lt;&gt;"",S$3&gt;=$J61,S$3&lt;=$M61),1,"")</f>
        <v/>
      </c>
      <c r="T61">
        <f>IF(AND($A61&lt;&gt;"",T$3&gt;=$J61,T$3&lt;=$M61),1,"")</f>
        <v/>
      </c>
      <c r="U61">
        <f>IF(AND($A61&lt;&gt;"",U$3&gt;=$J61,U$3&lt;=$M61),1,"")</f>
        <v/>
      </c>
      <c r="V61">
        <f>IF(AND($A61&lt;&gt;"",V$3&gt;=$J61,V$3&lt;=$M61),1,"")</f>
        <v/>
      </c>
      <c r="W61">
        <f>IF(AND($A61&lt;&gt;"",W$3&gt;=$J61,W$3&lt;=$M61),1,"")</f>
        <v/>
      </c>
      <c r="X61">
        <f>IF(AND($A61&lt;&gt;"",X$3&gt;=$J61,X$3&lt;=$M61),1,"")</f>
        <v/>
      </c>
      <c r="Y61">
        <f>IF(AND($A61&lt;&gt;"",Y$3&gt;=$J61,Y$3&lt;=$M61),1,"")</f>
        <v/>
      </c>
      <c r="Z61">
        <f>IF(AND($A61&lt;&gt;"",Z$3&gt;=$J61,Z$3&lt;=$M61),1,"")</f>
        <v/>
      </c>
      <c r="AA61">
        <f>IF(AND($A61&lt;&gt;"",AA$3&gt;=$J61,AA$3&lt;=$M61),1,"")</f>
        <v/>
      </c>
      <c r="AB61">
        <f>IF(AND($A61&lt;&gt;"",AB$3&gt;=$J61,AB$3&lt;=$M61),1,"")</f>
        <v/>
      </c>
      <c r="AC61">
        <f>IF(AND($A61&lt;&gt;"",AC$3&gt;=$J61,AC$3&lt;=$M61),1,"")</f>
        <v/>
      </c>
      <c r="AD61">
        <f>IF(AND($A61&lt;&gt;"",AD$3&gt;=$J61,AD$3&lt;=$M61),1,"")</f>
        <v/>
      </c>
      <c r="AE61">
        <f>IF(AND($A61&lt;&gt;"",AE$3&gt;=$J61,AE$3&lt;=$M61),1,"")</f>
        <v/>
      </c>
      <c r="AF61">
        <f>IF(AND($A61&lt;&gt;"",AF$3&gt;=$J61,AF$3&lt;=$M61),1,"")</f>
        <v/>
      </c>
      <c r="AG61">
        <f>IF(AND($A61&lt;&gt;"",AG$3&gt;=$J61,AG$3&lt;=$M61),1,"")</f>
        <v/>
      </c>
      <c r="AH61">
        <f>IF(AND($A61&lt;&gt;"",AH$3&gt;=$J61,AH$3&lt;=$M61),1,"")</f>
        <v/>
      </c>
      <c r="AI61">
        <f>IF(AND($A61&lt;&gt;"",AI$3&gt;=$J61,AI$3&lt;=$M61),1,"")</f>
        <v/>
      </c>
      <c r="AJ61">
        <f>IF(AND($A61&lt;&gt;"",AJ$3&gt;=$J61,AJ$3&lt;=$M61),1,"")</f>
        <v/>
      </c>
      <c r="AK61">
        <f>IF(AND($A61&lt;&gt;"",AK$3&gt;=$J61,AK$3&lt;=$M61),1,"")</f>
        <v/>
      </c>
      <c r="AL61">
        <f>IF(AND($A61&lt;&gt;"",AL$3&gt;=$J61,AL$3&lt;=$M61),1,"")</f>
        <v/>
      </c>
      <c r="AM61">
        <f>IF(AND($A61&lt;&gt;"",AM$3&gt;=$J61,AM$3&lt;=$M61),1,"")</f>
        <v/>
      </c>
      <c r="AN61">
        <f>IF(AND($A61&lt;&gt;"",AN$3&gt;=$J61,AN$3&lt;=$M61),1,"")</f>
        <v/>
      </c>
      <c r="AO61">
        <f>IF(AND($A61&lt;&gt;"",AO$3&gt;=$J61,AO$3&lt;=$M61),1,"")</f>
        <v/>
      </c>
      <c r="AP61">
        <f>IF(AND($A61&lt;&gt;"",AP$3&gt;=$J61,AP$3&lt;=$M61),1,"")</f>
        <v/>
      </c>
      <c r="AQ61">
        <f>IF(AND($A61&lt;&gt;"",AQ$3&gt;=$J61,AQ$3&lt;=$M61),1,"")</f>
        <v/>
      </c>
      <c r="AR61">
        <f>IF(AND($A61&lt;&gt;"",AR$3&gt;=$J61,AR$3&lt;=$M61),1,"")</f>
        <v/>
      </c>
      <c r="AS61">
        <f>IF(AND($A61&lt;&gt;"",AS$3&gt;=$J61,AS$3&lt;=$M61),1,"")</f>
        <v/>
      </c>
      <c r="AT61">
        <f>IF(AND($A61&lt;&gt;"",AT$3&gt;=$J61,AT$3&lt;=$M61),1,"")</f>
        <v/>
      </c>
      <c r="AU61">
        <f>IF(AND($A61&lt;&gt;"",AU$3&gt;=$J61,AU$3&lt;=$M61),1,"")</f>
        <v/>
      </c>
      <c r="AV61">
        <f>IF(AND($A61&lt;&gt;"",AV$3&gt;=$J61,AV$3&lt;=$M61),1,"")</f>
        <v/>
      </c>
      <c r="AW61">
        <f>IF(AND($A61&lt;&gt;"",AW$3&gt;=$J61,AW$3&lt;=$M61),1,"")</f>
        <v/>
      </c>
      <c r="AX61">
        <f>IF(AND($A61&lt;&gt;"",AX$3&gt;=$J61,AX$3&lt;=$M61),1,"")</f>
        <v/>
      </c>
      <c r="AY61">
        <f>IF(AND($A61&lt;&gt;"",AY$3&gt;=$J61,AY$3&lt;=$M61),1,"")</f>
        <v/>
      </c>
      <c r="AZ61">
        <f>IF(AND($A61&lt;&gt;"",AZ$3&gt;=$J61,AZ$3&lt;=$M61),1,"")</f>
        <v/>
      </c>
      <c r="BA61">
        <f>IF(AND($A61&lt;&gt;"",BA$3&gt;=$J61,BA$3&lt;=$M61),1,"")</f>
        <v/>
      </c>
      <c r="BB61">
        <f>IF(AND($A61&lt;&gt;"",BB$3&gt;=$J61,BB$3&lt;=$M61),1,"")</f>
        <v/>
      </c>
      <c r="BC61">
        <f>IF(AND($A61&lt;&gt;"",BC$3&gt;=$J61,BC$3&lt;=$M61),1,"")</f>
        <v/>
      </c>
      <c r="BD61">
        <f>IF(AND($A61&lt;&gt;"",BD$3&gt;=$J61,BD$3&lt;=$M61),1,"")</f>
        <v/>
      </c>
      <c r="BE61">
        <f>IF(AND($A61&lt;&gt;"",BE$3&gt;=$J61,BE$3&lt;=$M61),1,"")</f>
        <v/>
      </c>
      <c r="BF61">
        <f>IF(AND($A61&lt;&gt;"",BF$3&gt;=$J61,BF$3&lt;=$M61),1,"")</f>
        <v/>
      </c>
      <c r="BG61">
        <f>IF(AND($A61&lt;&gt;"",BG$3&gt;=$J61,BG$3&lt;=$M61),1,"")</f>
        <v/>
      </c>
      <c r="BH61">
        <f>IF(AND($A61&lt;&gt;"",BH$3&gt;=$J61,BH$3&lt;=$M61),1,"")</f>
        <v/>
      </c>
      <c r="BI61">
        <f>IF(AND($A61&lt;&gt;"",BI$3&gt;=$J61,BI$3&lt;=$M61),1,"")</f>
        <v/>
      </c>
      <c r="BJ61">
        <f>IF(AND($A61&lt;&gt;"",BJ$3&gt;=$J61,BJ$3&lt;=$M61),1,"")</f>
        <v/>
      </c>
      <c r="BK61">
        <f>IF(AND($A61&lt;&gt;"",BK$3&gt;=$J61,BK$3&lt;=$M61),1,"")</f>
        <v/>
      </c>
      <c r="BL61">
        <f>IF(AND($A61&lt;&gt;"",BL$3&gt;=$J61,BL$3&lt;=$M61),1,"")</f>
        <v/>
      </c>
      <c r="BM61">
        <f>IF(AND($A61&lt;&gt;"",BM$3&gt;=$J61,BM$3&lt;=$M61),1,"")</f>
        <v/>
      </c>
      <c r="BN61">
        <f>IF(AND($A61&lt;&gt;"",BN$3&gt;=$J61,BN$3&lt;=$M61),1,"")</f>
        <v/>
      </c>
      <c r="BO61">
        <f>IF(AND($A61&lt;&gt;"",BO$3&gt;=$J61,BO$3&lt;=$M61),1,"")</f>
        <v/>
      </c>
      <c r="BP61">
        <f>IF(AND($A61&lt;&gt;"",BP$3&gt;=$J61,BP$3&lt;=$M61),1,"")</f>
        <v/>
      </c>
      <c r="BQ61">
        <f>IF(AND($A61&lt;&gt;"",BQ$3&gt;=$J61,BQ$3&lt;=$M61),1,"")</f>
        <v/>
      </c>
      <c r="BR61">
        <f>IF(AND($A61&lt;&gt;"",BR$3&gt;=$J61,BR$3&lt;=$M61),1,"")</f>
        <v/>
      </c>
      <c r="BS61">
        <f>IF(AND($A61&lt;&gt;"",BS$3&gt;=$J61,BS$3&lt;=$M61),1,"")</f>
        <v/>
      </c>
      <c r="BT61">
        <f>IF(AND($A61&lt;&gt;"",BT$3&gt;=$J61,BT$3&lt;=$M61),1,"")</f>
        <v/>
      </c>
      <c r="BU61">
        <f>IF(AND($A61&lt;&gt;"",BU$3&gt;=$J61,BU$3&lt;=$M61),1,"")</f>
        <v/>
      </c>
      <c r="BV61">
        <f>IF(AND($A61&lt;&gt;"",BV$3&gt;=$J61,BV$3&lt;=$M61),1,"")</f>
        <v/>
      </c>
    </row>
    <row r="62">
      <c r="A62">
        <f>IF(Job_Master_Ring!$A62="","",Job_Master_Ring!$A62)</f>
        <v/>
      </c>
      <c r="B62">
        <f>IF($A62="","",Job_Master_Ring!B62)</f>
        <v/>
      </c>
      <c r="C62">
        <f>IF($A62="","",Job_Master_Ring!C62)</f>
        <v/>
      </c>
      <c r="D62">
        <f>IF($A62="","",Job_Master_Ring!D62)</f>
        <v/>
      </c>
      <c r="E62">
        <f>IF($A62="","",IF($I62&lt;&gt;"",$I62,IFERROR(INDEX(Machine_List!$B$50:$B$63,MATCH(1,(Machine_List!$H$50:$H$63&lt;=IFERROR(VLOOKUP($B62,CHOOSE(MATCH($C62,Settings!$L$4:$L$10,0),OPR_BR1!$A$4:$K$18,OPR_BR2!$A$4:$K$18,OPR_CR2!$A$4:$K$18,OPR_CR3!$A$4:$K$18,OPR_CR4!$A$4:$K$18,OPR_RIM!$A$4:$K$18,OPR_BPR!$A$4:$K$18),10,0),0))*(Machine_List!$I$50:$I$63&gt;=IFERROR(VLOOKUP($B62,CHOOSE(MATCH($C62,Settings!$L$4:$L$10,0),OPR_BR1!$A$4:$K$18,OPR_BR2!$A$4:$K$18,OPR_CR2!$A$4:$K$18,OPR_CR3!$A$4:$K$18,OPR_CR4!$A$4:$K$18,OPR_RIM!$A$4:$K$18,OPR_BPR!$A$4:$K$18),11,0),9999)),0)),"NO COMPATIBLE MACHINE")))</f>
        <v/>
      </c>
      <c r="F62">
        <f>IF($E62="","",IFERROR(VLOOKUP($E62,Machine_List!$B:$G,6,0),""))</f>
        <v/>
      </c>
      <c r="G62" s="17">
        <f>IF($E62="","",IFERROR(VLOOKUP($E62,Machine_List!$B:$C,2,0),""))</f>
        <v/>
      </c>
      <c r="H62">
        <f>IF($E62="","",IFERROR(VLOOKUP($E62,Machine_List!$B:$D,3,0),""))</f>
        <v/>
      </c>
      <c r="J62" s="16">
        <f>IF($A62="","",IF($I62&lt;&gt;"",$I62,MAX(CNC_Plan!$M62,IFERROR(LOOKUP(2,1/($E$3:INDIRECT("E"&amp;(ROW()-1))=$E62),$M$3:INDIRECT("M"&amp;(ROW()-1))),CNC_Plan!$M62))))</f>
        <v/>
      </c>
      <c r="K62">
        <f>IF($A62="","",IFERROR(VLOOKUP(B62,CHOOSE(MATCH($C62,Settings!$L$4:$L$10,0),OPR_BR1!$A$4:$I$18,OPR_BR2!$A$4:$I$18,OPR_CR2!$A$4:$I$18,OPR_CR3!$A$4:$I$18,OPR_CR4!$A$4:$I$18,OPR_RIM!$A$4:$I$18,OPR_BPR!$A$4:$I$18),6,0),0))</f>
        <v/>
      </c>
      <c r="L62">
        <f>IF($A62="","",K62*D62)</f>
        <v/>
      </c>
      <c r="M62" s="16">
        <f>IF($A62="","",IF(AND(ISNUMBER(G62),G62&gt;=J62,G62&lt;=(J62+(L62/(IF(F62="Contract Workman",Settings!$K$5,Settings!$K$4))))),J62+(L62/(IF(F62="Contract Workman",Settings!$K$5,Settings!$K$4)))+(H62/(IF(F62="Contract Workman",Settings!$K$5,Settings!$K$4))),J62+(L62/(IF(F62="Contract Workman",Settings!$K$5,Settings!$K$4)))))</f>
        <v/>
      </c>
      <c r="N62">
        <f>IF($A62="","",IF(F62="Contract Workman",IF(AND(MOD(M62,1)&gt;=8/24,MOD(M62,1)&lt;20/24),"Shift S1","Shift S2"),IF(AND(MOD(M62,1)&gt;=7/24,MOD(M62,1)&lt;15/24),"Shift A",IF(AND(MOD(M62,1)&gt;=15/24,MOD(M62,1)&lt;23/24),"Shift B","Shift C"))))</f>
        <v/>
      </c>
      <c r="O62">
        <f>IF(B62="","",IF(IFERROR(ISNUMBER(SEARCH(TEXT(B62,"0"),VLOOKUP(E62,Machine_List!$B:$J,9,0))),FALSE),"✅ "&amp; E62,"❌ Sug: "&amp;IFERROR(INDEX(Machine_List!$B$50:$B$63,MATCH(1,(Machine_List!$H$50:$H$63&lt;=IFERROR(VLOOKUP($B62,OPR_BR1!$A$4:$K$18,10,0),0))*(Machine_List!$I$50:$I$63&gt;=IFERROR(VLOOKUP($B62,OPR_BR1!$A$4:$K$18,11,0),9999)),0)),"?")))</f>
        <v/>
      </c>
      <c r="P62">
        <f>IF(AND($A62&lt;&gt;"",P$3&gt;=$J62,P$3&lt;=$M62),1,"")</f>
        <v/>
      </c>
      <c r="Q62">
        <f>IF(AND($A62&lt;&gt;"",Q$3&gt;=$J62,Q$3&lt;=$M62),1,"")</f>
        <v/>
      </c>
      <c r="R62">
        <f>IF(AND($A62&lt;&gt;"",R$3&gt;=$J62,R$3&lt;=$M62),1,"")</f>
        <v/>
      </c>
      <c r="S62">
        <f>IF(AND($A62&lt;&gt;"",S$3&gt;=$J62,S$3&lt;=$M62),1,"")</f>
        <v/>
      </c>
      <c r="T62">
        <f>IF(AND($A62&lt;&gt;"",T$3&gt;=$J62,T$3&lt;=$M62),1,"")</f>
        <v/>
      </c>
      <c r="U62">
        <f>IF(AND($A62&lt;&gt;"",U$3&gt;=$J62,U$3&lt;=$M62),1,"")</f>
        <v/>
      </c>
      <c r="V62">
        <f>IF(AND($A62&lt;&gt;"",V$3&gt;=$J62,V$3&lt;=$M62),1,"")</f>
        <v/>
      </c>
      <c r="W62">
        <f>IF(AND($A62&lt;&gt;"",W$3&gt;=$J62,W$3&lt;=$M62),1,"")</f>
        <v/>
      </c>
      <c r="X62">
        <f>IF(AND($A62&lt;&gt;"",X$3&gt;=$J62,X$3&lt;=$M62),1,"")</f>
        <v/>
      </c>
      <c r="Y62">
        <f>IF(AND($A62&lt;&gt;"",Y$3&gt;=$J62,Y$3&lt;=$M62),1,"")</f>
        <v/>
      </c>
      <c r="Z62">
        <f>IF(AND($A62&lt;&gt;"",Z$3&gt;=$J62,Z$3&lt;=$M62),1,"")</f>
        <v/>
      </c>
      <c r="AA62">
        <f>IF(AND($A62&lt;&gt;"",AA$3&gt;=$J62,AA$3&lt;=$M62),1,"")</f>
        <v/>
      </c>
      <c r="AB62">
        <f>IF(AND($A62&lt;&gt;"",AB$3&gt;=$J62,AB$3&lt;=$M62),1,"")</f>
        <v/>
      </c>
      <c r="AC62">
        <f>IF(AND($A62&lt;&gt;"",AC$3&gt;=$J62,AC$3&lt;=$M62),1,"")</f>
        <v/>
      </c>
      <c r="AD62">
        <f>IF(AND($A62&lt;&gt;"",AD$3&gt;=$J62,AD$3&lt;=$M62),1,"")</f>
        <v/>
      </c>
      <c r="AE62">
        <f>IF(AND($A62&lt;&gt;"",AE$3&gt;=$J62,AE$3&lt;=$M62),1,"")</f>
        <v/>
      </c>
      <c r="AF62">
        <f>IF(AND($A62&lt;&gt;"",AF$3&gt;=$J62,AF$3&lt;=$M62),1,"")</f>
        <v/>
      </c>
      <c r="AG62">
        <f>IF(AND($A62&lt;&gt;"",AG$3&gt;=$J62,AG$3&lt;=$M62),1,"")</f>
        <v/>
      </c>
      <c r="AH62">
        <f>IF(AND($A62&lt;&gt;"",AH$3&gt;=$J62,AH$3&lt;=$M62),1,"")</f>
        <v/>
      </c>
      <c r="AI62">
        <f>IF(AND($A62&lt;&gt;"",AI$3&gt;=$J62,AI$3&lt;=$M62),1,"")</f>
        <v/>
      </c>
      <c r="AJ62">
        <f>IF(AND($A62&lt;&gt;"",AJ$3&gt;=$J62,AJ$3&lt;=$M62),1,"")</f>
        <v/>
      </c>
      <c r="AK62">
        <f>IF(AND($A62&lt;&gt;"",AK$3&gt;=$J62,AK$3&lt;=$M62),1,"")</f>
        <v/>
      </c>
      <c r="AL62">
        <f>IF(AND($A62&lt;&gt;"",AL$3&gt;=$J62,AL$3&lt;=$M62),1,"")</f>
        <v/>
      </c>
      <c r="AM62">
        <f>IF(AND($A62&lt;&gt;"",AM$3&gt;=$J62,AM$3&lt;=$M62),1,"")</f>
        <v/>
      </c>
      <c r="AN62">
        <f>IF(AND($A62&lt;&gt;"",AN$3&gt;=$J62,AN$3&lt;=$M62),1,"")</f>
        <v/>
      </c>
      <c r="AO62">
        <f>IF(AND($A62&lt;&gt;"",AO$3&gt;=$J62,AO$3&lt;=$M62),1,"")</f>
        <v/>
      </c>
      <c r="AP62">
        <f>IF(AND($A62&lt;&gt;"",AP$3&gt;=$J62,AP$3&lt;=$M62),1,"")</f>
        <v/>
      </c>
      <c r="AQ62">
        <f>IF(AND($A62&lt;&gt;"",AQ$3&gt;=$J62,AQ$3&lt;=$M62),1,"")</f>
        <v/>
      </c>
      <c r="AR62">
        <f>IF(AND($A62&lt;&gt;"",AR$3&gt;=$J62,AR$3&lt;=$M62),1,"")</f>
        <v/>
      </c>
      <c r="AS62">
        <f>IF(AND($A62&lt;&gt;"",AS$3&gt;=$J62,AS$3&lt;=$M62),1,"")</f>
        <v/>
      </c>
      <c r="AT62">
        <f>IF(AND($A62&lt;&gt;"",AT$3&gt;=$J62,AT$3&lt;=$M62),1,"")</f>
        <v/>
      </c>
      <c r="AU62">
        <f>IF(AND($A62&lt;&gt;"",AU$3&gt;=$J62,AU$3&lt;=$M62),1,"")</f>
        <v/>
      </c>
      <c r="AV62">
        <f>IF(AND($A62&lt;&gt;"",AV$3&gt;=$J62,AV$3&lt;=$M62),1,"")</f>
        <v/>
      </c>
      <c r="AW62">
        <f>IF(AND($A62&lt;&gt;"",AW$3&gt;=$J62,AW$3&lt;=$M62),1,"")</f>
        <v/>
      </c>
      <c r="AX62">
        <f>IF(AND($A62&lt;&gt;"",AX$3&gt;=$J62,AX$3&lt;=$M62),1,"")</f>
        <v/>
      </c>
      <c r="AY62">
        <f>IF(AND($A62&lt;&gt;"",AY$3&gt;=$J62,AY$3&lt;=$M62),1,"")</f>
        <v/>
      </c>
      <c r="AZ62">
        <f>IF(AND($A62&lt;&gt;"",AZ$3&gt;=$J62,AZ$3&lt;=$M62),1,"")</f>
        <v/>
      </c>
      <c r="BA62">
        <f>IF(AND($A62&lt;&gt;"",BA$3&gt;=$J62,BA$3&lt;=$M62),1,"")</f>
        <v/>
      </c>
      <c r="BB62">
        <f>IF(AND($A62&lt;&gt;"",BB$3&gt;=$J62,BB$3&lt;=$M62),1,"")</f>
        <v/>
      </c>
      <c r="BC62">
        <f>IF(AND($A62&lt;&gt;"",BC$3&gt;=$J62,BC$3&lt;=$M62),1,"")</f>
        <v/>
      </c>
      <c r="BD62">
        <f>IF(AND($A62&lt;&gt;"",BD$3&gt;=$J62,BD$3&lt;=$M62),1,"")</f>
        <v/>
      </c>
      <c r="BE62">
        <f>IF(AND($A62&lt;&gt;"",BE$3&gt;=$J62,BE$3&lt;=$M62),1,"")</f>
        <v/>
      </c>
      <c r="BF62">
        <f>IF(AND($A62&lt;&gt;"",BF$3&gt;=$J62,BF$3&lt;=$M62),1,"")</f>
        <v/>
      </c>
      <c r="BG62">
        <f>IF(AND($A62&lt;&gt;"",BG$3&gt;=$J62,BG$3&lt;=$M62),1,"")</f>
        <v/>
      </c>
      <c r="BH62">
        <f>IF(AND($A62&lt;&gt;"",BH$3&gt;=$J62,BH$3&lt;=$M62),1,"")</f>
        <v/>
      </c>
      <c r="BI62">
        <f>IF(AND($A62&lt;&gt;"",BI$3&gt;=$J62,BI$3&lt;=$M62),1,"")</f>
        <v/>
      </c>
      <c r="BJ62">
        <f>IF(AND($A62&lt;&gt;"",BJ$3&gt;=$J62,BJ$3&lt;=$M62),1,"")</f>
        <v/>
      </c>
      <c r="BK62">
        <f>IF(AND($A62&lt;&gt;"",BK$3&gt;=$J62,BK$3&lt;=$M62),1,"")</f>
        <v/>
      </c>
      <c r="BL62">
        <f>IF(AND($A62&lt;&gt;"",BL$3&gt;=$J62,BL$3&lt;=$M62),1,"")</f>
        <v/>
      </c>
      <c r="BM62">
        <f>IF(AND($A62&lt;&gt;"",BM$3&gt;=$J62,BM$3&lt;=$M62),1,"")</f>
        <v/>
      </c>
      <c r="BN62">
        <f>IF(AND($A62&lt;&gt;"",BN$3&gt;=$J62,BN$3&lt;=$M62),1,"")</f>
        <v/>
      </c>
      <c r="BO62">
        <f>IF(AND($A62&lt;&gt;"",BO$3&gt;=$J62,BO$3&lt;=$M62),1,"")</f>
        <v/>
      </c>
      <c r="BP62">
        <f>IF(AND($A62&lt;&gt;"",BP$3&gt;=$J62,BP$3&lt;=$M62),1,"")</f>
        <v/>
      </c>
      <c r="BQ62">
        <f>IF(AND($A62&lt;&gt;"",BQ$3&gt;=$J62,BQ$3&lt;=$M62),1,"")</f>
        <v/>
      </c>
      <c r="BR62">
        <f>IF(AND($A62&lt;&gt;"",BR$3&gt;=$J62,BR$3&lt;=$M62),1,"")</f>
        <v/>
      </c>
      <c r="BS62">
        <f>IF(AND($A62&lt;&gt;"",BS$3&gt;=$J62,BS$3&lt;=$M62),1,"")</f>
        <v/>
      </c>
      <c r="BT62">
        <f>IF(AND($A62&lt;&gt;"",BT$3&gt;=$J62,BT$3&lt;=$M62),1,"")</f>
        <v/>
      </c>
      <c r="BU62">
        <f>IF(AND($A62&lt;&gt;"",BU$3&gt;=$J62,BU$3&lt;=$M62),1,"")</f>
        <v/>
      </c>
      <c r="BV62">
        <f>IF(AND($A62&lt;&gt;"",BV$3&gt;=$J62,BV$3&lt;=$M62),1,"")</f>
        <v/>
      </c>
    </row>
    <row r="63">
      <c r="A63">
        <f>IF(Job_Master_Ring!$A63="","",Job_Master_Ring!$A63)</f>
        <v/>
      </c>
      <c r="B63">
        <f>IF($A63="","",Job_Master_Ring!B63)</f>
        <v/>
      </c>
      <c r="C63">
        <f>IF($A63="","",Job_Master_Ring!C63)</f>
        <v/>
      </c>
      <c r="D63">
        <f>IF($A63="","",Job_Master_Ring!D63)</f>
        <v/>
      </c>
      <c r="E63">
        <f>IF($A63="","",IF($I63&lt;&gt;"",$I63,IFERROR(INDEX(Machine_List!$B$50:$B$63,MATCH(1,(Machine_List!$H$50:$H$63&lt;=IFERROR(VLOOKUP($B63,CHOOSE(MATCH($C63,Settings!$L$4:$L$10,0),OPR_BR1!$A$4:$K$18,OPR_BR2!$A$4:$K$18,OPR_CR2!$A$4:$K$18,OPR_CR3!$A$4:$K$18,OPR_CR4!$A$4:$K$18,OPR_RIM!$A$4:$K$18,OPR_BPR!$A$4:$K$18),10,0),0))*(Machine_List!$I$50:$I$63&gt;=IFERROR(VLOOKUP($B63,CHOOSE(MATCH($C63,Settings!$L$4:$L$10,0),OPR_BR1!$A$4:$K$18,OPR_BR2!$A$4:$K$18,OPR_CR2!$A$4:$K$18,OPR_CR3!$A$4:$K$18,OPR_CR4!$A$4:$K$18,OPR_RIM!$A$4:$K$18,OPR_BPR!$A$4:$K$18),11,0),9999)),0)),"NO COMPATIBLE MACHINE")))</f>
        <v/>
      </c>
      <c r="F63">
        <f>IF($E63="","",IFERROR(VLOOKUP($E63,Machine_List!$B:$G,6,0),""))</f>
        <v/>
      </c>
      <c r="G63" s="17">
        <f>IF($E63="","",IFERROR(VLOOKUP($E63,Machine_List!$B:$C,2,0),""))</f>
        <v/>
      </c>
      <c r="H63">
        <f>IF($E63="","",IFERROR(VLOOKUP($E63,Machine_List!$B:$D,3,0),""))</f>
        <v/>
      </c>
      <c r="J63" s="16">
        <f>IF($A63="","",IF($I63&lt;&gt;"",$I63,MAX(CNC_Plan!$M63,IFERROR(LOOKUP(2,1/($E$3:INDIRECT("E"&amp;(ROW()-1))=$E63),$M$3:INDIRECT("M"&amp;(ROW()-1))),CNC_Plan!$M63))))</f>
        <v/>
      </c>
      <c r="K63">
        <f>IF($A63="","",IFERROR(VLOOKUP(B63,CHOOSE(MATCH($C63,Settings!$L$4:$L$10,0),OPR_BR1!$A$4:$I$18,OPR_BR2!$A$4:$I$18,OPR_CR2!$A$4:$I$18,OPR_CR3!$A$4:$I$18,OPR_CR4!$A$4:$I$18,OPR_RIM!$A$4:$I$18,OPR_BPR!$A$4:$I$18),6,0),0))</f>
        <v/>
      </c>
      <c r="L63">
        <f>IF($A63="","",K63*D63)</f>
        <v/>
      </c>
      <c r="M63" s="16">
        <f>IF($A63="","",IF(AND(ISNUMBER(G63),G63&gt;=J63,G63&lt;=(J63+(L63/(IF(F63="Contract Workman",Settings!$K$5,Settings!$K$4))))),J63+(L63/(IF(F63="Contract Workman",Settings!$K$5,Settings!$K$4)))+(H63/(IF(F63="Contract Workman",Settings!$K$5,Settings!$K$4))),J63+(L63/(IF(F63="Contract Workman",Settings!$K$5,Settings!$K$4)))))</f>
        <v/>
      </c>
      <c r="N63">
        <f>IF($A63="","",IF(F63="Contract Workman",IF(AND(MOD(M63,1)&gt;=8/24,MOD(M63,1)&lt;20/24),"Shift S1","Shift S2"),IF(AND(MOD(M63,1)&gt;=7/24,MOD(M63,1)&lt;15/24),"Shift A",IF(AND(MOD(M63,1)&gt;=15/24,MOD(M63,1)&lt;23/24),"Shift B","Shift C"))))</f>
        <v/>
      </c>
      <c r="O63">
        <f>IF(B63="","",IF(IFERROR(ISNUMBER(SEARCH(TEXT(B63,"0"),VLOOKUP(E63,Machine_List!$B:$J,9,0))),FALSE),"✅ "&amp; E63,"❌ Sug: "&amp;IFERROR(INDEX(Machine_List!$B$50:$B$63,MATCH(1,(Machine_List!$H$50:$H$63&lt;=IFERROR(VLOOKUP($B63,OPR_BR1!$A$4:$K$18,10,0),0))*(Machine_List!$I$50:$I$63&gt;=IFERROR(VLOOKUP($B63,OPR_BR1!$A$4:$K$18,11,0),9999)),0)),"?")))</f>
        <v/>
      </c>
      <c r="P63">
        <f>IF(AND($A63&lt;&gt;"",P$3&gt;=$J63,P$3&lt;=$M63),1,"")</f>
        <v/>
      </c>
      <c r="Q63">
        <f>IF(AND($A63&lt;&gt;"",Q$3&gt;=$J63,Q$3&lt;=$M63),1,"")</f>
        <v/>
      </c>
      <c r="R63">
        <f>IF(AND($A63&lt;&gt;"",R$3&gt;=$J63,R$3&lt;=$M63),1,"")</f>
        <v/>
      </c>
      <c r="S63">
        <f>IF(AND($A63&lt;&gt;"",S$3&gt;=$J63,S$3&lt;=$M63),1,"")</f>
        <v/>
      </c>
      <c r="T63">
        <f>IF(AND($A63&lt;&gt;"",T$3&gt;=$J63,T$3&lt;=$M63),1,"")</f>
        <v/>
      </c>
      <c r="U63">
        <f>IF(AND($A63&lt;&gt;"",U$3&gt;=$J63,U$3&lt;=$M63),1,"")</f>
        <v/>
      </c>
      <c r="V63">
        <f>IF(AND($A63&lt;&gt;"",V$3&gt;=$J63,V$3&lt;=$M63),1,"")</f>
        <v/>
      </c>
      <c r="W63">
        <f>IF(AND($A63&lt;&gt;"",W$3&gt;=$J63,W$3&lt;=$M63),1,"")</f>
        <v/>
      </c>
      <c r="X63">
        <f>IF(AND($A63&lt;&gt;"",X$3&gt;=$J63,X$3&lt;=$M63),1,"")</f>
        <v/>
      </c>
      <c r="Y63">
        <f>IF(AND($A63&lt;&gt;"",Y$3&gt;=$J63,Y$3&lt;=$M63),1,"")</f>
        <v/>
      </c>
      <c r="Z63">
        <f>IF(AND($A63&lt;&gt;"",Z$3&gt;=$J63,Z$3&lt;=$M63),1,"")</f>
        <v/>
      </c>
      <c r="AA63">
        <f>IF(AND($A63&lt;&gt;"",AA$3&gt;=$J63,AA$3&lt;=$M63),1,"")</f>
        <v/>
      </c>
      <c r="AB63">
        <f>IF(AND($A63&lt;&gt;"",AB$3&gt;=$J63,AB$3&lt;=$M63),1,"")</f>
        <v/>
      </c>
      <c r="AC63">
        <f>IF(AND($A63&lt;&gt;"",AC$3&gt;=$J63,AC$3&lt;=$M63),1,"")</f>
        <v/>
      </c>
      <c r="AD63">
        <f>IF(AND($A63&lt;&gt;"",AD$3&gt;=$J63,AD$3&lt;=$M63),1,"")</f>
        <v/>
      </c>
      <c r="AE63">
        <f>IF(AND($A63&lt;&gt;"",AE$3&gt;=$J63,AE$3&lt;=$M63),1,"")</f>
        <v/>
      </c>
      <c r="AF63">
        <f>IF(AND($A63&lt;&gt;"",AF$3&gt;=$J63,AF$3&lt;=$M63),1,"")</f>
        <v/>
      </c>
      <c r="AG63">
        <f>IF(AND($A63&lt;&gt;"",AG$3&gt;=$J63,AG$3&lt;=$M63),1,"")</f>
        <v/>
      </c>
      <c r="AH63">
        <f>IF(AND($A63&lt;&gt;"",AH$3&gt;=$J63,AH$3&lt;=$M63),1,"")</f>
        <v/>
      </c>
      <c r="AI63">
        <f>IF(AND($A63&lt;&gt;"",AI$3&gt;=$J63,AI$3&lt;=$M63),1,"")</f>
        <v/>
      </c>
      <c r="AJ63">
        <f>IF(AND($A63&lt;&gt;"",AJ$3&gt;=$J63,AJ$3&lt;=$M63),1,"")</f>
        <v/>
      </c>
      <c r="AK63">
        <f>IF(AND($A63&lt;&gt;"",AK$3&gt;=$J63,AK$3&lt;=$M63),1,"")</f>
        <v/>
      </c>
      <c r="AL63">
        <f>IF(AND($A63&lt;&gt;"",AL$3&gt;=$J63,AL$3&lt;=$M63),1,"")</f>
        <v/>
      </c>
      <c r="AM63">
        <f>IF(AND($A63&lt;&gt;"",AM$3&gt;=$J63,AM$3&lt;=$M63),1,"")</f>
        <v/>
      </c>
      <c r="AN63">
        <f>IF(AND($A63&lt;&gt;"",AN$3&gt;=$J63,AN$3&lt;=$M63),1,"")</f>
        <v/>
      </c>
      <c r="AO63">
        <f>IF(AND($A63&lt;&gt;"",AO$3&gt;=$J63,AO$3&lt;=$M63),1,"")</f>
        <v/>
      </c>
      <c r="AP63">
        <f>IF(AND($A63&lt;&gt;"",AP$3&gt;=$J63,AP$3&lt;=$M63),1,"")</f>
        <v/>
      </c>
      <c r="AQ63">
        <f>IF(AND($A63&lt;&gt;"",AQ$3&gt;=$J63,AQ$3&lt;=$M63),1,"")</f>
        <v/>
      </c>
      <c r="AR63">
        <f>IF(AND($A63&lt;&gt;"",AR$3&gt;=$J63,AR$3&lt;=$M63),1,"")</f>
        <v/>
      </c>
      <c r="AS63">
        <f>IF(AND($A63&lt;&gt;"",AS$3&gt;=$J63,AS$3&lt;=$M63),1,"")</f>
        <v/>
      </c>
      <c r="AT63">
        <f>IF(AND($A63&lt;&gt;"",AT$3&gt;=$J63,AT$3&lt;=$M63),1,"")</f>
        <v/>
      </c>
      <c r="AU63">
        <f>IF(AND($A63&lt;&gt;"",AU$3&gt;=$J63,AU$3&lt;=$M63),1,"")</f>
        <v/>
      </c>
      <c r="AV63">
        <f>IF(AND($A63&lt;&gt;"",AV$3&gt;=$J63,AV$3&lt;=$M63),1,"")</f>
        <v/>
      </c>
      <c r="AW63">
        <f>IF(AND($A63&lt;&gt;"",AW$3&gt;=$J63,AW$3&lt;=$M63),1,"")</f>
        <v/>
      </c>
      <c r="AX63">
        <f>IF(AND($A63&lt;&gt;"",AX$3&gt;=$J63,AX$3&lt;=$M63),1,"")</f>
        <v/>
      </c>
      <c r="AY63">
        <f>IF(AND($A63&lt;&gt;"",AY$3&gt;=$J63,AY$3&lt;=$M63),1,"")</f>
        <v/>
      </c>
      <c r="AZ63">
        <f>IF(AND($A63&lt;&gt;"",AZ$3&gt;=$J63,AZ$3&lt;=$M63),1,"")</f>
        <v/>
      </c>
      <c r="BA63">
        <f>IF(AND($A63&lt;&gt;"",BA$3&gt;=$J63,BA$3&lt;=$M63),1,"")</f>
        <v/>
      </c>
      <c r="BB63">
        <f>IF(AND($A63&lt;&gt;"",BB$3&gt;=$J63,BB$3&lt;=$M63),1,"")</f>
        <v/>
      </c>
      <c r="BC63">
        <f>IF(AND($A63&lt;&gt;"",BC$3&gt;=$J63,BC$3&lt;=$M63),1,"")</f>
        <v/>
      </c>
      <c r="BD63">
        <f>IF(AND($A63&lt;&gt;"",BD$3&gt;=$J63,BD$3&lt;=$M63),1,"")</f>
        <v/>
      </c>
      <c r="BE63">
        <f>IF(AND($A63&lt;&gt;"",BE$3&gt;=$J63,BE$3&lt;=$M63),1,"")</f>
        <v/>
      </c>
      <c r="BF63">
        <f>IF(AND($A63&lt;&gt;"",BF$3&gt;=$J63,BF$3&lt;=$M63),1,"")</f>
        <v/>
      </c>
      <c r="BG63">
        <f>IF(AND($A63&lt;&gt;"",BG$3&gt;=$J63,BG$3&lt;=$M63),1,"")</f>
        <v/>
      </c>
      <c r="BH63">
        <f>IF(AND($A63&lt;&gt;"",BH$3&gt;=$J63,BH$3&lt;=$M63),1,"")</f>
        <v/>
      </c>
      <c r="BI63">
        <f>IF(AND($A63&lt;&gt;"",BI$3&gt;=$J63,BI$3&lt;=$M63),1,"")</f>
        <v/>
      </c>
      <c r="BJ63">
        <f>IF(AND($A63&lt;&gt;"",BJ$3&gt;=$J63,BJ$3&lt;=$M63),1,"")</f>
        <v/>
      </c>
      <c r="BK63">
        <f>IF(AND($A63&lt;&gt;"",BK$3&gt;=$J63,BK$3&lt;=$M63),1,"")</f>
        <v/>
      </c>
      <c r="BL63">
        <f>IF(AND($A63&lt;&gt;"",BL$3&gt;=$J63,BL$3&lt;=$M63),1,"")</f>
        <v/>
      </c>
      <c r="BM63">
        <f>IF(AND($A63&lt;&gt;"",BM$3&gt;=$J63,BM$3&lt;=$M63),1,"")</f>
        <v/>
      </c>
      <c r="BN63">
        <f>IF(AND($A63&lt;&gt;"",BN$3&gt;=$J63,BN$3&lt;=$M63),1,"")</f>
        <v/>
      </c>
      <c r="BO63">
        <f>IF(AND($A63&lt;&gt;"",BO$3&gt;=$J63,BO$3&lt;=$M63),1,"")</f>
        <v/>
      </c>
      <c r="BP63">
        <f>IF(AND($A63&lt;&gt;"",BP$3&gt;=$J63,BP$3&lt;=$M63),1,"")</f>
        <v/>
      </c>
      <c r="BQ63">
        <f>IF(AND($A63&lt;&gt;"",BQ$3&gt;=$J63,BQ$3&lt;=$M63),1,"")</f>
        <v/>
      </c>
      <c r="BR63">
        <f>IF(AND($A63&lt;&gt;"",BR$3&gt;=$J63,BR$3&lt;=$M63),1,"")</f>
        <v/>
      </c>
      <c r="BS63">
        <f>IF(AND($A63&lt;&gt;"",BS$3&gt;=$J63,BS$3&lt;=$M63),1,"")</f>
        <v/>
      </c>
      <c r="BT63">
        <f>IF(AND($A63&lt;&gt;"",BT$3&gt;=$J63,BT$3&lt;=$M63),1,"")</f>
        <v/>
      </c>
      <c r="BU63">
        <f>IF(AND($A63&lt;&gt;"",BU$3&gt;=$J63,BU$3&lt;=$M63),1,"")</f>
        <v/>
      </c>
      <c r="BV63">
        <f>IF(AND($A63&lt;&gt;"",BV$3&gt;=$J63,BV$3&lt;=$M63),1,"")</f>
        <v/>
      </c>
    </row>
    <row r="64">
      <c r="A64">
        <f>IF(Job_Master_Ring!$A64="","",Job_Master_Ring!$A64)</f>
        <v/>
      </c>
      <c r="B64">
        <f>IF($A64="","",Job_Master_Ring!B64)</f>
        <v/>
      </c>
      <c r="C64">
        <f>IF($A64="","",Job_Master_Ring!C64)</f>
        <v/>
      </c>
      <c r="D64">
        <f>IF($A64="","",Job_Master_Ring!D64)</f>
        <v/>
      </c>
      <c r="E64">
        <f>IF($A64="","",IF($I64&lt;&gt;"",$I64,IFERROR(INDEX(Machine_List!$B$50:$B$63,MATCH(1,(Machine_List!$H$50:$H$63&lt;=IFERROR(VLOOKUP($B64,CHOOSE(MATCH($C64,Settings!$L$4:$L$10,0),OPR_BR1!$A$4:$K$18,OPR_BR2!$A$4:$K$18,OPR_CR2!$A$4:$K$18,OPR_CR3!$A$4:$K$18,OPR_CR4!$A$4:$K$18,OPR_RIM!$A$4:$K$18,OPR_BPR!$A$4:$K$18),10,0),0))*(Machine_List!$I$50:$I$63&gt;=IFERROR(VLOOKUP($B64,CHOOSE(MATCH($C64,Settings!$L$4:$L$10,0),OPR_BR1!$A$4:$K$18,OPR_BR2!$A$4:$K$18,OPR_CR2!$A$4:$K$18,OPR_CR3!$A$4:$K$18,OPR_CR4!$A$4:$K$18,OPR_RIM!$A$4:$K$18,OPR_BPR!$A$4:$K$18),11,0),9999)),0)),"NO COMPATIBLE MACHINE")))</f>
        <v/>
      </c>
      <c r="F64">
        <f>IF($E64="","",IFERROR(VLOOKUP($E64,Machine_List!$B:$G,6,0),""))</f>
        <v/>
      </c>
      <c r="G64" s="17">
        <f>IF($E64="","",IFERROR(VLOOKUP($E64,Machine_List!$B:$C,2,0),""))</f>
        <v/>
      </c>
      <c r="H64">
        <f>IF($E64="","",IFERROR(VLOOKUP($E64,Machine_List!$B:$D,3,0),""))</f>
        <v/>
      </c>
      <c r="J64" s="16">
        <f>IF($A64="","",IF($I64&lt;&gt;"",$I64,MAX(CNC_Plan!$M64,IFERROR(LOOKUP(2,1/($E$3:INDIRECT("E"&amp;(ROW()-1))=$E64),$M$3:INDIRECT("M"&amp;(ROW()-1))),CNC_Plan!$M64))))</f>
        <v/>
      </c>
      <c r="K64">
        <f>IF($A64="","",IFERROR(VLOOKUP(B64,CHOOSE(MATCH($C64,Settings!$L$4:$L$10,0),OPR_BR1!$A$4:$I$18,OPR_BR2!$A$4:$I$18,OPR_CR2!$A$4:$I$18,OPR_CR3!$A$4:$I$18,OPR_CR4!$A$4:$I$18,OPR_RIM!$A$4:$I$18,OPR_BPR!$A$4:$I$18),6,0),0))</f>
        <v/>
      </c>
      <c r="L64">
        <f>IF($A64="","",K64*D64)</f>
        <v/>
      </c>
      <c r="M64" s="16">
        <f>IF($A64="","",IF(AND(ISNUMBER(G64),G64&gt;=J64,G64&lt;=(J64+(L64/(IF(F64="Contract Workman",Settings!$K$5,Settings!$K$4))))),J64+(L64/(IF(F64="Contract Workman",Settings!$K$5,Settings!$K$4)))+(H64/(IF(F64="Contract Workman",Settings!$K$5,Settings!$K$4))),J64+(L64/(IF(F64="Contract Workman",Settings!$K$5,Settings!$K$4)))))</f>
        <v/>
      </c>
      <c r="N64">
        <f>IF($A64="","",IF(F64="Contract Workman",IF(AND(MOD(M64,1)&gt;=8/24,MOD(M64,1)&lt;20/24),"Shift S1","Shift S2"),IF(AND(MOD(M64,1)&gt;=7/24,MOD(M64,1)&lt;15/24),"Shift A",IF(AND(MOD(M64,1)&gt;=15/24,MOD(M64,1)&lt;23/24),"Shift B","Shift C"))))</f>
        <v/>
      </c>
      <c r="O64">
        <f>IF(B64="","",IF(IFERROR(ISNUMBER(SEARCH(TEXT(B64,"0"),VLOOKUP(E64,Machine_List!$B:$J,9,0))),FALSE),"✅ "&amp; E64,"❌ Sug: "&amp;IFERROR(INDEX(Machine_List!$B$50:$B$63,MATCH(1,(Machine_List!$H$50:$H$63&lt;=IFERROR(VLOOKUP($B64,OPR_BR1!$A$4:$K$18,10,0),0))*(Machine_List!$I$50:$I$63&gt;=IFERROR(VLOOKUP($B64,OPR_BR1!$A$4:$K$18,11,0),9999)),0)),"?")))</f>
        <v/>
      </c>
      <c r="P64">
        <f>IF(AND($A64&lt;&gt;"",P$3&gt;=$J64,P$3&lt;=$M64),1,"")</f>
        <v/>
      </c>
      <c r="Q64">
        <f>IF(AND($A64&lt;&gt;"",Q$3&gt;=$J64,Q$3&lt;=$M64),1,"")</f>
        <v/>
      </c>
      <c r="R64">
        <f>IF(AND($A64&lt;&gt;"",R$3&gt;=$J64,R$3&lt;=$M64),1,"")</f>
        <v/>
      </c>
      <c r="S64">
        <f>IF(AND($A64&lt;&gt;"",S$3&gt;=$J64,S$3&lt;=$M64),1,"")</f>
        <v/>
      </c>
      <c r="T64">
        <f>IF(AND($A64&lt;&gt;"",T$3&gt;=$J64,T$3&lt;=$M64),1,"")</f>
        <v/>
      </c>
      <c r="U64">
        <f>IF(AND($A64&lt;&gt;"",U$3&gt;=$J64,U$3&lt;=$M64),1,"")</f>
        <v/>
      </c>
      <c r="V64">
        <f>IF(AND($A64&lt;&gt;"",V$3&gt;=$J64,V$3&lt;=$M64),1,"")</f>
        <v/>
      </c>
      <c r="W64">
        <f>IF(AND($A64&lt;&gt;"",W$3&gt;=$J64,W$3&lt;=$M64),1,"")</f>
        <v/>
      </c>
      <c r="X64">
        <f>IF(AND($A64&lt;&gt;"",X$3&gt;=$J64,X$3&lt;=$M64),1,"")</f>
        <v/>
      </c>
      <c r="Y64">
        <f>IF(AND($A64&lt;&gt;"",Y$3&gt;=$J64,Y$3&lt;=$M64),1,"")</f>
        <v/>
      </c>
      <c r="Z64">
        <f>IF(AND($A64&lt;&gt;"",Z$3&gt;=$J64,Z$3&lt;=$M64),1,"")</f>
        <v/>
      </c>
      <c r="AA64">
        <f>IF(AND($A64&lt;&gt;"",AA$3&gt;=$J64,AA$3&lt;=$M64),1,"")</f>
        <v/>
      </c>
      <c r="AB64">
        <f>IF(AND($A64&lt;&gt;"",AB$3&gt;=$J64,AB$3&lt;=$M64),1,"")</f>
        <v/>
      </c>
      <c r="AC64">
        <f>IF(AND($A64&lt;&gt;"",AC$3&gt;=$J64,AC$3&lt;=$M64),1,"")</f>
        <v/>
      </c>
      <c r="AD64">
        <f>IF(AND($A64&lt;&gt;"",AD$3&gt;=$J64,AD$3&lt;=$M64),1,"")</f>
        <v/>
      </c>
      <c r="AE64">
        <f>IF(AND($A64&lt;&gt;"",AE$3&gt;=$J64,AE$3&lt;=$M64),1,"")</f>
        <v/>
      </c>
      <c r="AF64">
        <f>IF(AND($A64&lt;&gt;"",AF$3&gt;=$J64,AF$3&lt;=$M64),1,"")</f>
        <v/>
      </c>
      <c r="AG64">
        <f>IF(AND($A64&lt;&gt;"",AG$3&gt;=$J64,AG$3&lt;=$M64),1,"")</f>
        <v/>
      </c>
      <c r="AH64">
        <f>IF(AND($A64&lt;&gt;"",AH$3&gt;=$J64,AH$3&lt;=$M64),1,"")</f>
        <v/>
      </c>
      <c r="AI64">
        <f>IF(AND($A64&lt;&gt;"",AI$3&gt;=$J64,AI$3&lt;=$M64),1,"")</f>
        <v/>
      </c>
      <c r="AJ64">
        <f>IF(AND($A64&lt;&gt;"",AJ$3&gt;=$J64,AJ$3&lt;=$M64),1,"")</f>
        <v/>
      </c>
      <c r="AK64">
        <f>IF(AND($A64&lt;&gt;"",AK$3&gt;=$J64,AK$3&lt;=$M64),1,"")</f>
        <v/>
      </c>
      <c r="AL64">
        <f>IF(AND($A64&lt;&gt;"",AL$3&gt;=$J64,AL$3&lt;=$M64),1,"")</f>
        <v/>
      </c>
      <c r="AM64">
        <f>IF(AND($A64&lt;&gt;"",AM$3&gt;=$J64,AM$3&lt;=$M64),1,"")</f>
        <v/>
      </c>
      <c r="AN64">
        <f>IF(AND($A64&lt;&gt;"",AN$3&gt;=$J64,AN$3&lt;=$M64),1,"")</f>
        <v/>
      </c>
      <c r="AO64">
        <f>IF(AND($A64&lt;&gt;"",AO$3&gt;=$J64,AO$3&lt;=$M64),1,"")</f>
        <v/>
      </c>
      <c r="AP64">
        <f>IF(AND($A64&lt;&gt;"",AP$3&gt;=$J64,AP$3&lt;=$M64),1,"")</f>
        <v/>
      </c>
      <c r="AQ64">
        <f>IF(AND($A64&lt;&gt;"",AQ$3&gt;=$J64,AQ$3&lt;=$M64),1,"")</f>
        <v/>
      </c>
      <c r="AR64">
        <f>IF(AND($A64&lt;&gt;"",AR$3&gt;=$J64,AR$3&lt;=$M64),1,"")</f>
        <v/>
      </c>
      <c r="AS64">
        <f>IF(AND($A64&lt;&gt;"",AS$3&gt;=$J64,AS$3&lt;=$M64),1,"")</f>
        <v/>
      </c>
      <c r="AT64">
        <f>IF(AND($A64&lt;&gt;"",AT$3&gt;=$J64,AT$3&lt;=$M64),1,"")</f>
        <v/>
      </c>
      <c r="AU64">
        <f>IF(AND($A64&lt;&gt;"",AU$3&gt;=$J64,AU$3&lt;=$M64),1,"")</f>
        <v/>
      </c>
      <c r="AV64">
        <f>IF(AND($A64&lt;&gt;"",AV$3&gt;=$J64,AV$3&lt;=$M64),1,"")</f>
        <v/>
      </c>
      <c r="AW64">
        <f>IF(AND($A64&lt;&gt;"",AW$3&gt;=$J64,AW$3&lt;=$M64),1,"")</f>
        <v/>
      </c>
      <c r="AX64">
        <f>IF(AND($A64&lt;&gt;"",AX$3&gt;=$J64,AX$3&lt;=$M64),1,"")</f>
        <v/>
      </c>
      <c r="AY64">
        <f>IF(AND($A64&lt;&gt;"",AY$3&gt;=$J64,AY$3&lt;=$M64),1,"")</f>
        <v/>
      </c>
      <c r="AZ64">
        <f>IF(AND($A64&lt;&gt;"",AZ$3&gt;=$J64,AZ$3&lt;=$M64),1,"")</f>
        <v/>
      </c>
      <c r="BA64">
        <f>IF(AND($A64&lt;&gt;"",BA$3&gt;=$J64,BA$3&lt;=$M64),1,"")</f>
        <v/>
      </c>
      <c r="BB64">
        <f>IF(AND($A64&lt;&gt;"",BB$3&gt;=$J64,BB$3&lt;=$M64),1,"")</f>
        <v/>
      </c>
      <c r="BC64">
        <f>IF(AND($A64&lt;&gt;"",BC$3&gt;=$J64,BC$3&lt;=$M64),1,"")</f>
        <v/>
      </c>
      <c r="BD64">
        <f>IF(AND($A64&lt;&gt;"",BD$3&gt;=$J64,BD$3&lt;=$M64),1,"")</f>
        <v/>
      </c>
      <c r="BE64">
        <f>IF(AND($A64&lt;&gt;"",BE$3&gt;=$J64,BE$3&lt;=$M64),1,"")</f>
        <v/>
      </c>
      <c r="BF64">
        <f>IF(AND($A64&lt;&gt;"",BF$3&gt;=$J64,BF$3&lt;=$M64),1,"")</f>
        <v/>
      </c>
      <c r="BG64">
        <f>IF(AND($A64&lt;&gt;"",BG$3&gt;=$J64,BG$3&lt;=$M64),1,"")</f>
        <v/>
      </c>
      <c r="BH64">
        <f>IF(AND($A64&lt;&gt;"",BH$3&gt;=$J64,BH$3&lt;=$M64),1,"")</f>
        <v/>
      </c>
      <c r="BI64">
        <f>IF(AND($A64&lt;&gt;"",BI$3&gt;=$J64,BI$3&lt;=$M64),1,"")</f>
        <v/>
      </c>
      <c r="BJ64">
        <f>IF(AND($A64&lt;&gt;"",BJ$3&gt;=$J64,BJ$3&lt;=$M64),1,"")</f>
        <v/>
      </c>
      <c r="BK64">
        <f>IF(AND($A64&lt;&gt;"",BK$3&gt;=$J64,BK$3&lt;=$M64),1,"")</f>
        <v/>
      </c>
      <c r="BL64">
        <f>IF(AND($A64&lt;&gt;"",BL$3&gt;=$J64,BL$3&lt;=$M64),1,"")</f>
        <v/>
      </c>
      <c r="BM64">
        <f>IF(AND($A64&lt;&gt;"",BM$3&gt;=$J64,BM$3&lt;=$M64),1,"")</f>
        <v/>
      </c>
      <c r="BN64">
        <f>IF(AND($A64&lt;&gt;"",BN$3&gt;=$J64,BN$3&lt;=$M64),1,"")</f>
        <v/>
      </c>
      <c r="BO64">
        <f>IF(AND($A64&lt;&gt;"",BO$3&gt;=$J64,BO$3&lt;=$M64),1,"")</f>
        <v/>
      </c>
      <c r="BP64">
        <f>IF(AND($A64&lt;&gt;"",BP$3&gt;=$J64,BP$3&lt;=$M64),1,"")</f>
        <v/>
      </c>
      <c r="BQ64">
        <f>IF(AND($A64&lt;&gt;"",BQ$3&gt;=$J64,BQ$3&lt;=$M64),1,"")</f>
        <v/>
      </c>
      <c r="BR64">
        <f>IF(AND($A64&lt;&gt;"",BR$3&gt;=$J64,BR$3&lt;=$M64),1,"")</f>
        <v/>
      </c>
      <c r="BS64">
        <f>IF(AND($A64&lt;&gt;"",BS$3&gt;=$J64,BS$3&lt;=$M64),1,"")</f>
        <v/>
      </c>
      <c r="BT64">
        <f>IF(AND($A64&lt;&gt;"",BT$3&gt;=$J64,BT$3&lt;=$M64),1,"")</f>
        <v/>
      </c>
      <c r="BU64">
        <f>IF(AND($A64&lt;&gt;"",BU$3&gt;=$J64,BU$3&lt;=$M64),1,"")</f>
        <v/>
      </c>
      <c r="BV64">
        <f>IF(AND($A64&lt;&gt;"",BV$3&gt;=$J64,BV$3&lt;=$M64),1,"")</f>
        <v/>
      </c>
    </row>
    <row r="65">
      <c r="A65">
        <f>IF(Job_Master_Ring!$A65="","",Job_Master_Ring!$A65)</f>
        <v/>
      </c>
      <c r="B65">
        <f>IF($A65="","",Job_Master_Ring!B65)</f>
        <v/>
      </c>
      <c r="C65">
        <f>IF($A65="","",Job_Master_Ring!C65)</f>
        <v/>
      </c>
      <c r="D65">
        <f>IF($A65="","",Job_Master_Ring!D65)</f>
        <v/>
      </c>
      <c r="E65">
        <f>IF($A65="","",IF($I65&lt;&gt;"",$I65,IFERROR(INDEX(Machine_List!$B$50:$B$63,MATCH(1,(Machine_List!$H$50:$H$63&lt;=IFERROR(VLOOKUP($B65,CHOOSE(MATCH($C65,Settings!$L$4:$L$10,0),OPR_BR1!$A$4:$K$18,OPR_BR2!$A$4:$K$18,OPR_CR2!$A$4:$K$18,OPR_CR3!$A$4:$K$18,OPR_CR4!$A$4:$K$18,OPR_RIM!$A$4:$K$18,OPR_BPR!$A$4:$K$18),10,0),0))*(Machine_List!$I$50:$I$63&gt;=IFERROR(VLOOKUP($B65,CHOOSE(MATCH($C65,Settings!$L$4:$L$10,0),OPR_BR1!$A$4:$K$18,OPR_BR2!$A$4:$K$18,OPR_CR2!$A$4:$K$18,OPR_CR3!$A$4:$K$18,OPR_CR4!$A$4:$K$18,OPR_RIM!$A$4:$K$18,OPR_BPR!$A$4:$K$18),11,0),9999)),0)),"NO COMPATIBLE MACHINE")))</f>
        <v/>
      </c>
      <c r="F65">
        <f>IF($E65="","",IFERROR(VLOOKUP($E65,Machine_List!$B:$G,6,0),""))</f>
        <v/>
      </c>
      <c r="G65" s="17">
        <f>IF($E65="","",IFERROR(VLOOKUP($E65,Machine_List!$B:$C,2,0),""))</f>
        <v/>
      </c>
      <c r="H65">
        <f>IF($E65="","",IFERROR(VLOOKUP($E65,Machine_List!$B:$D,3,0),""))</f>
        <v/>
      </c>
      <c r="J65" s="16">
        <f>IF($A65="","",IF($I65&lt;&gt;"",$I65,MAX(CNC_Plan!$M65,IFERROR(LOOKUP(2,1/($E$3:INDIRECT("E"&amp;(ROW()-1))=$E65),$M$3:INDIRECT("M"&amp;(ROW()-1))),CNC_Plan!$M65))))</f>
        <v/>
      </c>
      <c r="K65">
        <f>IF($A65="","",IFERROR(VLOOKUP(B65,CHOOSE(MATCH($C65,Settings!$L$4:$L$10,0),OPR_BR1!$A$4:$I$18,OPR_BR2!$A$4:$I$18,OPR_CR2!$A$4:$I$18,OPR_CR3!$A$4:$I$18,OPR_CR4!$A$4:$I$18,OPR_RIM!$A$4:$I$18,OPR_BPR!$A$4:$I$18),6,0),0))</f>
        <v/>
      </c>
      <c r="L65">
        <f>IF($A65="","",K65*D65)</f>
        <v/>
      </c>
      <c r="M65" s="16">
        <f>IF($A65="","",IF(AND(ISNUMBER(G65),G65&gt;=J65,G65&lt;=(J65+(L65/(IF(F65="Contract Workman",Settings!$K$5,Settings!$K$4))))),J65+(L65/(IF(F65="Contract Workman",Settings!$K$5,Settings!$K$4)))+(H65/(IF(F65="Contract Workman",Settings!$K$5,Settings!$K$4))),J65+(L65/(IF(F65="Contract Workman",Settings!$K$5,Settings!$K$4)))))</f>
        <v/>
      </c>
      <c r="N65">
        <f>IF($A65="","",IF(F65="Contract Workman",IF(AND(MOD(M65,1)&gt;=8/24,MOD(M65,1)&lt;20/24),"Shift S1","Shift S2"),IF(AND(MOD(M65,1)&gt;=7/24,MOD(M65,1)&lt;15/24),"Shift A",IF(AND(MOD(M65,1)&gt;=15/24,MOD(M65,1)&lt;23/24),"Shift B","Shift C"))))</f>
        <v/>
      </c>
      <c r="O65">
        <f>IF(B65="","",IF(IFERROR(ISNUMBER(SEARCH(TEXT(B65,"0"),VLOOKUP(E65,Machine_List!$B:$J,9,0))),FALSE),"✅ "&amp; E65,"❌ Sug: "&amp;IFERROR(INDEX(Machine_List!$B$50:$B$63,MATCH(1,(Machine_List!$H$50:$H$63&lt;=IFERROR(VLOOKUP($B65,OPR_BR1!$A$4:$K$18,10,0),0))*(Machine_List!$I$50:$I$63&gt;=IFERROR(VLOOKUP($B65,OPR_BR1!$A$4:$K$18,11,0),9999)),0)),"?")))</f>
        <v/>
      </c>
      <c r="P65">
        <f>IF(AND($A65&lt;&gt;"",P$3&gt;=$J65,P$3&lt;=$M65),1,"")</f>
        <v/>
      </c>
      <c r="Q65">
        <f>IF(AND($A65&lt;&gt;"",Q$3&gt;=$J65,Q$3&lt;=$M65),1,"")</f>
        <v/>
      </c>
      <c r="R65">
        <f>IF(AND($A65&lt;&gt;"",R$3&gt;=$J65,R$3&lt;=$M65),1,"")</f>
        <v/>
      </c>
      <c r="S65">
        <f>IF(AND($A65&lt;&gt;"",S$3&gt;=$J65,S$3&lt;=$M65),1,"")</f>
        <v/>
      </c>
      <c r="T65">
        <f>IF(AND($A65&lt;&gt;"",T$3&gt;=$J65,T$3&lt;=$M65),1,"")</f>
        <v/>
      </c>
      <c r="U65">
        <f>IF(AND($A65&lt;&gt;"",U$3&gt;=$J65,U$3&lt;=$M65),1,"")</f>
        <v/>
      </c>
      <c r="V65">
        <f>IF(AND($A65&lt;&gt;"",V$3&gt;=$J65,V$3&lt;=$M65),1,"")</f>
        <v/>
      </c>
      <c r="W65">
        <f>IF(AND($A65&lt;&gt;"",W$3&gt;=$J65,W$3&lt;=$M65),1,"")</f>
        <v/>
      </c>
      <c r="X65">
        <f>IF(AND($A65&lt;&gt;"",X$3&gt;=$J65,X$3&lt;=$M65),1,"")</f>
        <v/>
      </c>
      <c r="Y65">
        <f>IF(AND($A65&lt;&gt;"",Y$3&gt;=$J65,Y$3&lt;=$M65),1,"")</f>
        <v/>
      </c>
      <c r="Z65">
        <f>IF(AND($A65&lt;&gt;"",Z$3&gt;=$J65,Z$3&lt;=$M65),1,"")</f>
        <v/>
      </c>
      <c r="AA65">
        <f>IF(AND($A65&lt;&gt;"",AA$3&gt;=$J65,AA$3&lt;=$M65),1,"")</f>
        <v/>
      </c>
      <c r="AB65">
        <f>IF(AND($A65&lt;&gt;"",AB$3&gt;=$J65,AB$3&lt;=$M65),1,"")</f>
        <v/>
      </c>
      <c r="AC65">
        <f>IF(AND($A65&lt;&gt;"",AC$3&gt;=$J65,AC$3&lt;=$M65),1,"")</f>
        <v/>
      </c>
      <c r="AD65">
        <f>IF(AND($A65&lt;&gt;"",AD$3&gt;=$J65,AD$3&lt;=$M65),1,"")</f>
        <v/>
      </c>
      <c r="AE65">
        <f>IF(AND($A65&lt;&gt;"",AE$3&gt;=$J65,AE$3&lt;=$M65),1,"")</f>
        <v/>
      </c>
      <c r="AF65">
        <f>IF(AND($A65&lt;&gt;"",AF$3&gt;=$J65,AF$3&lt;=$M65),1,"")</f>
        <v/>
      </c>
      <c r="AG65">
        <f>IF(AND($A65&lt;&gt;"",AG$3&gt;=$J65,AG$3&lt;=$M65),1,"")</f>
        <v/>
      </c>
      <c r="AH65">
        <f>IF(AND($A65&lt;&gt;"",AH$3&gt;=$J65,AH$3&lt;=$M65),1,"")</f>
        <v/>
      </c>
      <c r="AI65">
        <f>IF(AND($A65&lt;&gt;"",AI$3&gt;=$J65,AI$3&lt;=$M65),1,"")</f>
        <v/>
      </c>
      <c r="AJ65">
        <f>IF(AND($A65&lt;&gt;"",AJ$3&gt;=$J65,AJ$3&lt;=$M65),1,"")</f>
        <v/>
      </c>
      <c r="AK65">
        <f>IF(AND($A65&lt;&gt;"",AK$3&gt;=$J65,AK$3&lt;=$M65),1,"")</f>
        <v/>
      </c>
      <c r="AL65">
        <f>IF(AND($A65&lt;&gt;"",AL$3&gt;=$J65,AL$3&lt;=$M65),1,"")</f>
        <v/>
      </c>
      <c r="AM65">
        <f>IF(AND($A65&lt;&gt;"",AM$3&gt;=$J65,AM$3&lt;=$M65),1,"")</f>
        <v/>
      </c>
      <c r="AN65">
        <f>IF(AND($A65&lt;&gt;"",AN$3&gt;=$J65,AN$3&lt;=$M65),1,"")</f>
        <v/>
      </c>
      <c r="AO65">
        <f>IF(AND($A65&lt;&gt;"",AO$3&gt;=$J65,AO$3&lt;=$M65),1,"")</f>
        <v/>
      </c>
      <c r="AP65">
        <f>IF(AND($A65&lt;&gt;"",AP$3&gt;=$J65,AP$3&lt;=$M65),1,"")</f>
        <v/>
      </c>
      <c r="AQ65">
        <f>IF(AND($A65&lt;&gt;"",AQ$3&gt;=$J65,AQ$3&lt;=$M65),1,"")</f>
        <v/>
      </c>
      <c r="AR65">
        <f>IF(AND($A65&lt;&gt;"",AR$3&gt;=$J65,AR$3&lt;=$M65),1,"")</f>
        <v/>
      </c>
      <c r="AS65">
        <f>IF(AND($A65&lt;&gt;"",AS$3&gt;=$J65,AS$3&lt;=$M65),1,"")</f>
        <v/>
      </c>
      <c r="AT65">
        <f>IF(AND($A65&lt;&gt;"",AT$3&gt;=$J65,AT$3&lt;=$M65),1,"")</f>
        <v/>
      </c>
      <c r="AU65">
        <f>IF(AND($A65&lt;&gt;"",AU$3&gt;=$J65,AU$3&lt;=$M65),1,"")</f>
        <v/>
      </c>
      <c r="AV65">
        <f>IF(AND($A65&lt;&gt;"",AV$3&gt;=$J65,AV$3&lt;=$M65),1,"")</f>
        <v/>
      </c>
      <c r="AW65">
        <f>IF(AND($A65&lt;&gt;"",AW$3&gt;=$J65,AW$3&lt;=$M65),1,"")</f>
        <v/>
      </c>
      <c r="AX65">
        <f>IF(AND($A65&lt;&gt;"",AX$3&gt;=$J65,AX$3&lt;=$M65),1,"")</f>
        <v/>
      </c>
      <c r="AY65">
        <f>IF(AND($A65&lt;&gt;"",AY$3&gt;=$J65,AY$3&lt;=$M65),1,"")</f>
        <v/>
      </c>
      <c r="AZ65">
        <f>IF(AND($A65&lt;&gt;"",AZ$3&gt;=$J65,AZ$3&lt;=$M65),1,"")</f>
        <v/>
      </c>
      <c r="BA65">
        <f>IF(AND($A65&lt;&gt;"",BA$3&gt;=$J65,BA$3&lt;=$M65),1,"")</f>
        <v/>
      </c>
      <c r="BB65">
        <f>IF(AND($A65&lt;&gt;"",BB$3&gt;=$J65,BB$3&lt;=$M65),1,"")</f>
        <v/>
      </c>
      <c r="BC65">
        <f>IF(AND($A65&lt;&gt;"",BC$3&gt;=$J65,BC$3&lt;=$M65),1,"")</f>
        <v/>
      </c>
      <c r="BD65">
        <f>IF(AND($A65&lt;&gt;"",BD$3&gt;=$J65,BD$3&lt;=$M65),1,"")</f>
        <v/>
      </c>
      <c r="BE65">
        <f>IF(AND($A65&lt;&gt;"",BE$3&gt;=$J65,BE$3&lt;=$M65),1,"")</f>
        <v/>
      </c>
      <c r="BF65">
        <f>IF(AND($A65&lt;&gt;"",BF$3&gt;=$J65,BF$3&lt;=$M65),1,"")</f>
        <v/>
      </c>
      <c r="BG65">
        <f>IF(AND($A65&lt;&gt;"",BG$3&gt;=$J65,BG$3&lt;=$M65),1,"")</f>
        <v/>
      </c>
      <c r="BH65">
        <f>IF(AND($A65&lt;&gt;"",BH$3&gt;=$J65,BH$3&lt;=$M65),1,"")</f>
        <v/>
      </c>
      <c r="BI65">
        <f>IF(AND($A65&lt;&gt;"",BI$3&gt;=$J65,BI$3&lt;=$M65),1,"")</f>
        <v/>
      </c>
      <c r="BJ65">
        <f>IF(AND($A65&lt;&gt;"",BJ$3&gt;=$J65,BJ$3&lt;=$M65),1,"")</f>
        <v/>
      </c>
      <c r="BK65">
        <f>IF(AND($A65&lt;&gt;"",BK$3&gt;=$J65,BK$3&lt;=$M65),1,"")</f>
        <v/>
      </c>
      <c r="BL65">
        <f>IF(AND($A65&lt;&gt;"",BL$3&gt;=$J65,BL$3&lt;=$M65),1,"")</f>
        <v/>
      </c>
      <c r="BM65">
        <f>IF(AND($A65&lt;&gt;"",BM$3&gt;=$J65,BM$3&lt;=$M65),1,"")</f>
        <v/>
      </c>
      <c r="BN65">
        <f>IF(AND($A65&lt;&gt;"",BN$3&gt;=$J65,BN$3&lt;=$M65),1,"")</f>
        <v/>
      </c>
      <c r="BO65">
        <f>IF(AND($A65&lt;&gt;"",BO$3&gt;=$J65,BO$3&lt;=$M65),1,"")</f>
        <v/>
      </c>
      <c r="BP65">
        <f>IF(AND($A65&lt;&gt;"",BP$3&gt;=$J65,BP$3&lt;=$M65),1,"")</f>
        <v/>
      </c>
      <c r="BQ65">
        <f>IF(AND($A65&lt;&gt;"",BQ$3&gt;=$J65,BQ$3&lt;=$M65),1,"")</f>
        <v/>
      </c>
      <c r="BR65">
        <f>IF(AND($A65&lt;&gt;"",BR$3&gt;=$J65,BR$3&lt;=$M65),1,"")</f>
        <v/>
      </c>
      <c r="BS65">
        <f>IF(AND($A65&lt;&gt;"",BS$3&gt;=$J65,BS$3&lt;=$M65),1,"")</f>
        <v/>
      </c>
      <c r="BT65">
        <f>IF(AND($A65&lt;&gt;"",BT$3&gt;=$J65,BT$3&lt;=$M65),1,"")</f>
        <v/>
      </c>
      <c r="BU65">
        <f>IF(AND($A65&lt;&gt;"",BU$3&gt;=$J65,BU$3&lt;=$M65),1,"")</f>
        <v/>
      </c>
      <c r="BV65">
        <f>IF(AND($A65&lt;&gt;"",BV$3&gt;=$J65,BV$3&lt;=$M65),1,"")</f>
        <v/>
      </c>
    </row>
    <row r="66">
      <c r="A66">
        <f>IF(Job_Master_Ring!$A66="","",Job_Master_Ring!$A66)</f>
        <v/>
      </c>
      <c r="B66">
        <f>IF($A66="","",Job_Master_Ring!B66)</f>
        <v/>
      </c>
      <c r="C66">
        <f>IF($A66="","",Job_Master_Ring!C66)</f>
        <v/>
      </c>
      <c r="D66">
        <f>IF($A66="","",Job_Master_Ring!D66)</f>
        <v/>
      </c>
      <c r="E66">
        <f>IF($A66="","",IF($I66&lt;&gt;"",$I66,IFERROR(INDEX(Machine_List!$B$50:$B$63,MATCH(1,(Machine_List!$H$50:$H$63&lt;=IFERROR(VLOOKUP($B66,CHOOSE(MATCH($C66,Settings!$L$4:$L$10,0),OPR_BR1!$A$4:$K$18,OPR_BR2!$A$4:$K$18,OPR_CR2!$A$4:$K$18,OPR_CR3!$A$4:$K$18,OPR_CR4!$A$4:$K$18,OPR_RIM!$A$4:$K$18,OPR_BPR!$A$4:$K$18),10,0),0))*(Machine_List!$I$50:$I$63&gt;=IFERROR(VLOOKUP($B66,CHOOSE(MATCH($C66,Settings!$L$4:$L$10,0),OPR_BR1!$A$4:$K$18,OPR_BR2!$A$4:$K$18,OPR_CR2!$A$4:$K$18,OPR_CR3!$A$4:$K$18,OPR_CR4!$A$4:$K$18,OPR_RIM!$A$4:$K$18,OPR_BPR!$A$4:$K$18),11,0),9999)),0)),"NO COMPATIBLE MACHINE")))</f>
        <v/>
      </c>
      <c r="F66">
        <f>IF($E66="","",IFERROR(VLOOKUP($E66,Machine_List!$B:$G,6,0),""))</f>
        <v/>
      </c>
      <c r="G66" s="17">
        <f>IF($E66="","",IFERROR(VLOOKUP($E66,Machine_List!$B:$C,2,0),""))</f>
        <v/>
      </c>
      <c r="H66">
        <f>IF($E66="","",IFERROR(VLOOKUP($E66,Machine_List!$B:$D,3,0),""))</f>
        <v/>
      </c>
      <c r="J66" s="16">
        <f>IF($A66="","",IF($I66&lt;&gt;"",$I66,MAX(CNC_Plan!$M66,IFERROR(LOOKUP(2,1/($E$3:INDIRECT("E"&amp;(ROW()-1))=$E66),$M$3:INDIRECT("M"&amp;(ROW()-1))),CNC_Plan!$M66))))</f>
        <v/>
      </c>
      <c r="K66">
        <f>IF($A66="","",IFERROR(VLOOKUP(B66,CHOOSE(MATCH($C66,Settings!$L$4:$L$10,0),OPR_BR1!$A$4:$I$18,OPR_BR2!$A$4:$I$18,OPR_CR2!$A$4:$I$18,OPR_CR3!$A$4:$I$18,OPR_CR4!$A$4:$I$18,OPR_RIM!$A$4:$I$18,OPR_BPR!$A$4:$I$18),6,0),0))</f>
        <v/>
      </c>
      <c r="L66">
        <f>IF($A66="","",K66*D66)</f>
        <v/>
      </c>
      <c r="M66" s="16">
        <f>IF($A66="","",IF(AND(ISNUMBER(G66),G66&gt;=J66,G66&lt;=(J66+(L66/(IF(F66="Contract Workman",Settings!$K$5,Settings!$K$4))))),J66+(L66/(IF(F66="Contract Workman",Settings!$K$5,Settings!$K$4)))+(H66/(IF(F66="Contract Workman",Settings!$K$5,Settings!$K$4))),J66+(L66/(IF(F66="Contract Workman",Settings!$K$5,Settings!$K$4)))))</f>
        <v/>
      </c>
      <c r="N66">
        <f>IF($A66="","",IF(F66="Contract Workman",IF(AND(MOD(M66,1)&gt;=8/24,MOD(M66,1)&lt;20/24),"Shift S1","Shift S2"),IF(AND(MOD(M66,1)&gt;=7/24,MOD(M66,1)&lt;15/24),"Shift A",IF(AND(MOD(M66,1)&gt;=15/24,MOD(M66,1)&lt;23/24),"Shift B","Shift C"))))</f>
        <v/>
      </c>
      <c r="O66">
        <f>IF(B66="","",IF(IFERROR(ISNUMBER(SEARCH(TEXT(B66,"0"),VLOOKUP(E66,Machine_List!$B:$J,9,0))),FALSE),"✅ "&amp; E66,"❌ Sug: "&amp;IFERROR(INDEX(Machine_List!$B$50:$B$63,MATCH(1,(Machine_List!$H$50:$H$63&lt;=IFERROR(VLOOKUP($B66,OPR_BR1!$A$4:$K$18,10,0),0))*(Machine_List!$I$50:$I$63&gt;=IFERROR(VLOOKUP($B66,OPR_BR1!$A$4:$K$18,11,0),9999)),0)),"?")))</f>
        <v/>
      </c>
      <c r="P66">
        <f>IF(AND($A66&lt;&gt;"",P$3&gt;=$J66,P$3&lt;=$M66),1,"")</f>
        <v/>
      </c>
      <c r="Q66">
        <f>IF(AND($A66&lt;&gt;"",Q$3&gt;=$J66,Q$3&lt;=$M66),1,"")</f>
        <v/>
      </c>
      <c r="R66">
        <f>IF(AND($A66&lt;&gt;"",R$3&gt;=$J66,R$3&lt;=$M66),1,"")</f>
        <v/>
      </c>
      <c r="S66">
        <f>IF(AND($A66&lt;&gt;"",S$3&gt;=$J66,S$3&lt;=$M66),1,"")</f>
        <v/>
      </c>
      <c r="T66">
        <f>IF(AND($A66&lt;&gt;"",T$3&gt;=$J66,T$3&lt;=$M66),1,"")</f>
        <v/>
      </c>
      <c r="U66">
        <f>IF(AND($A66&lt;&gt;"",U$3&gt;=$J66,U$3&lt;=$M66),1,"")</f>
        <v/>
      </c>
      <c r="V66">
        <f>IF(AND($A66&lt;&gt;"",V$3&gt;=$J66,V$3&lt;=$M66),1,"")</f>
        <v/>
      </c>
      <c r="W66">
        <f>IF(AND($A66&lt;&gt;"",W$3&gt;=$J66,W$3&lt;=$M66),1,"")</f>
        <v/>
      </c>
      <c r="X66">
        <f>IF(AND($A66&lt;&gt;"",X$3&gt;=$J66,X$3&lt;=$M66),1,"")</f>
        <v/>
      </c>
      <c r="Y66">
        <f>IF(AND($A66&lt;&gt;"",Y$3&gt;=$J66,Y$3&lt;=$M66),1,"")</f>
        <v/>
      </c>
      <c r="Z66">
        <f>IF(AND($A66&lt;&gt;"",Z$3&gt;=$J66,Z$3&lt;=$M66),1,"")</f>
        <v/>
      </c>
      <c r="AA66">
        <f>IF(AND($A66&lt;&gt;"",AA$3&gt;=$J66,AA$3&lt;=$M66),1,"")</f>
        <v/>
      </c>
      <c r="AB66">
        <f>IF(AND($A66&lt;&gt;"",AB$3&gt;=$J66,AB$3&lt;=$M66),1,"")</f>
        <v/>
      </c>
      <c r="AC66">
        <f>IF(AND($A66&lt;&gt;"",AC$3&gt;=$J66,AC$3&lt;=$M66),1,"")</f>
        <v/>
      </c>
      <c r="AD66">
        <f>IF(AND($A66&lt;&gt;"",AD$3&gt;=$J66,AD$3&lt;=$M66),1,"")</f>
        <v/>
      </c>
      <c r="AE66">
        <f>IF(AND($A66&lt;&gt;"",AE$3&gt;=$J66,AE$3&lt;=$M66),1,"")</f>
        <v/>
      </c>
      <c r="AF66">
        <f>IF(AND($A66&lt;&gt;"",AF$3&gt;=$J66,AF$3&lt;=$M66),1,"")</f>
        <v/>
      </c>
      <c r="AG66">
        <f>IF(AND($A66&lt;&gt;"",AG$3&gt;=$J66,AG$3&lt;=$M66),1,"")</f>
        <v/>
      </c>
      <c r="AH66">
        <f>IF(AND($A66&lt;&gt;"",AH$3&gt;=$J66,AH$3&lt;=$M66),1,"")</f>
        <v/>
      </c>
      <c r="AI66">
        <f>IF(AND($A66&lt;&gt;"",AI$3&gt;=$J66,AI$3&lt;=$M66),1,"")</f>
        <v/>
      </c>
      <c r="AJ66">
        <f>IF(AND($A66&lt;&gt;"",AJ$3&gt;=$J66,AJ$3&lt;=$M66),1,"")</f>
        <v/>
      </c>
      <c r="AK66">
        <f>IF(AND($A66&lt;&gt;"",AK$3&gt;=$J66,AK$3&lt;=$M66),1,"")</f>
        <v/>
      </c>
      <c r="AL66">
        <f>IF(AND($A66&lt;&gt;"",AL$3&gt;=$J66,AL$3&lt;=$M66),1,"")</f>
        <v/>
      </c>
      <c r="AM66">
        <f>IF(AND($A66&lt;&gt;"",AM$3&gt;=$J66,AM$3&lt;=$M66),1,"")</f>
        <v/>
      </c>
      <c r="AN66">
        <f>IF(AND($A66&lt;&gt;"",AN$3&gt;=$J66,AN$3&lt;=$M66),1,"")</f>
        <v/>
      </c>
      <c r="AO66">
        <f>IF(AND($A66&lt;&gt;"",AO$3&gt;=$J66,AO$3&lt;=$M66),1,"")</f>
        <v/>
      </c>
      <c r="AP66">
        <f>IF(AND($A66&lt;&gt;"",AP$3&gt;=$J66,AP$3&lt;=$M66),1,"")</f>
        <v/>
      </c>
      <c r="AQ66">
        <f>IF(AND($A66&lt;&gt;"",AQ$3&gt;=$J66,AQ$3&lt;=$M66),1,"")</f>
        <v/>
      </c>
      <c r="AR66">
        <f>IF(AND($A66&lt;&gt;"",AR$3&gt;=$J66,AR$3&lt;=$M66),1,"")</f>
        <v/>
      </c>
      <c r="AS66">
        <f>IF(AND($A66&lt;&gt;"",AS$3&gt;=$J66,AS$3&lt;=$M66),1,"")</f>
        <v/>
      </c>
      <c r="AT66">
        <f>IF(AND($A66&lt;&gt;"",AT$3&gt;=$J66,AT$3&lt;=$M66),1,"")</f>
        <v/>
      </c>
      <c r="AU66">
        <f>IF(AND($A66&lt;&gt;"",AU$3&gt;=$J66,AU$3&lt;=$M66),1,"")</f>
        <v/>
      </c>
      <c r="AV66">
        <f>IF(AND($A66&lt;&gt;"",AV$3&gt;=$J66,AV$3&lt;=$M66),1,"")</f>
        <v/>
      </c>
      <c r="AW66">
        <f>IF(AND($A66&lt;&gt;"",AW$3&gt;=$J66,AW$3&lt;=$M66),1,"")</f>
        <v/>
      </c>
      <c r="AX66">
        <f>IF(AND($A66&lt;&gt;"",AX$3&gt;=$J66,AX$3&lt;=$M66),1,"")</f>
        <v/>
      </c>
      <c r="AY66">
        <f>IF(AND($A66&lt;&gt;"",AY$3&gt;=$J66,AY$3&lt;=$M66),1,"")</f>
        <v/>
      </c>
      <c r="AZ66">
        <f>IF(AND($A66&lt;&gt;"",AZ$3&gt;=$J66,AZ$3&lt;=$M66),1,"")</f>
        <v/>
      </c>
      <c r="BA66">
        <f>IF(AND($A66&lt;&gt;"",BA$3&gt;=$J66,BA$3&lt;=$M66),1,"")</f>
        <v/>
      </c>
      <c r="BB66">
        <f>IF(AND($A66&lt;&gt;"",BB$3&gt;=$J66,BB$3&lt;=$M66),1,"")</f>
        <v/>
      </c>
      <c r="BC66">
        <f>IF(AND($A66&lt;&gt;"",BC$3&gt;=$J66,BC$3&lt;=$M66),1,"")</f>
        <v/>
      </c>
      <c r="BD66">
        <f>IF(AND($A66&lt;&gt;"",BD$3&gt;=$J66,BD$3&lt;=$M66),1,"")</f>
        <v/>
      </c>
      <c r="BE66">
        <f>IF(AND($A66&lt;&gt;"",BE$3&gt;=$J66,BE$3&lt;=$M66),1,"")</f>
        <v/>
      </c>
      <c r="BF66">
        <f>IF(AND($A66&lt;&gt;"",BF$3&gt;=$J66,BF$3&lt;=$M66),1,"")</f>
        <v/>
      </c>
      <c r="BG66">
        <f>IF(AND($A66&lt;&gt;"",BG$3&gt;=$J66,BG$3&lt;=$M66),1,"")</f>
        <v/>
      </c>
      <c r="BH66">
        <f>IF(AND($A66&lt;&gt;"",BH$3&gt;=$J66,BH$3&lt;=$M66),1,"")</f>
        <v/>
      </c>
      <c r="BI66">
        <f>IF(AND($A66&lt;&gt;"",BI$3&gt;=$J66,BI$3&lt;=$M66),1,"")</f>
        <v/>
      </c>
      <c r="BJ66">
        <f>IF(AND($A66&lt;&gt;"",BJ$3&gt;=$J66,BJ$3&lt;=$M66),1,"")</f>
        <v/>
      </c>
      <c r="BK66">
        <f>IF(AND($A66&lt;&gt;"",BK$3&gt;=$J66,BK$3&lt;=$M66),1,"")</f>
        <v/>
      </c>
      <c r="BL66">
        <f>IF(AND($A66&lt;&gt;"",BL$3&gt;=$J66,BL$3&lt;=$M66),1,"")</f>
        <v/>
      </c>
      <c r="BM66">
        <f>IF(AND($A66&lt;&gt;"",BM$3&gt;=$J66,BM$3&lt;=$M66),1,"")</f>
        <v/>
      </c>
      <c r="BN66">
        <f>IF(AND($A66&lt;&gt;"",BN$3&gt;=$J66,BN$3&lt;=$M66),1,"")</f>
        <v/>
      </c>
      <c r="BO66">
        <f>IF(AND($A66&lt;&gt;"",BO$3&gt;=$J66,BO$3&lt;=$M66),1,"")</f>
        <v/>
      </c>
      <c r="BP66">
        <f>IF(AND($A66&lt;&gt;"",BP$3&gt;=$J66,BP$3&lt;=$M66),1,"")</f>
        <v/>
      </c>
      <c r="BQ66">
        <f>IF(AND($A66&lt;&gt;"",BQ$3&gt;=$J66,BQ$3&lt;=$M66),1,"")</f>
        <v/>
      </c>
      <c r="BR66">
        <f>IF(AND($A66&lt;&gt;"",BR$3&gt;=$J66,BR$3&lt;=$M66),1,"")</f>
        <v/>
      </c>
      <c r="BS66">
        <f>IF(AND($A66&lt;&gt;"",BS$3&gt;=$J66,BS$3&lt;=$M66),1,"")</f>
        <v/>
      </c>
      <c r="BT66">
        <f>IF(AND($A66&lt;&gt;"",BT$3&gt;=$J66,BT$3&lt;=$M66),1,"")</f>
        <v/>
      </c>
      <c r="BU66">
        <f>IF(AND($A66&lt;&gt;"",BU$3&gt;=$J66,BU$3&lt;=$M66),1,"")</f>
        <v/>
      </c>
      <c r="BV66">
        <f>IF(AND($A66&lt;&gt;"",BV$3&gt;=$J66,BV$3&lt;=$M66),1,"")</f>
        <v/>
      </c>
    </row>
    <row r="67">
      <c r="A67">
        <f>IF(Job_Master_Ring!$A67="","",Job_Master_Ring!$A67)</f>
        <v/>
      </c>
      <c r="B67">
        <f>IF($A67="","",Job_Master_Ring!B67)</f>
        <v/>
      </c>
      <c r="C67">
        <f>IF($A67="","",Job_Master_Ring!C67)</f>
        <v/>
      </c>
      <c r="D67">
        <f>IF($A67="","",Job_Master_Ring!D67)</f>
        <v/>
      </c>
      <c r="E67">
        <f>IF($A67="","",IF($I67&lt;&gt;"",$I67,IFERROR(INDEX(Machine_List!$B$50:$B$63,MATCH(1,(Machine_List!$H$50:$H$63&lt;=IFERROR(VLOOKUP($B67,CHOOSE(MATCH($C67,Settings!$L$4:$L$10,0),OPR_BR1!$A$4:$K$18,OPR_BR2!$A$4:$K$18,OPR_CR2!$A$4:$K$18,OPR_CR3!$A$4:$K$18,OPR_CR4!$A$4:$K$18,OPR_RIM!$A$4:$K$18,OPR_BPR!$A$4:$K$18),10,0),0))*(Machine_List!$I$50:$I$63&gt;=IFERROR(VLOOKUP($B67,CHOOSE(MATCH($C67,Settings!$L$4:$L$10,0),OPR_BR1!$A$4:$K$18,OPR_BR2!$A$4:$K$18,OPR_CR2!$A$4:$K$18,OPR_CR3!$A$4:$K$18,OPR_CR4!$A$4:$K$18,OPR_RIM!$A$4:$K$18,OPR_BPR!$A$4:$K$18),11,0),9999)),0)),"NO COMPATIBLE MACHINE")))</f>
        <v/>
      </c>
      <c r="F67">
        <f>IF($E67="","",IFERROR(VLOOKUP($E67,Machine_List!$B:$G,6,0),""))</f>
        <v/>
      </c>
      <c r="G67" s="17">
        <f>IF($E67="","",IFERROR(VLOOKUP($E67,Machine_List!$B:$C,2,0),""))</f>
        <v/>
      </c>
      <c r="H67">
        <f>IF($E67="","",IFERROR(VLOOKUP($E67,Machine_List!$B:$D,3,0),""))</f>
        <v/>
      </c>
      <c r="J67" s="16">
        <f>IF($A67="","",IF($I67&lt;&gt;"",$I67,MAX(CNC_Plan!$M67,IFERROR(LOOKUP(2,1/($E$3:INDIRECT("E"&amp;(ROW()-1))=$E67),$M$3:INDIRECT("M"&amp;(ROW()-1))),CNC_Plan!$M67))))</f>
        <v/>
      </c>
      <c r="K67">
        <f>IF($A67="","",IFERROR(VLOOKUP(B67,CHOOSE(MATCH($C67,Settings!$L$4:$L$10,0),OPR_BR1!$A$4:$I$18,OPR_BR2!$A$4:$I$18,OPR_CR2!$A$4:$I$18,OPR_CR3!$A$4:$I$18,OPR_CR4!$A$4:$I$18,OPR_RIM!$A$4:$I$18,OPR_BPR!$A$4:$I$18),6,0),0))</f>
        <v/>
      </c>
      <c r="L67">
        <f>IF($A67="","",K67*D67)</f>
        <v/>
      </c>
      <c r="M67" s="16">
        <f>IF($A67="","",IF(AND(ISNUMBER(G67),G67&gt;=J67,G67&lt;=(J67+(L67/(IF(F67="Contract Workman",Settings!$K$5,Settings!$K$4))))),J67+(L67/(IF(F67="Contract Workman",Settings!$K$5,Settings!$K$4)))+(H67/(IF(F67="Contract Workman",Settings!$K$5,Settings!$K$4))),J67+(L67/(IF(F67="Contract Workman",Settings!$K$5,Settings!$K$4)))))</f>
        <v/>
      </c>
      <c r="N67">
        <f>IF($A67="","",IF(F67="Contract Workman",IF(AND(MOD(M67,1)&gt;=8/24,MOD(M67,1)&lt;20/24),"Shift S1","Shift S2"),IF(AND(MOD(M67,1)&gt;=7/24,MOD(M67,1)&lt;15/24),"Shift A",IF(AND(MOD(M67,1)&gt;=15/24,MOD(M67,1)&lt;23/24),"Shift B","Shift C"))))</f>
        <v/>
      </c>
      <c r="O67">
        <f>IF(B67="","",IF(IFERROR(ISNUMBER(SEARCH(TEXT(B67,"0"),VLOOKUP(E67,Machine_List!$B:$J,9,0))),FALSE),"✅ "&amp; E67,"❌ Sug: "&amp;IFERROR(INDEX(Machine_List!$B$50:$B$63,MATCH(1,(Machine_List!$H$50:$H$63&lt;=IFERROR(VLOOKUP($B67,OPR_BR1!$A$4:$K$18,10,0),0))*(Machine_List!$I$50:$I$63&gt;=IFERROR(VLOOKUP($B67,OPR_BR1!$A$4:$K$18,11,0),9999)),0)),"?")))</f>
        <v/>
      </c>
      <c r="P67">
        <f>IF(AND($A67&lt;&gt;"",P$3&gt;=$J67,P$3&lt;=$M67),1,"")</f>
        <v/>
      </c>
      <c r="Q67">
        <f>IF(AND($A67&lt;&gt;"",Q$3&gt;=$J67,Q$3&lt;=$M67),1,"")</f>
        <v/>
      </c>
      <c r="R67">
        <f>IF(AND($A67&lt;&gt;"",R$3&gt;=$J67,R$3&lt;=$M67),1,"")</f>
        <v/>
      </c>
      <c r="S67">
        <f>IF(AND($A67&lt;&gt;"",S$3&gt;=$J67,S$3&lt;=$M67),1,"")</f>
        <v/>
      </c>
      <c r="T67">
        <f>IF(AND($A67&lt;&gt;"",T$3&gt;=$J67,T$3&lt;=$M67),1,"")</f>
        <v/>
      </c>
      <c r="U67">
        <f>IF(AND($A67&lt;&gt;"",U$3&gt;=$J67,U$3&lt;=$M67),1,"")</f>
        <v/>
      </c>
      <c r="V67">
        <f>IF(AND($A67&lt;&gt;"",V$3&gt;=$J67,V$3&lt;=$M67),1,"")</f>
        <v/>
      </c>
      <c r="W67">
        <f>IF(AND($A67&lt;&gt;"",W$3&gt;=$J67,W$3&lt;=$M67),1,"")</f>
        <v/>
      </c>
      <c r="X67">
        <f>IF(AND($A67&lt;&gt;"",X$3&gt;=$J67,X$3&lt;=$M67),1,"")</f>
        <v/>
      </c>
      <c r="Y67">
        <f>IF(AND($A67&lt;&gt;"",Y$3&gt;=$J67,Y$3&lt;=$M67),1,"")</f>
        <v/>
      </c>
      <c r="Z67">
        <f>IF(AND($A67&lt;&gt;"",Z$3&gt;=$J67,Z$3&lt;=$M67),1,"")</f>
        <v/>
      </c>
      <c r="AA67">
        <f>IF(AND($A67&lt;&gt;"",AA$3&gt;=$J67,AA$3&lt;=$M67),1,"")</f>
        <v/>
      </c>
      <c r="AB67">
        <f>IF(AND($A67&lt;&gt;"",AB$3&gt;=$J67,AB$3&lt;=$M67),1,"")</f>
        <v/>
      </c>
      <c r="AC67">
        <f>IF(AND($A67&lt;&gt;"",AC$3&gt;=$J67,AC$3&lt;=$M67),1,"")</f>
        <v/>
      </c>
      <c r="AD67">
        <f>IF(AND($A67&lt;&gt;"",AD$3&gt;=$J67,AD$3&lt;=$M67),1,"")</f>
        <v/>
      </c>
      <c r="AE67">
        <f>IF(AND($A67&lt;&gt;"",AE$3&gt;=$J67,AE$3&lt;=$M67),1,"")</f>
        <v/>
      </c>
      <c r="AF67">
        <f>IF(AND($A67&lt;&gt;"",AF$3&gt;=$J67,AF$3&lt;=$M67),1,"")</f>
        <v/>
      </c>
      <c r="AG67">
        <f>IF(AND($A67&lt;&gt;"",AG$3&gt;=$J67,AG$3&lt;=$M67),1,"")</f>
        <v/>
      </c>
      <c r="AH67">
        <f>IF(AND($A67&lt;&gt;"",AH$3&gt;=$J67,AH$3&lt;=$M67),1,"")</f>
        <v/>
      </c>
      <c r="AI67">
        <f>IF(AND($A67&lt;&gt;"",AI$3&gt;=$J67,AI$3&lt;=$M67),1,"")</f>
        <v/>
      </c>
      <c r="AJ67">
        <f>IF(AND($A67&lt;&gt;"",AJ$3&gt;=$J67,AJ$3&lt;=$M67),1,"")</f>
        <v/>
      </c>
      <c r="AK67">
        <f>IF(AND($A67&lt;&gt;"",AK$3&gt;=$J67,AK$3&lt;=$M67),1,"")</f>
        <v/>
      </c>
      <c r="AL67">
        <f>IF(AND($A67&lt;&gt;"",AL$3&gt;=$J67,AL$3&lt;=$M67),1,"")</f>
        <v/>
      </c>
      <c r="AM67">
        <f>IF(AND($A67&lt;&gt;"",AM$3&gt;=$J67,AM$3&lt;=$M67),1,"")</f>
        <v/>
      </c>
      <c r="AN67">
        <f>IF(AND($A67&lt;&gt;"",AN$3&gt;=$J67,AN$3&lt;=$M67),1,"")</f>
        <v/>
      </c>
      <c r="AO67">
        <f>IF(AND($A67&lt;&gt;"",AO$3&gt;=$J67,AO$3&lt;=$M67),1,"")</f>
        <v/>
      </c>
      <c r="AP67">
        <f>IF(AND($A67&lt;&gt;"",AP$3&gt;=$J67,AP$3&lt;=$M67),1,"")</f>
        <v/>
      </c>
      <c r="AQ67">
        <f>IF(AND($A67&lt;&gt;"",AQ$3&gt;=$J67,AQ$3&lt;=$M67),1,"")</f>
        <v/>
      </c>
      <c r="AR67">
        <f>IF(AND($A67&lt;&gt;"",AR$3&gt;=$J67,AR$3&lt;=$M67),1,"")</f>
        <v/>
      </c>
      <c r="AS67">
        <f>IF(AND($A67&lt;&gt;"",AS$3&gt;=$J67,AS$3&lt;=$M67),1,"")</f>
        <v/>
      </c>
      <c r="AT67">
        <f>IF(AND($A67&lt;&gt;"",AT$3&gt;=$J67,AT$3&lt;=$M67),1,"")</f>
        <v/>
      </c>
      <c r="AU67">
        <f>IF(AND($A67&lt;&gt;"",AU$3&gt;=$J67,AU$3&lt;=$M67),1,"")</f>
        <v/>
      </c>
      <c r="AV67">
        <f>IF(AND($A67&lt;&gt;"",AV$3&gt;=$J67,AV$3&lt;=$M67),1,"")</f>
        <v/>
      </c>
      <c r="AW67">
        <f>IF(AND($A67&lt;&gt;"",AW$3&gt;=$J67,AW$3&lt;=$M67),1,"")</f>
        <v/>
      </c>
      <c r="AX67">
        <f>IF(AND($A67&lt;&gt;"",AX$3&gt;=$J67,AX$3&lt;=$M67),1,"")</f>
        <v/>
      </c>
      <c r="AY67">
        <f>IF(AND($A67&lt;&gt;"",AY$3&gt;=$J67,AY$3&lt;=$M67),1,"")</f>
        <v/>
      </c>
      <c r="AZ67">
        <f>IF(AND($A67&lt;&gt;"",AZ$3&gt;=$J67,AZ$3&lt;=$M67),1,"")</f>
        <v/>
      </c>
      <c r="BA67">
        <f>IF(AND($A67&lt;&gt;"",BA$3&gt;=$J67,BA$3&lt;=$M67),1,"")</f>
        <v/>
      </c>
      <c r="BB67">
        <f>IF(AND($A67&lt;&gt;"",BB$3&gt;=$J67,BB$3&lt;=$M67),1,"")</f>
        <v/>
      </c>
      <c r="BC67">
        <f>IF(AND($A67&lt;&gt;"",BC$3&gt;=$J67,BC$3&lt;=$M67),1,"")</f>
        <v/>
      </c>
      <c r="BD67">
        <f>IF(AND($A67&lt;&gt;"",BD$3&gt;=$J67,BD$3&lt;=$M67),1,"")</f>
        <v/>
      </c>
      <c r="BE67">
        <f>IF(AND($A67&lt;&gt;"",BE$3&gt;=$J67,BE$3&lt;=$M67),1,"")</f>
        <v/>
      </c>
      <c r="BF67">
        <f>IF(AND($A67&lt;&gt;"",BF$3&gt;=$J67,BF$3&lt;=$M67),1,"")</f>
        <v/>
      </c>
      <c r="BG67">
        <f>IF(AND($A67&lt;&gt;"",BG$3&gt;=$J67,BG$3&lt;=$M67),1,"")</f>
        <v/>
      </c>
      <c r="BH67">
        <f>IF(AND($A67&lt;&gt;"",BH$3&gt;=$J67,BH$3&lt;=$M67),1,"")</f>
        <v/>
      </c>
      <c r="BI67">
        <f>IF(AND($A67&lt;&gt;"",BI$3&gt;=$J67,BI$3&lt;=$M67),1,"")</f>
        <v/>
      </c>
      <c r="BJ67">
        <f>IF(AND($A67&lt;&gt;"",BJ$3&gt;=$J67,BJ$3&lt;=$M67),1,"")</f>
        <v/>
      </c>
      <c r="BK67">
        <f>IF(AND($A67&lt;&gt;"",BK$3&gt;=$J67,BK$3&lt;=$M67),1,"")</f>
        <v/>
      </c>
      <c r="BL67">
        <f>IF(AND($A67&lt;&gt;"",BL$3&gt;=$J67,BL$3&lt;=$M67),1,"")</f>
        <v/>
      </c>
      <c r="BM67">
        <f>IF(AND($A67&lt;&gt;"",BM$3&gt;=$J67,BM$3&lt;=$M67),1,"")</f>
        <v/>
      </c>
      <c r="BN67">
        <f>IF(AND($A67&lt;&gt;"",BN$3&gt;=$J67,BN$3&lt;=$M67),1,"")</f>
        <v/>
      </c>
      <c r="BO67">
        <f>IF(AND($A67&lt;&gt;"",BO$3&gt;=$J67,BO$3&lt;=$M67),1,"")</f>
        <v/>
      </c>
      <c r="BP67">
        <f>IF(AND($A67&lt;&gt;"",BP$3&gt;=$J67,BP$3&lt;=$M67),1,"")</f>
        <v/>
      </c>
      <c r="BQ67">
        <f>IF(AND($A67&lt;&gt;"",BQ$3&gt;=$J67,BQ$3&lt;=$M67),1,"")</f>
        <v/>
      </c>
      <c r="BR67">
        <f>IF(AND($A67&lt;&gt;"",BR$3&gt;=$J67,BR$3&lt;=$M67),1,"")</f>
        <v/>
      </c>
      <c r="BS67">
        <f>IF(AND($A67&lt;&gt;"",BS$3&gt;=$J67,BS$3&lt;=$M67),1,"")</f>
        <v/>
      </c>
      <c r="BT67">
        <f>IF(AND($A67&lt;&gt;"",BT$3&gt;=$J67,BT$3&lt;=$M67),1,"")</f>
        <v/>
      </c>
      <c r="BU67">
        <f>IF(AND($A67&lt;&gt;"",BU$3&gt;=$J67,BU$3&lt;=$M67),1,"")</f>
        <v/>
      </c>
      <c r="BV67">
        <f>IF(AND($A67&lt;&gt;"",BV$3&gt;=$J67,BV$3&lt;=$M67),1,"")</f>
        <v/>
      </c>
    </row>
    <row r="68">
      <c r="A68">
        <f>IF(Job_Master_Ring!$A68="","",Job_Master_Ring!$A68)</f>
        <v/>
      </c>
      <c r="B68">
        <f>IF($A68="","",Job_Master_Ring!B68)</f>
        <v/>
      </c>
      <c r="C68">
        <f>IF($A68="","",Job_Master_Ring!C68)</f>
        <v/>
      </c>
      <c r="D68">
        <f>IF($A68="","",Job_Master_Ring!D68)</f>
        <v/>
      </c>
      <c r="E68">
        <f>IF($A68="","",IF($I68&lt;&gt;"",$I68,IFERROR(INDEX(Machine_List!$B$50:$B$63,MATCH(1,(Machine_List!$H$50:$H$63&lt;=IFERROR(VLOOKUP($B68,CHOOSE(MATCH($C68,Settings!$L$4:$L$10,0),OPR_BR1!$A$4:$K$18,OPR_BR2!$A$4:$K$18,OPR_CR2!$A$4:$K$18,OPR_CR3!$A$4:$K$18,OPR_CR4!$A$4:$K$18,OPR_RIM!$A$4:$K$18,OPR_BPR!$A$4:$K$18),10,0),0))*(Machine_List!$I$50:$I$63&gt;=IFERROR(VLOOKUP($B68,CHOOSE(MATCH($C68,Settings!$L$4:$L$10,0),OPR_BR1!$A$4:$K$18,OPR_BR2!$A$4:$K$18,OPR_CR2!$A$4:$K$18,OPR_CR3!$A$4:$K$18,OPR_CR4!$A$4:$K$18,OPR_RIM!$A$4:$K$18,OPR_BPR!$A$4:$K$18),11,0),9999)),0)),"NO COMPATIBLE MACHINE")))</f>
        <v/>
      </c>
      <c r="F68">
        <f>IF($E68="","",IFERROR(VLOOKUP($E68,Machine_List!$B:$G,6,0),""))</f>
        <v/>
      </c>
      <c r="G68" s="17">
        <f>IF($E68="","",IFERROR(VLOOKUP($E68,Machine_List!$B:$C,2,0),""))</f>
        <v/>
      </c>
      <c r="H68">
        <f>IF($E68="","",IFERROR(VLOOKUP($E68,Machine_List!$B:$D,3,0),""))</f>
        <v/>
      </c>
      <c r="J68" s="16">
        <f>IF($A68="","",IF($I68&lt;&gt;"",$I68,MAX(CNC_Plan!$M68,IFERROR(LOOKUP(2,1/($E$3:INDIRECT("E"&amp;(ROW()-1))=$E68),$M$3:INDIRECT("M"&amp;(ROW()-1))),CNC_Plan!$M68))))</f>
        <v/>
      </c>
      <c r="K68">
        <f>IF($A68="","",IFERROR(VLOOKUP(B68,CHOOSE(MATCH($C68,Settings!$L$4:$L$10,0),OPR_BR1!$A$4:$I$18,OPR_BR2!$A$4:$I$18,OPR_CR2!$A$4:$I$18,OPR_CR3!$A$4:$I$18,OPR_CR4!$A$4:$I$18,OPR_RIM!$A$4:$I$18,OPR_BPR!$A$4:$I$18),6,0),0))</f>
        <v/>
      </c>
      <c r="L68">
        <f>IF($A68="","",K68*D68)</f>
        <v/>
      </c>
      <c r="M68" s="16">
        <f>IF($A68="","",IF(AND(ISNUMBER(G68),G68&gt;=J68,G68&lt;=(J68+(L68/(IF(F68="Contract Workman",Settings!$K$5,Settings!$K$4))))),J68+(L68/(IF(F68="Contract Workman",Settings!$K$5,Settings!$K$4)))+(H68/(IF(F68="Contract Workman",Settings!$K$5,Settings!$K$4))),J68+(L68/(IF(F68="Contract Workman",Settings!$K$5,Settings!$K$4)))))</f>
        <v/>
      </c>
      <c r="N68">
        <f>IF($A68="","",IF(F68="Contract Workman",IF(AND(MOD(M68,1)&gt;=8/24,MOD(M68,1)&lt;20/24),"Shift S1","Shift S2"),IF(AND(MOD(M68,1)&gt;=7/24,MOD(M68,1)&lt;15/24),"Shift A",IF(AND(MOD(M68,1)&gt;=15/24,MOD(M68,1)&lt;23/24),"Shift B","Shift C"))))</f>
        <v/>
      </c>
      <c r="O68">
        <f>IF(B68="","",IF(IFERROR(ISNUMBER(SEARCH(TEXT(B68,"0"),VLOOKUP(E68,Machine_List!$B:$J,9,0))),FALSE),"✅ "&amp; E68,"❌ Sug: "&amp;IFERROR(INDEX(Machine_List!$B$50:$B$63,MATCH(1,(Machine_List!$H$50:$H$63&lt;=IFERROR(VLOOKUP($B68,OPR_BR1!$A$4:$K$18,10,0),0))*(Machine_List!$I$50:$I$63&gt;=IFERROR(VLOOKUP($B68,OPR_BR1!$A$4:$K$18,11,0),9999)),0)),"?")))</f>
        <v/>
      </c>
      <c r="P68">
        <f>IF(AND($A68&lt;&gt;"",P$3&gt;=$J68,P$3&lt;=$M68),1,"")</f>
        <v/>
      </c>
      <c r="Q68">
        <f>IF(AND($A68&lt;&gt;"",Q$3&gt;=$J68,Q$3&lt;=$M68),1,"")</f>
        <v/>
      </c>
      <c r="R68">
        <f>IF(AND($A68&lt;&gt;"",R$3&gt;=$J68,R$3&lt;=$M68),1,"")</f>
        <v/>
      </c>
      <c r="S68">
        <f>IF(AND($A68&lt;&gt;"",S$3&gt;=$J68,S$3&lt;=$M68),1,"")</f>
        <v/>
      </c>
      <c r="T68">
        <f>IF(AND($A68&lt;&gt;"",T$3&gt;=$J68,T$3&lt;=$M68),1,"")</f>
        <v/>
      </c>
      <c r="U68">
        <f>IF(AND($A68&lt;&gt;"",U$3&gt;=$J68,U$3&lt;=$M68),1,"")</f>
        <v/>
      </c>
      <c r="V68">
        <f>IF(AND($A68&lt;&gt;"",V$3&gt;=$J68,V$3&lt;=$M68),1,"")</f>
        <v/>
      </c>
      <c r="W68">
        <f>IF(AND($A68&lt;&gt;"",W$3&gt;=$J68,W$3&lt;=$M68),1,"")</f>
        <v/>
      </c>
      <c r="X68">
        <f>IF(AND($A68&lt;&gt;"",X$3&gt;=$J68,X$3&lt;=$M68),1,"")</f>
        <v/>
      </c>
      <c r="Y68">
        <f>IF(AND($A68&lt;&gt;"",Y$3&gt;=$J68,Y$3&lt;=$M68),1,"")</f>
        <v/>
      </c>
      <c r="Z68">
        <f>IF(AND($A68&lt;&gt;"",Z$3&gt;=$J68,Z$3&lt;=$M68),1,"")</f>
        <v/>
      </c>
      <c r="AA68">
        <f>IF(AND($A68&lt;&gt;"",AA$3&gt;=$J68,AA$3&lt;=$M68),1,"")</f>
        <v/>
      </c>
      <c r="AB68">
        <f>IF(AND($A68&lt;&gt;"",AB$3&gt;=$J68,AB$3&lt;=$M68),1,"")</f>
        <v/>
      </c>
      <c r="AC68">
        <f>IF(AND($A68&lt;&gt;"",AC$3&gt;=$J68,AC$3&lt;=$M68),1,"")</f>
        <v/>
      </c>
      <c r="AD68">
        <f>IF(AND($A68&lt;&gt;"",AD$3&gt;=$J68,AD$3&lt;=$M68),1,"")</f>
        <v/>
      </c>
      <c r="AE68">
        <f>IF(AND($A68&lt;&gt;"",AE$3&gt;=$J68,AE$3&lt;=$M68),1,"")</f>
        <v/>
      </c>
      <c r="AF68">
        <f>IF(AND($A68&lt;&gt;"",AF$3&gt;=$J68,AF$3&lt;=$M68),1,"")</f>
        <v/>
      </c>
      <c r="AG68">
        <f>IF(AND($A68&lt;&gt;"",AG$3&gt;=$J68,AG$3&lt;=$M68),1,"")</f>
        <v/>
      </c>
      <c r="AH68">
        <f>IF(AND($A68&lt;&gt;"",AH$3&gt;=$J68,AH$3&lt;=$M68),1,"")</f>
        <v/>
      </c>
      <c r="AI68">
        <f>IF(AND($A68&lt;&gt;"",AI$3&gt;=$J68,AI$3&lt;=$M68),1,"")</f>
        <v/>
      </c>
      <c r="AJ68">
        <f>IF(AND($A68&lt;&gt;"",AJ$3&gt;=$J68,AJ$3&lt;=$M68),1,"")</f>
        <v/>
      </c>
      <c r="AK68">
        <f>IF(AND($A68&lt;&gt;"",AK$3&gt;=$J68,AK$3&lt;=$M68),1,"")</f>
        <v/>
      </c>
      <c r="AL68">
        <f>IF(AND($A68&lt;&gt;"",AL$3&gt;=$J68,AL$3&lt;=$M68),1,"")</f>
        <v/>
      </c>
      <c r="AM68">
        <f>IF(AND($A68&lt;&gt;"",AM$3&gt;=$J68,AM$3&lt;=$M68),1,"")</f>
        <v/>
      </c>
      <c r="AN68">
        <f>IF(AND($A68&lt;&gt;"",AN$3&gt;=$J68,AN$3&lt;=$M68),1,"")</f>
        <v/>
      </c>
      <c r="AO68">
        <f>IF(AND($A68&lt;&gt;"",AO$3&gt;=$J68,AO$3&lt;=$M68),1,"")</f>
        <v/>
      </c>
      <c r="AP68">
        <f>IF(AND($A68&lt;&gt;"",AP$3&gt;=$J68,AP$3&lt;=$M68),1,"")</f>
        <v/>
      </c>
      <c r="AQ68">
        <f>IF(AND($A68&lt;&gt;"",AQ$3&gt;=$J68,AQ$3&lt;=$M68),1,"")</f>
        <v/>
      </c>
      <c r="AR68">
        <f>IF(AND($A68&lt;&gt;"",AR$3&gt;=$J68,AR$3&lt;=$M68),1,"")</f>
        <v/>
      </c>
      <c r="AS68">
        <f>IF(AND($A68&lt;&gt;"",AS$3&gt;=$J68,AS$3&lt;=$M68),1,"")</f>
        <v/>
      </c>
      <c r="AT68">
        <f>IF(AND($A68&lt;&gt;"",AT$3&gt;=$J68,AT$3&lt;=$M68),1,"")</f>
        <v/>
      </c>
      <c r="AU68">
        <f>IF(AND($A68&lt;&gt;"",AU$3&gt;=$J68,AU$3&lt;=$M68),1,"")</f>
        <v/>
      </c>
      <c r="AV68">
        <f>IF(AND($A68&lt;&gt;"",AV$3&gt;=$J68,AV$3&lt;=$M68),1,"")</f>
        <v/>
      </c>
      <c r="AW68">
        <f>IF(AND($A68&lt;&gt;"",AW$3&gt;=$J68,AW$3&lt;=$M68),1,"")</f>
        <v/>
      </c>
      <c r="AX68">
        <f>IF(AND($A68&lt;&gt;"",AX$3&gt;=$J68,AX$3&lt;=$M68),1,"")</f>
        <v/>
      </c>
      <c r="AY68">
        <f>IF(AND($A68&lt;&gt;"",AY$3&gt;=$J68,AY$3&lt;=$M68),1,"")</f>
        <v/>
      </c>
      <c r="AZ68">
        <f>IF(AND($A68&lt;&gt;"",AZ$3&gt;=$J68,AZ$3&lt;=$M68),1,"")</f>
        <v/>
      </c>
      <c r="BA68">
        <f>IF(AND($A68&lt;&gt;"",BA$3&gt;=$J68,BA$3&lt;=$M68),1,"")</f>
        <v/>
      </c>
      <c r="BB68">
        <f>IF(AND($A68&lt;&gt;"",BB$3&gt;=$J68,BB$3&lt;=$M68),1,"")</f>
        <v/>
      </c>
      <c r="BC68">
        <f>IF(AND($A68&lt;&gt;"",BC$3&gt;=$J68,BC$3&lt;=$M68),1,"")</f>
        <v/>
      </c>
      <c r="BD68">
        <f>IF(AND($A68&lt;&gt;"",BD$3&gt;=$J68,BD$3&lt;=$M68),1,"")</f>
        <v/>
      </c>
      <c r="BE68">
        <f>IF(AND($A68&lt;&gt;"",BE$3&gt;=$J68,BE$3&lt;=$M68),1,"")</f>
        <v/>
      </c>
      <c r="BF68">
        <f>IF(AND($A68&lt;&gt;"",BF$3&gt;=$J68,BF$3&lt;=$M68),1,"")</f>
        <v/>
      </c>
      <c r="BG68">
        <f>IF(AND($A68&lt;&gt;"",BG$3&gt;=$J68,BG$3&lt;=$M68),1,"")</f>
        <v/>
      </c>
      <c r="BH68">
        <f>IF(AND($A68&lt;&gt;"",BH$3&gt;=$J68,BH$3&lt;=$M68),1,"")</f>
        <v/>
      </c>
      <c r="BI68">
        <f>IF(AND($A68&lt;&gt;"",BI$3&gt;=$J68,BI$3&lt;=$M68),1,"")</f>
        <v/>
      </c>
      <c r="BJ68">
        <f>IF(AND($A68&lt;&gt;"",BJ$3&gt;=$J68,BJ$3&lt;=$M68),1,"")</f>
        <v/>
      </c>
      <c r="BK68">
        <f>IF(AND($A68&lt;&gt;"",BK$3&gt;=$J68,BK$3&lt;=$M68),1,"")</f>
        <v/>
      </c>
      <c r="BL68">
        <f>IF(AND($A68&lt;&gt;"",BL$3&gt;=$J68,BL$3&lt;=$M68),1,"")</f>
        <v/>
      </c>
      <c r="BM68">
        <f>IF(AND($A68&lt;&gt;"",BM$3&gt;=$J68,BM$3&lt;=$M68),1,"")</f>
        <v/>
      </c>
      <c r="BN68">
        <f>IF(AND($A68&lt;&gt;"",BN$3&gt;=$J68,BN$3&lt;=$M68),1,"")</f>
        <v/>
      </c>
      <c r="BO68">
        <f>IF(AND($A68&lt;&gt;"",BO$3&gt;=$J68,BO$3&lt;=$M68),1,"")</f>
        <v/>
      </c>
      <c r="BP68">
        <f>IF(AND($A68&lt;&gt;"",BP$3&gt;=$J68,BP$3&lt;=$M68),1,"")</f>
        <v/>
      </c>
      <c r="BQ68">
        <f>IF(AND($A68&lt;&gt;"",BQ$3&gt;=$J68,BQ$3&lt;=$M68),1,"")</f>
        <v/>
      </c>
      <c r="BR68">
        <f>IF(AND($A68&lt;&gt;"",BR$3&gt;=$J68,BR$3&lt;=$M68),1,"")</f>
        <v/>
      </c>
      <c r="BS68">
        <f>IF(AND($A68&lt;&gt;"",BS$3&gt;=$J68,BS$3&lt;=$M68),1,"")</f>
        <v/>
      </c>
      <c r="BT68">
        <f>IF(AND($A68&lt;&gt;"",BT$3&gt;=$J68,BT$3&lt;=$M68),1,"")</f>
        <v/>
      </c>
      <c r="BU68">
        <f>IF(AND($A68&lt;&gt;"",BU$3&gt;=$J68,BU$3&lt;=$M68),1,"")</f>
        <v/>
      </c>
      <c r="BV68">
        <f>IF(AND($A68&lt;&gt;"",BV$3&gt;=$J68,BV$3&lt;=$M68),1,"")</f>
        <v/>
      </c>
    </row>
    <row r="69">
      <c r="A69">
        <f>IF(Job_Master_Ring!$A69="","",Job_Master_Ring!$A69)</f>
        <v/>
      </c>
      <c r="B69">
        <f>IF($A69="","",Job_Master_Ring!B69)</f>
        <v/>
      </c>
      <c r="C69">
        <f>IF($A69="","",Job_Master_Ring!C69)</f>
        <v/>
      </c>
      <c r="D69">
        <f>IF($A69="","",Job_Master_Ring!D69)</f>
        <v/>
      </c>
      <c r="E69">
        <f>IF($A69="","",IF($I69&lt;&gt;"",$I69,IFERROR(INDEX(Machine_List!$B$50:$B$63,MATCH(1,(Machine_List!$H$50:$H$63&lt;=IFERROR(VLOOKUP($B69,CHOOSE(MATCH($C69,Settings!$L$4:$L$10,0),OPR_BR1!$A$4:$K$18,OPR_BR2!$A$4:$K$18,OPR_CR2!$A$4:$K$18,OPR_CR3!$A$4:$K$18,OPR_CR4!$A$4:$K$18,OPR_RIM!$A$4:$K$18,OPR_BPR!$A$4:$K$18),10,0),0))*(Machine_List!$I$50:$I$63&gt;=IFERROR(VLOOKUP($B69,CHOOSE(MATCH($C69,Settings!$L$4:$L$10,0),OPR_BR1!$A$4:$K$18,OPR_BR2!$A$4:$K$18,OPR_CR2!$A$4:$K$18,OPR_CR3!$A$4:$K$18,OPR_CR4!$A$4:$K$18,OPR_RIM!$A$4:$K$18,OPR_BPR!$A$4:$K$18),11,0),9999)),0)),"NO COMPATIBLE MACHINE")))</f>
        <v/>
      </c>
      <c r="F69">
        <f>IF($E69="","",IFERROR(VLOOKUP($E69,Machine_List!$B:$G,6,0),""))</f>
        <v/>
      </c>
      <c r="G69" s="17">
        <f>IF($E69="","",IFERROR(VLOOKUP($E69,Machine_List!$B:$C,2,0),""))</f>
        <v/>
      </c>
      <c r="H69">
        <f>IF($E69="","",IFERROR(VLOOKUP($E69,Machine_List!$B:$D,3,0),""))</f>
        <v/>
      </c>
      <c r="J69" s="16">
        <f>IF($A69="","",IF($I69&lt;&gt;"",$I69,MAX(CNC_Plan!$M69,IFERROR(LOOKUP(2,1/($E$3:INDIRECT("E"&amp;(ROW()-1))=$E69),$M$3:INDIRECT("M"&amp;(ROW()-1))),CNC_Plan!$M69))))</f>
        <v/>
      </c>
      <c r="K69">
        <f>IF($A69="","",IFERROR(VLOOKUP(B69,CHOOSE(MATCH($C69,Settings!$L$4:$L$10,0),OPR_BR1!$A$4:$I$18,OPR_BR2!$A$4:$I$18,OPR_CR2!$A$4:$I$18,OPR_CR3!$A$4:$I$18,OPR_CR4!$A$4:$I$18,OPR_RIM!$A$4:$I$18,OPR_BPR!$A$4:$I$18),6,0),0))</f>
        <v/>
      </c>
      <c r="L69">
        <f>IF($A69="","",K69*D69)</f>
        <v/>
      </c>
      <c r="M69" s="16">
        <f>IF($A69="","",IF(AND(ISNUMBER(G69),G69&gt;=J69,G69&lt;=(J69+(L69/(IF(F69="Contract Workman",Settings!$K$5,Settings!$K$4))))),J69+(L69/(IF(F69="Contract Workman",Settings!$K$5,Settings!$K$4)))+(H69/(IF(F69="Contract Workman",Settings!$K$5,Settings!$K$4))),J69+(L69/(IF(F69="Contract Workman",Settings!$K$5,Settings!$K$4)))))</f>
        <v/>
      </c>
      <c r="N69">
        <f>IF($A69="","",IF(F69="Contract Workman",IF(AND(MOD(M69,1)&gt;=8/24,MOD(M69,1)&lt;20/24),"Shift S1","Shift S2"),IF(AND(MOD(M69,1)&gt;=7/24,MOD(M69,1)&lt;15/24),"Shift A",IF(AND(MOD(M69,1)&gt;=15/24,MOD(M69,1)&lt;23/24),"Shift B","Shift C"))))</f>
        <v/>
      </c>
      <c r="O69">
        <f>IF(B69="","",IF(IFERROR(ISNUMBER(SEARCH(TEXT(B69,"0"),VLOOKUP(E69,Machine_List!$B:$J,9,0))),FALSE),"✅ "&amp; E69,"❌ Sug: "&amp;IFERROR(INDEX(Machine_List!$B$50:$B$63,MATCH(1,(Machine_List!$H$50:$H$63&lt;=IFERROR(VLOOKUP($B69,OPR_BR1!$A$4:$K$18,10,0),0))*(Machine_List!$I$50:$I$63&gt;=IFERROR(VLOOKUP($B69,OPR_BR1!$A$4:$K$18,11,0),9999)),0)),"?")))</f>
        <v/>
      </c>
      <c r="P69">
        <f>IF(AND($A69&lt;&gt;"",P$3&gt;=$J69,P$3&lt;=$M69),1,"")</f>
        <v/>
      </c>
      <c r="Q69">
        <f>IF(AND($A69&lt;&gt;"",Q$3&gt;=$J69,Q$3&lt;=$M69),1,"")</f>
        <v/>
      </c>
      <c r="R69">
        <f>IF(AND($A69&lt;&gt;"",R$3&gt;=$J69,R$3&lt;=$M69),1,"")</f>
        <v/>
      </c>
      <c r="S69">
        <f>IF(AND($A69&lt;&gt;"",S$3&gt;=$J69,S$3&lt;=$M69),1,"")</f>
        <v/>
      </c>
      <c r="T69">
        <f>IF(AND($A69&lt;&gt;"",T$3&gt;=$J69,T$3&lt;=$M69),1,"")</f>
        <v/>
      </c>
      <c r="U69">
        <f>IF(AND($A69&lt;&gt;"",U$3&gt;=$J69,U$3&lt;=$M69),1,"")</f>
        <v/>
      </c>
      <c r="V69">
        <f>IF(AND($A69&lt;&gt;"",V$3&gt;=$J69,V$3&lt;=$M69),1,"")</f>
        <v/>
      </c>
      <c r="W69">
        <f>IF(AND($A69&lt;&gt;"",W$3&gt;=$J69,W$3&lt;=$M69),1,"")</f>
        <v/>
      </c>
      <c r="X69">
        <f>IF(AND($A69&lt;&gt;"",X$3&gt;=$J69,X$3&lt;=$M69),1,"")</f>
        <v/>
      </c>
      <c r="Y69">
        <f>IF(AND($A69&lt;&gt;"",Y$3&gt;=$J69,Y$3&lt;=$M69),1,"")</f>
        <v/>
      </c>
      <c r="Z69">
        <f>IF(AND($A69&lt;&gt;"",Z$3&gt;=$J69,Z$3&lt;=$M69),1,"")</f>
        <v/>
      </c>
      <c r="AA69">
        <f>IF(AND($A69&lt;&gt;"",AA$3&gt;=$J69,AA$3&lt;=$M69),1,"")</f>
        <v/>
      </c>
      <c r="AB69">
        <f>IF(AND($A69&lt;&gt;"",AB$3&gt;=$J69,AB$3&lt;=$M69),1,"")</f>
        <v/>
      </c>
      <c r="AC69">
        <f>IF(AND($A69&lt;&gt;"",AC$3&gt;=$J69,AC$3&lt;=$M69),1,"")</f>
        <v/>
      </c>
      <c r="AD69">
        <f>IF(AND($A69&lt;&gt;"",AD$3&gt;=$J69,AD$3&lt;=$M69),1,"")</f>
        <v/>
      </c>
      <c r="AE69">
        <f>IF(AND($A69&lt;&gt;"",AE$3&gt;=$J69,AE$3&lt;=$M69),1,"")</f>
        <v/>
      </c>
      <c r="AF69">
        <f>IF(AND($A69&lt;&gt;"",AF$3&gt;=$J69,AF$3&lt;=$M69),1,"")</f>
        <v/>
      </c>
      <c r="AG69">
        <f>IF(AND($A69&lt;&gt;"",AG$3&gt;=$J69,AG$3&lt;=$M69),1,"")</f>
        <v/>
      </c>
      <c r="AH69">
        <f>IF(AND($A69&lt;&gt;"",AH$3&gt;=$J69,AH$3&lt;=$M69),1,"")</f>
        <v/>
      </c>
      <c r="AI69">
        <f>IF(AND($A69&lt;&gt;"",AI$3&gt;=$J69,AI$3&lt;=$M69),1,"")</f>
        <v/>
      </c>
      <c r="AJ69">
        <f>IF(AND($A69&lt;&gt;"",AJ$3&gt;=$J69,AJ$3&lt;=$M69),1,"")</f>
        <v/>
      </c>
      <c r="AK69">
        <f>IF(AND($A69&lt;&gt;"",AK$3&gt;=$J69,AK$3&lt;=$M69),1,"")</f>
        <v/>
      </c>
      <c r="AL69">
        <f>IF(AND($A69&lt;&gt;"",AL$3&gt;=$J69,AL$3&lt;=$M69),1,"")</f>
        <v/>
      </c>
      <c r="AM69">
        <f>IF(AND($A69&lt;&gt;"",AM$3&gt;=$J69,AM$3&lt;=$M69),1,"")</f>
        <v/>
      </c>
      <c r="AN69">
        <f>IF(AND($A69&lt;&gt;"",AN$3&gt;=$J69,AN$3&lt;=$M69),1,"")</f>
        <v/>
      </c>
      <c r="AO69">
        <f>IF(AND($A69&lt;&gt;"",AO$3&gt;=$J69,AO$3&lt;=$M69),1,"")</f>
        <v/>
      </c>
      <c r="AP69">
        <f>IF(AND($A69&lt;&gt;"",AP$3&gt;=$J69,AP$3&lt;=$M69),1,"")</f>
        <v/>
      </c>
      <c r="AQ69">
        <f>IF(AND($A69&lt;&gt;"",AQ$3&gt;=$J69,AQ$3&lt;=$M69),1,"")</f>
        <v/>
      </c>
      <c r="AR69">
        <f>IF(AND($A69&lt;&gt;"",AR$3&gt;=$J69,AR$3&lt;=$M69),1,"")</f>
        <v/>
      </c>
      <c r="AS69">
        <f>IF(AND($A69&lt;&gt;"",AS$3&gt;=$J69,AS$3&lt;=$M69),1,"")</f>
        <v/>
      </c>
      <c r="AT69">
        <f>IF(AND($A69&lt;&gt;"",AT$3&gt;=$J69,AT$3&lt;=$M69),1,"")</f>
        <v/>
      </c>
      <c r="AU69">
        <f>IF(AND($A69&lt;&gt;"",AU$3&gt;=$J69,AU$3&lt;=$M69),1,"")</f>
        <v/>
      </c>
      <c r="AV69">
        <f>IF(AND($A69&lt;&gt;"",AV$3&gt;=$J69,AV$3&lt;=$M69),1,"")</f>
        <v/>
      </c>
      <c r="AW69">
        <f>IF(AND($A69&lt;&gt;"",AW$3&gt;=$J69,AW$3&lt;=$M69),1,"")</f>
        <v/>
      </c>
      <c r="AX69">
        <f>IF(AND($A69&lt;&gt;"",AX$3&gt;=$J69,AX$3&lt;=$M69),1,"")</f>
        <v/>
      </c>
      <c r="AY69">
        <f>IF(AND($A69&lt;&gt;"",AY$3&gt;=$J69,AY$3&lt;=$M69),1,"")</f>
        <v/>
      </c>
      <c r="AZ69">
        <f>IF(AND($A69&lt;&gt;"",AZ$3&gt;=$J69,AZ$3&lt;=$M69),1,"")</f>
        <v/>
      </c>
      <c r="BA69">
        <f>IF(AND($A69&lt;&gt;"",BA$3&gt;=$J69,BA$3&lt;=$M69),1,"")</f>
        <v/>
      </c>
      <c r="BB69">
        <f>IF(AND($A69&lt;&gt;"",BB$3&gt;=$J69,BB$3&lt;=$M69),1,"")</f>
        <v/>
      </c>
      <c r="BC69">
        <f>IF(AND($A69&lt;&gt;"",BC$3&gt;=$J69,BC$3&lt;=$M69),1,"")</f>
        <v/>
      </c>
      <c r="BD69">
        <f>IF(AND($A69&lt;&gt;"",BD$3&gt;=$J69,BD$3&lt;=$M69),1,"")</f>
        <v/>
      </c>
      <c r="BE69">
        <f>IF(AND($A69&lt;&gt;"",BE$3&gt;=$J69,BE$3&lt;=$M69),1,"")</f>
        <v/>
      </c>
      <c r="BF69">
        <f>IF(AND($A69&lt;&gt;"",BF$3&gt;=$J69,BF$3&lt;=$M69),1,"")</f>
        <v/>
      </c>
      <c r="BG69">
        <f>IF(AND($A69&lt;&gt;"",BG$3&gt;=$J69,BG$3&lt;=$M69),1,"")</f>
        <v/>
      </c>
      <c r="BH69">
        <f>IF(AND($A69&lt;&gt;"",BH$3&gt;=$J69,BH$3&lt;=$M69),1,"")</f>
        <v/>
      </c>
      <c r="BI69">
        <f>IF(AND($A69&lt;&gt;"",BI$3&gt;=$J69,BI$3&lt;=$M69),1,"")</f>
        <v/>
      </c>
      <c r="BJ69">
        <f>IF(AND($A69&lt;&gt;"",BJ$3&gt;=$J69,BJ$3&lt;=$M69),1,"")</f>
        <v/>
      </c>
      <c r="BK69">
        <f>IF(AND($A69&lt;&gt;"",BK$3&gt;=$J69,BK$3&lt;=$M69),1,"")</f>
        <v/>
      </c>
      <c r="BL69">
        <f>IF(AND($A69&lt;&gt;"",BL$3&gt;=$J69,BL$3&lt;=$M69),1,"")</f>
        <v/>
      </c>
      <c r="BM69">
        <f>IF(AND($A69&lt;&gt;"",BM$3&gt;=$J69,BM$3&lt;=$M69),1,"")</f>
        <v/>
      </c>
      <c r="BN69">
        <f>IF(AND($A69&lt;&gt;"",BN$3&gt;=$J69,BN$3&lt;=$M69),1,"")</f>
        <v/>
      </c>
      <c r="BO69">
        <f>IF(AND($A69&lt;&gt;"",BO$3&gt;=$J69,BO$3&lt;=$M69),1,"")</f>
        <v/>
      </c>
      <c r="BP69">
        <f>IF(AND($A69&lt;&gt;"",BP$3&gt;=$J69,BP$3&lt;=$M69),1,"")</f>
        <v/>
      </c>
      <c r="BQ69">
        <f>IF(AND($A69&lt;&gt;"",BQ$3&gt;=$J69,BQ$3&lt;=$M69),1,"")</f>
        <v/>
      </c>
      <c r="BR69">
        <f>IF(AND($A69&lt;&gt;"",BR$3&gt;=$J69,BR$3&lt;=$M69),1,"")</f>
        <v/>
      </c>
      <c r="BS69">
        <f>IF(AND($A69&lt;&gt;"",BS$3&gt;=$J69,BS$3&lt;=$M69),1,"")</f>
        <v/>
      </c>
      <c r="BT69">
        <f>IF(AND($A69&lt;&gt;"",BT$3&gt;=$J69,BT$3&lt;=$M69),1,"")</f>
        <v/>
      </c>
      <c r="BU69">
        <f>IF(AND($A69&lt;&gt;"",BU$3&gt;=$J69,BU$3&lt;=$M69),1,"")</f>
        <v/>
      </c>
      <c r="BV69">
        <f>IF(AND($A69&lt;&gt;"",BV$3&gt;=$J69,BV$3&lt;=$M69),1,"")</f>
        <v/>
      </c>
    </row>
    <row r="70">
      <c r="A70">
        <f>IF(Job_Master_Ring!$A70="","",Job_Master_Ring!$A70)</f>
        <v/>
      </c>
      <c r="B70">
        <f>IF($A70="","",Job_Master_Ring!B70)</f>
        <v/>
      </c>
      <c r="C70">
        <f>IF($A70="","",Job_Master_Ring!C70)</f>
        <v/>
      </c>
      <c r="D70">
        <f>IF($A70="","",Job_Master_Ring!D70)</f>
        <v/>
      </c>
      <c r="E70">
        <f>IF($A70="","",IF($I70&lt;&gt;"",$I70,IFERROR(INDEX(Machine_List!$B$50:$B$63,MATCH(1,(Machine_List!$H$50:$H$63&lt;=IFERROR(VLOOKUP($B70,CHOOSE(MATCH($C70,Settings!$L$4:$L$10,0),OPR_BR1!$A$4:$K$18,OPR_BR2!$A$4:$K$18,OPR_CR2!$A$4:$K$18,OPR_CR3!$A$4:$K$18,OPR_CR4!$A$4:$K$18,OPR_RIM!$A$4:$K$18,OPR_BPR!$A$4:$K$18),10,0),0))*(Machine_List!$I$50:$I$63&gt;=IFERROR(VLOOKUP($B70,CHOOSE(MATCH($C70,Settings!$L$4:$L$10,0),OPR_BR1!$A$4:$K$18,OPR_BR2!$A$4:$K$18,OPR_CR2!$A$4:$K$18,OPR_CR3!$A$4:$K$18,OPR_CR4!$A$4:$K$18,OPR_RIM!$A$4:$K$18,OPR_BPR!$A$4:$K$18),11,0),9999)),0)),"NO COMPATIBLE MACHINE")))</f>
        <v/>
      </c>
      <c r="F70">
        <f>IF($E70="","",IFERROR(VLOOKUP($E70,Machine_List!$B:$G,6,0),""))</f>
        <v/>
      </c>
      <c r="G70" s="17">
        <f>IF($E70="","",IFERROR(VLOOKUP($E70,Machine_List!$B:$C,2,0),""))</f>
        <v/>
      </c>
      <c r="H70">
        <f>IF($E70="","",IFERROR(VLOOKUP($E70,Machine_List!$B:$D,3,0),""))</f>
        <v/>
      </c>
      <c r="J70" s="16">
        <f>IF($A70="","",IF($I70&lt;&gt;"",$I70,MAX(CNC_Plan!$M70,IFERROR(LOOKUP(2,1/($E$3:INDIRECT("E"&amp;(ROW()-1))=$E70),$M$3:INDIRECT("M"&amp;(ROW()-1))),CNC_Plan!$M70))))</f>
        <v/>
      </c>
      <c r="K70">
        <f>IF($A70="","",IFERROR(VLOOKUP(B70,CHOOSE(MATCH($C70,Settings!$L$4:$L$10,0),OPR_BR1!$A$4:$I$18,OPR_BR2!$A$4:$I$18,OPR_CR2!$A$4:$I$18,OPR_CR3!$A$4:$I$18,OPR_CR4!$A$4:$I$18,OPR_RIM!$A$4:$I$18,OPR_BPR!$A$4:$I$18),6,0),0))</f>
        <v/>
      </c>
      <c r="L70">
        <f>IF($A70="","",K70*D70)</f>
        <v/>
      </c>
      <c r="M70" s="16">
        <f>IF($A70="","",IF(AND(ISNUMBER(G70),G70&gt;=J70,G70&lt;=(J70+(L70/(IF(F70="Contract Workman",Settings!$K$5,Settings!$K$4))))),J70+(L70/(IF(F70="Contract Workman",Settings!$K$5,Settings!$K$4)))+(H70/(IF(F70="Contract Workman",Settings!$K$5,Settings!$K$4))),J70+(L70/(IF(F70="Contract Workman",Settings!$K$5,Settings!$K$4)))))</f>
        <v/>
      </c>
      <c r="N70">
        <f>IF($A70="","",IF(F70="Contract Workman",IF(AND(MOD(M70,1)&gt;=8/24,MOD(M70,1)&lt;20/24),"Shift S1","Shift S2"),IF(AND(MOD(M70,1)&gt;=7/24,MOD(M70,1)&lt;15/24),"Shift A",IF(AND(MOD(M70,1)&gt;=15/24,MOD(M70,1)&lt;23/24),"Shift B","Shift C"))))</f>
        <v/>
      </c>
      <c r="O70">
        <f>IF(B70="","",IF(IFERROR(ISNUMBER(SEARCH(TEXT(B70,"0"),VLOOKUP(E70,Machine_List!$B:$J,9,0))),FALSE),"✅ "&amp; E70,"❌ Sug: "&amp;IFERROR(INDEX(Machine_List!$B$50:$B$63,MATCH(1,(Machine_List!$H$50:$H$63&lt;=IFERROR(VLOOKUP($B70,OPR_BR1!$A$4:$K$18,10,0),0))*(Machine_List!$I$50:$I$63&gt;=IFERROR(VLOOKUP($B70,OPR_BR1!$A$4:$K$18,11,0),9999)),0)),"?")))</f>
        <v/>
      </c>
      <c r="P70">
        <f>IF(AND($A70&lt;&gt;"",P$3&gt;=$J70,P$3&lt;=$M70),1,"")</f>
        <v/>
      </c>
      <c r="Q70">
        <f>IF(AND($A70&lt;&gt;"",Q$3&gt;=$J70,Q$3&lt;=$M70),1,"")</f>
        <v/>
      </c>
      <c r="R70">
        <f>IF(AND($A70&lt;&gt;"",R$3&gt;=$J70,R$3&lt;=$M70),1,"")</f>
        <v/>
      </c>
      <c r="S70">
        <f>IF(AND($A70&lt;&gt;"",S$3&gt;=$J70,S$3&lt;=$M70),1,"")</f>
        <v/>
      </c>
      <c r="T70">
        <f>IF(AND($A70&lt;&gt;"",T$3&gt;=$J70,T$3&lt;=$M70),1,"")</f>
        <v/>
      </c>
      <c r="U70">
        <f>IF(AND($A70&lt;&gt;"",U$3&gt;=$J70,U$3&lt;=$M70),1,"")</f>
        <v/>
      </c>
      <c r="V70">
        <f>IF(AND($A70&lt;&gt;"",V$3&gt;=$J70,V$3&lt;=$M70),1,"")</f>
        <v/>
      </c>
      <c r="W70">
        <f>IF(AND($A70&lt;&gt;"",W$3&gt;=$J70,W$3&lt;=$M70),1,"")</f>
        <v/>
      </c>
      <c r="X70">
        <f>IF(AND($A70&lt;&gt;"",X$3&gt;=$J70,X$3&lt;=$M70),1,"")</f>
        <v/>
      </c>
      <c r="Y70">
        <f>IF(AND($A70&lt;&gt;"",Y$3&gt;=$J70,Y$3&lt;=$M70),1,"")</f>
        <v/>
      </c>
      <c r="Z70">
        <f>IF(AND($A70&lt;&gt;"",Z$3&gt;=$J70,Z$3&lt;=$M70),1,"")</f>
        <v/>
      </c>
      <c r="AA70">
        <f>IF(AND($A70&lt;&gt;"",AA$3&gt;=$J70,AA$3&lt;=$M70),1,"")</f>
        <v/>
      </c>
      <c r="AB70">
        <f>IF(AND($A70&lt;&gt;"",AB$3&gt;=$J70,AB$3&lt;=$M70),1,"")</f>
        <v/>
      </c>
      <c r="AC70">
        <f>IF(AND($A70&lt;&gt;"",AC$3&gt;=$J70,AC$3&lt;=$M70),1,"")</f>
        <v/>
      </c>
      <c r="AD70">
        <f>IF(AND($A70&lt;&gt;"",AD$3&gt;=$J70,AD$3&lt;=$M70),1,"")</f>
        <v/>
      </c>
      <c r="AE70">
        <f>IF(AND($A70&lt;&gt;"",AE$3&gt;=$J70,AE$3&lt;=$M70),1,"")</f>
        <v/>
      </c>
      <c r="AF70">
        <f>IF(AND($A70&lt;&gt;"",AF$3&gt;=$J70,AF$3&lt;=$M70),1,"")</f>
        <v/>
      </c>
      <c r="AG70">
        <f>IF(AND($A70&lt;&gt;"",AG$3&gt;=$J70,AG$3&lt;=$M70),1,"")</f>
        <v/>
      </c>
      <c r="AH70">
        <f>IF(AND($A70&lt;&gt;"",AH$3&gt;=$J70,AH$3&lt;=$M70),1,"")</f>
        <v/>
      </c>
      <c r="AI70">
        <f>IF(AND($A70&lt;&gt;"",AI$3&gt;=$J70,AI$3&lt;=$M70),1,"")</f>
        <v/>
      </c>
      <c r="AJ70">
        <f>IF(AND($A70&lt;&gt;"",AJ$3&gt;=$J70,AJ$3&lt;=$M70),1,"")</f>
        <v/>
      </c>
      <c r="AK70">
        <f>IF(AND($A70&lt;&gt;"",AK$3&gt;=$J70,AK$3&lt;=$M70),1,"")</f>
        <v/>
      </c>
      <c r="AL70">
        <f>IF(AND($A70&lt;&gt;"",AL$3&gt;=$J70,AL$3&lt;=$M70),1,"")</f>
        <v/>
      </c>
      <c r="AM70">
        <f>IF(AND($A70&lt;&gt;"",AM$3&gt;=$J70,AM$3&lt;=$M70),1,"")</f>
        <v/>
      </c>
      <c r="AN70">
        <f>IF(AND($A70&lt;&gt;"",AN$3&gt;=$J70,AN$3&lt;=$M70),1,"")</f>
        <v/>
      </c>
      <c r="AO70">
        <f>IF(AND($A70&lt;&gt;"",AO$3&gt;=$J70,AO$3&lt;=$M70),1,"")</f>
        <v/>
      </c>
      <c r="AP70">
        <f>IF(AND($A70&lt;&gt;"",AP$3&gt;=$J70,AP$3&lt;=$M70),1,"")</f>
        <v/>
      </c>
      <c r="AQ70">
        <f>IF(AND($A70&lt;&gt;"",AQ$3&gt;=$J70,AQ$3&lt;=$M70),1,"")</f>
        <v/>
      </c>
      <c r="AR70">
        <f>IF(AND($A70&lt;&gt;"",AR$3&gt;=$J70,AR$3&lt;=$M70),1,"")</f>
        <v/>
      </c>
      <c r="AS70">
        <f>IF(AND($A70&lt;&gt;"",AS$3&gt;=$J70,AS$3&lt;=$M70),1,"")</f>
        <v/>
      </c>
      <c r="AT70">
        <f>IF(AND($A70&lt;&gt;"",AT$3&gt;=$J70,AT$3&lt;=$M70),1,"")</f>
        <v/>
      </c>
      <c r="AU70">
        <f>IF(AND($A70&lt;&gt;"",AU$3&gt;=$J70,AU$3&lt;=$M70),1,"")</f>
        <v/>
      </c>
      <c r="AV70">
        <f>IF(AND($A70&lt;&gt;"",AV$3&gt;=$J70,AV$3&lt;=$M70),1,"")</f>
        <v/>
      </c>
      <c r="AW70">
        <f>IF(AND($A70&lt;&gt;"",AW$3&gt;=$J70,AW$3&lt;=$M70),1,"")</f>
        <v/>
      </c>
      <c r="AX70">
        <f>IF(AND($A70&lt;&gt;"",AX$3&gt;=$J70,AX$3&lt;=$M70),1,"")</f>
        <v/>
      </c>
      <c r="AY70">
        <f>IF(AND($A70&lt;&gt;"",AY$3&gt;=$J70,AY$3&lt;=$M70),1,"")</f>
        <v/>
      </c>
      <c r="AZ70">
        <f>IF(AND($A70&lt;&gt;"",AZ$3&gt;=$J70,AZ$3&lt;=$M70),1,"")</f>
        <v/>
      </c>
      <c r="BA70">
        <f>IF(AND($A70&lt;&gt;"",BA$3&gt;=$J70,BA$3&lt;=$M70),1,"")</f>
        <v/>
      </c>
      <c r="BB70">
        <f>IF(AND($A70&lt;&gt;"",BB$3&gt;=$J70,BB$3&lt;=$M70),1,"")</f>
        <v/>
      </c>
      <c r="BC70">
        <f>IF(AND($A70&lt;&gt;"",BC$3&gt;=$J70,BC$3&lt;=$M70),1,"")</f>
        <v/>
      </c>
      <c r="BD70">
        <f>IF(AND($A70&lt;&gt;"",BD$3&gt;=$J70,BD$3&lt;=$M70),1,"")</f>
        <v/>
      </c>
      <c r="BE70">
        <f>IF(AND($A70&lt;&gt;"",BE$3&gt;=$J70,BE$3&lt;=$M70),1,"")</f>
        <v/>
      </c>
      <c r="BF70">
        <f>IF(AND($A70&lt;&gt;"",BF$3&gt;=$J70,BF$3&lt;=$M70),1,"")</f>
        <v/>
      </c>
      <c r="BG70">
        <f>IF(AND($A70&lt;&gt;"",BG$3&gt;=$J70,BG$3&lt;=$M70),1,"")</f>
        <v/>
      </c>
      <c r="BH70">
        <f>IF(AND($A70&lt;&gt;"",BH$3&gt;=$J70,BH$3&lt;=$M70),1,"")</f>
        <v/>
      </c>
      <c r="BI70">
        <f>IF(AND($A70&lt;&gt;"",BI$3&gt;=$J70,BI$3&lt;=$M70),1,"")</f>
        <v/>
      </c>
      <c r="BJ70">
        <f>IF(AND($A70&lt;&gt;"",BJ$3&gt;=$J70,BJ$3&lt;=$M70),1,"")</f>
        <v/>
      </c>
      <c r="BK70">
        <f>IF(AND($A70&lt;&gt;"",BK$3&gt;=$J70,BK$3&lt;=$M70),1,"")</f>
        <v/>
      </c>
      <c r="BL70">
        <f>IF(AND($A70&lt;&gt;"",BL$3&gt;=$J70,BL$3&lt;=$M70),1,"")</f>
        <v/>
      </c>
      <c r="BM70">
        <f>IF(AND($A70&lt;&gt;"",BM$3&gt;=$J70,BM$3&lt;=$M70),1,"")</f>
        <v/>
      </c>
      <c r="BN70">
        <f>IF(AND($A70&lt;&gt;"",BN$3&gt;=$J70,BN$3&lt;=$M70),1,"")</f>
        <v/>
      </c>
      <c r="BO70">
        <f>IF(AND($A70&lt;&gt;"",BO$3&gt;=$J70,BO$3&lt;=$M70),1,"")</f>
        <v/>
      </c>
      <c r="BP70">
        <f>IF(AND($A70&lt;&gt;"",BP$3&gt;=$J70,BP$3&lt;=$M70),1,"")</f>
        <v/>
      </c>
      <c r="BQ70">
        <f>IF(AND($A70&lt;&gt;"",BQ$3&gt;=$J70,BQ$3&lt;=$M70),1,"")</f>
        <v/>
      </c>
      <c r="BR70">
        <f>IF(AND($A70&lt;&gt;"",BR$3&gt;=$J70,BR$3&lt;=$M70),1,"")</f>
        <v/>
      </c>
      <c r="BS70">
        <f>IF(AND($A70&lt;&gt;"",BS$3&gt;=$J70,BS$3&lt;=$M70),1,"")</f>
        <v/>
      </c>
      <c r="BT70">
        <f>IF(AND($A70&lt;&gt;"",BT$3&gt;=$J70,BT$3&lt;=$M70),1,"")</f>
        <v/>
      </c>
      <c r="BU70">
        <f>IF(AND($A70&lt;&gt;"",BU$3&gt;=$J70,BU$3&lt;=$M70),1,"")</f>
        <v/>
      </c>
      <c r="BV70">
        <f>IF(AND($A70&lt;&gt;"",BV$3&gt;=$J70,BV$3&lt;=$M70),1,"")</f>
        <v/>
      </c>
    </row>
    <row r="71">
      <c r="A71">
        <f>IF(Job_Master_Ring!$A71="","",Job_Master_Ring!$A71)</f>
        <v/>
      </c>
      <c r="B71">
        <f>IF($A71="","",Job_Master_Ring!B71)</f>
        <v/>
      </c>
      <c r="C71">
        <f>IF($A71="","",Job_Master_Ring!C71)</f>
        <v/>
      </c>
      <c r="D71">
        <f>IF($A71="","",Job_Master_Ring!D71)</f>
        <v/>
      </c>
      <c r="E71">
        <f>IF($A71="","",IF($I71&lt;&gt;"",$I71,IFERROR(INDEX(Machine_List!$B$50:$B$63,MATCH(1,(Machine_List!$H$50:$H$63&lt;=IFERROR(VLOOKUP($B71,CHOOSE(MATCH($C71,Settings!$L$4:$L$10,0),OPR_BR1!$A$4:$K$18,OPR_BR2!$A$4:$K$18,OPR_CR2!$A$4:$K$18,OPR_CR3!$A$4:$K$18,OPR_CR4!$A$4:$K$18,OPR_RIM!$A$4:$K$18,OPR_BPR!$A$4:$K$18),10,0),0))*(Machine_List!$I$50:$I$63&gt;=IFERROR(VLOOKUP($B71,CHOOSE(MATCH($C71,Settings!$L$4:$L$10,0),OPR_BR1!$A$4:$K$18,OPR_BR2!$A$4:$K$18,OPR_CR2!$A$4:$K$18,OPR_CR3!$A$4:$K$18,OPR_CR4!$A$4:$K$18,OPR_RIM!$A$4:$K$18,OPR_BPR!$A$4:$K$18),11,0),9999)),0)),"NO COMPATIBLE MACHINE")))</f>
        <v/>
      </c>
      <c r="F71">
        <f>IF($E71="","",IFERROR(VLOOKUP($E71,Machine_List!$B:$G,6,0),""))</f>
        <v/>
      </c>
      <c r="G71" s="17">
        <f>IF($E71="","",IFERROR(VLOOKUP($E71,Machine_List!$B:$C,2,0),""))</f>
        <v/>
      </c>
      <c r="H71">
        <f>IF($E71="","",IFERROR(VLOOKUP($E71,Machine_List!$B:$D,3,0),""))</f>
        <v/>
      </c>
      <c r="J71" s="16">
        <f>IF($A71="","",IF($I71&lt;&gt;"",$I71,MAX(CNC_Plan!$M71,IFERROR(LOOKUP(2,1/($E$3:INDIRECT("E"&amp;(ROW()-1))=$E71),$M$3:INDIRECT("M"&amp;(ROW()-1))),CNC_Plan!$M71))))</f>
        <v/>
      </c>
      <c r="K71">
        <f>IF($A71="","",IFERROR(VLOOKUP(B71,CHOOSE(MATCH($C71,Settings!$L$4:$L$10,0),OPR_BR1!$A$4:$I$18,OPR_BR2!$A$4:$I$18,OPR_CR2!$A$4:$I$18,OPR_CR3!$A$4:$I$18,OPR_CR4!$A$4:$I$18,OPR_RIM!$A$4:$I$18,OPR_BPR!$A$4:$I$18),6,0),0))</f>
        <v/>
      </c>
      <c r="L71">
        <f>IF($A71="","",K71*D71)</f>
        <v/>
      </c>
      <c r="M71" s="16">
        <f>IF($A71="","",IF(AND(ISNUMBER(G71),G71&gt;=J71,G71&lt;=(J71+(L71/(IF(F71="Contract Workman",Settings!$K$5,Settings!$K$4))))),J71+(L71/(IF(F71="Contract Workman",Settings!$K$5,Settings!$K$4)))+(H71/(IF(F71="Contract Workman",Settings!$K$5,Settings!$K$4))),J71+(L71/(IF(F71="Contract Workman",Settings!$K$5,Settings!$K$4)))))</f>
        <v/>
      </c>
      <c r="N71">
        <f>IF($A71="","",IF(F71="Contract Workman",IF(AND(MOD(M71,1)&gt;=8/24,MOD(M71,1)&lt;20/24),"Shift S1","Shift S2"),IF(AND(MOD(M71,1)&gt;=7/24,MOD(M71,1)&lt;15/24),"Shift A",IF(AND(MOD(M71,1)&gt;=15/24,MOD(M71,1)&lt;23/24),"Shift B","Shift C"))))</f>
        <v/>
      </c>
      <c r="O71">
        <f>IF(B71="","",IF(IFERROR(ISNUMBER(SEARCH(TEXT(B71,"0"),VLOOKUP(E71,Machine_List!$B:$J,9,0))),FALSE),"✅ "&amp; E71,"❌ Sug: "&amp;IFERROR(INDEX(Machine_List!$B$50:$B$63,MATCH(1,(Machine_List!$H$50:$H$63&lt;=IFERROR(VLOOKUP($B71,OPR_BR1!$A$4:$K$18,10,0),0))*(Machine_List!$I$50:$I$63&gt;=IFERROR(VLOOKUP($B71,OPR_BR1!$A$4:$K$18,11,0),9999)),0)),"?")))</f>
        <v/>
      </c>
      <c r="P71">
        <f>IF(AND($A71&lt;&gt;"",P$3&gt;=$J71,P$3&lt;=$M71),1,"")</f>
        <v/>
      </c>
      <c r="Q71">
        <f>IF(AND($A71&lt;&gt;"",Q$3&gt;=$J71,Q$3&lt;=$M71),1,"")</f>
        <v/>
      </c>
      <c r="R71">
        <f>IF(AND($A71&lt;&gt;"",R$3&gt;=$J71,R$3&lt;=$M71),1,"")</f>
        <v/>
      </c>
      <c r="S71">
        <f>IF(AND($A71&lt;&gt;"",S$3&gt;=$J71,S$3&lt;=$M71),1,"")</f>
        <v/>
      </c>
      <c r="T71">
        <f>IF(AND($A71&lt;&gt;"",T$3&gt;=$J71,T$3&lt;=$M71),1,"")</f>
        <v/>
      </c>
      <c r="U71">
        <f>IF(AND($A71&lt;&gt;"",U$3&gt;=$J71,U$3&lt;=$M71),1,"")</f>
        <v/>
      </c>
      <c r="V71">
        <f>IF(AND($A71&lt;&gt;"",V$3&gt;=$J71,V$3&lt;=$M71),1,"")</f>
        <v/>
      </c>
      <c r="W71">
        <f>IF(AND($A71&lt;&gt;"",W$3&gt;=$J71,W$3&lt;=$M71),1,"")</f>
        <v/>
      </c>
      <c r="X71">
        <f>IF(AND($A71&lt;&gt;"",X$3&gt;=$J71,X$3&lt;=$M71),1,"")</f>
        <v/>
      </c>
      <c r="Y71">
        <f>IF(AND($A71&lt;&gt;"",Y$3&gt;=$J71,Y$3&lt;=$M71),1,"")</f>
        <v/>
      </c>
      <c r="Z71">
        <f>IF(AND($A71&lt;&gt;"",Z$3&gt;=$J71,Z$3&lt;=$M71),1,"")</f>
        <v/>
      </c>
      <c r="AA71">
        <f>IF(AND($A71&lt;&gt;"",AA$3&gt;=$J71,AA$3&lt;=$M71),1,"")</f>
        <v/>
      </c>
      <c r="AB71">
        <f>IF(AND($A71&lt;&gt;"",AB$3&gt;=$J71,AB$3&lt;=$M71),1,"")</f>
        <v/>
      </c>
      <c r="AC71">
        <f>IF(AND($A71&lt;&gt;"",AC$3&gt;=$J71,AC$3&lt;=$M71),1,"")</f>
        <v/>
      </c>
      <c r="AD71">
        <f>IF(AND($A71&lt;&gt;"",AD$3&gt;=$J71,AD$3&lt;=$M71),1,"")</f>
        <v/>
      </c>
      <c r="AE71">
        <f>IF(AND($A71&lt;&gt;"",AE$3&gt;=$J71,AE$3&lt;=$M71),1,"")</f>
        <v/>
      </c>
      <c r="AF71">
        <f>IF(AND($A71&lt;&gt;"",AF$3&gt;=$J71,AF$3&lt;=$M71),1,"")</f>
        <v/>
      </c>
      <c r="AG71">
        <f>IF(AND($A71&lt;&gt;"",AG$3&gt;=$J71,AG$3&lt;=$M71),1,"")</f>
        <v/>
      </c>
      <c r="AH71">
        <f>IF(AND($A71&lt;&gt;"",AH$3&gt;=$J71,AH$3&lt;=$M71),1,"")</f>
        <v/>
      </c>
      <c r="AI71">
        <f>IF(AND($A71&lt;&gt;"",AI$3&gt;=$J71,AI$3&lt;=$M71),1,"")</f>
        <v/>
      </c>
      <c r="AJ71">
        <f>IF(AND($A71&lt;&gt;"",AJ$3&gt;=$J71,AJ$3&lt;=$M71),1,"")</f>
        <v/>
      </c>
      <c r="AK71">
        <f>IF(AND($A71&lt;&gt;"",AK$3&gt;=$J71,AK$3&lt;=$M71),1,"")</f>
        <v/>
      </c>
      <c r="AL71">
        <f>IF(AND($A71&lt;&gt;"",AL$3&gt;=$J71,AL$3&lt;=$M71),1,"")</f>
        <v/>
      </c>
      <c r="AM71">
        <f>IF(AND($A71&lt;&gt;"",AM$3&gt;=$J71,AM$3&lt;=$M71),1,"")</f>
        <v/>
      </c>
      <c r="AN71">
        <f>IF(AND($A71&lt;&gt;"",AN$3&gt;=$J71,AN$3&lt;=$M71),1,"")</f>
        <v/>
      </c>
      <c r="AO71">
        <f>IF(AND($A71&lt;&gt;"",AO$3&gt;=$J71,AO$3&lt;=$M71),1,"")</f>
        <v/>
      </c>
      <c r="AP71">
        <f>IF(AND($A71&lt;&gt;"",AP$3&gt;=$J71,AP$3&lt;=$M71),1,"")</f>
        <v/>
      </c>
      <c r="AQ71">
        <f>IF(AND($A71&lt;&gt;"",AQ$3&gt;=$J71,AQ$3&lt;=$M71),1,"")</f>
        <v/>
      </c>
      <c r="AR71">
        <f>IF(AND($A71&lt;&gt;"",AR$3&gt;=$J71,AR$3&lt;=$M71),1,"")</f>
        <v/>
      </c>
      <c r="AS71">
        <f>IF(AND($A71&lt;&gt;"",AS$3&gt;=$J71,AS$3&lt;=$M71),1,"")</f>
        <v/>
      </c>
      <c r="AT71">
        <f>IF(AND($A71&lt;&gt;"",AT$3&gt;=$J71,AT$3&lt;=$M71),1,"")</f>
        <v/>
      </c>
      <c r="AU71">
        <f>IF(AND($A71&lt;&gt;"",AU$3&gt;=$J71,AU$3&lt;=$M71),1,"")</f>
        <v/>
      </c>
      <c r="AV71">
        <f>IF(AND($A71&lt;&gt;"",AV$3&gt;=$J71,AV$3&lt;=$M71),1,"")</f>
        <v/>
      </c>
      <c r="AW71">
        <f>IF(AND($A71&lt;&gt;"",AW$3&gt;=$J71,AW$3&lt;=$M71),1,"")</f>
        <v/>
      </c>
      <c r="AX71">
        <f>IF(AND($A71&lt;&gt;"",AX$3&gt;=$J71,AX$3&lt;=$M71),1,"")</f>
        <v/>
      </c>
      <c r="AY71">
        <f>IF(AND($A71&lt;&gt;"",AY$3&gt;=$J71,AY$3&lt;=$M71),1,"")</f>
        <v/>
      </c>
      <c r="AZ71">
        <f>IF(AND($A71&lt;&gt;"",AZ$3&gt;=$J71,AZ$3&lt;=$M71),1,"")</f>
        <v/>
      </c>
      <c r="BA71">
        <f>IF(AND($A71&lt;&gt;"",BA$3&gt;=$J71,BA$3&lt;=$M71),1,"")</f>
        <v/>
      </c>
      <c r="BB71">
        <f>IF(AND($A71&lt;&gt;"",BB$3&gt;=$J71,BB$3&lt;=$M71),1,"")</f>
        <v/>
      </c>
      <c r="BC71">
        <f>IF(AND($A71&lt;&gt;"",BC$3&gt;=$J71,BC$3&lt;=$M71),1,"")</f>
        <v/>
      </c>
      <c r="BD71">
        <f>IF(AND($A71&lt;&gt;"",BD$3&gt;=$J71,BD$3&lt;=$M71),1,"")</f>
        <v/>
      </c>
      <c r="BE71">
        <f>IF(AND($A71&lt;&gt;"",BE$3&gt;=$J71,BE$3&lt;=$M71),1,"")</f>
        <v/>
      </c>
      <c r="BF71">
        <f>IF(AND($A71&lt;&gt;"",BF$3&gt;=$J71,BF$3&lt;=$M71),1,"")</f>
        <v/>
      </c>
      <c r="BG71">
        <f>IF(AND($A71&lt;&gt;"",BG$3&gt;=$J71,BG$3&lt;=$M71),1,"")</f>
        <v/>
      </c>
      <c r="BH71">
        <f>IF(AND($A71&lt;&gt;"",BH$3&gt;=$J71,BH$3&lt;=$M71),1,"")</f>
        <v/>
      </c>
      <c r="BI71">
        <f>IF(AND($A71&lt;&gt;"",BI$3&gt;=$J71,BI$3&lt;=$M71),1,"")</f>
        <v/>
      </c>
      <c r="BJ71">
        <f>IF(AND($A71&lt;&gt;"",BJ$3&gt;=$J71,BJ$3&lt;=$M71),1,"")</f>
        <v/>
      </c>
      <c r="BK71">
        <f>IF(AND($A71&lt;&gt;"",BK$3&gt;=$J71,BK$3&lt;=$M71),1,"")</f>
        <v/>
      </c>
      <c r="BL71">
        <f>IF(AND($A71&lt;&gt;"",BL$3&gt;=$J71,BL$3&lt;=$M71),1,"")</f>
        <v/>
      </c>
      <c r="BM71">
        <f>IF(AND($A71&lt;&gt;"",BM$3&gt;=$J71,BM$3&lt;=$M71),1,"")</f>
        <v/>
      </c>
      <c r="BN71">
        <f>IF(AND($A71&lt;&gt;"",BN$3&gt;=$J71,BN$3&lt;=$M71),1,"")</f>
        <v/>
      </c>
      <c r="BO71">
        <f>IF(AND($A71&lt;&gt;"",BO$3&gt;=$J71,BO$3&lt;=$M71),1,"")</f>
        <v/>
      </c>
      <c r="BP71">
        <f>IF(AND($A71&lt;&gt;"",BP$3&gt;=$J71,BP$3&lt;=$M71),1,"")</f>
        <v/>
      </c>
      <c r="BQ71">
        <f>IF(AND($A71&lt;&gt;"",BQ$3&gt;=$J71,BQ$3&lt;=$M71),1,"")</f>
        <v/>
      </c>
      <c r="BR71">
        <f>IF(AND($A71&lt;&gt;"",BR$3&gt;=$J71,BR$3&lt;=$M71),1,"")</f>
        <v/>
      </c>
      <c r="BS71">
        <f>IF(AND($A71&lt;&gt;"",BS$3&gt;=$J71,BS$3&lt;=$M71),1,"")</f>
        <v/>
      </c>
      <c r="BT71">
        <f>IF(AND($A71&lt;&gt;"",BT$3&gt;=$J71,BT$3&lt;=$M71),1,"")</f>
        <v/>
      </c>
      <c r="BU71">
        <f>IF(AND($A71&lt;&gt;"",BU$3&gt;=$J71,BU$3&lt;=$M71),1,"")</f>
        <v/>
      </c>
      <c r="BV71">
        <f>IF(AND($A71&lt;&gt;"",BV$3&gt;=$J71,BV$3&lt;=$M71),1,"")</f>
        <v/>
      </c>
    </row>
    <row r="72">
      <c r="A72">
        <f>IF(Job_Master_Ring!$A72="","",Job_Master_Ring!$A72)</f>
        <v/>
      </c>
      <c r="B72">
        <f>IF($A72="","",Job_Master_Ring!B72)</f>
        <v/>
      </c>
      <c r="C72">
        <f>IF($A72="","",Job_Master_Ring!C72)</f>
        <v/>
      </c>
      <c r="D72">
        <f>IF($A72="","",Job_Master_Ring!D72)</f>
        <v/>
      </c>
      <c r="E72">
        <f>IF($A72="","",IF($I72&lt;&gt;"",$I72,IFERROR(INDEX(Machine_List!$B$50:$B$63,MATCH(1,(Machine_List!$H$50:$H$63&lt;=IFERROR(VLOOKUP($B72,CHOOSE(MATCH($C72,Settings!$L$4:$L$10,0),OPR_BR1!$A$4:$K$18,OPR_BR2!$A$4:$K$18,OPR_CR2!$A$4:$K$18,OPR_CR3!$A$4:$K$18,OPR_CR4!$A$4:$K$18,OPR_RIM!$A$4:$K$18,OPR_BPR!$A$4:$K$18),10,0),0))*(Machine_List!$I$50:$I$63&gt;=IFERROR(VLOOKUP($B72,CHOOSE(MATCH($C72,Settings!$L$4:$L$10,0),OPR_BR1!$A$4:$K$18,OPR_BR2!$A$4:$K$18,OPR_CR2!$A$4:$K$18,OPR_CR3!$A$4:$K$18,OPR_CR4!$A$4:$K$18,OPR_RIM!$A$4:$K$18,OPR_BPR!$A$4:$K$18),11,0),9999)),0)),"NO COMPATIBLE MACHINE")))</f>
        <v/>
      </c>
      <c r="F72">
        <f>IF($E72="","",IFERROR(VLOOKUP($E72,Machine_List!$B:$G,6,0),""))</f>
        <v/>
      </c>
      <c r="G72" s="17">
        <f>IF($E72="","",IFERROR(VLOOKUP($E72,Machine_List!$B:$C,2,0),""))</f>
        <v/>
      </c>
      <c r="H72">
        <f>IF($E72="","",IFERROR(VLOOKUP($E72,Machine_List!$B:$D,3,0),""))</f>
        <v/>
      </c>
      <c r="J72" s="16">
        <f>IF($A72="","",IF($I72&lt;&gt;"",$I72,MAX(CNC_Plan!$M72,IFERROR(LOOKUP(2,1/($E$3:INDIRECT("E"&amp;(ROW()-1))=$E72),$M$3:INDIRECT("M"&amp;(ROW()-1))),CNC_Plan!$M72))))</f>
        <v/>
      </c>
      <c r="K72">
        <f>IF($A72="","",IFERROR(VLOOKUP(B72,CHOOSE(MATCH($C72,Settings!$L$4:$L$10,0),OPR_BR1!$A$4:$I$18,OPR_BR2!$A$4:$I$18,OPR_CR2!$A$4:$I$18,OPR_CR3!$A$4:$I$18,OPR_CR4!$A$4:$I$18,OPR_RIM!$A$4:$I$18,OPR_BPR!$A$4:$I$18),6,0),0))</f>
        <v/>
      </c>
      <c r="L72">
        <f>IF($A72="","",K72*D72)</f>
        <v/>
      </c>
      <c r="M72" s="16">
        <f>IF($A72="","",IF(AND(ISNUMBER(G72),G72&gt;=J72,G72&lt;=(J72+(L72/(IF(F72="Contract Workman",Settings!$K$5,Settings!$K$4))))),J72+(L72/(IF(F72="Contract Workman",Settings!$K$5,Settings!$K$4)))+(H72/(IF(F72="Contract Workman",Settings!$K$5,Settings!$K$4))),J72+(L72/(IF(F72="Contract Workman",Settings!$K$5,Settings!$K$4)))))</f>
        <v/>
      </c>
      <c r="N72">
        <f>IF($A72="","",IF(F72="Contract Workman",IF(AND(MOD(M72,1)&gt;=8/24,MOD(M72,1)&lt;20/24),"Shift S1","Shift S2"),IF(AND(MOD(M72,1)&gt;=7/24,MOD(M72,1)&lt;15/24),"Shift A",IF(AND(MOD(M72,1)&gt;=15/24,MOD(M72,1)&lt;23/24),"Shift B","Shift C"))))</f>
        <v/>
      </c>
      <c r="O72">
        <f>IF(B72="","",IF(IFERROR(ISNUMBER(SEARCH(TEXT(B72,"0"),VLOOKUP(E72,Machine_List!$B:$J,9,0))),FALSE),"✅ "&amp; E72,"❌ Sug: "&amp;IFERROR(INDEX(Machine_List!$B$50:$B$63,MATCH(1,(Machine_List!$H$50:$H$63&lt;=IFERROR(VLOOKUP($B72,OPR_BR1!$A$4:$K$18,10,0),0))*(Machine_List!$I$50:$I$63&gt;=IFERROR(VLOOKUP($B72,OPR_BR1!$A$4:$K$18,11,0),9999)),0)),"?")))</f>
        <v/>
      </c>
      <c r="P72">
        <f>IF(AND($A72&lt;&gt;"",P$3&gt;=$J72,P$3&lt;=$M72),1,"")</f>
        <v/>
      </c>
      <c r="Q72">
        <f>IF(AND($A72&lt;&gt;"",Q$3&gt;=$J72,Q$3&lt;=$M72),1,"")</f>
        <v/>
      </c>
      <c r="R72">
        <f>IF(AND($A72&lt;&gt;"",R$3&gt;=$J72,R$3&lt;=$M72),1,"")</f>
        <v/>
      </c>
      <c r="S72">
        <f>IF(AND($A72&lt;&gt;"",S$3&gt;=$J72,S$3&lt;=$M72),1,"")</f>
        <v/>
      </c>
      <c r="T72">
        <f>IF(AND($A72&lt;&gt;"",T$3&gt;=$J72,T$3&lt;=$M72),1,"")</f>
        <v/>
      </c>
      <c r="U72">
        <f>IF(AND($A72&lt;&gt;"",U$3&gt;=$J72,U$3&lt;=$M72),1,"")</f>
        <v/>
      </c>
      <c r="V72">
        <f>IF(AND($A72&lt;&gt;"",V$3&gt;=$J72,V$3&lt;=$M72),1,"")</f>
        <v/>
      </c>
      <c r="W72">
        <f>IF(AND($A72&lt;&gt;"",W$3&gt;=$J72,W$3&lt;=$M72),1,"")</f>
        <v/>
      </c>
      <c r="X72">
        <f>IF(AND($A72&lt;&gt;"",X$3&gt;=$J72,X$3&lt;=$M72),1,"")</f>
        <v/>
      </c>
      <c r="Y72">
        <f>IF(AND($A72&lt;&gt;"",Y$3&gt;=$J72,Y$3&lt;=$M72),1,"")</f>
        <v/>
      </c>
      <c r="Z72">
        <f>IF(AND($A72&lt;&gt;"",Z$3&gt;=$J72,Z$3&lt;=$M72),1,"")</f>
        <v/>
      </c>
      <c r="AA72">
        <f>IF(AND($A72&lt;&gt;"",AA$3&gt;=$J72,AA$3&lt;=$M72),1,"")</f>
        <v/>
      </c>
      <c r="AB72">
        <f>IF(AND($A72&lt;&gt;"",AB$3&gt;=$J72,AB$3&lt;=$M72),1,"")</f>
        <v/>
      </c>
      <c r="AC72">
        <f>IF(AND($A72&lt;&gt;"",AC$3&gt;=$J72,AC$3&lt;=$M72),1,"")</f>
        <v/>
      </c>
      <c r="AD72">
        <f>IF(AND($A72&lt;&gt;"",AD$3&gt;=$J72,AD$3&lt;=$M72),1,"")</f>
        <v/>
      </c>
      <c r="AE72">
        <f>IF(AND($A72&lt;&gt;"",AE$3&gt;=$J72,AE$3&lt;=$M72),1,"")</f>
        <v/>
      </c>
      <c r="AF72">
        <f>IF(AND($A72&lt;&gt;"",AF$3&gt;=$J72,AF$3&lt;=$M72),1,"")</f>
        <v/>
      </c>
      <c r="AG72">
        <f>IF(AND($A72&lt;&gt;"",AG$3&gt;=$J72,AG$3&lt;=$M72),1,"")</f>
        <v/>
      </c>
      <c r="AH72">
        <f>IF(AND($A72&lt;&gt;"",AH$3&gt;=$J72,AH$3&lt;=$M72),1,"")</f>
        <v/>
      </c>
      <c r="AI72">
        <f>IF(AND($A72&lt;&gt;"",AI$3&gt;=$J72,AI$3&lt;=$M72),1,"")</f>
        <v/>
      </c>
      <c r="AJ72">
        <f>IF(AND($A72&lt;&gt;"",AJ$3&gt;=$J72,AJ$3&lt;=$M72),1,"")</f>
        <v/>
      </c>
      <c r="AK72">
        <f>IF(AND($A72&lt;&gt;"",AK$3&gt;=$J72,AK$3&lt;=$M72),1,"")</f>
        <v/>
      </c>
      <c r="AL72">
        <f>IF(AND($A72&lt;&gt;"",AL$3&gt;=$J72,AL$3&lt;=$M72),1,"")</f>
        <v/>
      </c>
      <c r="AM72">
        <f>IF(AND($A72&lt;&gt;"",AM$3&gt;=$J72,AM$3&lt;=$M72),1,"")</f>
        <v/>
      </c>
      <c r="AN72">
        <f>IF(AND($A72&lt;&gt;"",AN$3&gt;=$J72,AN$3&lt;=$M72),1,"")</f>
        <v/>
      </c>
      <c r="AO72">
        <f>IF(AND($A72&lt;&gt;"",AO$3&gt;=$J72,AO$3&lt;=$M72),1,"")</f>
        <v/>
      </c>
      <c r="AP72">
        <f>IF(AND($A72&lt;&gt;"",AP$3&gt;=$J72,AP$3&lt;=$M72),1,"")</f>
        <v/>
      </c>
      <c r="AQ72">
        <f>IF(AND($A72&lt;&gt;"",AQ$3&gt;=$J72,AQ$3&lt;=$M72),1,"")</f>
        <v/>
      </c>
      <c r="AR72">
        <f>IF(AND($A72&lt;&gt;"",AR$3&gt;=$J72,AR$3&lt;=$M72),1,"")</f>
        <v/>
      </c>
      <c r="AS72">
        <f>IF(AND($A72&lt;&gt;"",AS$3&gt;=$J72,AS$3&lt;=$M72),1,"")</f>
        <v/>
      </c>
      <c r="AT72">
        <f>IF(AND($A72&lt;&gt;"",AT$3&gt;=$J72,AT$3&lt;=$M72),1,"")</f>
        <v/>
      </c>
      <c r="AU72">
        <f>IF(AND($A72&lt;&gt;"",AU$3&gt;=$J72,AU$3&lt;=$M72),1,"")</f>
        <v/>
      </c>
      <c r="AV72">
        <f>IF(AND($A72&lt;&gt;"",AV$3&gt;=$J72,AV$3&lt;=$M72),1,"")</f>
        <v/>
      </c>
      <c r="AW72">
        <f>IF(AND($A72&lt;&gt;"",AW$3&gt;=$J72,AW$3&lt;=$M72),1,"")</f>
        <v/>
      </c>
      <c r="AX72">
        <f>IF(AND($A72&lt;&gt;"",AX$3&gt;=$J72,AX$3&lt;=$M72),1,"")</f>
        <v/>
      </c>
      <c r="AY72">
        <f>IF(AND($A72&lt;&gt;"",AY$3&gt;=$J72,AY$3&lt;=$M72),1,"")</f>
        <v/>
      </c>
      <c r="AZ72">
        <f>IF(AND($A72&lt;&gt;"",AZ$3&gt;=$J72,AZ$3&lt;=$M72),1,"")</f>
        <v/>
      </c>
      <c r="BA72">
        <f>IF(AND($A72&lt;&gt;"",BA$3&gt;=$J72,BA$3&lt;=$M72),1,"")</f>
        <v/>
      </c>
      <c r="BB72">
        <f>IF(AND($A72&lt;&gt;"",BB$3&gt;=$J72,BB$3&lt;=$M72),1,"")</f>
        <v/>
      </c>
      <c r="BC72">
        <f>IF(AND($A72&lt;&gt;"",BC$3&gt;=$J72,BC$3&lt;=$M72),1,"")</f>
        <v/>
      </c>
      <c r="BD72">
        <f>IF(AND($A72&lt;&gt;"",BD$3&gt;=$J72,BD$3&lt;=$M72),1,"")</f>
        <v/>
      </c>
      <c r="BE72">
        <f>IF(AND($A72&lt;&gt;"",BE$3&gt;=$J72,BE$3&lt;=$M72),1,"")</f>
        <v/>
      </c>
      <c r="BF72">
        <f>IF(AND($A72&lt;&gt;"",BF$3&gt;=$J72,BF$3&lt;=$M72),1,"")</f>
        <v/>
      </c>
      <c r="BG72">
        <f>IF(AND($A72&lt;&gt;"",BG$3&gt;=$J72,BG$3&lt;=$M72),1,"")</f>
        <v/>
      </c>
      <c r="BH72">
        <f>IF(AND($A72&lt;&gt;"",BH$3&gt;=$J72,BH$3&lt;=$M72),1,"")</f>
        <v/>
      </c>
      <c r="BI72">
        <f>IF(AND($A72&lt;&gt;"",BI$3&gt;=$J72,BI$3&lt;=$M72),1,"")</f>
        <v/>
      </c>
      <c r="BJ72">
        <f>IF(AND($A72&lt;&gt;"",BJ$3&gt;=$J72,BJ$3&lt;=$M72),1,"")</f>
        <v/>
      </c>
      <c r="BK72">
        <f>IF(AND($A72&lt;&gt;"",BK$3&gt;=$J72,BK$3&lt;=$M72),1,"")</f>
        <v/>
      </c>
      <c r="BL72">
        <f>IF(AND($A72&lt;&gt;"",BL$3&gt;=$J72,BL$3&lt;=$M72),1,"")</f>
        <v/>
      </c>
      <c r="BM72">
        <f>IF(AND($A72&lt;&gt;"",BM$3&gt;=$J72,BM$3&lt;=$M72),1,"")</f>
        <v/>
      </c>
      <c r="BN72">
        <f>IF(AND($A72&lt;&gt;"",BN$3&gt;=$J72,BN$3&lt;=$M72),1,"")</f>
        <v/>
      </c>
      <c r="BO72">
        <f>IF(AND($A72&lt;&gt;"",BO$3&gt;=$J72,BO$3&lt;=$M72),1,"")</f>
        <v/>
      </c>
      <c r="BP72">
        <f>IF(AND($A72&lt;&gt;"",BP$3&gt;=$J72,BP$3&lt;=$M72),1,"")</f>
        <v/>
      </c>
      <c r="BQ72">
        <f>IF(AND($A72&lt;&gt;"",BQ$3&gt;=$J72,BQ$3&lt;=$M72),1,"")</f>
        <v/>
      </c>
      <c r="BR72">
        <f>IF(AND($A72&lt;&gt;"",BR$3&gt;=$J72,BR$3&lt;=$M72),1,"")</f>
        <v/>
      </c>
      <c r="BS72">
        <f>IF(AND($A72&lt;&gt;"",BS$3&gt;=$J72,BS$3&lt;=$M72),1,"")</f>
        <v/>
      </c>
      <c r="BT72">
        <f>IF(AND($A72&lt;&gt;"",BT$3&gt;=$J72,BT$3&lt;=$M72),1,"")</f>
        <v/>
      </c>
      <c r="BU72">
        <f>IF(AND($A72&lt;&gt;"",BU$3&gt;=$J72,BU$3&lt;=$M72),1,"")</f>
        <v/>
      </c>
      <c r="BV72">
        <f>IF(AND($A72&lt;&gt;"",BV$3&gt;=$J72,BV$3&lt;=$M72),1,"")</f>
        <v/>
      </c>
    </row>
    <row r="73">
      <c r="A73">
        <f>IF(Job_Master_Ring!$A73="","",Job_Master_Ring!$A73)</f>
        <v/>
      </c>
      <c r="B73">
        <f>IF($A73="","",Job_Master_Ring!B73)</f>
        <v/>
      </c>
      <c r="C73">
        <f>IF($A73="","",Job_Master_Ring!C73)</f>
        <v/>
      </c>
      <c r="D73">
        <f>IF($A73="","",Job_Master_Ring!D73)</f>
        <v/>
      </c>
      <c r="E73">
        <f>IF($A73="","",IF($I73&lt;&gt;"",$I73,IFERROR(INDEX(Machine_List!$B$50:$B$63,MATCH(1,(Machine_List!$H$50:$H$63&lt;=IFERROR(VLOOKUP($B73,CHOOSE(MATCH($C73,Settings!$L$4:$L$10,0),OPR_BR1!$A$4:$K$18,OPR_BR2!$A$4:$K$18,OPR_CR2!$A$4:$K$18,OPR_CR3!$A$4:$K$18,OPR_CR4!$A$4:$K$18,OPR_RIM!$A$4:$K$18,OPR_BPR!$A$4:$K$18),10,0),0))*(Machine_List!$I$50:$I$63&gt;=IFERROR(VLOOKUP($B73,CHOOSE(MATCH($C73,Settings!$L$4:$L$10,0),OPR_BR1!$A$4:$K$18,OPR_BR2!$A$4:$K$18,OPR_CR2!$A$4:$K$18,OPR_CR3!$A$4:$K$18,OPR_CR4!$A$4:$K$18,OPR_RIM!$A$4:$K$18,OPR_BPR!$A$4:$K$18),11,0),9999)),0)),"NO COMPATIBLE MACHINE")))</f>
        <v/>
      </c>
      <c r="F73">
        <f>IF($E73="","",IFERROR(VLOOKUP($E73,Machine_List!$B:$G,6,0),""))</f>
        <v/>
      </c>
      <c r="G73" s="17">
        <f>IF($E73="","",IFERROR(VLOOKUP($E73,Machine_List!$B:$C,2,0),""))</f>
        <v/>
      </c>
      <c r="H73">
        <f>IF($E73="","",IFERROR(VLOOKUP($E73,Machine_List!$B:$D,3,0),""))</f>
        <v/>
      </c>
      <c r="J73" s="16">
        <f>IF($A73="","",IF($I73&lt;&gt;"",$I73,MAX(CNC_Plan!$M73,IFERROR(LOOKUP(2,1/($E$3:INDIRECT("E"&amp;(ROW()-1))=$E73),$M$3:INDIRECT("M"&amp;(ROW()-1))),CNC_Plan!$M73))))</f>
        <v/>
      </c>
      <c r="K73">
        <f>IF($A73="","",IFERROR(VLOOKUP(B73,CHOOSE(MATCH($C73,Settings!$L$4:$L$10,0),OPR_BR1!$A$4:$I$18,OPR_BR2!$A$4:$I$18,OPR_CR2!$A$4:$I$18,OPR_CR3!$A$4:$I$18,OPR_CR4!$A$4:$I$18,OPR_RIM!$A$4:$I$18,OPR_BPR!$A$4:$I$18),6,0),0))</f>
        <v/>
      </c>
      <c r="L73">
        <f>IF($A73="","",K73*D73)</f>
        <v/>
      </c>
      <c r="M73" s="16">
        <f>IF($A73="","",IF(AND(ISNUMBER(G73),G73&gt;=J73,G73&lt;=(J73+(L73/(IF(F73="Contract Workman",Settings!$K$5,Settings!$K$4))))),J73+(L73/(IF(F73="Contract Workman",Settings!$K$5,Settings!$K$4)))+(H73/(IF(F73="Contract Workman",Settings!$K$5,Settings!$K$4))),J73+(L73/(IF(F73="Contract Workman",Settings!$K$5,Settings!$K$4)))))</f>
        <v/>
      </c>
      <c r="N73">
        <f>IF($A73="","",IF(F73="Contract Workman",IF(AND(MOD(M73,1)&gt;=8/24,MOD(M73,1)&lt;20/24),"Shift S1","Shift S2"),IF(AND(MOD(M73,1)&gt;=7/24,MOD(M73,1)&lt;15/24),"Shift A",IF(AND(MOD(M73,1)&gt;=15/24,MOD(M73,1)&lt;23/24),"Shift B","Shift C"))))</f>
        <v/>
      </c>
      <c r="O73">
        <f>IF(B73="","",IF(IFERROR(ISNUMBER(SEARCH(TEXT(B73,"0"),VLOOKUP(E73,Machine_List!$B:$J,9,0))),FALSE),"✅ "&amp; E73,"❌ Sug: "&amp;IFERROR(INDEX(Machine_List!$B$50:$B$63,MATCH(1,(Machine_List!$H$50:$H$63&lt;=IFERROR(VLOOKUP($B73,OPR_BR1!$A$4:$K$18,10,0),0))*(Machine_List!$I$50:$I$63&gt;=IFERROR(VLOOKUP($B73,OPR_BR1!$A$4:$K$18,11,0),9999)),0)),"?")))</f>
        <v/>
      </c>
      <c r="P73">
        <f>IF(AND($A73&lt;&gt;"",P$3&gt;=$J73,P$3&lt;=$M73),1,"")</f>
        <v/>
      </c>
      <c r="Q73">
        <f>IF(AND($A73&lt;&gt;"",Q$3&gt;=$J73,Q$3&lt;=$M73),1,"")</f>
        <v/>
      </c>
      <c r="R73">
        <f>IF(AND($A73&lt;&gt;"",R$3&gt;=$J73,R$3&lt;=$M73),1,"")</f>
        <v/>
      </c>
      <c r="S73">
        <f>IF(AND($A73&lt;&gt;"",S$3&gt;=$J73,S$3&lt;=$M73),1,"")</f>
        <v/>
      </c>
      <c r="T73">
        <f>IF(AND($A73&lt;&gt;"",T$3&gt;=$J73,T$3&lt;=$M73),1,"")</f>
        <v/>
      </c>
      <c r="U73">
        <f>IF(AND($A73&lt;&gt;"",U$3&gt;=$J73,U$3&lt;=$M73),1,"")</f>
        <v/>
      </c>
      <c r="V73">
        <f>IF(AND($A73&lt;&gt;"",V$3&gt;=$J73,V$3&lt;=$M73),1,"")</f>
        <v/>
      </c>
      <c r="W73">
        <f>IF(AND($A73&lt;&gt;"",W$3&gt;=$J73,W$3&lt;=$M73),1,"")</f>
        <v/>
      </c>
      <c r="X73">
        <f>IF(AND($A73&lt;&gt;"",X$3&gt;=$J73,X$3&lt;=$M73),1,"")</f>
        <v/>
      </c>
      <c r="Y73">
        <f>IF(AND($A73&lt;&gt;"",Y$3&gt;=$J73,Y$3&lt;=$M73),1,"")</f>
        <v/>
      </c>
      <c r="Z73">
        <f>IF(AND($A73&lt;&gt;"",Z$3&gt;=$J73,Z$3&lt;=$M73),1,"")</f>
        <v/>
      </c>
      <c r="AA73">
        <f>IF(AND($A73&lt;&gt;"",AA$3&gt;=$J73,AA$3&lt;=$M73),1,"")</f>
        <v/>
      </c>
      <c r="AB73">
        <f>IF(AND($A73&lt;&gt;"",AB$3&gt;=$J73,AB$3&lt;=$M73),1,"")</f>
        <v/>
      </c>
      <c r="AC73">
        <f>IF(AND($A73&lt;&gt;"",AC$3&gt;=$J73,AC$3&lt;=$M73),1,"")</f>
        <v/>
      </c>
      <c r="AD73">
        <f>IF(AND($A73&lt;&gt;"",AD$3&gt;=$J73,AD$3&lt;=$M73),1,"")</f>
        <v/>
      </c>
      <c r="AE73">
        <f>IF(AND($A73&lt;&gt;"",AE$3&gt;=$J73,AE$3&lt;=$M73),1,"")</f>
        <v/>
      </c>
      <c r="AF73">
        <f>IF(AND($A73&lt;&gt;"",AF$3&gt;=$J73,AF$3&lt;=$M73),1,"")</f>
        <v/>
      </c>
      <c r="AG73">
        <f>IF(AND($A73&lt;&gt;"",AG$3&gt;=$J73,AG$3&lt;=$M73),1,"")</f>
        <v/>
      </c>
      <c r="AH73">
        <f>IF(AND($A73&lt;&gt;"",AH$3&gt;=$J73,AH$3&lt;=$M73),1,"")</f>
        <v/>
      </c>
      <c r="AI73">
        <f>IF(AND($A73&lt;&gt;"",AI$3&gt;=$J73,AI$3&lt;=$M73),1,"")</f>
        <v/>
      </c>
      <c r="AJ73">
        <f>IF(AND($A73&lt;&gt;"",AJ$3&gt;=$J73,AJ$3&lt;=$M73),1,"")</f>
        <v/>
      </c>
      <c r="AK73">
        <f>IF(AND($A73&lt;&gt;"",AK$3&gt;=$J73,AK$3&lt;=$M73),1,"")</f>
        <v/>
      </c>
      <c r="AL73">
        <f>IF(AND($A73&lt;&gt;"",AL$3&gt;=$J73,AL$3&lt;=$M73),1,"")</f>
        <v/>
      </c>
      <c r="AM73">
        <f>IF(AND($A73&lt;&gt;"",AM$3&gt;=$J73,AM$3&lt;=$M73),1,"")</f>
        <v/>
      </c>
      <c r="AN73">
        <f>IF(AND($A73&lt;&gt;"",AN$3&gt;=$J73,AN$3&lt;=$M73),1,"")</f>
        <v/>
      </c>
      <c r="AO73">
        <f>IF(AND($A73&lt;&gt;"",AO$3&gt;=$J73,AO$3&lt;=$M73),1,"")</f>
        <v/>
      </c>
      <c r="AP73">
        <f>IF(AND($A73&lt;&gt;"",AP$3&gt;=$J73,AP$3&lt;=$M73),1,"")</f>
        <v/>
      </c>
      <c r="AQ73">
        <f>IF(AND($A73&lt;&gt;"",AQ$3&gt;=$J73,AQ$3&lt;=$M73),1,"")</f>
        <v/>
      </c>
      <c r="AR73">
        <f>IF(AND($A73&lt;&gt;"",AR$3&gt;=$J73,AR$3&lt;=$M73),1,"")</f>
        <v/>
      </c>
      <c r="AS73">
        <f>IF(AND($A73&lt;&gt;"",AS$3&gt;=$J73,AS$3&lt;=$M73),1,"")</f>
        <v/>
      </c>
      <c r="AT73">
        <f>IF(AND($A73&lt;&gt;"",AT$3&gt;=$J73,AT$3&lt;=$M73),1,"")</f>
        <v/>
      </c>
      <c r="AU73">
        <f>IF(AND($A73&lt;&gt;"",AU$3&gt;=$J73,AU$3&lt;=$M73),1,"")</f>
        <v/>
      </c>
      <c r="AV73">
        <f>IF(AND($A73&lt;&gt;"",AV$3&gt;=$J73,AV$3&lt;=$M73),1,"")</f>
        <v/>
      </c>
      <c r="AW73">
        <f>IF(AND($A73&lt;&gt;"",AW$3&gt;=$J73,AW$3&lt;=$M73),1,"")</f>
        <v/>
      </c>
      <c r="AX73">
        <f>IF(AND($A73&lt;&gt;"",AX$3&gt;=$J73,AX$3&lt;=$M73),1,"")</f>
        <v/>
      </c>
      <c r="AY73">
        <f>IF(AND($A73&lt;&gt;"",AY$3&gt;=$J73,AY$3&lt;=$M73),1,"")</f>
        <v/>
      </c>
      <c r="AZ73">
        <f>IF(AND($A73&lt;&gt;"",AZ$3&gt;=$J73,AZ$3&lt;=$M73),1,"")</f>
        <v/>
      </c>
      <c r="BA73">
        <f>IF(AND($A73&lt;&gt;"",BA$3&gt;=$J73,BA$3&lt;=$M73),1,"")</f>
        <v/>
      </c>
      <c r="BB73">
        <f>IF(AND($A73&lt;&gt;"",BB$3&gt;=$J73,BB$3&lt;=$M73),1,"")</f>
        <v/>
      </c>
      <c r="BC73">
        <f>IF(AND($A73&lt;&gt;"",BC$3&gt;=$J73,BC$3&lt;=$M73),1,"")</f>
        <v/>
      </c>
      <c r="BD73">
        <f>IF(AND($A73&lt;&gt;"",BD$3&gt;=$J73,BD$3&lt;=$M73),1,"")</f>
        <v/>
      </c>
      <c r="BE73">
        <f>IF(AND($A73&lt;&gt;"",BE$3&gt;=$J73,BE$3&lt;=$M73),1,"")</f>
        <v/>
      </c>
      <c r="BF73">
        <f>IF(AND($A73&lt;&gt;"",BF$3&gt;=$J73,BF$3&lt;=$M73),1,"")</f>
        <v/>
      </c>
      <c r="BG73">
        <f>IF(AND($A73&lt;&gt;"",BG$3&gt;=$J73,BG$3&lt;=$M73),1,"")</f>
        <v/>
      </c>
      <c r="BH73">
        <f>IF(AND($A73&lt;&gt;"",BH$3&gt;=$J73,BH$3&lt;=$M73),1,"")</f>
        <v/>
      </c>
      <c r="BI73">
        <f>IF(AND($A73&lt;&gt;"",BI$3&gt;=$J73,BI$3&lt;=$M73),1,"")</f>
        <v/>
      </c>
      <c r="BJ73">
        <f>IF(AND($A73&lt;&gt;"",BJ$3&gt;=$J73,BJ$3&lt;=$M73),1,"")</f>
        <v/>
      </c>
      <c r="BK73">
        <f>IF(AND($A73&lt;&gt;"",BK$3&gt;=$J73,BK$3&lt;=$M73),1,"")</f>
        <v/>
      </c>
      <c r="BL73">
        <f>IF(AND($A73&lt;&gt;"",BL$3&gt;=$J73,BL$3&lt;=$M73),1,"")</f>
        <v/>
      </c>
      <c r="BM73">
        <f>IF(AND($A73&lt;&gt;"",BM$3&gt;=$J73,BM$3&lt;=$M73),1,"")</f>
        <v/>
      </c>
      <c r="BN73">
        <f>IF(AND($A73&lt;&gt;"",BN$3&gt;=$J73,BN$3&lt;=$M73),1,"")</f>
        <v/>
      </c>
      <c r="BO73">
        <f>IF(AND($A73&lt;&gt;"",BO$3&gt;=$J73,BO$3&lt;=$M73),1,"")</f>
        <v/>
      </c>
      <c r="BP73">
        <f>IF(AND($A73&lt;&gt;"",BP$3&gt;=$J73,BP$3&lt;=$M73),1,"")</f>
        <v/>
      </c>
      <c r="BQ73">
        <f>IF(AND($A73&lt;&gt;"",BQ$3&gt;=$J73,BQ$3&lt;=$M73),1,"")</f>
        <v/>
      </c>
      <c r="BR73">
        <f>IF(AND($A73&lt;&gt;"",BR$3&gt;=$J73,BR$3&lt;=$M73),1,"")</f>
        <v/>
      </c>
      <c r="BS73">
        <f>IF(AND($A73&lt;&gt;"",BS$3&gt;=$J73,BS$3&lt;=$M73),1,"")</f>
        <v/>
      </c>
      <c r="BT73">
        <f>IF(AND($A73&lt;&gt;"",BT$3&gt;=$J73,BT$3&lt;=$M73),1,"")</f>
        <v/>
      </c>
      <c r="BU73">
        <f>IF(AND($A73&lt;&gt;"",BU$3&gt;=$J73,BU$3&lt;=$M73),1,"")</f>
        <v/>
      </c>
      <c r="BV73">
        <f>IF(AND($A73&lt;&gt;"",BV$3&gt;=$J73,BV$3&lt;=$M73),1,"")</f>
        <v/>
      </c>
    </row>
    <row r="74">
      <c r="A74">
        <f>IF(Job_Master_Ring!$A74="","",Job_Master_Ring!$A74)</f>
        <v/>
      </c>
      <c r="B74">
        <f>IF($A74="","",Job_Master_Ring!B74)</f>
        <v/>
      </c>
      <c r="C74">
        <f>IF($A74="","",Job_Master_Ring!C74)</f>
        <v/>
      </c>
      <c r="D74">
        <f>IF($A74="","",Job_Master_Ring!D74)</f>
        <v/>
      </c>
      <c r="E74">
        <f>IF($A74="","",IF($I74&lt;&gt;"",$I74,IFERROR(INDEX(Machine_List!$B$50:$B$63,MATCH(1,(Machine_List!$H$50:$H$63&lt;=IFERROR(VLOOKUP($B74,CHOOSE(MATCH($C74,Settings!$L$4:$L$10,0),OPR_BR1!$A$4:$K$18,OPR_BR2!$A$4:$K$18,OPR_CR2!$A$4:$K$18,OPR_CR3!$A$4:$K$18,OPR_CR4!$A$4:$K$18,OPR_RIM!$A$4:$K$18,OPR_BPR!$A$4:$K$18),10,0),0))*(Machine_List!$I$50:$I$63&gt;=IFERROR(VLOOKUP($B74,CHOOSE(MATCH($C74,Settings!$L$4:$L$10,0),OPR_BR1!$A$4:$K$18,OPR_BR2!$A$4:$K$18,OPR_CR2!$A$4:$K$18,OPR_CR3!$A$4:$K$18,OPR_CR4!$A$4:$K$18,OPR_RIM!$A$4:$K$18,OPR_BPR!$A$4:$K$18),11,0),9999)),0)),"NO COMPATIBLE MACHINE")))</f>
        <v/>
      </c>
      <c r="F74">
        <f>IF($E74="","",IFERROR(VLOOKUP($E74,Machine_List!$B:$G,6,0),""))</f>
        <v/>
      </c>
      <c r="G74" s="17">
        <f>IF($E74="","",IFERROR(VLOOKUP($E74,Machine_List!$B:$C,2,0),""))</f>
        <v/>
      </c>
      <c r="H74">
        <f>IF($E74="","",IFERROR(VLOOKUP($E74,Machine_List!$B:$D,3,0),""))</f>
        <v/>
      </c>
      <c r="J74" s="16">
        <f>IF($A74="","",IF($I74&lt;&gt;"",$I74,MAX(CNC_Plan!$M74,IFERROR(LOOKUP(2,1/($E$3:INDIRECT("E"&amp;(ROW()-1))=$E74),$M$3:INDIRECT("M"&amp;(ROW()-1))),CNC_Plan!$M74))))</f>
        <v/>
      </c>
      <c r="K74">
        <f>IF($A74="","",IFERROR(VLOOKUP(B74,CHOOSE(MATCH($C74,Settings!$L$4:$L$10,0),OPR_BR1!$A$4:$I$18,OPR_BR2!$A$4:$I$18,OPR_CR2!$A$4:$I$18,OPR_CR3!$A$4:$I$18,OPR_CR4!$A$4:$I$18,OPR_RIM!$A$4:$I$18,OPR_BPR!$A$4:$I$18),6,0),0))</f>
        <v/>
      </c>
      <c r="L74">
        <f>IF($A74="","",K74*D74)</f>
        <v/>
      </c>
      <c r="M74" s="16">
        <f>IF($A74="","",IF(AND(ISNUMBER(G74),G74&gt;=J74,G74&lt;=(J74+(L74/(IF(F74="Contract Workman",Settings!$K$5,Settings!$K$4))))),J74+(L74/(IF(F74="Contract Workman",Settings!$K$5,Settings!$K$4)))+(H74/(IF(F74="Contract Workman",Settings!$K$5,Settings!$K$4))),J74+(L74/(IF(F74="Contract Workman",Settings!$K$5,Settings!$K$4)))))</f>
        <v/>
      </c>
      <c r="N74">
        <f>IF($A74="","",IF(F74="Contract Workman",IF(AND(MOD(M74,1)&gt;=8/24,MOD(M74,1)&lt;20/24),"Shift S1","Shift S2"),IF(AND(MOD(M74,1)&gt;=7/24,MOD(M74,1)&lt;15/24),"Shift A",IF(AND(MOD(M74,1)&gt;=15/24,MOD(M74,1)&lt;23/24),"Shift B","Shift C"))))</f>
        <v/>
      </c>
      <c r="O74">
        <f>IF(B74="","",IF(IFERROR(ISNUMBER(SEARCH(TEXT(B74,"0"),VLOOKUP(E74,Machine_List!$B:$J,9,0))),FALSE),"✅ "&amp; E74,"❌ Sug: "&amp;IFERROR(INDEX(Machine_List!$B$50:$B$63,MATCH(1,(Machine_List!$H$50:$H$63&lt;=IFERROR(VLOOKUP($B74,OPR_BR1!$A$4:$K$18,10,0),0))*(Machine_List!$I$50:$I$63&gt;=IFERROR(VLOOKUP($B74,OPR_BR1!$A$4:$K$18,11,0),9999)),0)),"?")))</f>
        <v/>
      </c>
      <c r="P74">
        <f>IF(AND($A74&lt;&gt;"",P$3&gt;=$J74,P$3&lt;=$M74),1,"")</f>
        <v/>
      </c>
      <c r="Q74">
        <f>IF(AND($A74&lt;&gt;"",Q$3&gt;=$J74,Q$3&lt;=$M74),1,"")</f>
        <v/>
      </c>
      <c r="R74">
        <f>IF(AND($A74&lt;&gt;"",R$3&gt;=$J74,R$3&lt;=$M74),1,"")</f>
        <v/>
      </c>
      <c r="S74">
        <f>IF(AND($A74&lt;&gt;"",S$3&gt;=$J74,S$3&lt;=$M74),1,"")</f>
        <v/>
      </c>
      <c r="T74">
        <f>IF(AND($A74&lt;&gt;"",T$3&gt;=$J74,T$3&lt;=$M74),1,"")</f>
        <v/>
      </c>
      <c r="U74">
        <f>IF(AND($A74&lt;&gt;"",U$3&gt;=$J74,U$3&lt;=$M74),1,"")</f>
        <v/>
      </c>
      <c r="V74">
        <f>IF(AND($A74&lt;&gt;"",V$3&gt;=$J74,V$3&lt;=$M74),1,"")</f>
        <v/>
      </c>
      <c r="W74">
        <f>IF(AND($A74&lt;&gt;"",W$3&gt;=$J74,W$3&lt;=$M74),1,"")</f>
        <v/>
      </c>
      <c r="X74">
        <f>IF(AND($A74&lt;&gt;"",X$3&gt;=$J74,X$3&lt;=$M74),1,"")</f>
        <v/>
      </c>
      <c r="Y74">
        <f>IF(AND($A74&lt;&gt;"",Y$3&gt;=$J74,Y$3&lt;=$M74),1,"")</f>
        <v/>
      </c>
      <c r="Z74">
        <f>IF(AND($A74&lt;&gt;"",Z$3&gt;=$J74,Z$3&lt;=$M74),1,"")</f>
        <v/>
      </c>
      <c r="AA74">
        <f>IF(AND($A74&lt;&gt;"",AA$3&gt;=$J74,AA$3&lt;=$M74),1,"")</f>
        <v/>
      </c>
      <c r="AB74">
        <f>IF(AND($A74&lt;&gt;"",AB$3&gt;=$J74,AB$3&lt;=$M74),1,"")</f>
        <v/>
      </c>
      <c r="AC74">
        <f>IF(AND($A74&lt;&gt;"",AC$3&gt;=$J74,AC$3&lt;=$M74),1,"")</f>
        <v/>
      </c>
      <c r="AD74">
        <f>IF(AND($A74&lt;&gt;"",AD$3&gt;=$J74,AD$3&lt;=$M74),1,"")</f>
        <v/>
      </c>
      <c r="AE74">
        <f>IF(AND($A74&lt;&gt;"",AE$3&gt;=$J74,AE$3&lt;=$M74),1,"")</f>
        <v/>
      </c>
      <c r="AF74">
        <f>IF(AND($A74&lt;&gt;"",AF$3&gt;=$J74,AF$3&lt;=$M74),1,"")</f>
        <v/>
      </c>
      <c r="AG74">
        <f>IF(AND($A74&lt;&gt;"",AG$3&gt;=$J74,AG$3&lt;=$M74),1,"")</f>
        <v/>
      </c>
      <c r="AH74">
        <f>IF(AND($A74&lt;&gt;"",AH$3&gt;=$J74,AH$3&lt;=$M74),1,"")</f>
        <v/>
      </c>
      <c r="AI74">
        <f>IF(AND($A74&lt;&gt;"",AI$3&gt;=$J74,AI$3&lt;=$M74),1,"")</f>
        <v/>
      </c>
      <c r="AJ74">
        <f>IF(AND($A74&lt;&gt;"",AJ$3&gt;=$J74,AJ$3&lt;=$M74),1,"")</f>
        <v/>
      </c>
      <c r="AK74">
        <f>IF(AND($A74&lt;&gt;"",AK$3&gt;=$J74,AK$3&lt;=$M74),1,"")</f>
        <v/>
      </c>
      <c r="AL74">
        <f>IF(AND($A74&lt;&gt;"",AL$3&gt;=$J74,AL$3&lt;=$M74),1,"")</f>
        <v/>
      </c>
      <c r="AM74">
        <f>IF(AND($A74&lt;&gt;"",AM$3&gt;=$J74,AM$3&lt;=$M74),1,"")</f>
        <v/>
      </c>
      <c r="AN74">
        <f>IF(AND($A74&lt;&gt;"",AN$3&gt;=$J74,AN$3&lt;=$M74),1,"")</f>
        <v/>
      </c>
      <c r="AO74">
        <f>IF(AND($A74&lt;&gt;"",AO$3&gt;=$J74,AO$3&lt;=$M74),1,"")</f>
        <v/>
      </c>
      <c r="AP74">
        <f>IF(AND($A74&lt;&gt;"",AP$3&gt;=$J74,AP$3&lt;=$M74),1,"")</f>
        <v/>
      </c>
      <c r="AQ74">
        <f>IF(AND($A74&lt;&gt;"",AQ$3&gt;=$J74,AQ$3&lt;=$M74),1,"")</f>
        <v/>
      </c>
      <c r="AR74">
        <f>IF(AND($A74&lt;&gt;"",AR$3&gt;=$J74,AR$3&lt;=$M74),1,"")</f>
        <v/>
      </c>
      <c r="AS74">
        <f>IF(AND($A74&lt;&gt;"",AS$3&gt;=$J74,AS$3&lt;=$M74),1,"")</f>
        <v/>
      </c>
      <c r="AT74">
        <f>IF(AND($A74&lt;&gt;"",AT$3&gt;=$J74,AT$3&lt;=$M74),1,"")</f>
        <v/>
      </c>
      <c r="AU74">
        <f>IF(AND($A74&lt;&gt;"",AU$3&gt;=$J74,AU$3&lt;=$M74),1,"")</f>
        <v/>
      </c>
      <c r="AV74">
        <f>IF(AND($A74&lt;&gt;"",AV$3&gt;=$J74,AV$3&lt;=$M74),1,"")</f>
        <v/>
      </c>
      <c r="AW74">
        <f>IF(AND($A74&lt;&gt;"",AW$3&gt;=$J74,AW$3&lt;=$M74),1,"")</f>
        <v/>
      </c>
      <c r="AX74">
        <f>IF(AND($A74&lt;&gt;"",AX$3&gt;=$J74,AX$3&lt;=$M74),1,"")</f>
        <v/>
      </c>
      <c r="AY74">
        <f>IF(AND($A74&lt;&gt;"",AY$3&gt;=$J74,AY$3&lt;=$M74),1,"")</f>
        <v/>
      </c>
      <c r="AZ74">
        <f>IF(AND($A74&lt;&gt;"",AZ$3&gt;=$J74,AZ$3&lt;=$M74),1,"")</f>
        <v/>
      </c>
      <c r="BA74">
        <f>IF(AND($A74&lt;&gt;"",BA$3&gt;=$J74,BA$3&lt;=$M74),1,"")</f>
        <v/>
      </c>
      <c r="BB74">
        <f>IF(AND($A74&lt;&gt;"",BB$3&gt;=$J74,BB$3&lt;=$M74),1,"")</f>
        <v/>
      </c>
      <c r="BC74">
        <f>IF(AND($A74&lt;&gt;"",BC$3&gt;=$J74,BC$3&lt;=$M74),1,"")</f>
        <v/>
      </c>
      <c r="BD74">
        <f>IF(AND($A74&lt;&gt;"",BD$3&gt;=$J74,BD$3&lt;=$M74),1,"")</f>
        <v/>
      </c>
      <c r="BE74">
        <f>IF(AND($A74&lt;&gt;"",BE$3&gt;=$J74,BE$3&lt;=$M74),1,"")</f>
        <v/>
      </c>
      <c r="BF74">
        <f>IF(AND($A74&lt;&gt;"",BF$3&gt;=$J74,BF$3&lt;=$M74),1,"")</f>
        <v/>
      </c>
      <c r="BG74">
        <f>IF(AND($A74&lt;&gt;"",BG$3&gt;=$J74,BG$3&lt;=$M74),1,"")</f>
        <v/>
      </c>
      <c r="BH74">
        <f>IF(AND($A74&lt;&gt;"",BH$3&gt;=$J74,BH$3&lt;=$M74),1,"")</f>
        <v/>
      </c>
      <c r="BI74">
        <f>IF(AND($A74&lt;&gt;"",BI$3&gt;=$J74,BI$3&lt;=$M74),1,"")</f>
        <v/>
      </c>
      <c r="BJ74">
        <f>IF(AND($A74&lt;&gt;"",BJ$3&gt;=$J74,BJ$3&lt;=$M74),1,"")</f>
        <v/>
      </c>
      <c r="BK74">
        <f>IF(AND($A74&lt;&gt;"",BK$3&gt;=$J74,BK$3&lt;=$M74),1,"")</f>
        <v/>
      </c>
      <c r="BL74">
        <f>IF(AND($A74&lt;&gt;"",BL$3&gt;=$J74,BL$3&lt;=$M74),1,"")</f>
        <v/>
      </c>
      <c r="BM74">
        <f>IF(AND($A74&lt;&gt;"",BM$3&gt;=$J74,BM$3&lt;=$M74),1,"")</f>
        <v/>
      </c>
      <c r="BN74">
        <f>IF(AND($A74&lt;&gt;"",BN$3&gt;=$J74,BN$3&lt;=$M74),1,"")</f>
        <v/>
      </c>
      <c r="BO74">
        <f>IF(AND($A74&lt;&gt;"",BO$3&gt;=$J74,BO$3&lt;=$M74),1,"")</f>
        <v/>
      </c>
      <c r="BP74">
        <f>IF(AND($A74&lt;&gt;"",BP$3&gt;=$J74,BP$3&lt;=$M74),1,"")</f>
        <v/>
      </c>
      <c r="BQ74">
        <f>IF(AND($A74&lt;&gt;"",BQ$3&gt;=$J74,BQ$3&lt;=$M74),1,"")</f>
        <v/>
      </c>
      <c r="BR74">
        <f>IF(AND($A74&lt;&gt;"",BR$3&gt;=$J74,BR$3&lt;=$M74),1,"")</f>
        <v/>
      </c>
      <c r="BS74">
        <f>IF(AND($A74&lt;&gt;"",BS$3&gt;=$J74,BS$3&lt;=$M74),1,"")</f>
        <v/>
      </c>
      <c r="BT74">
        <f>IF(AND($A74&lt;&gt;"",BT$3&gt;=$J74,BT$3&lt;=$M74),1,"")</f>
        <v/>
      </c>
      <c r="BU74">
        <f>IF(AND($A74&lt;&gt;"",BU$3&gt;=$J74,BU$3&lt;=$M74),1,"")</f>
        <v/>
      </c>
      <c r="BV74">
        <f>IF(AND($A74&lt;&gt;"",BV$3&gt;=$J74,BV$3&lt;=$M74),1,"")</f>
        <v/>
      </c>
    </row>
    <row r="75">
      <c r="A75">
        <f>IF(Job_Master_Ring!$A75="","",Job_Master_Ring!$A75)</f>
        <v/>
      </c>
      <c r="B75">
        <f>IF($A75="","",Job_Master_Ring!B75)</f>
        <v/>
      </c>
      <c r="C75">
        <f>IF($A75="","",Job_Master_Ring!C75)</f>
        <v/>
      </c>
      <c r="D75">
        <f>IF($A75="","",Job_Master_Ring!D75)</f>
        <v/>
      </c>
      <c r="E75">
        <f>IF($A75="","",IF($I75&lt;&gt;"",$I75,IFERROR(INDEX(Machine_List!$B$50:$B$63,MATCH(1,(Machine_List!$H$50:$H$63&lt;=IFERROR(VLOOKUP($B75,CHOOSE(MATCH($C75,Settings!$L$4:$L$10,0),OPR_BR1!$A$4:$K$18,OPR_BR2!$A$4:$K$18,OPR_CR2!$A$4:$K$18,OPR_CR3!$A$4:$K$18,OPR_CR4!$A$4:$K$18,OPR_RIM!$A$4:$K$18,OPR_BPR!$A$4:$K$18),10,0),0))*(Machine_List!$I$50:$I$63&gt;=IFERROR(VLOOKUP($B75,CHOOSE(MATCH($C75,Settings!$L$4:$L$10,0),OPR_BR1!$A$4:$K$18,OPR_BR2!$A$4:$K$18,OPR_CR2!$A$4:$K$18,OPR_CR3!$A$4:$K$18,OPR_CR4!$A$4:$K$18,OPR_RIM!$A$4:$K$18,OPR_BPR!$A$4:$K$18),11,0),9999)),0)),"NO COMPATIBLE MACHINE")))</f>
        <v/>
      </c>
      <c r="F75">
        <f>IF($E75="","",IFERROR(VLOOKUP($E75,Machine_List!$B:$G,6,0),""))</f>
        <v/>
      </c>
      <c r="G75" s="17">
        <f>IF($E75="","",IFERROR(VLOOKUP($E75,Machine_List!$B:$C,2,0),""))</f>
        <v/>
      </c>
      <c r="H75">
        <f>IF($E75="","",IFERROR(VLOOKUP($E75,Machine_List!$B:$D,3,0),""))</f>
        <v/>
      </c>
      <c r="J75" s="16">
        <f>IF($A75="","",IF($I75&lt;&gt;"",$I75,MAX(CNC_Plan!$M75,IFERROR(LOOKUP(2,1/($E$3:INDIRECT("E"&amp;(ROW()-1))=$E75),$M$3:INDIRECT("M"&amp;(ROW()-1))),CNC_Plan!$M75))))</f>
        <v/>
      </c>
      <c r="K75">
        <f>IF($A75="","",IFERROR(VLOOKUP(B75,CHOOSE(MATCH($C75,Settings!$L$4:$L$10,0),OPR_BR1!$A$4:$I$18,OPR_BR2!$A$4:$I$18,OPR_CR2!$A$4:$I$18,OPR_CR3!$A$4:$I$18,OPR_CR4!$A$4:$I$18,OPR_RIM!$A$4:$I$18,OPR_BPR!$A$4:$I$18),6,0),0))</f>
        <v/>
      </c>
      <c r="L75">
        <f>IF($A75="","",K75*D75)</f>
        <v/>
      </c>
      <c r="M75" s="16">
        <f>IF($A75="","",IF(AND(ISNUMBER(G75),G75&gt;=J75,G75&lt;=(J75+(L75/(IF(F75="Contract Workman",Settings!$K$5,Settings!$K$4))))),J75+(L75/(IF(F75="Contract Workman",Settings!$K$5,Settings!$K$4)))+(H75/(IF(F75="Contract Workman",Settings!$K$5,Settings!$K$4))),J75+(L75/(IF(F75="Contract Workman",Settings!$K$5,Settings!$K$4)))))</f>
        <v/>
      </c>
      <c r="N75">
        <f>IF($A75="","",IF(F75="Contract Workman",IF(AND(MOD(M75,1)&gt;=8/24,MOD(M75,1)&lt;20/24),"Shift S1","Shift S2"),IF(AND(MOD(M75,1)&gt;=7/24,MOD(M75,1)&lt;15/24),"Shift A",IF(AND(MOD(M75,1)&gt;=15/24,MOD(M75,1)&lt;23/24),"Shift B","Shift C"))))</f>
        <v/>
      </c>
      <c r="O75">
        <f>IF(B75="","",IF(IFERROR(ISNUMBER(SEARCH(TEXT(B75,"0"),VLOOKUP(E75,Machine_List!$B:$J,9,0))),FALSE),"✅ "&amp; E75,"❌ Sug: "&amp;IFERROR(INDEX(Machine_List!$B$50:$B$63,MATCH(1,(Machine_List!$H$50:$H$63&lt;=IFERROR(VLOOKUP($B75,OPR_BR1!$A$4:$K$18,10,0),0))*(Machine_List!$I$50:$I$63&gt;=IFERROR(VLOOKUP($B75,OPR_BR1!$A$4:$K$18,11,0),9999)),0)),"?")))</f>
        <v/>
      </c>
      <c r="P75">
        <f>IF(AND($A75&lt;&gt;"",P$3&gt;=$J75,P$3&lt;=$M75),1,"")</f>
        <v/>
      </c>
      <c r="Q75">
        <f>IF(AND($A75&lt;&gt;"",Q$3&gt;=$J75,Q$3&lt;=$M75),1,"")</f>
        <v/>
      </c>
      <c r="R75">
        <f>IF(AND($A75&lt;&gt;"",R$3&gt;=$J75,R$3&lt;=$M75),1,"")</f>
        <v/>
      </c>
      <c r="S75">
        <f>IF(AND($A75&lt;&gt;"",S$3&gt;=$J75,S$3&lt;=$M75),1,"")</f>
        <v/>
      </c>
      <c r="T75">
        <f>IF(AND($A75&lt;&gt;"",T$3&gt;=$J75,T$3&lt;=$M75),1,"")</f>
        <v/>
      </c>
      <c r="U75">
        <f>IF(AND($A75&lt;&gt;"",U$3&gt;=$J75,U$3&lt;=$M75),1,"")</f>
        <v/>
      </c>
      <c r="V75">
        <f>IF(AND($A75&lt;&gt;"",V$3&gt;=$J75,V$3&lt;=$M75),1,"")</f>
        <v/>
      </c>
      <c r="W75">
        <f>IF(AND($A75&lt;&gt;"",W$3&gt;=$J75,W$3&lt;=$M75),1,"")</f>
        <v/>
      </c>
      <c r="X75">
        <f>IF(AND($A75&lt;&gt;"",X$3&gt;=$J75,X$3&lt;=$M75),1,"")</f>
        <v/>
      </c>
      <c r="Y75">
        <f>IF(AND($A75&lt;&gt;"",Y$3&gt;=$J75,Y$3&lt;=$M75),1,"")</f>
        <v/>
      </c>
      <c r="Z75">
        <f>IF(AND($A75&lt;&gt;"",Z$3&gt;=$J75,Z$3&lt;=$M75),1,"")</f>
        <v/>
      </c>
      <c r="AA75">
        <f>IF(AND($A75&lt;&gt;"",AA$3&gt;=$J75,AA$3&lt;=$M75),1,"")</f>
        <v/>
      </c>
      <c r="AB75">
        <f>IF(AND($A75&lt;&gt;"",AB$3&gt;=$J75,AB$3&lt;=$M75),1,"")</f>
        <v/>
      </c>
      <c r="AC75">
        <f>IF(AND($A75&lt;&gt;"",AC$3&gt;=$J75,AC$3&lt;=$M75),1,"")</f>
        <v/>
      </c>
      <c r="AD75">
        <f>IF(AND($A75&lt;&gt;"",AD$3&gt;=$J75,AD$3&lt;=$M75),1,"")</f>
        <v/>
      </c>
      <c r="AE75">
        <f>IF(AND($A75&lt;&gt;"",AE$3&gt;=$J75,AE$3&lt;=$M75),1,"")</f>
        <v/>
      </c>
      <c r="AF75">
        <f>IF(AND($A75&lt;&gt;"",AF$3&gt;=$J75,AF$3&lt;=$M75),1,"")</f>
        <v/>
      </c>
      <c r="AG75">
        <f>IF(AND($A75&lt;&gt;"",AG$3&gt;=$J75,AG$3&lt;=$M75),1,"")</f>
        <v/>
      </c>
      <c r="AH75">
        <f>IF(AND($A75&lt;&gt;"",AH$3&gt;=$J75,AH$3&lt;=$M75),1,"")</f>
        <v/>
      </c>
      <c r="AI75">
        <f>IF(AND($A75&lt;&gt;"",AI$3&gt;=$J75,AI$3&lt;=$M75),1,"")</f>
        <v/>
      </c>
      <c r="AJ75">
        <f>IF(AND($A75&lt;&gt;"",AJ$3&gt;=$J75,AJ$3&lt;=$M75),1,"")</f>
        <v/>
      </c>
      <c r="AK75">
        <f>IF(AND($A75&lt;&gt;"",AK$3&gt;=$J75,AK$3&lt;=$M75),1,"")</f>
        <v/>
      </c>
      <c r="AL75">
        <f>IF(AND($A75&lt;&gt;"",AL$3&gt;=$J75,AL$3&lt;=$M75),1,"")</f>
        <v/>
      </c>
      <c r="AM75">
        <f>IF(AND($A75&lt;&gt;"",AM$3&gt;=$J75,AM$3&lt;=$M75),1,"")</f>
        <v/>
      </c>
      <c r="AN75">
        <f>IF(AND($A75&lt;&gt;"",AN$3&gt;=$J75,AN$3&lt;=$M75),1,"")</f>
        <v/>
      </c>
      <c r="AO75">
        <f>IF(AND($A75&lt;&gt;"",AO$3&gt;=$J75,AO$3&lt;=$M75),1,"")</f>
        <v/>
      </c>
      <c r="AP75">
        <f>IF(AND($A75&lt;&gt;"",AP$3&gt;=$J75,AP$3&lt;=$M75),1,"")</f>
        <v/>
      </c>
      <c r="AQ75">
        <f>IF(AND($A75&lt;&gt;"",AQ$3&gt;=$J75,AQ$3&lt;=$M75),1,"")</f>
        <v/>
      </c>
      <c r="AR75">
        <f>IF(AND($A75&lt;&gt;"",AR$3&gt;=$J75,AR$3&lt;=$M75),1,"")</f>
        <v/>
      </c>
      <c r="AS75">
        <f>IF(AND($A75&lt;&gt;"",AS$3&gt;=$J75,AS$3&lt;=$M75),1,"")</f>
        <v/>
      </c>
      <c r="AT75">
        <f>IF(AND($A75&lt;&gt;"",AT$3&gt;=$J75,AT$3&lt;=$M75),1,"")</f>
        <v/>
      </c>
      <c r="AU75">
        <f>IF(AND($A75&lt;&gt;"",AU$3&gt;=$J75,AU$3&lt;=$M75),1,"")</f>
        <v/>
      </c>
      <c r="AV75">
        <f>IF(AND($A75&lt;&gt;"",AV$3&gt;=$J75,AV$3&lt;=$M75),1,"")</f>
        <v/>
      </c>
      <c r="AW75">
        <f>IF(AND($A75&lt;&gt;"",AW$3&gt;=$J75,AW$3&lt;=$M75),1,"")</f>
        <v/>
      </c>
      <c r="AX75">
        <f>IF(AND($A75&lt;&gt;"",AX$3&gt;=$J75,AX$3&lt;=$M75),1,"")</f>
        <v/>
      </c>
      <c r="AY75">
        <f>IF(AND($A75&lt;&gt;"",AY$3&gt;=$J75,AY$3&lt;=$M75),1,"")</f>
        <v/>
      </c>
      <c r="AZ75">
        <f>IF(AND($A75&lt;&gt;"",AZ$3&gt;=$J75,AZ$3&lt;=$M75),1,"")</f>
        <v/>
      </c>
      <c r="BA75">
        <f>IF(AND($A75&lt;&gt;"",BA$3&gt;=$J75,BA$3&lt;=$M75),1,"")</f>
        <v/>
      </c>
      <c r="BB75">
        <f>IF(AND($A75&lt;&gt;"",BB$3&gt;=$J75,BB$3&lt;=$M75),1,"")</f>
        <v/>
      </c>
      <c r="BC75">
        <f>IF(AND($A75&lt;&gt;"",BC$3&gt;=$J75,BC$3&lt;=$M75),1,"")</f>
        <v/>
      </c>
      <c r="BD75">
        <f>IF(AND($A75&lt;&gt;"",BD$3&gt;=$J75,BD$3&lt;=$M75),1,"")</f>
        <v/>
      </c>
      <c r="BE75">
        <f>IF(AND($A75&lt;&gt;"",BE$3&gt;=$J75,BE$3&lt;=$M75),1,"")</f>
        <v/>
      </c>
      <c r="BF75">
        <f>IF(AND($A75&lt;&gt;"",BF$3&gt;=$J75,BF$3&lt;=$M75),1,"")</f>
        <v/>
      </c>
      <c r="BG75">
        <f>IF(AND($A75&lt;&gt;"",BG$3&gt;=$J75,BG$3&lt;=$M75),1,"")</f>
        <v/>
      </c>
      <c r="BH75">
        <f>IF(AND($A75&lt;&gt;"",BH$3&gt;=$J75,BH$3&lt;=$M75),1,"")</f>
        <v/>
      </c>
      <c r="BI75">
        <f>IF(AND($A75&lt;&gt;"",BI$3&gt;=$J75,BI$3&lt;=$M75),1,"")</f>
        <v/>
      </c>
      <c r="BJ75">
        <f>IF(AND($A75&lt;&gt;"",BJ$3&gt;=$J75,BJ$3&lt;=$M75),1,"")</f>
        <v/>
      </c>
      <c r="BK75">
        <f>IF(AND($A75&lt;&gt;"",BK$3&gt;=$J75,BK$3&lt;=$M75),1,"")</f>
        <v/>
      </c>
      <c r="BL75">
        <f>IF(AND($A75&lt;&gt;"",BL$3&gt;=$J75,BL$3&lt;=$M75),1,"")</f>
        <v/>
      </c>
      <c r="BM75">
        <f>IF(AND($A75&lt;&gt;"",BM$3&gt;=$J75,BM$3&lt;=$M75),1,"")</f>
        <v/>
      </c>
      <c r="BN75">
        <f>IF(AND($A75&lt;&gt;"",BN$3&gt;=$J75,BN$3&lt;=$M75),1,"")</f>
        <v/>
      </c>
      <c r="BO75">
        <f>IF(AND($A75&lt;&gt;"",BO$3&gt;=$J75,BO$3&lt;=$M75),1,"")</f>
        <v/>
      </c>
      <c r="BP75">
        <f>IF(AND($A75&lt;&gt;"",BP$3&gt;=$J75,BP$3&lt;=$M75),1,"")</f>
        <v/>
      </c>
      <c r="BQ75">
        <f>IF(AND($A75&lt;&gt;"",BQ$3&gt;=$J75,BQ$3&lt;=$M75),1,"")</f>
        <v/>
      </c>
      <c r="BR75">
        <f>IF(AND($A75&lt;&gt;"",BR$3&gt;=$J75,BR$3&lt;=$M75),1,"")</f>
        <v/>
      </c>
      <c r="BS75">
        <f>IF(AND($A75&lt;&gt;"",BS$3&gt;=$J75,BS$3&lt;=$M75),1,"")</f>
        <v/>
      </c>
      <c r="BT75">
        <f>IF(AND($A75&lt;&gt;"",BT$3&gt;=$J75,BT$3&lt;=$M75),1,"")</f>
        <v/>
      </c>
      <c r="BU75">
        <f>IF(AND($A75&lt;&gt;"",BU$3&gt;=$J75,BU$3&lt;=$M75),1,"")</f>
        <v/>
      </c>
      <c r="BV75">
        <f>IF(AND($A75&lt;&gt;"",BV$3&gt;=$J75,BV$3&lt;=$M75),1,"")</f>
        <v/>
      </c>
    </row>
    <row r="76">
      <c r="A76">
        <f>IF(Job_Master_Ring!$A76="","",Job_Master_Ring!$A76)</f>
        <v/>
      </c>
      <c r="B76">
        <f>IF($A76="","",Job_Master_Ring!B76)</f>
        <v/>
      </c>
      <c r="C76">
        <f>IF($A76="","",Job_Master_Ring!C76)</f>
        <v/>
      </c>
      <c r="D76">
        <f>IF($A76="","",Job_Master_Ring!D76)</f>
        <v/>
      </c>
      <c r="E76">
        <f>IF($A76="","",IF($I76&lt;&gt;"",$I76,IFERROR(INDEX(Machine_List!$B$50:$B$63,MATCH(1,(Machine_List!$H$50:$H$63&lt;=IFERROR(VLOOKUP($B76,CHOOSE(MATCH($C76,Settings!$L$4:$L$10,0),OPR_BR1!$A$4:$K$18,OPR_BR2!$A$4:$K$18,OPR_CR2!$A$4:$K$18,OPR_CR3!$A$4:$K$18,OPR_CR4!$A$4:$K$18,OPR_RIM!$A$4:$K$18,OPR_BPR!$A$4:$K$18),10,0),0))*(Machine_List!$I$50:$I$63&gt;=IFERROR(VLOOKUP($B76,CHOOSE(MATCH($C76,Settings!$L$4:$L$10,0),OPR_BR1!$A$4:$K$18,OPR_BR2!$A$4:$K$18,OPR_CR2!$A$4:$K$18,OPR_CR3!$A$4:$K$18,OPR_CR4!$A$4:$K$18,OPR_RIM!$A$4:$K$18,OPR_BPR!$A$4:$K$18),11,0),9999)),0)),"NO COMPATIBLE MACHINE")))</f>
        <v/>
      </c>
      <c r="F76">
        <f>IF($E76="","",IFERROR(VLOOKUP($E76,Machine_List!$B:$G,6,0),""))</f>
        <v/>
      </c>
      <c r="G76" s="17">
        <f>IF($E76="","",IFERROR(VLOOKUP($E76,Machine_List!$B:$C,2,0),""))</f>
        <v/>
      </c>
      <c r="H76">
        <f>IF($E76="","",IFERROR(VLOOKUP($E76,Machine_List!$B:$D,3,0),""))</f>
        <v/>
      </c>
      <c r="J76" s="16">
        <f>IF($A76="","",IF($I76&lt;&gt;"",$I76,MAX(CNC_Plan!$M76,IFERROR(LOOKUP(2,1/($E$3:INDIRECT("E"&amp;(ROW()-1))=$E76),$M$3:INDIRECT("M"&amp;(ROW()-1))),CNC_Plan!$M76))))</f>
        <v/>
      </c>
      <c r="K76">
        <f>IF($A76="","",IFERROR(VLOOKUP(B76,CHOOSE(MATCH($C76,Settings!$L$4:$L$10,0),OPR_BR1!$A$4:$I$18,OPR_BR2!$A$4:$I$18,OPR_CR2!$A$4:$I$18,OPR_CR3!$A$4:$I$18,OPR_CR4!$A$4:$I$18,OPR_RIM!$A$4:$I$18,OPR_BPR!$A$4:$I$18),6,0),0))</f>
        <v/>
      </c>
      <c r="L76">
        <f>IF($A76="","",K76*D76)</f>
        <v/>
      </c>
      <c r="M76" s="16">
        <f>IF($A76="","",IF(AND(ISNUMBER(G76),G76&gt;=J76,G76&lt;=(J76+(L76/(IF(F76="Contract Workman",Settings!$K$5,Settings!$K$4))))),J76+(L76/(IF(F76="Contract Workman",Settings!$K$5,Settings!$K$4)))+(H76/(IF(F76="Contract Workman",Settings!$K$5,Settings!$K$4))),J76+(L76/(IF(F76="Contract Workman",Settings!$K$5,Settings!$K$4)))))</f>
        <v/>
      </c>
      <c r="N76">
        <f>IF($A76="","",IF(F76="Contract Workman",IF(AND(MOD(M76,1)&gt;=8/24,MOD(M76,1)&lt;20/24),"Shift S1","Shift S2"),IF(AND(MOD(M76,1)&gt;=7/24,MOD(M76,1)&lt;15/24),"Shift A",IF(AND(MOD(M76,1)&gt;=15/24,MOD(M76,1)&lt;23/24),"Shift B","Shift C"))))</f>
        <v/>
      </c>
      <c r="O76">
        <f>IF(B76="","",IF(IFERROR(ISNUMBER(SEARCH(TEXT(B76,"0"),VLOOKUP(E76,Machine_List!$B:$J,9,0))),FALSE),"✅ "&amp; E76,"❌ Sug: "&amp;IFERROR(INDEX(Machine_List!$B$50:$B$63,MATCH(1,(Machine_List!$H$50:$H$63&lt;=IFERROR(VLOOKUP($B76,OPR_BR1!$A$4:$K$18,10,0),0))*(Machine_List!$I$50:$I$63&gt;=IFERROR(VLOOKUP($B76,OPR_BR1!$A$4:$K$18,11,0),9999)),0)),"?")))</f>
        <v/>
      </c>
      <c r="P76">
        <f>IF(AND($A76&lt;&gt;"",P$3&gt;=$J76,P$3&lt;=$M76),1,"")</f>
        <v/>
      </c>
      <c r="Q76">
        <f>IF(AND($A76&lt;&gt;"",Q$3&gt;=$J76,Q$3&lt;=$M76),1,"")</f>
        <v/>
      </c>
      <c r="R76">
        <f>IF(AND($A76&lt;&gt;"",R$3&gt;=$J76,R$3&lt;=$M76),1,"")</f>
        <v/>
      </c>
      <c r="S76">
        <f>IF(AND($A76&lt;&gt;"",S$3&gt;=$J76,S$3&lt;=$M76),1,"")</f>
        <v/>
      </c>
      <c r="T76">
        <f>IF(AND($A76&lt;&gt;"",T$3&gt;=$J76,T$3&lt;=$M76),1,"")</f>
        <v/>
      </c>
      <c r="U76">
        <f>IF(AND($A76&lt;&gt;"",U$3&gt;=$J76,U$3&lt;=$M76),1,"")</f>
        <v/>
      </c>
      <c r="V76">
        <f>IF(AND($A76&lt;&gt;"",V$3&gt;=$J76,V$3&lt;=$M76),1,"")</f>
        <v/>
      </c>
      <c r="W76">
        <f>IF(AND($A76&lt;&gt;"",W$3&gt;=$J76,W$3&lt;=$M76),1,"")</f>
        <v/>
      </c>
      <c r="X76">
        <f>IF(AND($A76&lt;&gt;"",X$3&gt;=$J76,X$3&lt;=$M76),1,"")</f>
        <v/>
      </c>
      <c r="Y76">
        <f>IF(AND($A76&lt;&gt;"",Y$3&gt;=$J76,Y$3&lt;=$M76),1,"")</f>
        <v/>
      </c>
      <c r="Z76">
        <f>IF(AND($A76&lt;&gt;"",Z$3&gt;=$J76,Z$3&lt;=$M76),1,"")</f>
        <v/>
      </c>
      <c r="AA76">
        <f>IF(AND($A76&lt;&gt;"",AA$3&gt;=$J76,AA$3&lt;=$M76),1,"")</f>
        <v/>
      </c>
      <c r="AB76">
        <f>IF(AND($A76&lt;&gt;"",AB$3&gt;=$J76,AB$3&lt;=$M76),1,"")</f>
        <v/>
      </c>
      <c r="AC76">
        <f>IF(AND($A76&lt;&gt;"",AC$3&gt;=$J76,AC$3&lt;=$M76),1,"")</f>
        <v/>
      </c>
      <c r="AD76">
        <f>IF(AND($A76&lt;&gt;"",AD$3&gt;=$J76,AD$3&lt;=$M76),1,"")</f>
        <v/>
      </c>
      <c r="AE76">
        <f>IF(AND($A76&lt;&gt;"",AE$3&gt;=$J76,AE$3&lt;=$M76),1,"")</f>
        <v/>
      </c>
      <c r="AF76">
        <f>IF(AND($A76&lt;&gt;"",AF$3&gt;=$J76,AF$3&lt;=$M76),1,"")</f>
        <v/>
      </c>
      <c r="AG76">
        <f>IF(AND($A76&lt;&gt;"",AG$3&gt;=$J76,AG$3&lt;=$M76),1,"")</f>
        <v/>
      </c>
      <c r="AH76">
        <f>IF(AND($A76&lt;&gt;"",AH$3&gt;=$J76,AH$3&lt;=$M76),1,"")</f>
        <v/>
      </c>
      <c r="AI76">
        <f>IF(AND($A76&lt;&gt;"",AI$3&gt;=$J76,AI$3&lt;=$M76),1,"")</f>
        <v/>
      </c>
      <c r="AJ76">
        <f>IF(AND($A76&lt;&gt;"",AJ$3&gt;=$J76,AJ$3&lt;=$M76),1,"")</f>
        <v/>
      </c>
      <c r="AK76">
        <f>IF(AND($A76&lt;&gt;"",AK$3&gt;=$J76,AK$3&lt;=$M76),1,"")</f>
        <v/>
      </c>
      <c r="AL76">
        <f>IF(AND($A76&lt;&gt;"",AL$3&gt;=$J76,AL$3&lt;=$M76),1,"")</f>
        <v/>
      </c>
      <c r="AM76">
        <f>IF(AND($A76&lt;&gt;"",AM$3&gt;=$J76,AM$3&lt;=$M76),1,"")</f>
        <v/>
      </c>
      <c r="AN76">
        <f>IF(AND($A76&lt;&gt;"",AN$3&gt;=$J76,AN$3&lt;=$M76),1,"")</f>
        <v/>
      </c>
      <c r="AO76">
        <f>IF(AND($A76&lt;&gt;"",AO$3&gt;=$J76,AO$3&lt;=$M76),1,"")</f>
        <v/>
      </c>
      <c r="AP76">
        <f>IF(AND($A76&lt;&gt;"",AP$3&gt;=$J76,AP$3&lt;=$M76),1,"")</f>
        <v/>
      </c>
      <c r="AQ76">
        <f>IF(AND($A76&lt;&gt;"",AQ$3&gt;=$J76,AQ$3&lt;=$M76),1,"")</f>
        <v/>
      </c>
      <c r="AR76">
        <f>IF(AND($A76&lt;&gt;"",AR$3&gt;=$J76,AR$3&lt;=$M76),1,"")</f>
        <v/>
      </c>
      <c r="AS76">
        <f>IF(AND($A76&lt;&gt;"",AS$3&gt;=$J76,AS$3&lt;=$M76),1,"")</f>
        <v/>
      </c>
      <c r="AT76">
        <f>IF(AND($A76&lt;&gt;"",AT$3&gt;=$J76,AT$3&lt;=$M76),1,"")</f>
        <v/>
      </c>
      <c r="AU76">
        <f>IF(AND($A76&lt;&gt;"",AU$3&gt;=$J76,AU$3&lt;=$M76),1,"")</f>
        <v/>
      </c>
      <c r="AV76">
        <f>IF(AND($A76&lt;&gt;"",AV$3&gt;=$J76,AV$3&lt;=$M76),1,"")</f>
        <v/>
      </c>
      <c r="AW76">
        <f>IF(AND($A76&lt;&gt;"",AW$3&gt;=$J76,AW$3&lt;=$M76),1,"")</f>
        <v/>
      </c>
      <c r="AX76">
        <f>IF(AND($A76&lt;&gt;"",AX$3&gt;=$J76,AX$3&lt;=$M76),1,"")</f>
        <v/>
      </c>
      <c r="AY76">
        <f>IF(AND($A76&lt;&gt;"",AY$3&gt;=$J76,AY$3&lt;=$M76),1,"")</f>
        <v/>
      </c>
      <c r="AZ76">
        <f>IF(AND($A76&lt;&gt;"",AZ$3&gt;=$J76,AZ$3&lt;=$M76),1,"")</f>
        <v/>
      </c>
      <c r="BA76">
        <f>IF(AND($A76&lt;&gt;"",BA$3&gt;=$J76,BA$3&lt;=$M76),1,"")</f>
        <v/>
      </c>
      <c r="BB76">
        <f>IF(AND($A76&lt;&gt;"",BB$3&gt;=$J76,BB$3&lt;=$M76),1,"")</f>
        <v/>
      </c>
      <c r="BC76">
        <f>IF(AND($A76&lt;&gt;"",BC$3&gt;=$J76,BC$3&lt;=$M76),1,"")</f>
        <v/>
      </c>
      <c r="BD76">
        <f>IF(AND($A76&lt;&gt;"",BD$3&gt;=$J76,BD$3&lt;=$M76),1,"")</f>
        <v/>
      </c>
      <c r="BE76">
        <f>IF(AND($A76&lt;&gt;"",BE$3&gt;=$J76,BE$3&lt;=$M76),1,"")</f>
        <v/>
      </c>
      <c r="BF76">
        <f>IF(AND($A76&lt;&gt;"",BF$3&gt;=$J76,BF$3&lt;=$M76),1,"")</f>
        <v/>
      </c>
      <c r="BG76">
        <f>IF(AND($A76&lt;&gt;"",BG$3&gt;=$J76,BG$3&lt;=$M76),1,"")</f>
        <v/>
      </c>
      <c r="BH76">
        <f>IF(AND($A76&lt;&gt;"",BH$3&gt;=$J76,BH$3&lt;=$M76),1,"")</f>
        <v/>
      </c>
      <c r="BI76">
        <f>IF(AND($A76&lt;&gt;"",BI$3&gt;=$J76,BI$3&lt;=$M76),1,"")</f>
        <v/>
      </c>
      <c r="BJ76">
        <f>IF(AND($A76&lt;&gt;"",BJ$3&gt;=$J76,BJ$3&lt;=$M76),1,"")</f>
        <v/>
      </c>
      <c r="BK76">
        <f>IF(AND($A76&lt;&gt;"",BK$3&gt;=$J76,BK$3&lt;=$M76),1,"")</f>
        <v/>
      </c>
      <c r="BL76">
        <f>IF(AND($A76&lt;&gt;"",BL$3&gt;=$J76,BL$3&lt;=$M76),1,"")</f>
        <v/>
      </c>
      <c r="BM76">
        <f>IF(AND($A76&lt;&gt;"",BM$3&gt;=$J76,BM$3&lt;=$M76),1,"")</f>
        <v/>
      </c>
      <c r="BN76">
        <f>IF(AND($A76&lt;&gt;"",BN$3&gt;=$J76,BN$3&lt;=$M76),1,"")</f>
        <v/>
      </c>
      <c r="BO76">
        <f>IF(AND($A76&lt;&gt;"",BO$3&gt;=$J76,BO$3&lt;=$M76),1,"")</f>
        <v/>
      </c>
      <c r="BP76">
        <f>IF(AND($A76&lt;&gt;"",BP$3&gt;=$J76,BP$3&lt;=$M76),1,"")</f>
        <v/>
      </c>
      <c r="BQ76">
        <f>IF(AND($A76&lt;&gt;"",BQ$3&gt;=$J76,BQ$3&lt;=$M76),1,"")</f>
        <v/>
      </c>
      <c r="BR76">
        <f>IF(AND($A76&lt;&gt;"",BR$3&gt;=$J76,BR$3&lt;=$M76),1,"")</f>
        <v/>
      </c>
      <c r="BS76">
        <f>IF(AND($A76&lt;&gt;"",BS$3&gt;=$J76,BS$3&lt;=$M76),1,"")</f>
        <v/>
      </c>
      <c r="BT76">
        <f>IF(AND($A76&lt;&gt;"",BT$3&gt;=$J76,BT$3&lt;=$M76),1,"")</f>
        <v/>
      </c>
      <c r="BU76">
        <f>IF(AND($A76&lt;&gt;"",BU$3&gt;=$J76,BU$3&lt;=$M76),1,"")</f>
        <v/>
      </c>
      <c r="BV76">
        <f>IF(AND($A76&lt;&gt;"",BV$3&gt;=$J76,BV$3&lt;=$M76),1,"")</f>
        <v/>
      </c>
    </row>
    <row r="77">
      <c r="A77">
        <f>IF(Job_Master_Ring!$A77="","",Job_Master_Ring!$A77)</f>
        <v/>
      </c>
      <c r="B77">
        <f>IF($A77="","",Job_Master_Ring!B77)</f>
        <v/>
      </c>
      <c r="C77">
        <f>IF($A77="","",Job_Master_Ring!C77)</f>
        <v/>
      </c>
      <c r="D77">
        <f>IF($A77="","",Job_Master_Ring!D77)</f>
        <v/>
      </c>
      <c r="E77">
        <f>IF($A77="","",IF($I77&lt;&gt;"",$I77,IFERROR(INDEX(Machine_List!$B$50:$B$63,MATCH(1,(Machine_List!$H$50:$H$63&lt;=IFERROR(VLOOKUP($B77,CHOOSE(MATCH($C77,Settings!$L$4:$L$10,0),OPR_BR1!$A$4:$K$18,OPR_BR2!$A$4:$K$18,OPR_CR2!$A$4:$K$18,OPR_CR3!$A$4:$K$18,OPR_CR4!$A$4:$K$18,OPR_RIM!$A$4:$K$18,OPR_BPR!$A$4:$K$18),10,0),0))*(Machine_List!$I$50:$I$63&gt;=IFERROR(VLOOKUP($B77,CHOOSE(MATCH($C77,Settings!$L$4:$L$10,0),OPR_BR1!$A$4:$K$18,OPR_BR2!$A$4:$K$18,OPR_CR2!$A$4:$K$18,OPR_CR3!$A$4:$K$18,OPR_CR4!$A$4:$K$18,OPR_RIM!$A$4:$K$18,OPR_BPR!$A$4:$K$18),11,0),9999)),0)),"NO COMPATIBLE MACHINE")))</f>
        <v/>
      </c>
      <c r="F77">
        <f>IF($E77="","",IFERROR(VLOOKUP($E77,Machine_List!$B:$G,6,0),""))</f>
        <v/>
      </c>
      <c r="G77" s="17">
        <f>IF($E77="","",IFERROR(VLOOKUP($E77,Machine_List!$B:$C,2,0),""))</f>
        <v/>
      </c>
      <c r="H77">
        <f>IF($E77="","",IFERROR(VLOOKUP($E77,Machine_List!$B:$D,3,0),""))</f>
        <v/>
      </c>
      <c r="J77" s="16">
        <f>IF($A77="","",IF($I77&lt;&gt;"",$I77,MAX(CNC_Plan!$M77,IFERROR(LOOKUP(2,1/($E$3:INDIRECT("E"&amp;(ROW()-1))=$E77),$M$3:INDIRECT("M"&amp;(ROW()-1))),CNC_Plan!$M77))))</f>
        <v/>
      </c>
      <c r="K77">
        <f>IF($A77="","",IFERROR(VLOOKUP(B77,CHOOSE(MATCH($C77,Settings!$L$4:$L$10,0),OPR_BR1!$A$4:$I$18,OPR_BR2!$A$4:$I$18,OPR_CR2!$A$4:$I$18,OPR_CR3!$A$4:$I$18,OPR_CR4!$A$4:$I$18,OPR_RIM!$A$4:$I$18,OPR_BPR!$A$4:$I$18),6,0),0))</f>
        <v/>
      </c>
      <c r="L77">
        <f>IF($A77="","",K77*D77)</f>
        <v/>
      </c>
      <c r="M77" s="16">
        <f>IF($A77="","",IF(AND(ISNUMBER(G77),G77&gt;=J77,G77&lt;=(J77+(L77/(IF(F77="Contract Workman",Settings!$K$5,Settings!$K$4))))),J77+(L77/(IF(F77="Contract Workman",Settings!$K$5,Settings!$K$4)))+(H77/(IF(F77="Contract Workman",Settings!$K$5,Settings!$K$4))),J77+(L77/(IF(F77="Contract Workman",Settings!$K$5,Settings!$K$4)))))</f>
        <v/>
      </c>
      <c r="N77">
        <f>IF($A77="","",IF(F77="Contract Workman",IF(AND(MOD(M77,1)&gt;=8/24,MOD(M77,1)&lt;20/24),"Shift S1","Shift S2"),IF(AND(MOD(M77,1)&gt;=7/24,MOD(M77,1)&lt;15/24),"Shift A",IF(AND(MOD(M77,1)&gt;=15/24,MOD(M77,1)&lt;23/24),"Shift B","Shift C"))))</f>
        <v/>
      </c>
      <c r="O77">
        <f>IF(B77="","",IF(IFERROR(ISNUMBER(SEARCH(TEXT(B77,"0"),VLOOKUP(E77,Machine_List!$B:$J,9,0))),FALSE),"✅ "&amp; E77,"❌ Sug: "&amp;IFERROR(INDEX(Machine_List!$B$50:$B$63,MATCH(1,(Machine_List!$H$50:$H$63&lt;=IFERROR(VLOOKUP($B77,OPR_BR1!$A$4:$K$18,10,0),0))*(Machine_List!$I$50:$I$63&gt;=IFERROR(VLOOKUP($B77,OPR_BR1!$A$4:$K$18,11,0),9999)),0)),"?")))</f>
        <v/>
      </c>
      <c r="P77">
        <f>IF(AND($A77&lt;&gt;"",P$3&gt;=$J77,P$3&lt;=$M77),1,"")</f>
        <v/>
      </c>
      <c r="Q77">
        <f>IF(AND($A77&lt;&gt;"",Q$3&gt;=$J77,Q$3&lt;=$M77),1,"")</f>
        <v/>
      </c>
      <c r="R77">
        <f>IF(AND($A77&lt;&gt;"",R$3&gt;=$J77,R$3&lt;=$M77),1,"")</f>
        <v/>
      </c>
      <c r="S77">
        <f>IF(AND($A77&lt;&gt;"",S$3&gt;=$J77,S$3&lt;=$M77),1,"")</f>
        <v/>
      </c>
      <c r="T77">
        <f>IF(AND($A77&lt;&gt;"",T$3&gt;=$J77,T$3&lt;=$M77),1,"")</f>
        <v/>
      </c>
      <c r="U77">
        <f>IF(AND($A77&lt;&gt;"",U$3&gt;=$J77,U$3&lt;=$M77),1,"")</f>
        <v/>
      </c>
      <c r="V77">
        <f>IF(AND($A77&lt;&gt;"",V$3&gt;=$J77,V$3&lt;=$M77),1,"")</f>
        <v/>
      </c>
      <c r="W77">
        <f>IF(AND($A77&lt;&gt;"",W$3&gt;=$J77,W$3&lt;=$M77),1,"")</f>
        <v/>
      </c>
      <c r="X77">
        <f>IF(AND($A77&lt;&gt;"",X$3&gt;=$J77,X$3&lt;=$M77),1,"")</f>
        <v/>
      </c>
      <c r="Y77">
        <f>IF(AND($A77&lt;&gt;"",Y$3&gt;=$J77,Y$3&lt;=$M77),1,"")</f>
        <v/>
      </c>
      <c r="Z77">
        <f>IF(AND($A77&lt;&gt;"",Z$3&gt;=$J77,Z$3&lt;=$M77),1,"")</f>
        <v/>
      </c>
      <c r="AA77">
        <f>IF(AND($A77&lt;&gt;"",AA$3&gt;=$J77,AA$3&lt;=$M77),1,"")</f>
        <v/>
      </c>
      <c r="AB77">
        <f>IF(AND($A77&lt;&gt;"",AB$3&gt;=$J77,AB$3&lt;=$M77),1,"")</f>
        <v/>
      </c>
      <c r="AC77">
        <f>IF(AND($A77&lt;&gt;"",AC$3&gt;=$J77,AC$3&lt;=$M77),1,"")</f>
        <v/>
      </c>
      <c r="AD77">
        <f>IF(AND($A77&lt;&gt;"",AD$3&gt;=$J77,AD$3&lt;=$M77),1,"")</f>
        <v/>
      </c>
      <c r="AE77">
        <f>IF(AND($A77&lt;&gt;"",AE$3&gt;=$J77,AE$3&lt;=$M77),1,"")</f>
        <v/>
      </c>
      <c r="AF77">
        <f>IF(AND($A77&lt;&gt;"",AF$3&gt;=$J77,AF$3&lt;=$M77),1,"")</f>
        <v/>
      </c>
      <c r="AG77">
        <f>IF(AND($A77&lt;&gt;"",AG$3&gt;=$J77,AG$3&lt;=$M77),1,"")</f>
        <v/>
      </c>
      <c r="AH77">
        <f>IF(AND($A77&lt;&gt;"",AH$3&gt;=$J77,AH$3&lt;=$M77),1,"")</f>
        <v/>
      </c>
      <c r="AI77">
        <f>IF(AND($A77&lt;&gt;"",AI$3&gt;=$J77,AI$3&lt;=$M77),1,"")</f>
        <v/>
      </c>
      <c r="AJ77">
        <f>IF(AND($A77&lt;&gt;"",AJ$3&gt;=$J77,AJ$3&lt;=$M77),1,"")</f>
        <v/>
      </c>
      <c r="AK77">
        <f>IF(AND($A77&lt;&gt;"",AK$3&gt;=$J77,AK$3&lt;=$M77),1,"")</f>
        <v/>
      </c>
      <c r="AL77">
        <f>IF(AND($A77&lt;&gt;"",AL$3&gt;=$J77,AL$3&lt;=$M77),1,"")</f>
        <v/>
      </c>
      <c r="AM77">
        <f>IF(AND($A77&lt;&gt;"",AM$3&gt;=$J77,AM$3&lt;=$M77),1,"")</f>
        <v/>
      </c>
      <c r="AN77">
        <f>IF(AND($A77&lt;&gt;"",AN$3&gt;=$J77,AN$3&lt;=$M77),1,"")</f>
        <v/>
      </c>
      <c r="AO77">
        <f>IF(AND($A77&lt;&gt;"",AO$3&gt;=$J77,AO$3&lt;=$M77),1,"")</f>
        <v/>
      </c>
      <c r="AP77">
        <f>IF(AND($A77&lt;&gt;"",AP$3&gt;=$J77,AP$3&lt;=$M77),1,"")</f>
        <v/>
      </c>
      <c r="AQ77">
        <f>IF(AND($A77&lt;&gt;"",AQ$3&gt;=$J77,AQ$3&lt;=$M77),1,"")</f>
        <v/>
      </c>
      <c r="AR77">
        <f>IF(AND($A77&lt;&gt;"",AR$3&gt;=$J77,AR$3&lt;=$M77),1,"")</f>
        <v/>
      </c>
      <c r="AS77">
        <f>IF(AND($A77&lt;&gt;"",AS$3&gt;=$J77,AS$3&lt;=$M77),1,"")</f>
        <v/>
      </c>
      <c r="AT77">
        <f>IF(AND($A77&lt;&gt;"",AT$3&gt;=$J77,AT$3&lt;=$M77),1,"")</f>
        <v/>
      </c>
      <c r="AU77">
        <f>IF(AND($A77&lt;&gt;"",AU$3&gt;=$J77,AU$3&lt;=$M77),1,"")</f>
        <v/>
      </c>
      <c r="AV77">
        <f>IF(AND($A77&lt;&gt;"",AV$3&gt;=$J77,AV$3&lt;=$M77),1,"")</f>
        <v/>
      </c>
      <c r="AW77">
        <f>IF(AND($A77&lt;&gt;"",AW$3&gt;=$J77,AW$3&lt;=$M77),1,"")</f>
        <v/>
      </c>
      <c r="AX77">
        <f>IF(AND($A77&lt;&gt;"",AX$3&gt;=$J77,AX$3&lt;=$M77),1,"")</f>
        <v/>
      </c>
      <c r="AY77">
        <f>IF(AND($A77&lt;&gt;"",AY$3&gt;=$J77,AY$3&lt;=$M77),1,"")</f>
        <v/>
      </c>
      <c r="AZ77">
        <f>IF(AND($A77&lt;&gt;"",AZ$3&gt;=$J77,AZ$3&lt;=$M77),1,"")</f>
        <v/>
      </c>
      <c r="BA77">
        <f>IF(AND($A77&lt;&gt;"",BA$3&gt;=$J77,BA$3&lt;=$M77),1,"")</f>
        <v/>
      </c>
      <c r="BB77">
        <f>IF(AND($A77&lt;&gt;"",BB$3&gt;=$J77,BB$3&lt;=$M77),1,"")</f>
        <v/>
      </c>
      <c r="BC77">
        <f>IF(AND($A77&lt;&gt;"",BC$3&gt;=$J77,BC$3&lt;=$M77),1,"")</f>
        <v/>
      </c>
      <c r="BD77">
        <f>IF(AND($A77&lt;&gt;"",BD$3&gt;=$J77,BD$3&lt;=$M77),1,"")</f>
        <v/>
      </c>
      <c r="BE77">
        <f>IF(AND($A77&lt;&gt;"",BE$3&gt;=$J77,BE$3&lt;=$M77),1,"")</f>
        <v/>
      </c>
      <c r="BF77">
        <f>IF(AND($A77&lt;&gt;"",BF$3&gt;=$J77,BF$3&lt;=$M77),1,"")</f>
        <v/>
      </c>
      <c r="BG77">
        <f>IF(AND($A77&lt;&gt;"",BG$3&gt;=$J77,BG$3&lt;=$M77),1,"")</f>
        <v/>
      </c>
      <c r="BH77">
        <f>IF(AND($A77&lt;&gt;"",BH$3&gt;=$J77,BH$3&lt;=$M77),1,"")</f>
        <v/>
      </c>
      <c r="BI77">
        <f>IF(AND($A77&lt;&gt;"",BI$3&gt;=$J77,BI$3&lt;=$M77),1,"")</f>
        <v/>
      </c>
      <c r="BJ77">
        <f>IF(AND($A77&lt;&gt;"",BJ$3&gt;=$J77,BJ$3&lt;=$M77),1,"")</f>
        <v/>
      </c>
      <c r="BK77">
        <f>IF(AND($A77&lt;&gt;"",BK$3&gt;=$J77,BK$3&lt;=$M77),1,"")</f>
        <v/>
      </c>
      <c r="BL77">
        <f>IF(AND($A77&lt;&gt;"",BL$3&gt;=$J77,BL$3&lt;=$M77),1,"")</f>
        <v/>
      </c>
      <c r="BM77">
        <f>IF(AND($A77&lt;&gt;"",BM$3&gt;=$J77,BM$3&lt;=$M77),1,"")</f>
        <v/>
      </c>
      <c r="BN77">
        <f>IF(AND($A77&lt;&gt;"",BN$3&gt;=$J77,BN$3&lt;=$M77),1,"")</f>
        <v/>
      </c>
      <c r="BO77">
        <f>IF(AND($A77&lt;&gt;"",BO$3&gt;=$J77,BO$3&lt;=$M77),1,"")</f>
        <v/>
      </c>
      <c r="BP77">
        <f>IF(AND($A77&lt;&gt;"",BP$3&gt;=$J77,BP$3&lt;=$M77),1,"")</f>
        <v/>
      </c>
      <c r="BQ77">
        <f>IF(AND($A77&lt;&gt;"",BQ$3&gt;=$J77,BQ$3&lt;=$M77),1,"")</f>
        <v/>
      </c>
      <c r="BR77">
        <f>IF(AND($A77&lt;&gt;"",BR$3&gt;=$J77,BR$3&lt;=$M77),1,"")</f>
        <v/>
      </c>
      <c r="BS77">
        <f>IF(AND($A77&lt;&gt;"",BS$3&gt;=$J77,BS$3&lt;=$M77),1,"")</f>
        <v/>
      </c>
      <c r="BT77">
        <f>IF(AND($A77&lt;&gt;"",BT$3&gt;=$J77,BT$3&lt;=$M77),1,"")</f>
        <v/>
      </c>
      <c r="BU77">
        <f>IF(AND($A77&lt;&gt;"",BU$3&gt;=$J77,BU$3&lt;=$M77),1,"")</f>
        <v/>
      </c>
      <c r="BV77">
        <f>IF(AND($A77&lt;&gt;"",BV$3&gt;=$J77,BV$3&lt;=$M77),1,"")</f>
        <v/>
      </c>
    </row>
    <row r="78">
      <c r="A78">
        <f>IF(Job_Master_Ring!$A78="","",Job_Master_Ring!$A78)</f>
        <v/>
      </c>
      <c r="B78">
        <f>IF($A78="","",Job_Master_Ring!B78)</f>
        <v/>
      </c>
      <c r="C78">
        <f>IF($A78="","",Job_Master_Ring!C78)</f>
        <v/>
      </c>
      <c r="D78">
        <f>IF($A78="","",Job_Master_Ring!D78)</f>
        <v/>
      </c>
      <c r="E78">
        <f>IF($A78="","",IF($I78&lt;&gt;"",$I78,IFERROR(INDEX(Machine_List!$B$50:$B$63,MATCH(1,(Machine_List!$H$50:$H$63&lt;=IFERROR(VLOOKUP($B78,CHOOSE(MATCH($C78,Settings!$L$4:$L$10,0),OPR_BR1!$A$4:$K$18,OPR_BR2!$A$4:$K$18,OPR_CR2!$A$4:$K$18,OPR_CR3!$A$4:$K$18,OPR_CR4!$A$4:$K$18,OPR_RIM!$A$4:$K$18,OPR_BPR!$A$4:$K$18),10,0),0))*(Machine_List!$I$50:$I$63&gt;=IFERROR(VLOOKUP($B78,CHOOSE(MATCH($C78,Settings!$L$4:$L$10,0),OPR_BR1!$A$4:$K$18,OPR_BR2!$A$4:$K$18,OPR_CR2!$A$4:$K$18,OPR_CR3!$A$4:$K$18,OPR_CR4!$A$4:$K$18,OPR_RIM!$A$4:$K$18,OPR_BPR!$A$4:$K$18),11,0),9999)),0)),"NO COMPATIBLE MACHINE")))</f>
        <v/>
      </c>
      <c r="F78">
        <f>IF($E78="","",IFERROR(VLOOKUP($E78,Machine_List!$B:$G,6,0),""))</f>
        <v/>
      </c>
      <c r="G78" s="17">
        <f>IF($E78="","",IFERROR(VLOOKUP($E78,Machine_List!$B:$C,2,0),""))</f>
        <v/>
      </c>
      <c r="H78">
        <f>IF($E78="","",IFERROR(VLOOKUP($E78,Machine_List!$B:$D,3,0),""))</f>
        <v/>
      </c>
      <c r="J78" s="16">
        <f>IF($A78="","",IF($I78&lt;&gt;"",$I78,MAX(CNC_Plan!$M78,IFERROR(LOOKUP(2,1/($E$3:INDIRECT("E"&amp;(ROW()-1))=$E78),$M$3:INDIRECT("M"&amp;(ROW()-1))),CNC_Plan!$M78))))</f>
        <v/>
      </c>
      <c r="K78">
        <f>IF($A78="","",IFERROR(VLOOKUP(B78,CHOOSE(MATCH($C78,Settings!$L$4:$L$10,0),OPR_BR1!$A$4:$I$18,OPR_BR2!$A$4:$I$18,OPR_CR2!$A$4:$I$18,OPR_CR3!$A$4:$I$18,OPR_CR4!$A$4:$I$18,OPR_RIM!$A$4:$I$18,OPR_BPR!$A$4:$I$18),6,0),0))</f>
        <v/>
      </c>
      <c r="L78">
        <f>IF($A78="","",K78*D78)</f>
        <v/>
      </c>
      <c r="M78" s="16">
        <f>IF($A78="","",IF(AND(ISNUMBER(G78),G78&gt;=J78,G78&lt;=(J78+(L78/(IF(F78="Contract Workman",Settings!$K$5,Settings!$K$4))))),J78+(L78/(IF(F78="Contract Workman",Settings!$K$5,Settings!$K$4)))+(H78/(IF(F78="Contract Workman",Settings!$K$5,Settings!$K$4))),J78+(L78/(IF(F78="Contract Workman",Settings!$K$5,Settings!$K$4)))))</f>
        <v/>
      </c>
      <c r="N78">
        <f>IF($A78="","",IF(F78="Contract Workman",IF(AND(MOD(M78,1)&gt;=8/24,MOD(M78,1)&lt;20/24),"Shift S1","Shift S2"),IF(AND(MOD(M78,1)&gt;=7/24,MOD(M78,1)&lt;15/24),"Shift A",IF(AND(MOD(M78,1)&gt;=15/24,MOD(M78,1)&lt;23/24),"Shift B","Shift C"))))</f>
        <v/>
      </c>
      <c r="O78">
        <f>IF(B78="","",IF(IFERROR(ISNUMBER(SEARCH(TEXT(B78,"0"),VLOOKUP(E78,Machine_List!$B:$J,9,0))),FALSE),"✅ "&amp; E78,"❌ Sug: "&amp;IFERROR(INDEX(Machine_List!$B$50:$B$63,MATCH(1,(Machine_List!$H$50:$H$63&lt;=IFERROR(VLOOKUP($B78,OPR_BR1!$A$4:$K$18,10,0),0))*(Machine_List!$I$50:$I$63&gt;=IFERROR(VLOOKUP($B78,OPR_BR1!$A$4:$K$18,11,0),9999)),0)),"?")))</f>
        <v/>
      </c>
      <c r="P78">
        <f>IF(AND($A78&lt;&gt;"",P$3&gt;=$J78,P$3&lt;=$M78),1,"")</f>
        <v/>
      </c>
      <c r="Q78">
        <f>IF(AND($A78&lt;&gt;"",Q$3&gt;=$J78,Q$3&lt;=$M78),1,"")</f>
        <v/>
      </c>
      <c r="R78">
        <f>IF(AND($A78&lt;&gt;"",R$3&gt;=$J78,R$3&lt;=$M78),1,"")</f>
        <v/>
      </c>
      <c r="S78">
        <f>IF(AND($A78&lt;&gt;"",S$3&gt;=$J78,S$3&lt;=$M78),1,"")</f>
        <v/>
      </c>
      <c r="T78">
        <f>IF(AND($A78&lt;&gt;"",T$3&gt;=$J78,T$3&lt;=$M78),1,"")</f>
        <v/>
      </c>
      <c r="U78">
        <f>IF(AND($A78&lt;&gt;"",U$3&gt;=$J78,U$3&lt;=$M78),1,"")</f>
        <v/>
      </c>
      <c r="V78">
        <f>IF(AND($A78&lt;&gt;"",V$3&gt;=$J78,V$3&lt;=$M78),1,"")</f>
        <v/>
      </c>
      <c r="W78">
        <f>IF(AND($A78&lt;&gt;"",W$3&gt;=$J78,W$3&lt;=$M78),1,"")</f>
        <v/>
      </c>
      <c r="X78">
        <f>IF(AND($A78&lt;&gt;"",X$3&gt;=$J78,X$3&lt;=$M78),1,"")</f>
        <v/>
      </c>
      <c r="Y78">
        <f>IF(AND($A78&lt;&gt;"",Y$3&gt;=$J78,Y$3&lt;=$M78),1,"")</f>
        <v/>
      </c>
      <c r="Z78">
        <f>IF(AND($A78&lt;&gt;"",Z$3&gt;=$J78,Z$3&lt;=$M78),1,"")</f>
        <v/>
      </c>
      <c r="AA78">
        <f>IF(AND($A78&lt;&gt;"",AA$3&gt;=$J78,AA$3&lt;=$M78),1,"")</f>
        <v/>
      </c>
      <c r="AB78">
        <f>IF(AND($A78&lt;&gt;"",AB$3&gt;=$J78,AB$3&lt;=$M78),1,"")</f>
        <v/>
      </c>
      <c r="AC78">
        <f>IF(AND($A78&lt;&gt;"",AC$3&gt;=$J78,AC$3&lt;=$M78),1,"")</f>
        <v/>
      </c>
      <c r="AD78">
        <f>IF(AND($A78&lt;&gt;"",AD$3&gt;=$J78,AD$3&lt;=$M78),1,"")</f>
        <v/>
      </c>
      <c r="AE78">
        <f>IF(AND($A78&lt;&gt;"",AE$3&gt;=$J78,AE$3&lt;=$M78),1,"")</f>
        <v/>
      </c>
      <c r="AF78">
        <f>IF(AND($A78&lt;&gt;"",AF$3&gt;=$J78,AF$3&lt;=$M78),1,"")</f>
        <v/>
      </c>
      <c r="AG78">
        <f>IF(AND($A78&lt;&gt;"",AG$3&gt;=$J78,AG$3&lt;=$M78),1,"")</f>
        <v/>
      </c>
      <c r="AH78">
        <f>IF(AND($A78&lt;&gt;"",AH$3&gt;=$J78,AH$3&lt;=$M78),1,"")</f>
        <v/>
      </c>
      <c r="AI78">
        <f>IF(AND($A78&lt;&gt;"",AI$3&gt;=$J78,AI$3&lt;=$M78),1,"")</f>
        <v/>
      </c>
      <c r="AJ78">
        <f>IF(AND($A78&lt;&gt;"",AJ$3&gt;=$J78,AJ$3&lt;=$M78),1,"")</f>
        <v/>
      </c>
      <c r="AK78">
        <f>IF(AND($A78&lt;&gt;"",AK$3&gt;=$J78,AK$3&lt;=$M78),1,"")</f>
        <v/>
      </c>
      <c r="AL78">
        <f>IF(AND($A78&lt;&gt;"",AL$3&gt;=$J78,AL$3&lt;=$M78),1,"")</f>
        <v/>
      </c>
      <c r="AM78">
        <f>IF(AND($A78&lt;&gt;"",AM$3&gt;=$J78,AM$3&lt;=$M78),1,"")</f>
        <v/>
      </c>
      <c r="AN78">
        <f>IF(AND($A78&lt;&gt;"",AN$3&gt;=$J78,AN$3&lt;=$M78),1,"")</f>
        <v/>
      </c>
      <c r="AO78">
        <f>IF(AND($A78&lt;&gt;"",AO$3&gt;=$J78,AO$3&lt;=$M78),1,"")</f>
        <v/>
      </c>
      <c r="AP78">
        <f>IF(AND($A78&lt;&gt;"",AP$3&gt;=$J78,AP$3&lt;=$M78),1,"")</f>
        <v/>
      </c>
      <c r="AQ78">
        <f>IF(AND($A78&lt;&gt;"",AQ$3&gt;=$J78,AQ$3&lt;=$M78),1,"")</f>
        <v/>
      </c>
      <c r="AR78">
        <f>IF(AND($A78&lt;&gt;"",AR$3&gt;=$J78,AR$3&lt;=$M78),1,"")</f>
        <v/>
      </c>
      <c r="AS78">
        <f>IF(AND($A78&lt;&gt;"",AS$3&gt;=$J78,AS$3&lt;=$M78),1,"")</f>
        <v/>
      </c>
      <c r="AT78">
        <f>IF(AND($A78&lt;&gt;"",AT$3&gt;=$J78,AT$3&lt;=$M78),1,"")</f>
        <v/>
      </c>
      <c r="AU78">
        <f>IF(AND($A78&lt;&gt;"",AU$3&gt;=$J78,AU$3&lt;=$M78),1,"")</f>
        <v/>
      </c>
      <c r="AV78">
        <f>IF(AND($A78&lt;&gt;"",AV$3&gt;=$J78,AV$3&lt;=$M78),1,"")</f>
        <v/>
      </c>
      <c r="AW78">
        <f>IF(AND($A78&lt;&gt;"",AW$3&gt;=$J78,AW$3&lt;=$M78),1,"")</f>
        <v/>
      </c>
      <c r="AX78">
        <f>IF(AND($A78&lt;&gt;"",AX$3&gt;=$J78,AX$3&lt;=$M78),1,"")</f>
        <v/>
      </c>
      <c r="AY78">
        <f>IF(AND($A78&lt;&gt;"",AY$3&gt;=$J78,AY$3&lt;=$M78),1,"")</f>
        <v/>
      </c>
      <c r="AZ78">
        <f>IF(AND($A78&lt;&gt;"",AZ$3&gt;=$J78,AZ$3&lt;=$M78),1,"")</f>
        <v/>
      </c>
      <c r="BA78">
        <f>IF(AND($A78&lt;&gt;"",BA$3&gt;=$J78,BA$3&lt;=$M78),1,"")</f>
        <v/>
      </c>
      <c r="BB78">
        <f>IF(AND($A78&lt;&gt;"",BB$3&gt;=$J78,BB$3&lt;=$M78),1,"")</f>
        <v/>
      </c>
      <c r="BC78">
        <f>IF(AND($A78&lt;&gt;"",BC$3&gt;=$J78,BC$3&lt;=$M78),1,"")</f>
        <v/>
      </c>
      <c r="BD78">
        <f>IF(AND($A78&lt;&gt;"",BD$3&gt;=$J78,BD$3&lt;=$M78),1,"")</f>
        <v/>
      </c>
      <c r="BE78">
        <f>IF(AND($A78&lt;&gt;"",BE$3&gt;=$J78,BE$3&lt;=$M78),1,"")</f>
        <v/>
      </c>
      <c r="BF78">
        <f>IF(AND($A78&lt;&gt;"",BF$3&gt;=$J78,BF$3&lt;=$M78),1,"")</f>
        <v/>
      </c>
      <c r="BG78">
        <f>IF(AND($A78&lt;&gt;"",BG$3&gt;=$J78,BG$3&lt;=$M78),1,"")</f>
        <v/>
      </c>
      <c r="BH78">
        <f>IF(AND($A78&lt;&gt;"",BH$3&gt;=$J78,BH$3&lt;=$M78),1,"")</f>
        <v/>
      </c>
      <c r="BI78">
        <f>IF(AND($A78&lt;&gt;"",BI$3&gt;=$J78,BI$3&lt;=$M78),1,"")</f>
        <v/>
      </c>
      <c r="BJ78">
        <f>IF(AND($A78&lt;&gt;"",BJ$3&gt;=$J78,BJ$3&lt;=$M78),1,"")</f>
        <v/>
      </c>
      <c r="BK78">
        <f>IF(AND($A78&lt;&gt;"",BK$3&gt;=$J78,BK$3&lt;=$M78),1,"")</f>
        <v/>
      </c>
      <c r="BL78">
        <f>IF(AND($A78&lt;&gt;"",BL$3&gt;=$J78,BL$3&lt;=$M78),1,"")</f>
        <v/>
      </c>
      <c r="BM78">
        <f>IF(AND($A78&lt;&gt;"",BM$3&gt;=$J78,BM$3&lt;=$M78),1,"")</f>
        <v/>
      </c>
      <c r="BN78">
        <f>IF(AND($A78&lt;&gt;"",BN$3&gt;=$J78,BN$3&lt;=$M78),1,"")</f>
        <v/>
      </c>
      <c r="BO78">
        <f>IF(AND($A78&lt;&gt;"",BO$3&gt;=$J78,BO$3&lt;=$M78),1,"")</f>
        <v/>
      </c>
      <c r="BP78">
        <f>IF(AND($A78&lt;&gt;"",BP$3&gt;=$J78,BP$3&lt;=$M78),1,"")</f>
        <v/>
      </c>
      <c r="BQ78">
        <f>IF(AND($A78&lt;&gt;"",BQ$3&gt;=$J78,BQ$3&lt;=$M78),1,"")</f>
        <v/>
      </c>
      <c r="BR78">
        <f>IF(AND($A78&lt;&gt;"",BR$3&gt;=$J78,BR$3&lt;=$M78),1,"")</f>
        <v/>
      </c>
      <c r="BS78">
        <f>IF(AND($A78&lt;&gt;"",BS$3&gt;=$J78,BS$3&lt;=$M78),1,"")</f>
        <v/>
      </c>
      <c r="BT78">
        <f>IF(AND($A78&lt;&gt;"",BT$3&gt;=$J78,BT$3&lt;=$M78),1,"")</f>
        <v/>
      </c>
      <c r="BU78">
        <f>IF(AND($A78&lt;&gt;"",BU$3&gt;=$J78,BU$3&lt;=$M78),1,"")</f>
        <v/>
      </c>
      <c r="BV78">
        <f>IF(AND($A78&lt;&gt;"",BV$3&gt;=$J78,BV$3&lt;=$M78),1,"")</f>
        <v/>
      </c>
    </row>
    <row r="79">
      <c r="A79">
        <f>IF(Job_Master_Ring!$A79="","",Job_Master_Ring!$A79)</f>
        <v/>
      </c>
      <c r="B79">
        <f>IF($A79="","",Job_Master_Ring!B79)</f>
        <v/>
      </c>
      <c r="C79">
        <f>IF($A79="","",Job_Master_Ring!C79)</f>
        <v/>
      </c>
      <c r="D79">
        <f>IF($A79="","",Job_Master_Ring!D79)</f>
        <v/>
      </c>
      <c r="E79">
        <f>IF($A79="","",IF($I79&lt;&gt;"",$I79,IFERROR(INDEX(Machine_List!$B$50:$B$63,MATCH(1,(Machine_List!$H$50:$H$63&lt;=IFERROR(VLOOKUP($B79,CHOOSE(MATCH($C79,Settings!$L$4:$L$10,0),OPR_BR1!$A$4:$K$18,OPR_BR2!$A$4:$K$18,OPR_CR2!$A$4:$K$18,OPR_CR3!$A$4:$K$18,OPR_CR4!$A$4:$K$18,OPR_RIM!$A$4:$K$18,OPR_BPR!$A$4:$K$18),10,0),0))*(Machine_List!$I$50:$I$63&gt;=IFERROR(VLOOKUP($B79,CHOOSE(MATCH($C79,Settings!$L$4:$L$10,0),OPR_BR1!$A$4:$K$18,OPR_BR2!$A$4:$K$18,OPR_CR2!$A$4:$K$18,OPR_CR3!$A$4:$K$18,OPR_CR4!$A$4:$K$18,OPR_RIM!$A$4:$K$18,OPR_BPR!$A$4:$K$18),11,0),9999)),0)),"NO COMPATIBLE MACHINE")))</f>
        <v/>
      </c>
      <c r="F79">
        <f>IF($E79="","",IFERROR(VLOOKUP($E79,Machine_List!$B:$G,6,0),""))</f>
        <v/>
      </c>
      <c r="G79" s="17">
        <f>IF($E79="","",IFERROR(VLOOKUP($E79,Machine_List!$B:$C,2,0),""))</f>
        <v/>
      </c>
      <c r="H79">
        <f>IF($E79="","",IFERROR(VLOOKUP($E79,Machine_List!$B:$D,3,0),""))</f>
        <v/>
      </c>
      <c r="J79" s="16">
        <f>IF($A79="","",IF($I79&lt;&gt;"",$I79,MAX(CNC_Plan!$M79,IFERROR(LOOKUP(2,1/($E$3:INDIRECT("E"&amp;(ROW()-1))=$E79),$M$3:INDIRECT("M"&amp;(ROW()-1))),CNC_Plan!$M79))))</f>
        <v/>
      </c>
      <c r="K79">
        <f>IF($A79="","",IFERROR(VLOOKUP(B79,CHOOSE(MATCH($C79,Settings!$L$4:$L$10,0),OPR_BR1!$A$4:$I$18,OPR_BR2!$A$4:$I$18,OPR_CR2!$A$4:$I$18,OPR_CR3!$A$4:$I$18,OPR_CR4!$A$4:$I$18,OPR_RIM!$A$4:$I$18,OPR_BPR!$A$4:$I$18),6,0),0))</f>
        <v/>
      </c>
      <c r="L79">
        <f>IF($A79="","",K79*D79)</f>
        <v/>
      </c>
      <c r="M79" s="16">
        <f>IF($A79="","",IF(AND(ISNUMBER(G79),G79&gt;=J79,G79&lt;=(J79+(L79/(IF(F79="Contract Workman",Settings!$K$5,Settings!$K$4))))),J79+(L79/(IF(F79="Contract Workman",Settings!$K$5,Settings!$K$4)))+(H79/(IF(F79="Contract Workman",Settings!$K$5,Settings!$K$4))),J79+(L79/(IF(F79="Contract Workman",Settings!$K$5,Settings!$K$4)))))</f>
        <v/>
      </c>
      <c r="N79">
        <f>IF($A79="","",IF(F79="Contract Workman",IF(AND(MOD(M79,1)&gt;=8/24,MOD(M79,1)&lt;20/24),"Shift S1","Shift S2"),IF(AND(MOD(M79,1)&gt;=7/24,MOD(M79,1)&lt;15/24),"Shift A",IF(AND(MOD(M79,1)&gt;=15/24,MOD(M79,1)&lt;23/24),"Shift B","Shift C"))))</f>
        <v/>
      </c>
      <c r="O79">
        <f>IF(B79="","",IF(IFERROR(ISNUMBER(SEARCH(TEXT(B79,"0"),VLOOKUP(E79,Machine_List!$B:$J,9,0))),FALSE),"✅ "&amp; E79,"❌ Sug: "&amp;IFERROR(INDEX(Machine_List!$B$50:$B$63,MATCH(1,(Machine_List!$H$50:$H$63&lt;=IFERROR(VLOOKUP($B79,OPR_BR1!$A$4:$K$18,10,0),0))*(Machine_List!$I$50:$I$63&gt;=IFERROR(VLOOKUP($B79,OPR_BR1!$A$4:$K$18,11,0),9999)),0)),"?")))</f>
        <v/>
      </c>
      <c r="P79">
        <f>IF(AND($A79&lt;&gt;"",P$3&gt;=$J79,P$3&lt;=$M79),1,"")</f>
        <v/>
      </c>
      <c r="Q79">
        <f>IF(AND($A79&lt;&gt;"",Q$3&gt;=$J79,Q$3&lt;=$M79),1,"")</f>
        <v/>
      </c>
      <c r="R79">
        <f>IF(AND($A79&lt;&gt;"",R$3&gt;=$J79,R$3&lt;=$M79),1,"")</f>
        <v/>
      </c>
      <c r="S79">
        <f>IF(AND($A79&lt;&gt;"",S$3&gt;=$J79,S$3&lt;=$M79),1,"")</f>
        <v/>
      </c>
      <c r="T79">
        <f>IF(AND($A79&lt;&gt;"",T$3&gt;=$J79,T$3&lt;=$M79),1,"")</f>
        <v/>
      </c>
      <c r="U79">
        <f>IF(AND($A79&lt;&gt;"",U$3&gt;=$J79,U$3&lt;=$M79),1,"")</f>
        <v/>
      </c>
      <c r="V79">
        <f>IF(AND($A79&lt;&gt;"",V$3&gt;=$J79,V$3&lt;=$M79),1,"")</f>
        <v/>
      </c>
      <c r="W79">
        <f>IF(AND($A79&lt;&gt;"",W$3&gt;=$J79,W$3&lt;=$M79),1,"")</f>
        <v/>
      </c>
      <c r="X79">
        <f>IF(AND($A79&lt;&gt;"",X$3&gt;=$J79,X$3&lt;=$M79),1,"")</f>
        <v/>
      </c>
      <c r="Y79">
        <f>IF(AND($A79&lt;&gt;"",Y$3&gt;=$J79,Y$3&lt;=$M79),1,"")</f>
        <v/>
      </c>
      <c r="Z79">
        <f>IF(AND($A79&lt;&gt;"",Z$3&gt;=$J79,Z$3&lt;=$M79),1,"")</f>
        <v/>
      </c>
      <c r="AA79">
        <f>IF(AND($A79&lt;&gt;"",AA$3&gt;=$J79,AA$3&lt;=$M79),1,"")</f>
        <v/>
      </c>
      <c r="AB79">
        <f>IF(AND($A79&lt;&gt;"",AB$3&gt;=$J79,AB$3&lt;=$M79),1,"")</f>
        <v/>
      </c>
      <c r="AC79">
        <f>IF(AND($A79&lt;&gt;"",AC$3&gt;=$J79,AC$3&lt;=$M79),1,"")</f>
        <v/>
      </c>
      <c r="AD79">
        <f>IF(AND($A79&lt;&gt;"",AD$3&gt;=$J79,AD$3&lt;=$M79),1,"")</f>
        <v/>
      </c>
      <c r="AE79">
        <f>IF(AND($A79&lt;&gt;"",AE$3&gt;=$J79,AE$3&lt;=$M79),1,"")</f>
        <v/>
      </c>
      <c r="AF79">
        <f>IF(AND($A79&lt;&gt;"",AF$3&gt;=$J79,AF$3&lt;=$M79),1,"")</f>
        <v/>
      </c>
      <c r="AG79">
        <f>IF(AND($A79&lt;&gt;"",AG$3&gt;=$J79,AG$3&lt;=$M79),1,"")</f>
        <v/>
      </c>
      <c r="AH79">
        <f>IF(AND($A79&lt;&gt;"",AH$3&gt;=$J79,AH$3&lt;=$M79),1,"")</f>
        <v/>
      </c>
      <c r="AI79">
        <f>IF(AND($A79&lt;&gt;"",AI$3&gt;=$J79,AI$3&lt;=$M79),1,"")</f>
        <v/>
      </c>
      <c r="AJ79">
        <f>IF(AND($A79&lt;&gt;"",AJ$3&gt;=$J79,AJ$3&lt;=$M79),1,"")</f>
        <v/>
      </c>
      <c r="AK79">
        <f>IF(AND($A79&lt;&gt;"",AK$3&gt;=$J79,AK$3&lt;=$M79),1,"")</f>
        <v/>
      </c>
      <c r="AL79">
        <f>IF(AND($A79&lt;&gt;"",AL$3&gt;=$J79,AL$3&lt;=$M79),1,"")</f>
        <v/>
      </c>
      <c r="AM79">
        <f>IF(AND($A79&lt;&gt;"",AM$3&gt;=$J79,AM$3&lt;=$M79),1,"")</f>
        <v/>
      </c>
      <c r="AN79">
        <f>IF(AND($A79&lt;&gt;"",AN$3&gt;=$J79,AN$3&lt;=$M79),1,"")</f>
        <v/>
      </c>
      <c r="AO79">
        <f>IF(AND($A79&lt;&gt;"",AO$3&gt;=$J79,AO$3&lt;=$M79),1,"")</f>
        <v/>
      </c>
      <c r="AP79">
        <f>IF(AND($A79&lt;&gt;"",AP$3&gt;=$J79,AP$3&lt;=$M79),1,"")</f>
        <v/>
      </c>
      <c r="AQ79">
        <f>IF(AND($A79&lt;&gt;"",AQ$3&gt;=$J79,AQ$3&lt;=$M79),1,"")</f>
        <v/>
      </c>
      <c r="AR79">
        <f>IF(AND($A79&lt;&gt;"",AR$3&gt;=$J79,AR$3&lt;=$M79),1,"")</f>
        <v/>
      </c>
      <c r="AS79">
        <f>IF(AND($A79&lt;&gt;"",AS$3&gt;=$J79,AS$3&lt;=$M79),1,"")</f>
        <v/>
      </c>
      <c r="AT79">
        <f>IF(AND($A79&lt;&gt;"",AT$3&gt;=$J79,AT$3&lt;=$M79),1,"")</f>
        <v/>
      </c>
      <c r="AU79">
        <f>IF(AND($A79&lt;&gt;"",AU$3&gt;=$J79,AU$3&lt;=$M79),1,"")</f>
        <v/>
      </c>
      <c r="AV79">
        <f>IF(AND($A79&lt;&gt;"",AV$3&gt;=$J79,AV$3&lt;=$M79),1,"")</f>
        <v/>
      </c>
      <c r="AW79">
        <f>IF(AND($A79&lt;&gt;"",AW$3&gt;=$J79,AW$3&lt;=$M79),1,"")</f>
        <v/>
      </c>
      <c r="AX79">
        <f>IF(AND($A79&lt;&gt;"",AX$3&gt;=$J79,AX$3&lt;=$M79),1,"")</f>
        <v/>
      </c>
      <c r="AY79">
        <f>IF(AND($A79&lt;&gt;"",AY$3&gt;=$J79,AY$3&lt;=$M79),1,"")</f>
        <v/>
      </c>
      <c r="AZ79">
        <f>IF(AND($A79&lt;&gt;"",AZ$3&gt;=$J79,AZ$3&lt;=$M79),1,"")</f>
        <v/>
      </c>
      <c r="BA79">
        <f>IF(AND($A79&lt;&gt;"",BA$3&gt;=$J79,BA$3&lt;=$M79),1,"")</f>
        <v/>
      </c>
      <c r="BB79">
        <f>IF(AND($A79&lt;&gt;"",BB$3&gt;=$J79,BB$3&lt;=$M79),1,"")</f>
        <v/>
      </c>
      <c r="BC79">
        <f>IF(AND($A79&lt;&gt;"",BC$3&gt;=$J79,BC$3&lt;=$M79),1,"")</f>
        <v/>
      </c>
      <c r="BD79">
        <f>IF(AND($A79&lt;&gt;"",BD$3&gt;=$J79,BD$3&lt;=$M79),1,"")</f>
        <v/>
      </c>
      <c r="BE79">
        <f>IF(AND($A79&lt;&gt;"",BE$3&gt;=$J79,BE$3&lt;=$M79),1,"")</f>
        <v/>
      </c>
      <c r="BF79">
        <f>IF(AND($A79&lt;&gt;"",BF$3&gt;=$J79,BF$3&lt;=$M79),1,"")</f>
        <v/>
      </c>
      <c r="BG79">
        <f>IF(AND($A79&lt;&gt;"",BG$3&gt;=$J79,BG$3&lt;=$M79),1,"")</f>
        <v/>
      </c>
      <c r="BH79">
        <f>IF(AND($A79&lt;&gt;"",BH$3&gt;=$J79,BH$3&lt;=$M79),1,"")</f>
        <v/>
      </c>
      <c r="BI79">
        <f>IF(AND($A79&lt;&gt;"",BI$3&gt;=$J79,BI$3&lt;=$M79),1,"")</f>
        <v/>
      </c>
      <c r="BJ79">
        <f>IF(AND($A79&lt;&gt;"",BJ$3&gt;=$J79,BJ$3&lt;=$M79),1,"")</f>
        <v/>
      </c>
      <c r="BK79">
        <f>IF(AND($A79&lt;&gt;"",BK$3&gt;=$J79,BK$3&lt;=$M79),1,"")</f>
        <v/>
      </c>
      <c r="BL79">
        <f>IF(AND($A79&lt;&gt;"",BL$3&gt;=$J79,BL$3&lt;=$M79),1,"")</f>
        <v/>
      </c>
      <c r="BM79">
        <f>IF(AND($A79&lt;&gt;"",BM$3&gt;=$J79,BM$3&lt;=$M79),1,"")</f>
        <v/>
      </c>
      <c r="BN79">
        <f>IF(AND($A79&lt;&gt;"",BN$3&gt;=$J79,BN$3&lt;=$M79),1,"")</f>
        <v/>
      </c>
      <c r="BO79">
        <f>IF(AND($A79&lt;&gt;"",BO$3&gt;=$J79,BO$3&lt;=$M79),1,"")</f>
        <v/>
      </c>
      <c r="BP79">
        <f>IF(AND($A79&lt;&gt;"",BP$3&gt;=$J79,BP$3&lt;=$M79),1,"")</f>
        <v/>
      </c>
      <c r="BQ79">
        <f>IF(AND($A79&lt;&gt;"",BQ$3&gt;=$J79,BQ$3&lt;=$M79),1,"")</f>
        <v/>
      </c>
      <c r="BR79">
        <f>IF(AND($A79&lt;&gt;"",BR$3&gt;=$J79,BR$3&lt;=$M79),1,"")</f>
        <v/>
      </c>
      <c r="BS79">
        <f>IF(AND($A79&lt;&gt;"",BS$3&gt;=$J79,BS$3&lt;=$M79),1,"")</f>
        <v/>
      </c>
      <c r="BT79">
        <f>IF(AND($A79&lt;&gt;"",BT$3&gt;=$J79,BT$3&lt;=$M79),1,"")</f>
        <v/>
      </c>
      <c r="BU79">
        <f>IF(AND($A79&lt;&gt;"",BU$3&gt;=$J79,BU$3&lt;=$M79),1,"")</f>
        <v/>
      </c>
      <c r="BV79">
        <f>IF(AND($A79&lt;&gt;"",BV$3&gt;=$J79,BV$3&lt;=$M79),1,"")</f>
        <v/>
      </c>
    </row>
    <row r="80">
      <c r="A80">
        <f>IF(Job_Master_Ring!$A80="","",Job_Master_Ring!$A80)</f>
        <v/>
      </c>
      <c r="B80">
        <f>IF($A80="","",Job_Master_Ring!B80)</f>
        <v/>
      </c>
      <c r="C80">
        <f>IF($A80="","",Job_Master_Ring!C80)</f>
        <v/>
      </c>
      <c r="D80">
        <f>IF($A80="","",Job_Master_Ring!D80)</f>
        <v/>
      </c>
      <c r="E80">
        <f>IF($A80="","",IF($I80&lt;&gt;"",$I80,IFERROR(INDEX(Machine_List!$B$50:$B$63,MATCH(1,(Machine_List!$H$50:$H$63&lt;=IFERROR(VLOOKUP($B80,CHOOSE(MATCH($C80,Settings!$L$4:$L$10,0),OPR_BR1!$A$4:$K$18,OPR_BR2!$A$4:$K$18,OPR_CR2!$A$4:$K$18,OPR_CR3!$A$4:$K$18,OPR_CR4!$A$4:$K$18,OPR_RIM!$A$4:$K$18,OPR_BPR!$A$4:$K$18),10,0),0))*(Machine_List!$I$50:$I$63&gt;=IFERROR(VLOOKUP($B80,CHOOSE(MATCH($C80,Settings!$L$4:$L$10,0),OPR_BR1!$A$4:$K$18,OPR_BR2!$A$4:$K$18,OPR_CR2!$A$4:$K$18,OPR_CR3!$A$4:$K$18,OPR_CR4!$A$4:$K$18,OPR_RIM!$A$4:$K$18,OPR_BPR!$A$4:$K$18),11,0),9999)),0)),"NO COMPATIBLE MACHINE")))</f>
        <v/>
      </c>
      <c r="F80">
        <f>IF($E80="","",IFERROR(VLOOKUP($E80,Machine_List!$B:$G,6,0),""))</f>
        <v/>
      </c>
      <c r="G80" s="17">
        <f>IF($E80="","",IFERROR(VLOOKUP($E80,Machine_List!$B:$C,2,0),""))</f>
        <v/>
      </c>
      <c r="H80">
        <f>IF($E80="","",IFERROR(VLOOKUP($E80,Machine_List!$B:$D,3,0),""))</f>
        <v/>
      </c>
      <c r="J80" s="16">
        <f>IF($A80="","",IF($I80&lt;&gt;"",$I80,MAX(CNC_Plan!$M80,IFERROR(LOOKUP(2,1/($E$3:INDIRECT("E"&amp;(ROW()-1))=$E80),$M$3:INDIRECT("M"&amp;(ROW()-1))),CNC_Plan!$M80))))</f>
        <v/>
      </c>
      <c r="K80">
        <f>IF($A80="","",IFERROR(VLOOKUP(B80,CHOOSE(MATCH($C80,Settings!$L$4:$L$10,0),OPR_BR1!$A$4:$I$18,OPR_BR2!$A$4:$I$18,OPR_CR2!$A$4:$I$18,OPR_CR3!$A$4:$I$18,OPR_CR4!$A$4:$I$18,OPR_RIM!$A$4:$I$18,OPR_BPR!$A$4:$I$18),6,0),0))</f>
        <v/>
      </c>
      <c r="L80">
        <f>IF($A80="","",K80*D80)</f>
        <v/>
      </c>
      <c r="M80" s="16">
        <f>IF($A80="","",IF(AND(ISNUMBER(G80),G80&gt;=J80,G80&lt;=(J80+(L80/(IF(F80="Contract Workman",Settings!$K$5,Settings!$K$4))))),J80+(L80/(IF(F80="Contract Workman",Settings!$K$5,Settings!$K$4)))+(H80/(IF(F80="Contract Workman",Settings!$K$5,Settings!$K$4))),J80+(L80/(IF(F80="Contract Workman",Settings!$K$5,Settings!$K$4)))))</f>
        <v/>
      </c>
      <c r="N80">
        <f>IF($A80="","",IF(F80="Contract Workman",IF(AND(MOD(M80,1)&gt;=8/24,MOD(M80,1)&lt;20/24),"Shift S1","Shift S2"),IF(AND(MOD(M80,1)&gt;=7/24,MOD(M80,1)&lt;15/24),"Shift A",IF(AND(MOD(M80,1)&gt;=15/24,MOD(M80,1)&lt;23/24),"Shift B","Shift C"))))</f>
        <v/>
      </c>
      <c r="O80">
        <f>IF(B80="","",IF(IFERROR(ISNUMBER(SEARCH(TEXT(B80,"0"),VLOOKUP(E80,Machine_List!$B:$J,9,0))),FALSE),"✅ "&amp; E80,"❌ Sug: "&amp;IFERROR(INDEX(Machine_List!$B$50:$B$63,MATCH(1,(Machine_List!$H$50:$H$63&lt;=IFERROR(VLOOKUP($B80,OPR_BR1!$A$4:$K$18,10,0),0))*(Machine_List!$I$50:$I$63&gt;=IFERROR(VLOOKUP($B80,OPR_BR1!$A$4:$K$18,11,0),9999)),0)),"?")))</f>
        <v/>
      </c>
      <c r="P80">
        <f>IF(AND($A80&lt;&gt;"",P$3&gt;=$J80,P$3&lt;=$M80),1,"")</f>
        <v/>
      </c>
      <c r="Q80">
        <f>IF(AND($A80&lt;&gt;"",Q$3&gt;=$J80,Q$3&lt;=$M80),1,"")</f>
        <v/>
      </c>
      <c r="R80">
        <f>IF(AND($A80&lt;&gt;"",R$3&gt;=$J80,R$3&lt;=$M80),1,"")</f>
        <v/>
      </c>
      <c r="S80">
        <f>IF(AND($A80&lt;&gt;"",S$3&gt;=$J80,S$3&lt;=$M80),1,"")</f>
        <v/>
      </c>
      <c r="T80">
        <f>IF(AND($A80&lt;&gt;"",T$3&gt;=$J80,T$3&lt;=$M80),1,"")</f>
        <v/>
      </c>
      <c r="U80">
        <f>IF(AND($A80&lt;&gt;"",U$3&gt;=$J80,U$3&lt;=$M80),1,"")</f>
        <v/>
      </c>
      <c r="V80">
        <f>IF(AND($A80&lt;&gt;"",V$3&gt;=$J80,V$3&lt;=$M80),1,"")</f>
        <v/>
      </c>
      <c r="W80">
        <f>IF(AND($A80&lt;&gt;"",W$3&gt;=$J80,W$3&lt;=$M80),1,"")</f>
        <v/>
      </c>
      <c r="X80">
        <f>IF(AND($A80&lt;&gt;"",X$3&gt;=$J80,X$3&lt;=$M80),1,"")</f>
        <v/>
      </c>
      <c r="Y80">
        <f>IF(AND($A80&lt;&gt;"",Y$3&gt;=$J80,Y$3&lt;=$M80),1,"")</f>
        <v/>
      </c>
      <c r="Z80">
        <f>IF(AND($A80&lt;&gt;"",Z$3&gt;=$J80,Z$3&lt;=$M80),1,"")</f>
        <v/>
      </c>
      <c r="AA80">
        <f>IF(AND($A80&lt;&gt;"",AA$3&gt;=$J80,AA$3&lt;=$M80),1,"")</f>
        <v/>
      </c>
      <c r="AB80">
        <f>IF(AND($A80&lt;&gt;"",AB$3&gt;=$J80,AB$3&lt;=$M80),1,"")</f>
        <v/>
      </c>
      <c r="AC80">
        <f>IF(AND($A80&lt;&gt;"",AC$3&gt;=$J80,AC$3&lt;=$M80),1,"")</f>
        <v/>
      </c>
      <c r="AD80">
        <f>IF(AND($A80&lt;&gt;"",AD$3&gt;=$J80,AD$3&lt;=$M80),1,"")</f>
        <v/>
      </c>
      <c r="AE80">
        <f>IF(AND($A80&lt;&gt;"",AE$3&gt;=$J80,AE$3&lt;=$M80),1,"")</f>
        <v/>
      </c>
      <c r="AF80">
        <f>IF(AND($A80&lt;&gt;"",AF$3&gt;=$J80,AF$3&lt;=$M80),1,"")</f>
        <v/>
      </c>
      <c r="AG80">
        <f>IF(AND($A80&lt;&gt;"",AG$3&gt;=$J80,AG$3&lt;=$M80),1,"")</f>
        <v/>
      </c>
      <c r="AH80">
        <f>IF(AND($A80&lt;&gt;"",AH$3&gt;=$J80,AH$3&lt;=$M80),1,"")</f>
        <v/>
      </c>
      <c r="AI80">
        <f>IF(AND($A80&lt;&gt;"",AI$3&gt;=$J80,AI$3&lt;=$M80),1,"")</f>
        <v/>
      </c>
      <c r="AJ80">
        <f>IF(AND($A80&lt;&gt;"",AJ$3&gt;=$J80,AJ$3&lt;=$M80),1,"")</f>
        <v/>
      </c>
      <c r="AK80">
        <f>IF(AND($A80&lt;&gt;"",AK$3&gt;=$J80,AK$3&lt;=$M80),1,"")</f>
        <v/>
      </c>
      <c r="AL80">
        <f>IF(AND($A80&lt;&gt;"",AL$3&gt;=$J80,AL$3&lt;=$M80),1,"")</f>
        <v/>
      </c>
      <c r="AM80">
        <f>IF(AND($A80&lt;&gt;"",AM$3&gt;=$J80,AM$3&lt;=$M80),1,"")</f>
        <v/>
      </c>
      <c r="AN80">
        <f>IF(AND($A80&lt;&gt;"",AN$3&gt;=$J80,AN$3&lt;=$M80),1,"")</f>
        <v/>
      </c>
      <c r="AO80">
        <f>IF(AND($A80&lt;&gt;"",AO$3&gt;=$J80,AO$3&lt;=$M80),1,"")</f>
        <v/>
      </c>
      <c r="AP80">
        <f>IF(AND($A80&lt;&gt;"",AP$3&gt;=$J80,AP$3&lt;=$M80),1,"")</f>
        <v/>
      </c>
      <c r="AQ80">
        <f>IF(AND($A80&lt;&gt;"",AQ$3&gt;=$J80,AQ$3&lt;=$M80),1,"")</f>
        <v/>
      </c>
      <c r="AR80">
        <f>IF(AND($A80&lt;&gt;"",AR$3&gt;=$J80,AR$3&lt;=$M80),1,"")</f>
        <v/>
      </c>
      <c r="AS80">
        <f>IF(AND($A80&lt;&gt;"",AS$3&gt;=$J80,AS$3&lt;=$M80),1,"")</f>
        <v/>
      </c>
      <c r="AT80">
        <f>IF(AND($A80&lt;&gt;"",AT$3&gt;=$J80,AT$3&lt;=$M80),1,"")</f>
        <v/>
      </c>
      <c r="AU80">
        <f>IF(AND($A80&lt;&gt;"",AU$3&gt;=$J80,AU$3&lt;=$M80),1,"")</f>
        <v/>
      </c>
      <c r="AV80">
        <f>IF(AND($A80&lt;&gt;"",AV$3&gt;=$J80,AV$3&lt;=$M80),1,"")</f>
        <v/>
      </c>
      <c r="AW80">
        <f>IF(AND($A80&lt;&gt;"",AW$3&gt;=$J80,AW$3&lt;=$M80),1,"")</f>
        <v/>
      </c>
      <c r="AX80">
        <f>IF(AND($A80&lt;&gt;"",AX$3&gt;=$J80,AX$3&lt;=$M80),1,"")</f>
        <v/>
      </c>
      <c r="AY80">
        <f>IF(AND($A80&lt;&gt;"",AY$3&gt;=$J80,AY$3&lt;=$M80),1,"")</f>
        <v/>
      </c>
      <c r="AZ80">
        <f>IF(AND($A80&lt;&gt;"",AZ$3&gt;=$J80,AZ$3&lt;=$M80),1,"")</f>
        <v/>
      </c>
      <c r="BA80">
        <f>IF(AND($A80&lt;&gt;"",BA$3&gt;=$J80,BA$3&lt;=$M80),1,"")</f>
        <v/>
      </c>
      <c r="BB80">
        <f>IF(AND($A80&lt;&gt;"",BB$3&gt;=$J80,BB$3&lt;=$M80),1,"")</f>
        <v/>
      </c>
      <c r="BC80">
        <f>IF(AND($A80&lt;&gt;"",BC$3&gt;=$J80,BC$3&lt;=$M80),1,"")</f>
        <v/>
      </c>
      <c r="BD80">
        <f>IF(AND($A80&lt;&gt;"",BD$3&gt;=$J80,BD$3&lt;=$M80),1,"")</f>
        <v/>
      </c>
      <c r="BE80">
        <f>IF(AND($A80&lt;&gt;"",BE$3&gt;=$J80,BE$3&lt;=$M80),1,"")</f>
        <v/>
      </c>
      <c r="BF80">
        <f>IF(AND($A80&lt;&gt;"",BF$3&gt;=$J80,BF$3&lt;=$M80),1,"")</f>
        <v/>
      </c>
      <c r="BG80">
        <f>IF(AND($A80&lt;&gt;"",BG$3&gt;=$J80,BG$3&lt;=$M80),1,"")</f>
        <v/>
      </c>
      <c r="BH80">
        <f>IF(AND($A80&lt;&gt;"",BH$3&gt;=$J80,BH$3&lt;=$M80),1,"")</f>
        <v/>
      </c>
      <c r="BI80">
        <f>IF(AND($A80&lt;&gt;"",BI$3&gt;=$J80,BI$3&lt;=$M80),1,"")</f>
        <v/>
      </c>
      <c r="BJ80">
        <f>IF(AND($A80&lt;&gt;"",BJ$3&gt;=$J80,BJ$3&lt;=$M80),1,"")</f>
        <v/>
      </c>
      <c r="BK80">
        <f>IF(AND($A80&lt;&gt;"",BK$3&gt;=$J80,BK$3&lt;=$M80),1,"")</f>
        <v/>
      </c>
      <c r="BL80">
        <f>IF(AND($A80&lt;&gt;"",BL$3&gt;=$J80,BL$3&lt;=$M80),1,"")</f>
        <v/>
      </c>
      <c r="BM80">
        <f>IF(AND($A80&lt;&gt;"",BM$3&gt;=$J80,BM$3&lt;=$M80),1,"")</f>
        <v/>
      </c>
      <c r="BN80">
        <f>IF(AND($A80&lt;&gt;"",BN$3&gt;=$J80,BN$3&lt;=$M80),1,"")</f>
        <v/>
      </c>
      <c r="BO80">
        <f>IF(AND($A80&lt;&gt;"",BO$3&gt;=$J80,BO$3&lt;=$M80),1,"")</f>
        <v/>
      </c>
      <c r="BP80">
        <f>IF(AND($A80&lt;&gt;"",BP$3&gt;=$J80,BP$3&lt;=$M80),1,"")</f>
        <v/>
      </c>
      <c r="BQ80">
        <f>IF(AND($A80&lt;&gt;"",BQ$3&gt;=$J80,BQ$3&lt;=$M80),1,"")</f>
        <v/>
      </c>
      <c r="BR80">
        <f>IF(AND($A80&lt;&gt;"",BR$3&gt;=$J80,BR$3&lt;=$M80),1,"")</f>
        <v/>
      </c>
      <c r="BS80">
        <f>IF(AND($A80&lt;&gt;"",BS$3&gt;=$J80,BS$3&lt;=$M80),1,"")</f>
        <v/>
      </c>
      <c r="BT80">
        <f>IF(AND($A80&lt;&gt;"",BT$3&gt;=$J80,BT$3&lt;=$M80),1,"")</f>
        <v/>
      </c>
      <c r="BU80">
        <f>IF(AND($A80&lt;&gt;"",BU$3&gt;=$J80,BU$3&lt;=$M80),1,"")</f>
        <v/>
      </c>
      <c r="BV80">
        <f>IF(AND($A80&lt;&gt;"",BV$3&gt;=$J80,BV$3&lt;=$M80),1,"")</f>
        <v/>
      </c>
    </row>
    <row r="81">
      <c r="A81">
        <f>IF(Job_Master_Ring!$A81="","",Job_Master_Ring!$A81)</f>
        <v/>
      </c>
      <c r="B81">
        <f>IF($A81="","",Job_Master_Ring!B81)</f>
        <v/>
      </c>
      <c r="C81">
        <f>IF($A81="","",Job_Master_Ring!C81)</f>
        <v/>
      </c>
      <c r="D81">
        <f>IF($A81="","",Job_Master_Ring!D81)</f>
        <v/>
      </c>
      <c r="E81">
        <f>IF($A81="","",IF($I81&lt;&gt;"",$I81,IFERROR(INDEX(Machine_List!$B$50:$B$63,MATCH(1,(Machine_List!$H$50:$H$63&lt;=IFERROR(VLOOKUP($B81,CHOOSE(MATCH($C81,Settings!$L$4:$L$10,0),OPR_BR1!$A$4:$K$18,OPR_BR2!$A$4:$K$18,OPR_CR2!$A$4:$K$18,OPR_CR3!$A$4:$K$18,OPR_CR4!$A$4:$K$18,OPR_RIM!$A$4:$K$18,OPR_BPR!$A$4:$K$18),10,0),0))*(Machine_List!$I$50:$I$63&gt;=IFERROR(VLOOKUP($B81,CHOOSE(MATCH($C81,Settings!$L$4:$L$10,0),OPR_BR1!$A$4:$K$18,OPR_BR2!$A$4:$K$18,OPR_CR2!$A$4:$K$18,OPR_CR3!$A$4:$K$18,OPR_CR4!$A$4:$K$18,OPR_RIM!$A$4:$K$18,OPR_BPR!$A$4:$K$18),11,0),9999)),0)),"NO COMPATIBLE MACHINE")))</f>
        <v/>
      </c>
      <c r="F81">
        <f>IF($E81="","",IFERROR(VLOOKUP($E81,Machine_List!$B:$G,6,0),""))</f>
        <v/>
      </c>
      <c r="G81" s="17">
        <f>IF($E81="","",IFERROR(VLOOKUP($E81,Machine_List!$B:$C,2,0),""))</f>
        <v/>
      </c>
      <c r="H81">
        <f>IF($E81="","",IFERROR(VLOOKUP($E81,Machine_List!$B:$D,3,0),""))</f>
        <v/>
      </c>
      <c r="J81" s="16">
        <f>IF($A81="","",IF($I81&lt;&gt;"",$I81,MAX(CNC_Plan!$M81,IFERROR(LOOKUP(2,1/($E$3:INDIRECT("E"&amp;(ROW()-1))=$E81),$M$3:INDIRECT("M"&amp;(ROW()-1))),CNC_Plan!$M81))))</f>
        <v/>
      </c>
      <c r="K81">
        <f>IF($A81="","",IFERROR(VLOOKUP(B81,CHOOSE(MATCH($C81,Settings!$L$4:$L$10,0),OPR_BR1!$A$4:$I$18,OPR_BR2!$A$4:$I$18,OPR_CR2!$A$4:$I$18,OPR_CR3!$A$4:$I$18,OPR_CR4!$A$4:$I$18,OPR_RIM!$A$4:$I$18,OPR_BPR!$A$4:$I$18),6,0),0))</f>
        <v/>
      </c>
      <c r="L81">
        <f>IF($A81="","",K81*D81)</f>
        <v/>
      </c>
      <c r="M81" s="16">
        <f>IF($A81="","",IF(AND(ISNUMBER(G81),G81&gt;=J81,G81&lt;=(J81+(L81/(IF(F81="Contract Workman",Settings!$K$5,Settings!$K$4))))),J81+(L81/(IF(F81="Contract Workman",Settings!$K$5,Settings!$K$4)))+(H81/(IF(F81="Contract Workman",Settings!$K$5,Settings!$K$4))),J81+(L81/(IF(F81="Contract Workman",Settings!$K$5,Settings!$K$4)))))</f>
        <v/>
      </c>
      <c r="N81">
        <f>IF($A81="","",IF(F81="Contract Workman",IF(AND(MOD(M81,1)&gt;=8/24,MOD(M81,1)&lt;20/24),"Shift S1","Shift S2"),IF(AND(MOD(M81,1)&gt;=7/24,MOD(M81,1)&lt;15/24),"Shift A",IF(AND(MOD(M81,1)&gt;=15/24,MOD(M81,1)&lt;23/24),"Shift B","Shift C"))))</f>
        <v/>
      </c>
      <c r="O81">
        <f>IF(B81="","",IF(IFERROR(ISNUMBER(SEARCH(TEXT(B81,"0"),VLOOKUP(E81,Machine_List!$B:$J,9,0))),FALSE),"✅ "&amp; E81,"❌ Sug: "&amp;IFERROR(INDEX(Machine_List!$B$50:$B$63,MATCH(1,(Machine_List!$H$50:$H$63&lt;=IFERROR(VLOOKUP($B81,OPR_BR1!$A$4:$K$18,10,0),0))*(Machine_List!$I$50:$I$63&gt;=IFERROR(VLOOKUP($B81,OPR_BR1!$A$4:$K$18,11,0),9999)),0)),"?")))</f>
        <v/>
      </c>
      <c r="P81">
        <f>IF(AND($A81&lt;&gt;"",P$3&gt;=$J81,P$3&lt;=$M81),1,"")</f>
        <v/>
      </c>
      <c r="Q81">
        <f>IF(AND($A81&lt;&gt;"",Q$3&gt;=$J81,Q$3&lt;=$M81),1,"")</f>
        <v/>
      </c>
      <c r="R81">
        <f>IF(AND($A81&lt;&gt;"",R$3&gt;=$J81,R$3&lt;=$M81),1,"")</f>
        <v/>
      </c>
      <c r="S81">
        <f>IF(AND($A81&lt;&gt;"",S$3&gt;=$J81,S$3&lt;=$M81),1,"")</f>
        <v/>
      </c>
      <c r="T81">
        <f>IF(AND($A81&lt;&gt;"",T$3&gt;=$J81,T$3&lt;=$M81),1,"")</f>
        <v/>
      </c>
      <c r="U81">
        <f>IF(AND($A81&lt;&gt;"",U$3&gt;=$J81,U$3&lt;=$M81),1,"")</f>
        <v/>
      </c>
      <c r="V81">
        <f>IF(AND($A81&lt;&gt;"",V$3&gt;=$J81,V$3&lt;=$M81),1,"")</f>
        <v/>
      </c>
      <c r="W81">
        <f>IF(AND($A81&lt;&gt;"",W$3&gt;=$J81,W$3&lt;=$M81),1,"")</f>
        <v/>
      </c>
      <c r="X81">
        <f>IF(AND($A81&lt;&gt;"",X$3&gt;=$J81,X$3&lt;=$M81),1,"")</f>
        <v/>
      </c>
      <c r="Y81">
        <f>IF(AND($A81&lt;&gt;"",Y$3&gt;=$J81,Y$3&lt;=$M81),1,"")</f>
        <v/>
      </c>
      <c r="Z81">
        <f>IF(AND($A81&lt;&gt;"",Z$3&gt;=$J81,Z$3&lt;=$M81),1,"")</f>
        <v/>
      </c>
      <c r="AA81">
        <f>IF(AND($A81&lt;&gt;"",AA$3&gt;=$J81,AA$3&lt;=$M81),1,"")</f>
        <v/>
      </c>
      <c r="AB81">
        <f>IF(AND($A81&lt;&gt;"",AB$3&gt;=$J81,AB$3&lt;=$M81),1,"")</f>
        <v/>
      </c>
      <c r="AC81">
        <f>IF(AND($A81&lt;&gt;"",AC$3&gt;=$J81,AC$3&lt;=$M81),1,"")</f>
        <v/>
      </c>
      <c r="AD81">
        <f>IF(AND($A81&lt;&gt;"",AD$3&gt;=$J81,AD$3&lt;=$M81),1,"")</f>
        <v/>
      </c>
      <c r="AE81">
        <f>IF(AND($A81&lt;&gt;"",AE$3&gt;=$J81,AE$3&lt;=$M81),1,"")</f>
        <v/>
      </c>
      <c r="AF81">
        <f>IF(AND($A81&lt;&gt;"",AF$3&gt;=$J81,AF$3&lt;=$M81),1,"")</f>
        <v/>
      </c>
      <c r="AG81">
        <f>IF(AND($A81&lt;&gt;"",AG$3&gt;=$J81,AG$3&lt;=$M81),1,"")</f>
        <v/>
      </c>
      <c r="AH81">
        <f>IF(AND($A81&lt;&gt;"",AH$3&gt;=$J81,AH$3&lt;=$M81),1,"")</f>
        <v/>
      </c>
      <c r="AI81">
        <f>IF(AND($A81&lt;&gt;"",AI$3&gt;=$J81,AI$3&lt;=$M81),1,"")</f>
        <v/>
      </c>
      <c r="AJ81">
        <f>IF(AND($A81&lt;&gt;"",AJ$3&gt;=$J81,AJ$3&lt;=$M81),1,"")</f>
        <v/>
      </c>
      <c r="AK81">
        <f>IF(AND($A81&lt;&gt;"",AK$3&gt;=$J81,AK$3&lt;=$M81),1,"")</f>
        <v/>
      </c>
      <c r="AL81">
        <f>IF(AND($A81&lt;&gt;"",AL$3&gt;=$J81,AL$3&lt;=$M81),1,"")</f>
        <v/>
      </c>
      <c r="AM81">
        <f>IF(AND($A81&lt;&gt;"",AM$3&gt;=$J81,AM$3&lt;=$M81),1,"")</f>
        <v/>
      </c>
      <c r="AN81">
        <f>IF(AND($A81&lt;&gt;"",AN$3&gt;=$J81,AN$3&lt;=$M81),1,"")</f>
        <v/>
      </c>
      <c r="AO81">
        <f>IF(AND($A81&lt;&gt;"",AO$3&gt;=$J81,AO$3&lt;=$M81),1,"")</f>
        <v/>
      </c>
      <c r="AP81">
        <f>IF(AND($A81&lt;&gt;"",AP$3&gt;=$J81,AP$3&lt;=$M81),1,"")</f>
        <v/>
      </c>
      <c r="AQ81">
        <f>IF(AND($A81&lt;&gt;"",AQ$3&gt;=$J81,AQ$3&lt;=$M81),1,"")</f>
        <v/>
      </c>
      <c r="AR81">
        <f>IF(AND($A81&lt;&gt;"",AR$3&gt;=$J81,AR$3&lt;=$M81),1,"")</f>
        <v/>
      </c>
      <c r="AS81">
        <f>IF(AND($A81&lt;&gt;"",AS$3&gt;=$J81,AS$3&lt;=$M81),1,"")</f>
        <v/>
      </c>
      <c r="AT81">
        <f>IF(AND($A81&lt;&gt;"",AT$3&gt;=$J81,AT$3&lt;=$M81),1,"")</f>
        <v/>
      </c>
      <c r="AU81">
        <f>IF(AND($A81&lt;&gt;"",AU$3&gt;=$J81,AU$3&lt;=$M81),1,"")</f>
        <v/>
      </c>
      <c r="AV81">
        <f>IF(AND($A81&lt;&gt;"",AV$3&gt;=$J81,AV$3&lt;=$M81),1,"")</f>
        <v/>
      </c>
      <c r="AW81">
        <f>IF(AND($A81&lt;&gt;"",AW$3&gt;=$J81,AW$3&lt;=$M81),1,"")</f>
        <v/>
      </c>
      <c r="AX81">
        <f>IF(AND($A81&lt;&gt;"",AX$3&gt;=$J81,AX$3&lt;=$M81),1,"")</f>
        <v/>
      </c>
      <c r="AY81">
        <f>IF(AND($A81&lt;&gt;"",AY$3&gt;=$J81,AY$3&lt;=$M81),1,"")</f>
        <v/>
      </c>
      <c r="AZ81">
        <f>IF(AND($A81&lt;&gt;"",AZ$3&gt;=$J81,AZ$3&lt;=$M81),1,"")</f>
        <v/>
      </c>
      <c r="BA81">
        <f>IF(AND($A81&lt;&gt;"",BA$3&gt;=$J81,BA$3&lt;=$M81),1,"")</f>
        <v/>
      </c>
      <c r="BB81">
        <f>IF(AND($A81&lt;&gt;"",BB$3&gt;=$J81,BB$3&lt;=$M81),1,"")</f>
        <v/>
      </c>
      <c r="BC81">
        <f>IF(AND($A81&lt;&gt;"",BC$3&gt;=$J81,BC$3&lt;=$M81),1,"")</f>
        <v/>
      </c>
      <c r="BD81">
        <f>IF(AND($A81&lt;&gt;"",BD$3&gt;=$J81,BD$3&lt;=$M81),1,"")</f>
        <v/>
      </c>
      <c r="BE81">
        <f>IF(AND($A81&lt;&gt;"",BE$3&gt;=$J81,BE$3&lt;=$M81),1,"")</f>
        <v/>
      </c>
      <c r="BF81">
        <f>IF(AND($A81&lt;&gt;"",BF$3&gt;=$J81,BF$3&lt;=$M81),1,"")</f>
        <v/>
      </c>
      <c r="BG81">
        <f>IF(AND($A81&lt;&gt;"",BG$3&gt;=$J81,BG$3&lt;=$M81),1,"")</f>
        <v/>
      </c>
      <c r="BH81">
        <f>IF(AND($A81&lt;&gt;"",BH$3&gt;=$J81,BH$3&lt;=$M81),1,"")</f>
        <v/>
      </c>
      <c r="BI81">
        <f>IF(AND($A81&lt;&gt;"",BI$3&gt;=$J81,BI$3&lt;=$M81),1,"")</f>
        <v/>
      </c>
      <c r="BJ81">
        <f>IF(AND($A81&lt;&gt;"",BJ$3&gt;=$J81,BJ$3&lt;=$M81),1,"")</f>
        <v/>
      </c>
      <c r="BK81">
        <f>IF(AND($A81&lt;&gt;"",BK$3&gt;=$J81,BK$3&lt;=$M81),1,"")</f>
        <v/>
      </c>
      <c r="BL81">
        <f>IF(AND($A81&lt;&gt;"",BL$3&gt;=$J81,BL$3&lt;=$M81),1,"")</f>
        <v/>
      </c>
      <c r="BM81">
        <f>IF(AND($A81&lt;&gt;"",BM$3&gt;=$J81,BM$3&lt;=$M81),1,"")</f>
        <v/>
      </c>
      <c r="BN81">
        <f>IF(AND($A81&lt;&gt;"",BN$3&gt;=$J81,BN$3&lt;=$M81),1,"")</f>
        <v/>
      </c>
      <c r="BO81">
        <f>IF(AND($A81&lt;&gt;"",BO$3&gt;=$J81,BO$3&lt;=$M81),1,"")</f>
        <v/>
      </c>
      <c r="BP81">
        <f>IF(AND($A81&lt;&gt;"",BP$3&gt;=$J81,BP$3&lt;=$M81),1,"")</f>
        <v/>
      </c>
      <c r="BQ81">
        <f>IF(AND($A81&lt;&gt;"",BQ$3&gt;=$J81,BQ$3&lt;=$M81),1,"")</f>
        <v/>
      </c>
      <c r="BR81">
        <f>IF(AND($A81&lt;&gt;"",BR$3&gt;=$J81,BR$3&lt;=$M81),1,"")</f>
        <v/>
      </c>
      <c r="BS81">
        <f>IF(AND($A81&lt;&gt;"",BS$3&gt;=$J81,BS$3&lt;=$M81),1,"")</f>
        <v/>
      </c>
      <c r="BT81">
        <f>IF(AND($A81&lt;&gt;"",BT$3&gt;=$J81,BT$3&lt;=$M81),1,"")</f>
        <v/>
      </c>
      <c r="BU81">
        <f>IF(AND($A81&lt;&gt;"",BU$3&gt;=$J81,BU$3&lt;=$M81),1,"")</f>
        <v/>
      </c>
      <c r="BV81">
        <f>IF(AND($A81&lt;&gt;"",BV$3&gt;=$J81,BV$3&lt;=$M81),1,"")</f>
        <v/>
      </c>
    </row>
    <row r="82">
      <c r="A82">
        <f>IF(Job_Master_Ring!$A82="","",Job_Master_Ring!$A82)</f>
        <v/>
      </c>
      <c r="B82">
        <f>IF($A82="","",Job_Master_Ring!B82)</f>
        <v/>
      </c>
      <c r="C82">
        <f>IF($A82="","",Job_Master_Ring!C82)</f>
        <v/>
      </c>
      <c r="D82">
        <f>IF($A82="","",Job_Master_Ring!D82)</f>
        <v/>
      </c>
      <c r="E82">
        <f>IF($A82="","",IF($I82&lt;&gt;"",$I82,IFERROR(INDEX(Machine_List!$B$50:$B$63,MATCH(1,(Machine_List!$H$50:$H$63&lt;=IFERROR(VLOOKUP($B82,CHOOSE(MATCH($C82,Settings!$L$4:$L$10,0),OPR_BR1!$A$4:$K$18,OPR_BR2!$A$4:$K$18,OPR_CR2!$A$4:$K$18,OPR_CR3!$A$4:$K$18,OPR_CR4!$A$4:$K$18,OPR_RIM!$A$4:$K$18,OPR_BPR!$A$4:$K$18),10,0),0))*(Machine_List!$I$50:$I$63&gt;=IFERROR(VLOOKUP($B82,CHOOSE(MATCH($C82,Settings!$L$4:$L$10,0),OPR_BR1!$A$4:$K$18,OPR_BR2!$A$4:$K$18,OPR_CR2!$A$4:$K$18,OPR_CR3!$A$4:$K$18,OPR_CR4!$A$4:$K$18,OPR_RIM!$A$4:$K$18,OPR_BPR!$A$4:$K$18),11,0),9999)),0)),"NO COMPATIBLE MACHINE")))</f>
        <v/>
      </c>
      <c r="F82">
        <f>IF($E82="","",IFERROR(VLOOKUP($E82,Machine_List!$B:$G,6,0),""))</f>
        <v/>
      </c>
      <c r="G82" s="17">
        <f>IF($E82="","",IFERROR(VLOOKUP($E82,Machine_List!$B:$C,2,0),""))</f>
        <v/>
      </c>
      <c r="H82">
        <f>IF($E82="","",IFERROR(VLOOKUP($E82,Machine_List!$B:$D,3,0),""))</f>
        <v/>
      </c>
      <c r="J82" s="16">
        <f>IF($A82="","",IF($I82&lt;&gt;"",$I82,MAX(CNC_Plan!$M82,IFERROR(LOOKUP(2,1/($E$3:INDIRECT("E"&amp;(ROW()-1))=$E82),$M$3:INDIRECT("M"&amp;(ROW()-1))),CNC_Plan!$M82))))</f>
        <v/>
      </c>
      <c r="K82">
        <f>IF($A82="","",IFERROR(VLOOKUP(B82,CHOOSE(MATCH($C82,Settings!$L$4:$L$10,0),OPR_BR1!$A$4:$I$18,OPR_BR2!$A$4:$I$18,OPR_CR2!$A$4:$I$18,OPR_CR3!$A$4:$I$18,OPR_CR4!$A$4:$I$18,OPR_RIM!$A$4:$I$18,OPR_BPR!$A$4:$I$18),6,0),0))</f>
        <v/>
      </c>
      <c r="L82">
        <f>IF($A82="","",K82*D82)</f>
        <v/>
      </c>
      <c r="M82" s="16">
        <f>IF($A82="","",IF(AND(ISNUMBER(G82),G82&gt;=J82,G82&lt;=(J82+(L82/(IF(F82="Contract Workman",Settings!$K$5,Settings!$K$4))))),J82+(L82/(IF(F82="Contract Workman",Settings!$K$5,Settings!$K$4)))+(H82/(IF(F82="Contract Workman",Settings!$K$5,Settings!$K$4))),J82+(L82/(IF(F82="Contract Workman",Settings!$K$5,Settings!$K$4)))))</f>
        <v/>
      </c>
      <c r="N82">
        <f>IF($A82="","",IF(F82="Contract Workman",IF(AND(MOD(M82,1)&gt;=8/24,MOD(M82,1)&lt;20/24),"Shift S1","Shift S2"),IF(AND(MOD(M82,1)&gt;=7/24,MOD(M82,1)&lt;15/24),"Shift A",IF(AND(MOD(M82,1)&gt;=15/24,MOD(M82,1)&lt;23/24),"Shift B","Shift C"))))</f>
        <v/>
      </c>
      <c r="O82">
        <f>IF(B82="","",IF(IFERROR(ISNUMBER(SEARCH(TEXT(B82,"0"),VLOOKUP(E82,Machine_List!$B:$J,9,0))),FALSE),"✅ "&amp; E82,"❌ Sug: "&amp;IFERROR(INDEX(Machine_List!$B$50:$B$63,MATCH(1,(Machine_List!$H$50:$H$63&lt;=IFERROR(VLOOKUP($B82,OPR_BR1!$A$4:$K$18,10,0),0))*(Machine_List!$I$50:$I$63&gt;=IFERROR(VLOOKUP($B82,OPR_BR1!$A$4:$K$18,11,0),9999)),0)),"?")))</f>
        <v/>
      </c>
      <c r="P82">
        <f>IF(AND($A82&lt;&gt;"",P$3&gt;=$J82,P$3&lt;=$M82),1,"")</f>
        <v/>
      </c>
      <c r="Q82">
        <f>IF(AND($A82&lt;&gt;"",Q$3&gt;=$J82,Q$3&lt;=$M82),1,"")</f>
        <v/>
      </c>
      <c r="R82">
        <f>IF(AND($A82&lt;&gt;"",R$3&gt;=$J82,R$3&lt;=$M82),1,"")</f>
        <v/>
      </c>
      <c r="S82">
        <f>IF(AND($A82&lt;&gt;"",S$3&gt;=$J82,S$3&lt;=$M82),1,"")</f>
        <v/>
      </c>
      <c r="T82">
        <f>IF(AND($A82&lt;&gt;"",T$3&gt;=$J82,T$3&lt;=$M82),1,"")</f>
        <v/>
      </c>
      <c r="U82">
        <f>IF(AND($A82&lt;&gt;"",U$3&gt;=$J82,U$3&lt;=$M82),1,"")</f>
        <v/>
      </c>
      <c r="V82">
        <f>IF(AND($A82&lt;&gt;"",V$3&gt;=$J82,V$3&lt;=$M82),1,"")</f>
        <v/>
      </c>
      <c r="W82">
        <f>IF(AND($A82&lt;&gt;"",W$3&gt;=$J82,W$3&lt;=$M82),1,"")</f>
        <v/>
      </c>
      <c r="X82">
        <f>IF(AND($A82&lt;&gt;"",X$3&gt;=$J82,X$3&lt;=$M82),1,"")</f>
        <v/>
      </c>
      <c r="Y82">
        <f>IF(AND($A82&lt;&gt;"",Y$3&gt;=$J82,Y$3&lt;=$M82),1,"")</f>
        <v/>
      </c>
      <c r="Z82">
        <f>IF(AND($A82&lt;&gt;"",Z$3&gt;=$J82,Z$3&lt;=$M82),1,"")</f>
        <v/>
      </c>
      <c r="AA82">
        <f>IF(AND($A82&lt;&gt;"",AA$3&gt;=$J82,AA$3&lt;=$M82),1,"")</f>
        <v/>
      </c>
      <c r="AB82">
        <f>IF(AND($A82&lt;&gt;"",AB$3&gt;=$J82,AB$3&lt;=$M82),1,"")</f>
        <v/>
      </c>
      <c r="AC82">
        <f>IF(AND($A82&lt;&gt;"",AC$3&gt;=$J82,AC$3&lt;=$M82),1,"")</f>
        <v/>
      </c>
      <c r="AD82">
        <f>IF(AND($A82&lt;&gt;"",AD$3&gt;=$J82,AD$3&lt;=$M82),1,"")</f>
        <v/>
      </c>
      <c r="AE82">
        <f>IF(AND($A82&lt;&gt;"",AE$3&gt;=$J82,AE$3&lt;=$M82),1,"")</f>
        <v/>
      </c>
      <c r="AF82">
        <f>IF(AND($A82&lt;&gt;"",AF$3&gt;=$J82,AF$3&lt;=$M82),1,"")</f>
        <v/>
      </c>
      <c r="AG82">
        <f>IF(AND($A82&lt;&gt;"",AG$3&gt;=$J82,AG$3&lt;=$M82),1,"")</f>
        <v/>
      </c>
      <c r="AH82">
        <f>IF(AND($A82&lt;&gt;"",AH$3&gt;=$J82,AH$3&lt;=$M82),1,"")</f>
        <v/>
      </c>
      <c r="AI82">
        <f>IF(AND($A82&lt;&gt;"",AI$3&gt;=$J82,AI$3&lt;=$M82),1,"")</f>
        <v/>
      </c>
      <c r="AJ82">
        <f>IF(AND($A82&lt;&gt;"",AJ$3&gt;=$J82,AJ$3&lt;=$M82),1,"")</f>
        <v/>
      </c>
      <c r="AK82">
        <f>IF(AND($A82&lt;&gt;"",AK$3&gt;=$J82,AK$3&lt;=$M82),1,"")</f>
        <v/>
      </c>
      <c r="AL82">
        <f>IF(AND($A82&lt;&gt;"",AL$3&gt;=$J82,AL$3&lt;=$M82),1,"")</f>
        <v/>
      </c>
      <c r="AM82">
        <f>IF(AND($A82&lt;&gt;"",AM$3&gt;=$J82,AM$3&lt;=$M82),1,"")</f>
        <v/>
      </c>
      <c r="AN82">
        <f>IF(AND($A82&lt;&gt;"",AN$3&gt;=$J82,AN$3&lt;=$M82),1,"")</f>
        <v/>
      </c>
      <c r="AO82">
        <f>IF(AND($A82&lt;&gt;"",AO$3&gt;=$J82,AO$3&lt;=$M82),1,"")</f>
        <v/>
      </c>
      <c r="AP82">
        <f>IF(AND($A82&lt;&gt;"",AP$3&gt;=$J82,AP$3&lt;=$M82),1,"")</f>
        <v/>
      </c>
      <c r="AQ82">
        <f>IF(AND($A82&lt;&gt;"",AQ$3&gt;=$J82,AQ$3&lt;=$M82),1,"")</f>
        <v/>
      </c>
      <c r="AR82">
        <f>IF(AND($A82&lt;&gt;"",AR$3&gt;=$J82,AR$3&lt;=$M82),1,"")</f>
        <v/>
      </c>
      <c r="AS82">
        <f>IF(AND($A82&lt;&gt;"",AS$3&gt;=$J82,AS$3&lt;=$M82),1,"")</f>
        <v/>
      </c>
      <c r="AT82">
        <f>IF(AND($A82&lt;&gt;"",AT$3&gt;=$J82,AT$3&lt;=$M82),1,"")</f>
        <v/>
      </c>
      <c r="AU82">
        <f>IF(AND($A82&lt;&gt;"",AU$3&gt;=$J82,AU$3&lt;=$M82),1,"")</f>
        <v/>
      </c>
      <c r="AV82">
        <f>IF(AND($A82&lt;&gt;"",AV$3&gt;=$J82,AV$3&lt;=$M82),1,"")</f>
        <v/>
      </c>
      <c r="AW82">
        <f>IF(AND($A82&lt;&gt;"",AW$3&gt;=$J82,AW$3&lt;=$M82),1,"")</f>
        <v/>
      </c>
      <c r="AX82">
        <f>IF(AND($A82&lt;&gt;"",AX$3&gt;=$J82,AX$3&lt;=$M82),1,"")</f>
        <v/>
      </c>
      <c r="AY82">
        <f>IF(AND($A82&lt;&gt;"",AY$3&gt;=$J82,AY$3&lt;=$M82),1,"")</f>
        <v/>
      </c>
      <c r="AZ82">
        <f>IF(AND($A82&lt;&gt;"",AZ$3&gt;=$J82,AZ$3&lt;=$M82),1,"")</f>
        <v/>
      </c>
      <c r="BA82">
        <f>IF(AND($A82&lt;&gt;"",BA$3&gt;=$J82,BA$3&lt;=$M82),1,"")</f>
        <v/>
      </c>
      <c r="BB82">
        <f>IF(AND($A82&lt;&gt;"",BB$3&gt;=$J82,BB$3&lt;=$M82),1,"")</f>
        <v/>
      </c>
      <c r="BC82">
        <f>IF(AND($A82&lt;&gt;"",BC$3&gt;=$J82,BC$3&lt;=$M82),1,"")</f>
        <v/>
      </c>
      <c r="BD82">
        <f>IF(AND($A82&lt;&gt;"",BD$3&gt;=$J82,BD$3&lt;=$M82),1,"")</f>
        <v/>
      </c>
      <c r="BE82">
        <f>IF(AND($A82&lt;&gt;"",BE$3&gt;=$J82,BE$3&lt;=$M82),1,"")</f>
        <v/>
      </c>
      <c r="BF82">
        <f>IF(AND($A82&lt;&gt;"",BF$3&gt;=$J82,BF$3&lt;=$M82),1,"")</f>
        <v/>
      </c>
      <c r="BG82">
        <f>IF(AND($A82&lt;&gt;"",BG$3&gt;=$J82,BG$3&lt;=$M82),1,"")</f>
        <v/>
      </c>
      <c r="BH82">
        <f>IF(AND($A82&lt;&gt;"",BH$3&gt;=$J82,BH$3&lt;=$M82),1,"")</f>
        <v/>
      </c>
      <c r="BI82">
        <f>IF(AND($A82&lt;&gt;"",BI$3&gt;=$J82,BI$3&lt;=$M82),1,"")</f>
        <v/>
      </c>
      <c r="BJ82">
        <f>IF(AND($A82&lt;&gt;"",BJ$3&gt;=$J82,BJ$3&lt;=$M82),1,"")</f>
        <v/>
      </c>
      <c r="BK82">
        <f>IF(AND($A82&lt;&gt;"",BK$3&gt;=$J82,BK$3&lt;=$M82),1,"")</f>
        <v/>
      </c>
      <c r="BL82">
        <f>IF(AND($A82&lt;&gt;"",BL$3&gt;=$J82,BL$3&lt;=$M82),1,"")</f>
        <v/>
      </c>
      <c r="BM82">
        <f>IF(AND($A82&lt;&gt;"",BM$3&gt;=$J82,BM$3&lt;=$M82),1,"")</f>
        <v/>
      </c>
      <c r="BN82">
        <f>IF(AND($A82&lt;&gt;"",BN$3&gt;=$J82,BN$3&lt;=$M82),1,"")</f>
        <v/>
      </c>
      <c r="BO82">
        <f>IF(AND($A82&lt;&gt;"",BO$3&gt;=$J82,BO$3&lt;=$M82),1,"")</f>
        <v/>
      </c>
      <c r="BP82">
        <f>IF(AND($A82&lt;&gt;"",BP$3&gt;=$J82,BP$3&lt;=$M82),1,"")</f>
        <v/>
      </c>
      <c r="BQ82">
        <f>IF(AND($A82&lt;&gt;"",BQ$3&gt;=$J82,BQ$3&lt;=$M82),1,"")</f>
        <v/>
      </c>
      <c r="BR82">
        <f>IF(AND($A82&lt;&gt;"",BR$3&gt;=$J82,BR$3&lt;=$M82),1,"")</f>
        <v/>
      </c>
      <c r="BS82">
        <f>IF(AND($A82&lt;&gt;"",BS$3&gt;=$J82,BS$3&lt;=$M82),1,"")</f>
        <v/>
      </c>
      <c r="BT82">
        <f>IF(AND($A82&lt;&gt;"",BT$3&gt;=$J82,BT$3&lt;=$M82),1,"")</f>
        <v/>
      </c>
      <c r="BU82">
        <f>IF(AND($A82&lt;&gt;"",BU$3&gt;=$J82,BU$3&lt;=$M82),1,"")</f>
        <v/>
      </c>
      <c r="BV82">
        <f>IF(AND($A82&lt;&gt;"",BV$3&gt;=$J82,BV$3&lt;=$M82),1,"")</f>
        <v/>
      </c>
    </row>
    <row r="83">
      <c r="A83">
        <f>IF(Job_Master_Ring!$A83="","",Job_Master_Ring!$A83)</f>
        <v/>
      </c>
      <c r="B83">
        <f>IF($A83="","",Job_Master_Ring!B83)</f>
        <v/>
      </c>
      <c r="C83">
        <f>IF($A83="","",Job_Master_Ring!C83)</f>
        <v/>
      </c>
      <c r="D83">
        <f>IF($A83="","",Job_Master_Ring!D83)</f>
        <v/>
      </c>
      <c r="E83">
        <f>IF($A83="","",IF($I83&lt;&gt;"",$I83,IFERROR(INDEX(Machine_List!$B$50:$B$63,MATCH(1,(Machine_List!$H$50:$H$63&lt;=IFERROR(VLOOKUP($B83,CHOOSE(MATCH($C83,Settings!$L$4:$L$10,0),OPR_BR1!$A$4:$K$18,OPR_BR2!$A$4:$K$18,OPR_CR2!$A$4:$K$18,OPR_CR3!$A$4:$K$18,OPR_CR4!$A$4:$K$18,OPR_RIM!$A$4:$K$18,OPR_BPR!$A$4:$K$18),10,0),0))*(Machine_List!$I$50:$I$63&gt;=IFERROR(VLOOKUP($B83,CHOOSE(MATCH($C83,Settings!$L$4:$L$10,0),OPR_BR1!$A$4:$K$18,OPR_BR2!$A$4:$K$18,OPR_CR2!$A$4:$K$18,OPR_CR3!$A$4:$K$18,OPR_CR4!$A$4:$K$18,OPR_RIM!$A$4:$K$18,OPR_BPR!$A$4:$K$18),11,0),9999)),0)),"NO COMPATIBLE MACHINE")))</f>
        <v/>
      </c>
      <c r="F83">
        <f>IF($E83="","",IFERROR(VLOOKUP($E83,Machine_List!$B:$G,6,0),""))</f>
        <v/>
      </c>
      <c r="G83" s="17">
        <f>IF($E83="","",IFERROR(VLOOKUP($E83,Machine_List!$B:$C,2,0),""))</f>
        <v/>
      </c>
      <c r="H83">
        <f>IF($E83="","",IFERROR(VLOOKUP($E83,Machine_List!$B:$D,3,0),""))</f>
        <v/>
      </c>
      <c r="J83" s="16">
        <f>IF($A83="","",IF($I83&lt;&gt;"",$I83,MAX(CNC_Plan!$M83,IFERROR(LOOKUP(2,1/($E$3:INDIRECT("E"&amp;(ROW()-1))=$E83),$M$3:INDIRECT("M"&amp;(ROW()-1))),CNC_Plan!$M83))))</f>
        <v/>
      </c>
      <c r="K83">
        <f>IF($A83="","",IFERROR(VLOOKUP(B83,CHOOSE(MATCH($C83,Settings!$L$4:$L$10,0),OPR_BR1!$A$4:$I$18,OPR_BR2!$A$4:$I$18,OPR_CR2!$A$4:$I$18,OPR_CR3!$A$4:$I$18,OPR_CR4!$A$4:$I$18,OPR_RIM!$A$4:$I$18,OPR_BPR!$A$4:$I$18),6,0),0))</f>
        <v/>
      </c>
      <c r="L83">
        <f>IF($A83="","",K83*D83)</f>
        <v/>
      </c>
      <c r="M83" s="16">
        <f>IF($A83="","",IF(AND(ISNUMBER(G83),G83&gt;=J83,G83&lt;=(J83+(L83/(IF(F83="Contract Workman",Settings!$K$5,Settings!$K$4))))),J83+(L83/(IF(F83="Contract Workman",Settings!$K$5,Settings!$K$4)))+(H83/(IF(F83="Contract Workman",Settings!$K$5,Settings!$K$4))),J83+(L83/(IF(F83="Contract Workman",Settings!$K$5,Settings!$K$4)))))</f>
        <v/>
      </c>
      <c r="N83">
        <f>IF($A83="","",IF(F83="Contract Workman",IF(AND(MOD(M83,1)&gt;=8/24,MOD(M83,1)&lt;20/24),"Shift S1","Shift S2"),IF(AND(MOD(M83,1)&gt;=7/24,MOD(M83,1)&lt;15/24),"Shift A",IF(AND(MOD(M83,1)&gt;=15/24,MOD(M83,1)&lt;23/24),"Shift B","Shift C"))))</f>
        <v/>
      </c>
      <c r="O83">
        <f>IF(B83="","",IF(IFERROR(ISNUMBER(SEARCH(TEXT(B83,"0"),VLOOKUP(E83,Machine_List!$B:$J,9,0))),FALSE),"✅ "&amp; E83,"❌ Sug: "&amp;IFERROR(INDEX(Machine_List!$B$50:$B$63,MATCH(1,(Machine_List!$H$50:$H$63&lt;=IFERROR(VLOOKUP($B83,OPR_BR1!$A$4:$K$18,10,0),0))*(Machine_List!$I$50:$I$63&gt;=IFERROR(VLOOKUP($B83,OPR_BR1!$A$4:$K$18,11,0),9999)),0)),"?")))</f>
        <v/>
      </c>
      <c r="P83">
        <f>IF(AND($A83&lt;&gt;"",P$3&gt;=$J83,P$3&lt;=$M83),1,"")</f>
        <v/>
      </c>
      <c r="Q83">
        <f>IF(AND($A83&lt;&gt;"",Q$3&gt;=$J83,Q$3&lt;=$M83),1,"")</f>
        <v/>
      </c>
      <c r="R83">
        <f>IF(AND($A83&lt;&gt;"",R$3&gt;=$J83,R$3&lt;=$M83),1,"")</f>
        <v/>
      </c>
      <c r="S83">
        <f>IF(AND($A83&lt;&gt;"",S$3&gt;=$J83,S$3&lt;=$M83),1,"")</f>
        <v/>
      </c>
      <c r="T83">
        <f>IF(AND($A83&lt;&gt;"",T$3&gt;=$J83,T$3&lt;=$M83),1,"")</f>
        <v/>
      </c>
      <c r="U83">
        <f>IF(AND($A83&lt;&gt;"",U$3&gt;=$J83,U$3&lt;=$M83),1,"")</f>
        <v/>
      </c>
      <c r="V83">
        <f>IF(AND($A83&lt;&gt;"",V$3&gt;=$J83,V$3&lt;=$M83),1,"")</f>
        <v/>
      </c>
      <c r="W83">
        <f>IF(AND($A83&lt;&gt;"",W$3&gt;=$J83,W$3&lt;=$M83),1,"")</f>
        <v/>
      </c>
      <c r="X83">
        <f>IF(AND($A83&lt;&gt;"",X$3&gt;=$J83,X$3&lt;=$M83),1,"")</f>
        <v/>
      </c>
      <c r="Y83">
        <f>IF(AND($A83&lt;&gt;"",Y$3&gt;=$J83,Y$3&lt;=$M83),1,"")</f>
        <v/>
      </c>
      <c r="Z83">
        <f>IF(AND($A83&lt;&gt;"",Z$3&gt;=$J83,Z$3&lt;=$M83),1,"")</f>
        <v/>
      </c>
      <c r="AA83">
        <f>IF(AND($A83&lt;&gt;"",AA$3&gt;=$J83,AA$3&lt;=$M83),1,"")</f>
        <v/>
      </c>
      <c r="AB83">
        <f>IF(AND($A83&lt;&gt;"",AB$3&gt;=$J83,AB$3&lt;=$M83),1,"")</f>
        <v/>
      </c>
      <c r="AC83">
        <f>IF(AND($A83&lt;&gt;"",AC$3&gt;=$J83,AC$3&lt;=$M83),1,"")</f>
        <v/>
      </c>
      <c r="AD83">
        <f>IF(AND($A83&lt;&gt;"",AD$3&gt;=$J83,AD$3&lt;=$M83),1,"")</f>
        <v/>
      </c>
      <c r="AE83">
        <f>IF(AND($A83&lt;&gt;"",AE$3&gt;=$J83,AE$3&lt;=$M83),1,"")</f>
        <v/>
      </c>
      <c r="AF83">
        <f>IF(AND($A83&lt;&gt;"",AF$3&gt;=$J83,AF$3&lt;=$M83),1,"")</f>
        <v/>
      </c>
      <c r="AG83">
        <f>IF(AND($A83&lt;&gt;"",AG$3&gt;=$J83,AG$3&lt;=$M83),1,"")</f>
        <v/>
      </c>
      <c r="AH83">
        <f>IF(AND($A83&lt;&gt;"",AH$3&gt;=$J83,AH$3&lt;=$M83),1,"")</f>
        <v/>
      </c>
      <c r="AI83">
        <f>IF(AND($A83&lt;&gt;"",AI$3&gt;=$J83,AI$3&lt;=$M83),1,"")</f>
        <v/>
      </c>
      <c r="AJ83">
        <f>IF(AND($A83&lt;&gt;"",AJ$3&gt;=$J83,AJ$3&lt;=$M83),1,"")</f>
        <v/>
      </c>
      <c r="AK83">
        <f>IF(AND($A83&lt;&gt;"",AK$3&gt;=$J83,AK$3&lt;=$M83),1,"")</f>
        <v/>
      </c>
      <c r="AL83">
        <f>IF(AND($A83&lt;&gt;"",AL$3&gt;=$J83,AL$3&lt;=$M83),1,"")</f>
        <v/>
      </c>
      <c r="AM83">
        <f>IF(AND($A83&lt;&gt;"",AM$3&gt;=$J83,AM$3&lt;=$M83),1,"")</f>
        <v/>
      </c>
      <c r="AN83">
        <f>IF(AND($A83&lt;&gt;"",AN$3&gt;=$J83,AN$3&lt;=$M83),1,"")</f>
        <v/>
      </c>
      <c r="AO83">
        <f>IF(AND($A83&lt;&gt;"",AO$3&gt;=$J83,AO$3&lt;=$M83),1,"")</f>
        <v/>
      </c>
      <c r="AP83">
        <f>IF(AND($A83&lt;&gt;"",AP$3&gt;=$J83,AP$3&lt;=$M83),1,"")</f>
        <v/>
      </c>
      <c r="AQ83">
        <f>IF(AND($A83&lt;&gt;"",AQ$3&gt;=$J83,AQ$3&lt;=$M83),1,"")</f>
        <v/>
      </c>
      <c r="AR83">
        <f>IF(AND($A83&lt;&gt;"",AR$3&gt;=$J83,AR$3&lt;=$M83),1,"")</f>
        <v/>
      </c>
      <c r="AS83">
        <f>IF(AND($A83&lt;&gt;"",AS$3&gt;=$J83,AS$3&lt;=$M83),1,"")</f>
        <v/>
      </c>
      <c r="AT83">
        <f>IF(AND($A83&lt;&gt;"",AT$3&gt;=$J83,AT$3&lt;=$M83),1,"")</f>
        <v/>
      </c>
      <c r="AU83">
        <f>IF(AND($A83&lt;&gt;"",AU$3&gt;=$J83,AU$3&lt;=$M83),1,"")</f>
        <v/>
      </c>
      <c r="AV83">
        <f>IF(AND($A83&lt;&gt;"",AV$3&gt;=$J83,AV$3&lt;=$M83),1,"")</f>
        <v/>
      </c>
      <c r="AW83">
        <f>IF(AND($A83&lt;&gt;"",AW$3&gt;=$J83,AW$3&lt;=$M83),1,"")</f>
        <v/>
      </c>
      <c r="AX83">
        <f>IF(AND($A83&lt;&gt;"",AX$3&gt;=$J83,AX$3&lt;=$M83),1,"")</f>
        <v/>
      </c>
      <c r="AY83">
        <f>IF(AND($A83&lt;&gt;"",AY$3&gt;=$J83,AY$3&lt;=$M83),1,"")</f>
        <v/>
      </c>
      <c r="AZ83">
        <f>IF(AND($A83&lt;&gt;"",AZ$3&gt;=$J83,AZ$3&lt;=$M83),1,"")</f>
        <v/>
      </c>
      <c r="BA83">
        <f>IF(AND($A83&lt;&gt;"",BA$3&gt;=$J83,BA$3&lt;=$M83),1,"")</f>
        <v/>
      </c>
      <c r="BB83">
        <f>IF(AND($A83&lt;&gt;"",BB$3&gt;=$J83,BB$3&lt;=$M83),1,"")</f>
        <v/>
      </c>
      <c r="BC83">
        <f>IF(AND($A83&lt;&gt;"",BC$3&gt;=$J83,BC$3&lt;=$M83),1,"")</f>
        <v/>
      </c>
      <c r="BD83">
        <f>IF(AND($A83&lt;&gt;"",BD$3&gt;=$J83,BD$3&lt;=$M83),1,"")</f>
        <v/>
      </c>
      <c r="BE83">
        <f>IF(AND($A83&lt;&gt;"",BE$3&gt;=$J83,BE$3&lt;=$M83),1,"")</f>
        <v/>
      </c>
      <c r="BF83">
        <f>IF(AND($A83&lt;&gt;"",BF$3&gt;=$J83,BF$3&lt;=$M83),1,"")</f>
        <v/>
      </c>
      <c r="BG83">
        <f>IF(AND($A83&lt;&gt;"",BG$3&gt;=$J83,BG$3&lt;=$M83),1,"")</f>
        <v/>
      </c>
      <c r="BH83">
        <f>IF(AND($A83&lt;&gt;"",BH$3&gt;=$J83,BH$3&lt;=$M83),1,"")</f>
        <v/>
      </c>
      <c r="BI83">
        <f>IF(AND($A83&lt;&gt;"",BI$3&gt;=$J83,BI$3&lt;=$M83),1,"")</f>
        <v/>
      </c>
      <c r="BJ83">
        <f>IF(AND($A83&lt;&gt;"",BJ$3&gt;=$J83,BJ$3&lt;=$M83),1,"")</f>
        <v/>
      </c>
      <c r="BK83">
        <f>IF(AND($A83&lt;&gt;"",BK$3&gt;=$J83,BK$3&lt;=$M83),1,"")</f>
        <v/>
      </c>
      <c r="BL83">
        <f>IF(AND($A83&lt;&gt;"",BL$3&gt;=$J83,BL$3&lt;=$M83),1,"")</f>
        <v/>
      </c>
      <c r="BM83">
        <f>IF(AND($A83&lt;&gt;"",BM$3&gt;=$J83,BM$3&lt;=$M83),1,"")</f>
        <v/>
      </c>
      <c r="BN83">
        <f>IF(AND($A83&lt;&gt;"",BN$3&gt;=$J83,BN$3&lt;=$M83),1,"")</f>
        <v/>
      </c>
      <c r="BO83">
        <f>IF(AND($A83&lt;&gt;"",BO$3&gt;=$J83,BO$3&lt;=$M83),1,"")</f>
        <v/>
      </c>
      <c r="BP83">
        <f>IF(AND($A83&lt;&gt;"",BP$3&gt;=$J83,BP$3&lt;=$M83),1,"")</f>
        <v/>
      </c>
      <c r="BQ83">
        <f>IF(AND($A83&lt;&gt;"",BQ$3&gt;=$J83,BQ$3&lt;=$M83),1,"")</f>
        <v/>
      </c>
      <c r="BR83">
        <f>IF(AND($A83&lt;&gt;"",BR$3&gt;=$J83,BR$3&lt;=$M83),1,"")</f>
        <v/>
      </c>
      <c r="BS83">
        <f>IF(AND($A83&lt;&gt;"",BS$3&gt;=$J83,BS$3&lt;=$M83),1,"")</f>
        <v/>
      </c>
      <c r="BT83">
        <f>IF(AND($A83&lt;&gt;"",BT$3&gt;=$J83,BT$3&lt;=$M83),1,"")</f>
        <v/>
      </c>
      <c r="BU83">
        <f>IF(AND($A83&lt;&gt;"",BU$3&gt;=$J83,BU$3&lt;=$M83),1,"")</f>
        <v/>
      </c>
      <c r="BV83">
        <f>IF(AND($A83&lt;&gt;"",BV$3&gt;=$J83,BV$3&lt;=$M83),1,"")</f>
        <v/>
      </c>
    </row>
    <row r="84">
      <c r="A84">
        <f>IF(Job_Master_Ring!$A84="","",Job_Master_Ring!$A84)</f>
        <v/>
      </c>
      <c r="B84">
        <f>IF($A84="","",Job_Master_Ring!B84)</f>
        <v/>
      </c>
      <c r="C84">
        <f>IF($A84="","",Job_Master_Ring!C84)</f>
        <v/>
      </c>
      <c r="D84">
        <f>IF($A84="","",Job_Master_Ring!D84)</f>
        <v/>
      </c>
      <c r="E84">
        <f>IF($A84="","",IF($I84&lt;&gt;"",$I84,IFERROR(INDEX(Machine_List!$B$50:$B$63,MATCH(1,(Machine_List!$H$50:$H$63&lt;=IFERROR(VLOOKUP($B84,CHOOSE(MATCH($C84,Settings!$L$4:$L$10,0),OPR_BR1!$A$4:$K$18,OPR_BR2!$A$4:$K$18,OPR_CR2!$A$4:$K$18,OPR_CR3!$A$4:$K$18,OPR_CR4!$A$4:$K$18,OPR_RIM!$A$4:$K$18,OPR_BPR!$A$4:$K$18),10,0),0))*(Machine_List!$I$50:$I$63&gt;=IFERROR(VLOOKUP($B84,CHOOSE(MATCH($C84,Settings!$L$4:$L$10,0),OPR_BR1!$A$4:$K$18,OPR_BR2!$A$4:$K$18,OPR_CR2!$A$4:$K$18,OPR_CR3!$A$4:$K$18,OPR_CR4!$A$4:$K$18,OPR_RIM!$A$4:$K$18,OPR_BPR!$A$4:$K$18),11,0),9999)),0)),"NO COMPATIBLE MACHINE")))</f>
        <v/>
      </c>
      <c r="F84">
        <f>IF($E84="","",IFERROR(VLOOKUP($E84,Machine_List!$B:$G,6,0),""))</f>
        <v/>
      </c>
      <c r="G84" s="17">
        <f>IF($E84="","",IFERROR(VLOOKUP($E84,Machine_List!$B:$C,2,0),""))</f>
        <v/>
      </c>
      <c r="H84">
        <f>IF($E84="","",IFERROR(VLOOKUP($E84,Machine_List!$B:$D,3,0),""))</f>
        <v/>
      </c>
      <c r="J84" s="16">
        <f>IF($A84="","",IF($I84&lt;&gt;"",$I84,MAX(CNC_Plan!$M84,IFERROR(LOOKUP(2,1/($E$3:INDIRECT("E"&amp;(ROW()-1))=$E84),$M$3:INDIRECT("M"&amp;(ROW()-1))),CNC_Plan!$M84))))</f>
        <v/>
      </c>
      <c r="K84">
        <f>IF($A84="","",IFERROR(VLOOKUP(B84,CHOOSE(MATCH($C84,Settings!$L$4:$L$10,0),OPR_BR1!$A$4:$I$18,OPR_BR2!$A$4:$I$18,OPR_CR2!$A$4:$I$18,OPR_CR3!$A$4:$I$18,OPR_CR4!$A$4:$I$18,OPR_RIM!$A$4:$I$18,OPR_BPR!$A$4:$I$18),6,0),0))</f>
        <v/>
      </c>
      <c r="L84">
        <f>IF($A84="","",K84*D84)</f>
        <v/>
      </c>
      <c r="M84" s="16">
        <f>IF($A84="","",IF(AND(ISNUMBER(G84),G84&gt;=J84,G84&lt;=(J84+(L84/(IF(F84="Contract Workman",Settings!$K$5,Settings!$K$4))))),J84+(L84/(IF(F84="Contract Workman",Settings!$K$5,Settings!$K$4)))+(H84/(IF(F84="Contract Workman",Settings!$K$5,Settings!$K$4))),J84+(L84/(IF(F84="Contract Workman",Settings!$K$5,Settings!$K$4)))))</f>
        <v/>
      </c>
      <c r="N84">
        <f>IF($A84="","",IF(F84="Contract Workman",IF(AND(MOD(M84,1)&gt;=8/24,MOD(M84,1)&lt;20/24),"Shift S1","Shift S2"),IF(AND(MOD(M84,1)&gt;=7/24,MOD(M84,1)&lt;15/24),"Shift A",IF(AND(MOD(M84,1)&gt;=15/24,MOD(M84,1)&lt;23/24),"Shift B","Shift C"))))</f>
        <v/>
      </c>
      <c r="O84">
        <f>IF(B84="","",IF(IFERROR(ISNUMBER(SEARCH(TEXT(B84,"0"),VLOOKUP(E84,Machine_List!$B:$J,9,0))),FALSE),"✅ "&amp; E84,"❌ Sug: "&amp;IFERROR(INDEX(Machine_List!$B$50:$B$63,MATCH(1,(Machine_List!$H$50:$H$63&lt;=IFERROR(VLOOKUP($B84,OPR_BR1!$A$4:$K$18,10,0),0))*(Machine_List!$I$50:$I$63&gt;=IFERROR(VLOOKUP($B84,OPR_BR1!$A$4:$K$18,11,0),9999)),0)),"?")))</f>
        <v/>
      </c>
      <c r="P84">
        <f>IF(AND($A84&lt;&gt;"",P$3&gt;=$J84,P$3&lt;=$M84),1,"")</f>
        <v/>
      </c>
      <c r="Q84">
        <f>IF(AND($A84&lt;&gt;"",Q$3&gt;=$J84,Q$3&lt;=$M84),1,"")</f>
        <v/>
      </c>
      <c r="R84">
        <f>IF(AND($A84&lt;&gt;"",R$3&gt;=$J84,R$3&lt;=$M84),1,"")</f>
        <v/>
      </c>
      <c r="S84">
        <f>IF(AND($A84&lt;&gt;"",S$3&gt;=$J84,S$3&lt;=$M84),1,"")</f>
        <v/>
      </c>
      <c r="T84">
        <f>IF(AND($A84&lt;&gt;"",T$3&gt;=$J84,T$3&lt;=$M84),1,"")</f>
        <v/>
      </c>
      <c r="U84">
        <f>IF(AND($A84&lt;&gt;"",U$3&gt;=$J84,U$3&lt;=$M84),1,"")</f>
        <v/>
      </c>
      <c r="V84">
        <f>IF(AND($A84&lt;&gt;"",V$3&gt;=$J84,V$3&lt;=$M84),1,"")</f>
        <v/>
      </c>
      <c r="W84">
        <f>IF(AND($A84&lt;&gt;"",W$3&gt;=$J84,W$3&lt;=$M84),1,"")</f>
        <v/>
      </c>
      <c r="X84">
        <f>IF(AND($A84&lt;&gt;"",X$3&gt;=$J84,X$3&lt;=$M84),1,"")</f>
        <v/>
      </c>
      <c r="Y84">
        <f>IF(AND($A84&lt;&gt;"",Y$3&gt;=$J84,Y$3&lt;=$M84),1,"")</f>
        <v/>
      </c>
      <c r="Z84">
        <f>IF(AND($A84&lt;&gt;"",Z$3&gt;=$J84,Z$3&lt;=$M84),1,"")</f>
        <v/>
      </c>
      <c r="AA84">
        <f>IF(AND($A84&lt;&gt;"",AA$3&gt;=$J84,AA$3&lt;=$M84),1,"")</f>
        <v/>
      </c>
      <c r="AB84">
        <f>IF(AND($A84&lt;&gt;"",AB$3&gt;=$J84,AB$3&lt;=$M84),1,"")</f>
        <v/>
      </c>
      <c r="AC84">
        <f>IF(AND($A84&lt;&gt;"",AC$3&gt;=$J84,AC$3&lt;=$M84),1,"")</f>
        <v/>
      </c>
      <c r="AD84">
        <f>IF(AND($A84&lt;&gt;"",AD$3&gt;=$J84,AD$3&lt;=$M84),1,"")</f>
        <v/>
      </c>
      <c r="AE84">
        <f>IF(AND($A84&lt;&gt;"",AE$3&gt;=$J84,AE$3&lt;=$M84),1,"")</f>
        <v/>
      </c>
      <c r="AF84">
        <f>IF(AND($A84&lt;&gt;"",AF$3&gt;=$J84,AF$3&lt;=$M84),1,"")</f>
        <v/>
      </c>
      <c r="AG84">
        <f>IF(AND($A84&lt;&gt;"",AG$3&gt;=$J84,AG$3&lt;=$M84),1,"")</f>
        <v/>
      </c>
      <c r="AH84">
        <f>IF(AND($A84&lt;&gt;"",AH$3&gt;=$J84,AH$3&lt;=$M84),1,"")</f>
        <v/>
      </c>
      <c r="AI84">
        <f>IF(AND($A84&lt;&gt;"",AI$3&gt;=$J84,AI$3&lt;=$M84),1,"")</f>
        <v/>
      </c>
      <c r="AJ84">
        <f>IF(AND($A84&lt;&gt;"",AJ$3&gt;=$J84,AJ$3&lt;=$M84),1,"")</f>
        <v/>
      </c>
      <c r="AK84">
        <f>IF(AND($A84&lt;&gt;"",AK$3&gt;=$J84,AK$3&lt;=$M84),1,"")</f>
        <v/>
      </c>
      <c r="AL84">
        <f>IF(AND($A84&lt;&gt;"",AL$3&gt;=$J84,AL$3&lt;=$M84),1,"")</f>
        <v/>
      </c>
      <c r="AM84">
        <f>IF(AND($A84&lt;&gt;"",AM$3&gt;=$J84,AM$3&lt;=$M84),1,"")</f>
        <v/>
      </c>
      <c r="AN84">
        <f>IF(AND($A84&lt;&gt;"",AN$3&gt;=$J84,AN$3&lt;=$M84),1,"")</f>
        <v/>
      </c>
      <c r="AO84">
        <f>IF(AND($A84&lt;&gt;"",AO$3&gt;=$J84,AO$3&lt;=$M84),1,"")</f>
        <v/>
      </c>
      <c r="AP84">
        <f>IF(AND($A84&lt;&gt;"",AP$3&gt;=$J84,AP$3&lt;=$M84),1,"")</f>
        <v/>
      </c>
      <c r="AQ84">
        <f>IF(AND($A84&lt;&gt;"",AQ$3&gt;=$J84,AQ$3&lt;=$M84),1,"")</f>
        <v/>
      </c>
      <c r="AR84">
        <f>IF(AND($A84&lt;&gt;"",AR$3&gt;=$J84,AR$3&lt;=$M84),1,"")</f>
        <v/>
      </c>
      <c r="AS84">
        <f>IF(AND($A84&lt;&gt;"",AS$3&gt;=$J84,AS$3&lt;=$M84),1,"")</f>
        <v/>
      </c>
      <c r="AT84">
        <f>IF(AND($A84&lt;&gt;"",AT$3&gt;=$J84,AT$3&lt;=$M84),1,"")</f>
        <v/>
      </c>
      <c r="AU84">
        <f>IF(AND($A84&lt;&gt;"",AU$3&gt;=$J84,AU$3&lt;=$M84),1,"")</f>
        <v/>
      </c>
      <c r="AV84">
        <f>IF(AND($A84&lt;&gt;"",AV$3&gt;=$J84,AV$3&lt;=$M84),1,"")</f>
        <v/>
      </c>
      <c r="AW84">
        <f>IF(AND($A84&lt;&gt;"",AW$3&gt;=$J84,AW$3&lt;=$M84),1,"")</f>
        <v/>
      </c>
      <c r="AX84">
        <f>IF(AND($A84&lt;&gt;"",AX$3&gt;=$J84,AX$3&lt;=$M84),1,"")</f>
        <v/>
      </c>
      <c r="AY84">
        <f>IF(AND($A84&lt;&gt;"",AY$3&gt;=$J84,AY$3&lt;=$M84),1,"")</f>
        <v/>
      </c>
      <c r="AZ84">
        <f>IF(AND($A84&lt;&gt;"",AZ$3&gt;=$J84,AZ$3&lt;=$M84),1,"")</f>
        <v/>
      </c>
      <c r="BA84">
        <f>IF(AND($A84&lt;&gt;"",BA$3&gt;=$J84,BA$3&lt;=$M84),1,"")</f>
        <v/>
      </c>
      <c r="BB84">
        <f>IF(AND($A84&lt;&gt;"",BB$3&gt;=$J84,BB$3&lt;=$M84),1,"")</f>
        <v/>
      </c>
      <c r="BC84">
        <f>IF(AND($A84&lt;&gt;"",BC$3&gt;=$J84,BC$3&lt;=$M84),1,"")</f>
        <v/>
      </c>
      <c r="BD84">
        <f>IF(AND($A84&lt;&gt;"",BD$3&gt;=$J84,BD$3&lt;=$M84),1,"")</f>
        <v/>
      </c>
      <c r="BE84">
        <f>IF(AND($A84&lt;&gt;"",BE$3&gt;=$J84,BE$3&lt;=$M84),1,"")</f>
        <v/>
      </c>
      <c r="BF84">
        <f>IF(AND($A84&lt;&gt;"",BF$3&gt;=$J84,BF$3&lt;=$M84),1,"")</f>
        <v/>
      </c>
      <c r="BG84">
        <f>IF(AND($A84&lt;&gt;"",BG$3&gt;=$J84,BG$3&lt;=$M84),1,"")</f>
        <v/>
      </c>
      <c r="BH84">
        <f>IF(AND($A84&lt;&gt;"",BH$3&gt;=$J84,BH$3&lt;=$M84),1,"")</f>
        <v/>
      </c>
      <c r="BI84">
        <f>IF(AND($A84&lt;&gt;"",BI$3&gt;=$J84,BI$3&lt;=$M84),1,"")</f>
        <v/>
      </c>
      <c r="BJ84">
        <f>IF(AND($A84&lt;&gt;"",BJ$3&gt;=$J84,BJ$3&lt;=$M84),1,"")</f>
        <v/>
      </c>
      <c r="BK84">
        <f>IF(AND($A84&lt;&gt;"",BK$3&gt;=$J84,BK$3&lt;=$M84),1,"")</f>
        <v/>
      </c>
      <c r="BL84">
        <f>IF(AND($A84&lt;&gt;"",BL$3&gt;=$J84,BL$3&lt;=$M84),1,"")</f>
        <v/>
      </c>
      <c r="BM84">
        <f>IF(AND($A84&lt;&gt;"",BM$3&gt;=$J84,BM$3&lt;=$M84),1,"")</f>
        <v/>
      </c>
      <c r="BN84">
        <f>IF(AND($A84&lt;&gt;"",BN$3&gt;=$J84,BN$3&lt;=$M84),1,"")</f>
        <v/>
      </c>
      <c r="BO84">
        <f>IF(AND($A84&lt;&gt;"",BO$3&gt;=$J84,BO$3&lt;=$M84),1,"")</f>
        <v/>
      </c>
      <c r="BP84">
        <f>IF(AND($A84&lt;&gt;"",BP$3&gt;=$J84,BP$3&lt;=$M84),1,"")</f>
        <v/>
      </c>
      <c r="BQ84">
        <f>IF(AND($A84&lt;&gt;"",BQ$3&gt;=$J84,BQ$3&lt;=$M84),1,"")</f>
        <v/>
      </c>
      <c r="BR84">
        <f>IF(AND($A84&lt;&gt;"",BR$3&gt;=$J84,BR$3&lt;=$M84),1,"")</f>
        <v/>
      </c>
      <c r="BS84">
        <f>IF(AND($A84&lt;&gt;"",BS$3&gt;=$J84,BS$3&lt;=$M84),1,"")</f>
        <v/>
      </c>
      <c r="BT84">
        <f>IF(AND($A84&lt;&gt;"",BT$3&gt;=$J84,BT$3&lt;=$M84),1,"")</f>
        <v/>
      </c>
      <c r="BU84">
        <f>IF(AND($A84&lt;&gt;"",BU$3&gt;=$J84,BU$3&lt;=$M84),1,"")</f>
        <v/>
      </c>
      <c r="BV84">
        <f>IF(AND($A84&lt;&gt;"",BV$3&gt;=$J84,BV$3&lt;=$M84),1,"")</f>
        <v/>
      </c>
    </row>
    <row r="85">
      <c r="A85">
        <f>IF(Job_Master_Ring!$A85="","",Job_Master_Ring!$A85)</f>
        <v/>
      </c>
      <c r="B85">
        <f>IF($A85="","",Job_Master_Ring!B85)</f>
        <v/>
      </c>
      <c r="C85">
        <f>IF($A85="","",Job_Master_Ring!C85)</f>
        <v/>
      </c>
      <c r="D85">
        <f>IF($A85="","",Job_Master_Ring!D85)</f>
        <v/>
      </c>
      <c r="E85">
        <f>IF($A85="","",IF($I85&lt;&gt;"",$I85,IFERROR(INDEX(Machine_List!$B$50:$B$63,MATCH(1,(Machine_List!$H$50:$H$63&lt;=IFERROR(VLOOKUP($B85,CHOOSE(MATCH($C85,Settings!$L$4:$L$10,0),OPR_BR1!$A$4:$K$18,OPR_BR2!$A$4:$K$18,OPR_CR2!$A$4:$K$18,OPR_CR3!$A$4:$K$18,OPR_CR4!$A$4:$K$18,OPR_RIM!$A$4:$K$18,OPR_BPR!$A$4:$K$18),10,0),0))*(Machine_List!$I$50:$I$63&gt;=IFERROR(VLOOKUP($B85,CHOOSE(MATCH($C85,Settings!$L$4:$L$10,0),OPR_BR1!$A$4:$K$18,OPR_BR2!$A$4:$K$18,OPR_CR2!$A$4:$K$18,OPR_CR3!$A$4:$K$18,OPR_CR4!$A$4:$K$18,OPR_RIM!$A$4:$K$18,OPR_BPR!$A$4:$K$18),11,0),9999)),0)),"NO COMPATIBLE MACHINE")))</f>
        <v/>
      </c>
      <c r="F85">
        <f>IF($E85="","",IFERROR(VLOOKUP($E85,Machine_List!$B:$G,6,0),""))</f>
        <v/>
      </c>
      <c r="G85" s="17">
        <f>IF($E85="","",IFERROR(VLOOKUP($E85,Machine_List!$B:$C,2,0),""))</f>
        <v/>
      </c>
      <c r="H85">
        <f>IF($E85="","",IFERROR(VLOOKUP($E85,Machine_List!$B:$D,3,0),""))</f>
        <v/>
      </c>
      <c r="J85" s="16">
        <f>IF($A85="","",IF($I85&lt;&gt;"",$I85,MAX(CNC_Plan!$M85,IFERROR(LOOKUP(2,1/($E$3:INDIRECT("E"&amp;(ROW()-1))=$E85),$M$3:INDIRECT("M"&amp;(ROW()-1))),CNC_Plan!$M85))))</f>
        <v/>
      </c>
      <c r="K85">
        <f>IF($A85="","",IFERROR(VLOOKUP(B85,CHOOSE(MATCH($C85,Settings!$L$4:$L$10,0),OPR_BR1!$A$4:$I$18,OPR_BR2!$A$4:$I$18,OPR_CR2!$A$4:$I$18,OPR_CR3!$A$4:$I$18,OPR_CR4!$A$4:$I$18,OPR_RIM!$A$4:$I$18,OPR_BPR!$A$4:$I$18),6,0),0))</f>
        <v/>
      </c>
      <c r="L85">
        <f>IF($A85="","",K85*D85)</f>
        <v/>
      </c>
      <c r="M85" s="16">
        <f>IF($A85="","",IF(AND(ISNUMBER(G85),G85&gt;=J85,G85&lt;=(J85+(L85/(IF(F85="Contract Workman",Settings!$K$5,Settings!$K$4))))),J85+(L85/(IF(F85="Contract Workman",Settings!$K$5,Settings!$K$4)))+(H85/(IF(F85="Contract Workman",Settings!$K$5,Settings!$K$4))),J85+(L85/(IF(F85="Contract Workman",Settings!$K$5,Settings!$K$4)))))</f>
        <v/>
      </c>
      <c r="N85">
        <f>IF($A85="","",IF(F85="Contract Workman",IF(AND(MOD(M85,1)&gt;=8/24,MOD(M85,1)&lt;20/24),"Shift S1","Shift S2"),IF(AND(MOD(M85,1)&gt;=7/24,MOD(M85,1)&lt;15/24),"Shift A",IF(AND(MOD(M85,1)&gt;=15/24,MOD(M85,1)&lt;23/24),"Shift B","Shift C"))))</f>
        <v/>
      </c>
      <c r="O85">
        <f>IF(B85="","",IF(IFERROR(ISNUMBER(SEARCH(TEXT(B85,"0"),VLOOKUP(E85,Machine_List!$B:$J,9,0))),FALSE),"✅ "&amp; E85,"❌ Sug: "&amp;IFERROR(INDEX(Machine_List!$B$50:$B$63,MATCH(1,(Machine_List!$H$50:$H$63&lt;=IFERROR(VLOOKUP($B85,OPR_BR1!$A$4:$K$18,10,0),0))*(Machine_List!$I$50:$I$63&gt;=IFERROR(VLOOKUP($B85,OPR_BR1!$A$4:$K$18,11,0),9999)),0)),"?")))</f>
        <v/>
      </c>
      <c r="P85">
        <f>IF(AND($A85&lt;&gt;"",P$3&gt;=$J85,P$3&lt;=$M85),1,"")</f>
        <v/>
      </c>
      <c r="Q85">
        <f>IF(AND($A85&lt;&gt;"",Q$3&gt;=$J85,Q$3&lt;=$M85),1,"")</f>
        <v/>
      </c>
      <c r="R85">
        <f>IF(AND($A85&lt;&gt;"",R$3&gt;=$J85,R$3&lt;=$M85),1,"")</f>
        <v/>
      </c>
      <c r="S85">
        <f>IF(AND($A85&lt;&gt;"",S$3&gt;=$J85,S$3&lt;=$M85),1,"")</f>
        <v/>
      </c>
      <c r="T85">
        <f>IF(AND($A85&lt;&gt;"",T$3&gt;=$J85,T$3&lt;=$M85),1,"")</f>
        <v/>
      </c>
      <c r="U85">
        <f>IF(AND($A85&lt;&gt;"",U$3&gt;=$J85,U$3&lt;=$M85),1,"")</f>
        <v/>
      </c>
      <c r="V85">
        <f>IF(AND($A85&lt;&gt;"",V$3&gt;=$J85,V$3&lt;=$M85),1,"")</f>
        <v/>
      </c>
      <c r="W85">
        <f>IF(AND($A85&lt;&gt;"",W$3&gt;=$J85,W$3&lt;=$M85),1,"")</f>
        <v/>
      </c>
      <c r="X85">
        <f>IF(AND($A85&lt;&gt;"",X$3&gt;=$J85,X$3&lt;=$M85),1,"")</f>
        <v/>
      </c>
      <c r="Y85">
        <f>IF(AND($A85&lt;&gt;"",Y$3&gt;=$J85,Y$3&lt;=$M85),1,"")</f>
        <v/>
      </c>
      <c r="Z85">
        <f>IF(AND($A85&lt;&gt;"",Z$3&gt;=$J85,Z$3&lt;=$M85),1,"")</f>
        <v/>
      </c>
      <c r="AA85">
        <f>IF(AND($A85&lt;&gt;"",AA$3&gt;=$J85,AA$3&lt;=$M85),1,"")</f>
        <v/>
      </c>
      <c r="AB85">
        <f>IF(AND($A85&lt;&gt;"",AB$3&gt;=$J85,AB$3&lt;=$M85),1,"")</f>
        <v/>
      </c>
      <c r="AC85">
        <f>IF(AND($A85&lt;&gt;"",AC$3&gt;=$J85,AC$3&lt;=$M85),1,"")</f>
        <v/>
      </c>
      <c r="AD85">
        <f>IF(AND($A85&lt;&gt;"",AD$3&gt;=$J85,AD$3&lt;=$M85),1,"")</f>
        <v/>
      </c>
      <c r="AE85">
        <f>IF(AND($A85&lt;&gt;"",AE$3&gt;=$J85,AE$3&lt;=$M85),1,"")</f>
        <v/>
      </c>
      <c r="AF85">
        <f>IF(AND($A85&lt;&gt;"",AF$3&gt;=$J85,AF$3&lt;=$M85),1,"")</f>
        <v/>
      </c>
      <c r="AG85">
        <f>IF(AND($A85&lt;&gt;"",AG$3&gt;=$J85,AG$3&lt;=$M85),1,"")</f>
        <v/>
      </c>
      <c r="AH85">
        <f>IF(AND($A85&lt;&gt;"",AH$3&gt;=$J85,AH$3&lt;=$M85),1,"")</f>
        <v/>
      </c>
      <c r="AI85">
        <f>IF(AND($A85&lt;&gt;"",AI$3&gt;=$J85,AI$3&lt;=$M85),1,"")</f>
        <v/>
      </c>
      <c r="AJ85">
        <f>IF(AND($A85&lt;&gt;"",AJ$3&gt;=$J85,AJ$3&lt;=$M85),1,"")</f>
        <v/>
      </c>
      <c r="AK85">
        <f>IF(AND($A85&lt;&gt;"",AK$3&gt;=$J85,AK$3&lt;=$M85),1,"")</f>
        <v/>
      </c>
      <c r="AL85">
        <f>IF(AND($A85&lt;&gt;"",AL$3&gt;=$J85,AL$3&lt;=$M85),1,"")</f>
        <v/>
      </c>
      <c r="AM85">
        <f>IF(AND($A85&lt;&gt;"",AM$3&gt;=$J85,AM$3&lt;=$M85),1,"")</f>
        <v/>
      </c>
      <c r="AN85">
        <f>IF(AND($A85&lt;&gt;"",AN$3&gt;=$J85,AN$3&lt;=$M85),1,"")</f>
        <v/>
      </c>
      <c r="AO85">
        <f>IF(AND($A85&lt;&gt;"",AO$3&gt;=$J85,AO$3&lt;=$M85),1,"")</f>
        <v/>
      </c>
      <c r="AP85">
        <f>IF(AND($A85&lt;&gt;"",AP$3&gt;=$J85,AP$3&lt;=$M85),1,"")</f>
        <v/>
      </c>
      <c r="AQ85">
        <f>IF(AND($A85&lt;&gt;"",AQ$3&gt;=$J85,AQ$3&lt;=$M85),1,"")</f>
        <v/>
      </c>
      <c r="AR85">
        <f>IF(AND($A85&lt;&gt;"",AR$3&gt;=$J85,AR$3&lt;=$M85),1,"")</f>
        <v/>
      </c>
      <c r="AS85">
        <f>IF(AND($A85&lt;&gt;"",AS$3&gt;=$J85,AS$3&lt;=$M85),1,"")</f>
        <v/>
      </c>
      <c r="AT85">
        <f>IF(AND($A85&lt;&gt;"",AT$3&gt;=$J85,AT$3&lt;=$M85),1,"")</f>
        <v/>
      </c>
      <c r="AU85">
        <f>IF(AND($A85&lt;&gt;"",AU$3&gt;=$J85,AU$3&lt;=$M85),1,"")</f>
        <v/>
      </c>
      <c r="AV85">
        <f>IF(AND($A85&lt;&gt;"",AV$3&gt;=$J85,AV$3&lt;=$M85),1,"")</f>
        <v/>
      </c>
      <c r="AW85">
        <f>IF(AND($A85&lt;&gt;"",AW$3&gt;=$J85,AW$3&lt;=$M85),1,"")</f>
        <v/>
      </c>
      <c r="AX85">
        <f>IF(AND($A85&lt;&gt;"",AX$3&gt;=$J85,AX$3&lt;=$M85),1,"")</f>
        <v/>
      </c>
      <c r="AY85">
        <f>IF(AND($A85&lt;&gt;"",AY$3&gt;=$J85,AY$3&lt;=$M85),1,"")</f>
        <v/>
      </c>
      <c r="AZ85">
        <f>IF(AND($A85&lt;&gt;"",AZ$3&gt;=$J85,AZ$3&lt;=$M85),1,"")</f>
        <v/>
      </c>
      <c r="BA85">
        <f>IF(AND($A85&lt;&gt;"",BA$3&gt;=$J85,BA$3&lt;=$M85),1,"")</f>
        <v/>
      </c>
      <c r="BB85">
        <f>IF(AND($A85&lt;&gt;"",BB$3&gt;=$J85,BB$3&lt;=$M85),1,"")</f>
        <v/>
      </c>
      <c r="BC85">
        <f>IF(AND($A85&lt;&gt;"",BC$3&gt;=$J85,BC$3&lt;=$M85),1,"")</f>
        <v/>
      </c>
      <c r="BD85">
        <f>IF(AND($A85&lt;&gt;"",BD$3&gt;=$J85,BD$3&lt;=$M85),1,"")</f>
        <v/>
      </c>
      <c r="BE85">
        <f>IF(AND($A85&lt;&gt;"",BE$3&gt;=$J85,BE$3&lt;=$M85),1,"")</f>
        <v/>
      </c>
      <c r="BF85">
        <f>IF(AND($A85&lt;&gt;"",BF$3&gt;=$J85,BF$3&lt;=$M85),1,"")</f>
        <v/>
      </c>
      <c r="BG85">
        <f>IF(AND($A85&lt;&gt;"",BG$3&gt;=$J85,BG$3&lt;=$M85),1,"")</f>
        <v/>
      </c>
      <c r="BH85">
        <f>IF(AND($A85&lt;&gt;"",BH$3&gt;=$J85,BH$3&lt;=$M85),1,"")</f>
        <v/>
      </c>
      <c r="BI85">
        <f>IF(AND($A85&lt;&gt;"",BI$3&gt;=$J85,BI$3&lt;=$M85),1,"")</f>
        <v/>
      </c>
      <c r="BJ85">
        <f>IF(AND($A85&lt;&gt;"",BJ$3&gt;=$J85,BJ$3&lt;=$M85),1,"")</f>
        <v/>
      </c>
      <c r="BK85">
        <f>IF(AND($A85&lt;&gt;"",BK$3&gt;=$J85,BK$3&lt;=$M85),1,"")</f>
        <v/>
      </c>
      <c r="BL85">
        <f>IF(AND($A85&lt;&gt;"",BL$3&gt;=$J85,BL$3&lt;=$M85),1,"")</f>
        <v/>
      </c>
      <c r="BM85">
        <f>IF(AND($A85&lt;&gt;"",BM$3&gt;=$J85,BM$3&lt;=$M85),1,"")</f>
        <v/>
      </c>
      <c r="BN85">
        <f>IF(AND($A85&lt;&gt;"",BN$3&gt;=$J85,BN$3&lt;=$M85),1,"")</f>
        <v/>
      </c>
      <c r="BO85">
        <f>IF(AND($A85&lt;&gt;"",BO$3&gt;=$J85,BO$3&lt;=$M85),1,"")</f>
        <v/>
      </c>
      <c r="BP85">
        <f>IF(AND($A85&lt;&gt;"",BP$3&gt;=$J85,BP$3&lt;=$M85),1,"")</f>
        <v/>
      </c>
      <c r="BQ85">
        <f>IF(AND($A85&lt;&gt;"",BQ$3&gt;=$J85,BQ$3&lt;=$M85),1,"")</f>
        <v/>
      </c>
      <c r="BR85">
        <f>IF(AND($A85&lt;&gt;"",BR$3&gt;=$J85,BR$3&lt;=$M85),1,"")</f>
        <v/>
      </c>
      <c r="BS85">
        <f>IF(AND($A85&lt;&gt;"",BS$3&gt;=$J85,BS$3&lt;=$M85),1,"")</f>
        <v/>
      </c>
      <c r="BT85">
        <f>IF(AND($A85&lt;&gt;"",BT$3&gt;=$J85,BT$3&lt;=$M85),1,"")</f>
        <v/>
      </c>
      <c r="BU85">
        <f>IF(AND($A85&lt;&gt;"",BU$3&gt;=$J85,BU$3&lt;=$M85),1,"")</f>
        <v/>
      </c>
      <c r="BV85">
        <f>IF(AND($A85&lt;&gt;"",BV$3&gt;=$J85,BV$3&lt;=$M85),1,"")</f>
        <v/>
      </c>
    </row>
    <row r="86">
      <c r="A86">
        <f>IF(Job_Master_Ring!$A86="","",Job_Master_Ring!$A86)</f>
        <v/>
      </c>
      <c r="B86">
        <f>IF($A86="","",Job_Master_Ring!B86)</f>
        <v/>
      </c>
      <c r="C86">
        <f>IF($A86="","",Job_Master_Ring!C86)</f>
        <v/>
      </c>
      <c r="D86">
        <f>IF($A86="","",Job_Master_Ring!D86)</f>
        <v/>
      </c>
      <c r="E86">
        <f>IF($A86="","",IF($I86&lt;&gt;"",$I86,IFERROR(INDEX(Machine_List!$B$50:$B$63,MATCH(1,(Machine_List!$H$50:$H$63&lt;=IFERROR(VLOOKUP($B86,CHOOSE(MATCH($C86,Settings!$L$4:$L$10,0),OPR_BR1!$A$4:$K$18,OPR_BR2!$A$4:$K$18,OPR_CR2!$A$4:$K$18,OPR_CR3!$A$4:$K$18,OPR_CR4!$A$4:$K$18,OPR_RIM!$A$4:$K$18,OPR_BPR!$A$4:$K$18),10,0),0))*(Machine_List!$I$50:$I$63&gt;=IFERROR(VLOOKUP($B86,CHOOSE(MATCH($C86,Settings!$L$4:$L$10,0),OPR_BR1!$A$4:$K$18,OPR_BR2!$A$4:$K$18,OPR_CR2!$A$4:$K$18,OPR_CR3!$A$4:$K$18,OPR_CR4!$A$4:$K$18,OPR_RIM!$A$4:$K$18,OPR_BPR!$A$4:$K$18),11,0),9999)),0)),"NO COMPATIBLE MACHINE")))</f>
        <v/>
      </c>
      <c r="F86">
        <f>IF($E86="","",IFERROR(VLOOKUP($E86,Machine_List!$B:$G,6,0),""))</f>
        <v/>
      </c>
      <c r="G86" s="17">
        <f>IF($E86="","",IFERROR(VLOOKUP($E86,Machine_List!$B:$C,2,0),""))</f>
        <v/>
      </c>
      <c r="H86">
        <f>IF($E86="","",IFERROR(VLOOKUP($E86,Machine_List!$B:$D,3,0),""))</f>
        <v/>
      </c>
      <c r="J86" s="16">
        <f>IF($A86="","",IF($I86&lt;&gt;"",$I86,MAX(CNC_Plan!$M86,IFERROR(LOOKUP(2,1/($E$3:INDIRECT("E"&amp;(ROW()-1))=$E86),$M$3:INDIRECT("M"&amp;(ROW()-1))),CNC_Plan!$M86))))</f>
        <v/>
      </c>
      <c r="K86">
        <f>IF($A86="","",IFERROR(VLOOKUP(B86,CHOOSE(MATCH($C86,Settings!$L$4:$L$10,0),OPR_BR1!$A$4:$I$18,OPR_BR2!$A$4:$I$18,OPR_CR2!$A$4:$I$18,OPR_CR3!$A$4:$I$18,OPR_CR4!$A$4:$I$18,OPR_RIM!$A$4:$I$18,OPR_BPR!$A$4:$I$18),6,0),0))</f>
        <v/>
      </c>
      <c r="L86">
        <f>IF($A86="","",K86*D86)</f>
        <v/>
      </c>
      <c r="M86" s="16">
        <f>IF($A86="","",IF(AND(ISNUMBER(G86),G86&gt;=J86,G86&lt;=(J86+(L86/(IF(F86="Contract Workman",Settings!$K$5,Settings!$K$4))))),J86+(L86/(IF(F86="Contract Workman",Settings!$K$5,Settings!$K$4)))+(H86/(IF(F86="Contract Workman",Settings!$K$5,Settings!$K$4))),J86+(L86/(IF(F86="Contract Workman",Settings!$K$5,Settings!$K$4)))))</f>
        <v/>
      </c>
      <c r="N86">
        <f>IF($A86="","",IF(F86="Contract Workman",IF(AND(MOD(M86,1)&gt;=8/24,MOD(M86,1)&lt;20/24),"Shift S1","Shift S2"),IF(AND(MOD(M86,1)&gt;=7/24,MOD(M86,1)&lt;15/24),"Shift A",IF(AND(MOD(M86,1)&gt;=15/24,MOD(M86,1)&lt;23/24),"Shift B","Shift C"))))</f>
        <v/>
      </c>
      <c r="O86">
        <f>IF(B86="","",IF(IFERROR(ISNUMBER(SEARCH(TEXT(B86,"0"),VLOOKUP(E86,Machine_List!$B:$J,9,0))),FALSE),"✅ "&amp; E86,"❌ Sug: "&amp;IFERROR(INDEX(Machine_List!$B$50:$B$63,MATCH(1,(Machine_List!$H$50:$H$63&lt;=IFERROR(VLOOKUP($B86,OPR_BR1!$A$4:$K$18,10,0),0))*(Machine_List!$I$50:$I$63&gt;=IFERROR(VLOOKUP($B86,OPR_BR1!$A$4:$K$18,11,0),9999)),0)),"?")))</f>
        <v/>
      </c>
      <c r="P86">
        <f>IF(AND($A86&lt;&gt;"",P$3&gt;=$J86,P$3&lt;=$M86),1,"")</f>
        <v/>
      </c>
      <c r="Q86">
        <f>IF(AND($A86&lt;&gt;"",Q$3&gt;=$J86,Q$3&lt;=$M86),1,"")</f>
        <v/>
      </c>
      <c r="R86">
        <f>IF(AND($A86&lt;&gt;"",R$3&gt;=$J86,R$3&lt;=$M86),1,"")</f>
        <v/>
      </c>
      <c r="S86">
        <f>IF(AND($A86&lt;&gt;"",S$3&gt;=$J86,S$3&lt;=$M86),1,"")</f>
        <v/>
      </c>
      <c r="T86">
        <f>IF(AND($A86&lt;&gt;"",T$3&gt;=$J86,T$3&lt;=$M86),1,"")</f>
        <v/>
      </c>
      <c r="U86">
        <f>IF(AND($A86&lt;&gt;"",U$3&gt;=$J86,U$3&lt;=$M86),1,"")</f>
        <v/>
      </c>
      <c r="V86">
        <f>IF(AND($A86&lt;&gt;"",V$3&gt;=$J86,V$3&lt;=$M86),1,"")</f>
        <v/>
      </c>
      <c r="W86">
        <f>IF(AND($A86&lt;&gt;"",W$3&gt;=$J86,W$3&lt;=$M86),1,"")</f>
        <v/>
      </c>
      <c r="X86">
        <f>IF(AND($A86&lt;&gt;"",X$3&gt;=$J86,X$3&lt;=$M86),1,"")</f>
        <v/>
      </c>
      <c r="Y86">
        <f>IF(AND($A86&lt;&gt;"",Y$3&gt;=$J86,Y$3&lt;=$M86),1,"")</f>
        <v/>
      </c>
      <c r="Z86">
        <f>IF(AND($A86&lt;&gt;"",Z$3&gt;=$J86,Z$3&lt;=$M86),1,"")</f>
        <v/>
      </c>
      <c r="AA86">
        <f>IF(AND($A86&lt;&gt;"",AA$3&gt;=$J86,AA$3&lt;=$M86),1,"")</f>
        <v/>
      </c>
      <c r="AB86">
        <f>IF(AND($A86&lt;&gt;"",AB$3&gt;=$J86,AB$3&lt;=$M86),1,"")</f>
        <v/>
      </c>
      <c r="AC86">
        <f>IF(AND($A86&lt;&gt;"",AC$3&gt;=$J86,AC$3&lt;=$M86),1,"")</f>
        <v/>
      </c>
      <c r="AD86">
        <f>IF(AND($A86&lt;&gt;"",AD$3&gt;=$J86,AD$3&lt;=$M86),1,"")</f>
        <v/>
      </c>
      <c r="AE86">
        <f>IF(AND($A86&lt;&gt;"",AE$3&gt;=$J86,AE$3&lt;=$M86),1,"")</f>
        <v/>
      </c>
      <c r="AF86">
        <f>IF(AND($A86&lt;&gt;"",AF$3&gt;=$J86,AF$3&lt;=$M86),1,"")</f>
        <v/>
      </c>
      <c r="AG86">
        <f>IF(AND($A86&lt;&gt;"",AG$3&gt;=$J86,AG$3&lt;=$M86),1,"")</f>
        <v/>
      </c>
      <c r="AH86">
        <f>IF(AND($A86&lt;&gt;"",AH$3&gt;=$J86,AH$3&lt;=$M86),1,"")</f>
        <v/>
      </c>
      <c r="AI86">
        <f>IF(AND($A86&lt;&gt;"",AI$3&gt;=$J86,AI$3&lt;=$M86),1,"")</f>
        <v/>
      </c>
      <c r="AJ86">
        <f>IF(AND($A86&lt;&gt;"",AJ$3&gt;=$J86,AJ$3&lt;=$M86),1,"")</f>
        <v/>
      </c>
      <c r="AK86">
        <f>IF(AND($A86&lt;&gt;"",AK$3&gt;=$J86,AK$3&lt;=$M86),1,"")</f>
        <v/>
      </c>
      <c r="AL86">
        <f>IF(AND($A86&lt;&gt;"",AL$3&gt;=$J86,AL$3&lt;=$M86),1,"")</f>
        <v/>
      </c>
      <c r="AM86">
        <f>IF(AND($A86&lt;&gt;"",AM$3&gt;=$J86,AM$3&lt;=$M86),1,"")</f>
        <v/>
      </c>
      <c r="AN86">
        <f>IF(AND($A86&lt;&gt;"",AN$3&gt;=$J86,AN$3&lt;=$M86),1,"")</f>
        <v/>
      </c>
      <c r="AO86">
        <f>IF(AND($A86&lt;&gt;"",AO$3&gt;=$J86,AO$3&lt;=$M86),1,"")</f>
        <v/>
      </c>
      <c r="AP86">
        <f>IF(AND($A86&lt;&gt;"",AP$3&gt;=$J86,AP$3&lt;=$M86),1,"")</f>
        <v/>
      </c>
      <c r="AQ86">
        <f>IF(AND($A86&lt;&gt;"",AQ$3&gt;=$J86,AQ$3&lt;=$M86),1,"")</f>
        <v/>
      </c>
      <c r="AR86">
        <f>IF(AND($A86&lt;&gt;"",AR$3&gt;=$J86,AR$3&lt;=$M86),1,"")</f>
        <v/>
      </c>
      <c r="AS86">
        <f>IF(AND($A86&lt;&gt;"",AS$3&gt;=$J86,AS$3&lt;=$M86),1,"")</f>
        <v/>
      </c>
      <c r="AT86">
        <f>IF(AND($A86&lt;&gt;"",AT$3&gt;=$J86,AT$3&lt;=$M86),1,"")</f>
        <v/>
      </c>
      <c r="AU86">
        <f>IF(AND($A86&lt;&gt;"",AU$3&gt;=$J86,AU$3&lt;=$M86),1,"")</f>
        <v/>
      </c>
      <c r="AV86">
        <f>IF(AND($A86&lt;&gt;"",AV$3&gt;=$J86,AV$3&lt;=$M86),1,"")</f>
        <v/>
      </c>
      <c r="AW86">
        <f>IF(AND($A86&lt;&gt;"",AW$3&gt;=$J86,AW$3&lt;=$M86),1,"")</f>
        <v/>
      </c>
      <c r="AX86">
        <f>IF(AND($A86&lt;&gt;"",AX$3&gt;=$J86,AX$3&lt;=$M86),1,"")</f>
        <v/>
      </c>
      <c r="AY86">
        <f>IF(AND($A86&lt;&gt;"",AY$3&gt;=$J86,AY$3&lt;=$M86),1,"")</f>
        <v/>
      </c>
      <c r="AZ86">
        <f>IF(AND($A86&lt;&gt;"",AZ$3&gt;=$J86,AZ$3&lt;=$M86),1,"")</f>
        <v/>
      </c>
      <c r="BA86">
        <f>IF(AND($A86&lt;&gt;"",BA$3&gt;=$J86,BA$3&lt;=$M86),1,"")</f>
        <v/>
      </c>
      <c r="BB86">
        <f>IF(AND($A86&lt;&gt;"",BB$3&gt;=$J86,BB$3&lt;=$M86),1,"")</f>
        <v/>
      </c>
      <c r="BC86">
        <f>IF(AND($A86&lt;&gt;"",BC$3&gt;=$J86,BC$3&lt;=$M86),1,"")</f>
        <v/>
      </c>
      <c r="BD86">
        <f>IF(AND($A86&lt;&gt;"",BD$3&gt;=$J86,BD$3&lt;=$M86),1,"")</f>
        <v/>
      </c>
      <c r="BE86">
        <f>IF(AND($A86&lt;&gt;"",BE$3&gt;=$J86,BE$3&lt;=$M86),1,"")</f>
        <v/>
      </c>
      <c r="BF86">
        <f>IF(AND($A86&lt;&gt;"",BF$3&gt;=$J86,BF$3&lt;=$M86),1,"")</f>
        <v/>
      </c>
      <c r="BG86">
        <f>IF(AND($A86&lt;&gt;"",BG$3&gt;=$J86,BG$3&lt;=$M86),1,"")</f>
        <v/>
      </c>
      <c r="BH86">
        <f>IF(AND($A86&lt;&gt;"",BH$3&gt;=$J86,BH$3&lt;=$M86),1,"")</f>
        <v/>
      </c>
      <c r="BI86">
        <f>IF(AND($A86&lt;&gt;"",BI$3&gt;=$J86,BI$3&lt;=$M86),1,"")</f>
        <v/>
      </c>
      <c r="BJ86">
        <f>IF(AND($A86&lt;&gt;"",BJ$3&gt;=$J86,BJ$3&lt;=$M86),1,"")</f>
        <v/>
      </c>
      <c r="BK86">
        <f>IF(AND($A86&lt;&gt;"",BK$3&gt;=$J86,BK$3&lt;=$M86),1,"")</f>
        <v/>
      </c>
      <c r="BL86">
        <f>IF(AND($A86&lt;&gt;"",BL$3&gt;=$J86,BL$3&lt;=$M86),1,"")</f>
        <v/>
      </c>
      <c r="BM86">
        <f>IF(AND($A86&lt;&gt;"",BM$3&gt;=$J86,BM$3&lt;=$M86),1,"")</f>
        <v/>
      </c>
      <c r="BN86">
        <f>IF(AND($A86&lt;&gt;"",BN$3&gt;=$J86,BN$3&lt;=$M86),1,"")</f>
        <v/>
      </c>
      <c r="BO86">
        <f>IF(AND($A86&lt;&gt;"",BO$3&gt;=$J86,BO$3&lt;=$M86),1,"")</f>
        <v/>
      </c>
      <c r="BP86">
        <f>IF(AND($A86&lt;&gt;"",BP$3&gt;=$J86,BP$3&lt;=$M86),1,"")</f>
        <v/>
      </c>
      <c r="BQ86">
        <f>IF(AND($A86&lt;&gt;"",BQ$3&gt;=$J86,BQ$3&lt;=$M86),1,"")</f>
        <v/>
      </c>
      <c r="BR86">
        <f>IF(AND($A86&lt;&gt;"",BR$3&gt;=$J86,BR$3&lt;=$M86),1,"")</f>
        <v/>
      </c>
      <c r="BS86">
        <f>IF(AND($A86&lt;&gt;"",BS$3&gt;=$J86,BS$3&lt;=$M86),1,"")</f>
        <v/>
      </c>
      <c r="BT86">
        <f>IF(AND($A86&lt;&gt;"",BT$3&gt;=$J86,BT$3&lt;=$M86),1,"")</f>
        <v/>
      </c>
      <c r="BU86">
        <f>IF(AND($A86&lt;&gt;"",BU$3&gt;=$J86,BU$3&lt;=$M86),1,"")</f>
        <v/>
      </c>
      <c r="BV86">
        <f>IF(AND($A86&lt;&gt;"",BV$3&gt;=$J86,BV$3&lt;=$M86),1,"")</f>
        <v/>
      </c>
    </row>
    <row r="87">
      <c r="A87">
        <f>IF(Job_Master_Ring!$A87="","",Job_Master_Ring!$A87)</f>
        <v/>
      </c>
      <c r="B87">
        <f>IF($A87="","",Job_Master_Ring!B87)</f>
        <v/>
      </c>
      <c r="C87">
        <f>IF($A87="","",Job_Master_Ring!C87)</f>
        <v/>
      </c>
      <c r="D87">
        <f>IF($A87="","",Job_Master_Ring!D87)</f>
        <v/>
      </c>
      <c r="E87">
        <f>IF($A87="","",IF($I87&lt;&gt;"",$I87,IFERROR(INDEX(Machine_List!$B$50:$B$63,MATCH(1,(Machine_List!$H$50:$H$63&lt;=IFERROR(VLOOKUP($B87,CHOOSE(MATCH($C87,Settings!$L$4:$L$10,0),OPR_BR1!$A$4:$K$18,OPR_BR2!$A$4:$K$18,OPR_CR2!$A$4:$K$18,OPR_CR3!$A$4:$K$18,OPR_CR4!$A$4:$K$18,OPR_RIM!$A$4:$K$18,OPR_BPR!$A$4:$K$18),10,0),0))*(Machine_List!$I$50:$I$63&gt;=IFERROR(VLOOKUP($B87,CHOOSE(MATCH($C87,Settings!$L$4:$L$10,0),OPR_BR1!$A$4:$K$18,OPR_BR2!$A$4:$K$18,OPR_CR2!$A$4:$K$18,OPR_CR3!$A$4:$K$18,OPR_CR4!$A$4:$K$18,OPR_RIM!$A$4:$K$18,OPR_BPR!$A$4:$K$18),11,0),9999)),0)),"NO COMPATIBLE MACHINE")))</f>
        <v/>
      </c>
      <c r="F87">
        <f>IF($E87="","",IFERROR(VLOOKUP($E87,Machine_List!$B:$G,6,0),""))</f>
        <v/>
      </c>
      <c r="G87" s="17">
        <f>IF($E87="","",IFERROR(VLOOKUP($E87,Machine_List!$B:$C,2,0),""))</f>
        <v/>
      </c>
      <c r="H87">
        <f>IF($E87="","",IFERROR(VLOOKUP($E87,Machine_List!$B:$D,3,0),""))</f>
        <v/>
      </c>
      <c r="J87" s="16">
        <f>IF($A87="","",IF($I87&lt;&gt;"",$I87,MAX(CNC_Plan!$M87,IFERROR(LOOKUP(2,1/($E$3:INDIRECT("E"&amp;(ROW()-1))=$E87),$M$3:INDIRECT("M"&amp;(ROW()-1))),CNC_Plan!$M87))))</f>
        <v/>
      </c>
      <c r="K87">
        <f>IF($A87="","",IFERROR(VLOOKUP(B87,CHOOSE(MATCH($C87,Settings!$L$4:$L$10,0),OPR_BR1!$A$4:$I$18,OPR_BR2!$A$4:$I$18,OPR_CR2!$A$4:$I$18,OPR_CR3!$A$4:$I$18,OPR_CR4!$A$4:$I$18,OPR_RIM!$A$4:$I$18,OPR_BPR!$A$4:$I$18),6,0),0))</f>
        <v/>
      </c>
      <c r="L87">
        <f>IF($A87="","",K87*D87)</f>
        <v/>
      </c>
      <c r="M87" s="16">
        <f>IF($A87="","",IF(AND(ISNUMBER(G87),G87&gt;=J87,G87&lt;=(J87+(L87/(IF(F87="Contract Workman",Settings!$K$5,Settings!$K$4))))),J87+(L87/(IF(F87="Contract Workman",Settings!$K$5,Settings!$K$4)))+(H87/(IF(F87="Contract Workman",Settings!$K$5,Settings!$K$4))),J87+(L87/(IF(F87="Contract Workman",Settings!$K$5,Settings!$K$4)))))</f>
        <v/>
      </c>
      <c r="N87">
        <f>IF($A87="","",IF(F87="Contract Workman",IF(AND(MOD(M87,1)&gt;=8/24,MOD(M87,1)&lt;20/24),"Shift S1","Shift S2"),IF(AND(MOD(M87,1)&gt;=7/24,MOD(M87,1)&lt;15/24),"Shift A",IF(AND(MOD(M87,1)&gt;=15/24,MOD(M87,1)&lt;23/24),"Shift B","Shift C"))))</f>
        <v/>
      </c>
      <c r="O87">
        <f>IF(B87="","",IF(IFERROR(ISNUMBER(SEARCH(TEXT(B87,"0"),VLOOKUP(E87,Machine_List!$B:$J,9,0))),FALSE),"✅ "&amp; E87,"❌ Sug: "&amp;IFERROR(INDEX(Machine_List!$B$50:$B$63,MATCH(1,(Machine_List!$H$50:$H$63&lt;=IFERROR(VLOOKUP($B87,OPR_BR1!$A$4:$K$18,10,0),0))*(Machine_List!$I$50:$I$63&gt;=IFERROR(VLOOKUP($B87,OPR_BR1!$A$4:$K$18,11,0),9999)),0)),"?")))</f>
        <v/>
      </c>
      <c r="P87">
        <f>IF(AND($A87&lt;&gt;"",P$3&gt;=$J87,P$3&lt;=$M87),1,"")</f>
        <v/>
      </c>
      <c r="Q87">
        <f>IF(AND($A87&lt;&gt;"",Q$3&gt;=$J87,Q$3&lt;=$M87),1,"")</f>
        <v/>
      </c>
      <c r="R87">
        <f>IF(AND($A87&lt;&gt;"",R$3&gt;=$J87,R$3&lt;=$M87),1,"")</f>
        <v/>
      </c>
      <c r="S87">
        <f>IF(AND($A87&lt;&gt;"",S$3&gt;=$J87,S$3&lt;=$M87),1,"")</f>
        <v/>
      </c>
      <c r="T87">
        <f>IF(AND($A87&lt;&gt;"",T$3&gt;=$J87,T$3&lt;=$M87),1,"")</f>
        <v/>
      </c>
      <c r="U87">
        <f>IF(AND($A87&lt;&gt;"",U$3&gt;=$J87,U$3&lt;=$M87),1,"")</f>
        <v/>
      </c>
      <c r="V87">
        <f>IF(AND($A87&lt;&gt;"",V$3&gt;=$J87,V$3&lt;=$M87),1,"")</f>
        <v/>
      </c>
      <c r="W87">
        <f>IF(AND($A87&lt;&gt;"",W$3&gt;=$J87,W$3&lt;=$M87),1,"")</f>
        <v/>
      </c>
      <c r="X87">
        <f>IF(AND($A87&lt;&gt;"",X$3&gt;=$J87,X$3&lt;=$M87),1,"")</f>
        <v/>
      </c>
      <c r="Y87">
        <f>IF(AND($A87&lt;&gt;"",Y$3&gt;=$J87,Y$3&lt;=$M87),1,"")</f>
        <v/>
      </c>
      <c r="Z87">
        <f>IF(AND($A87&lt;&gt;"",Z$3&gt;=$J87,Z$3&lt;=$M87),1,"")</f>
        <v/>
      </c>
      <c r="AA87">
        <f>IF(AND($A87&lt;&gt;"",AA$3&gt;=$J87,AA$3&lt;=$M87),1,"")</f>
        <v/>
      </c>
      <c r="AB87">
        <f>IF(AND($A87&lt;&gt;"",AB$3&gt;=$J87,AB$3&lt;=$M87),1,"")</f>
        <v/>
      </c>
      <c r="AC87">
        <f>IF(AND($A87&lt;&gt;"",AC$3&gt;=$J87,AC$3&lt;=$M87),1,"")</f>
        <v/>
      </c>
      <c r="AD87">
        <f>IF(AND($A87&lt;&gt;"",AD$3&gt;=$J87,AD$3&lt;=$M87),1,"")</f>
        <v/>
      </c>
      <c r="AE87">
        <f>IF(AND($A87&lt;&gt;"",AE$3&gt;=$J87,AE$3&lt;=$M87),1,"")</f>
        <v/>
      </c>
      <c r="AF87">
        <f>IF(AND($A87&lt;&gt;"",AF$3&gt;=$J87,AF$3&lt;=$M87),1,"")</f>
        <v/>
      </c>
      <c r="AG87">
        <f>IF(AND($A87&lt;&gt;"",AG$3&gt;=$J87,AG$3&lt;=$M87),1,"")</f>
        <v/>
      </c>
      <c r="AH87">
        <f>IF(AND($A87&lt;&gt;"",AH$3&gt;=$J87,AH$3&lt;=$M87),1,"")</f>
        <v/>
      </c>
      <c r="AI87">
        <f>IF(AND($A87&lt;&gt;"",AI$3&gt;=$J87,AI$3&lt;=$M87),1,"")</f>
        <v/>
      </c>
      <c r="AJ87">
        <f>IF(AND($A87&lt;&gt;"",AJ$3&gt;=$J87,AJ$3&lt;=$M87),1,"")</f>
        <v/>
      </c>
      <c r="AK87">
        <f>IF(AND($A87&lt;&gt;"",AK$3&gt;=$J87,AK$3&lt;=$M87),1,"")</f>
        <v/>
      </c>
      <c r="AL87">
        <f>IF(AND($A87&lt;&gt;"",AL$3&gt;=$J87,AL$3&lt;=$M87),1,"")</f>
        <v/>
      </c>
      <c r="AM87">
        <f>IF(AND($A87&lt;&gt;"",AM$3&gt;=$J87,AM$3&lt;=$M87),1,"")</f>
        <v/>
      </c>
      <c r="AN87">
        <f>IF(AND($A87&lt;&gt;"",AN$3&gt;=$J87,AN$3&lt;=$M87),1,"")</f>
        <v/>
      </c>
      <c r="AO87">
        <f>IF(AND($A87&lt;&gt;"",AO$3&gt;=$J87,AO$3&lt;=$M87),1,"")</f>
        <v/>
      </c>
      <c r="AP87">
        <f>IF(AND($A87&lt;&gt;"",AP$3&gt;=$J87,AP$3&lt;=$M87),1,"")</f>
        <v/>
      </c>
      <c r="AQ87">
        <f>IF(AND($A87&lt;&gt;"",AQ$3&gt;=$J87,AQ$3&lt;=$M87),1,"")</f>
        <v/>
      </c>
      <c r="AR87">
        <f>IF(AND($A87&lt;&gt;"",AR$3&gt;=$J87,AR$3&lt;=$M87),1,"")</f>
        <v/>
      </c>
      <c r="AS87">
        <f>IF(AND($A87&lt;&gt;"",AS$3&gt;=$J87,AS$3&lt;=$M87),1,"")</f>
        <v/>
      </c>
      <c r="AT87">
        <f>IF(AND($A87&lt;&gt;"",AT$3&gt;=$J87,AT$3&lt;=$M87),1,"")</f>
        <v/>
      </c>
      <c r="AU87">
        <f>IF(AND($A87&lt;&gt;"",AU$3&gt;=$J87,AU$3&lt;=$M87),1,"")</f>
        <v/>
      </c>
      <c r="AV87">
        <f>IF(AND($A87&lt;&gt;"",AV$3&gt;=$J87,AV$3&lt;=$M87),1,"")</f>
        <v/>
      </c>
      <c r="AW87">
        <f>IF(AND($A87&lt;&gt;"",AW$3&gt;=$J87,AW$3&lt;=$M87),1,"")</f>
        <v/>
      </c>
      <c r="AX87">
        <f>IF(AND($A87&lt;&gt;"",AX$3&gt;=$J87,AX$3&lt;=$M87),1,"")</f>
        <v/>
      </c>
      <c r="AY87">
        <f>IF(AND($A87&lt;&gt;"",AY$3&gt;=$J87,AY$3&lt;=$M87),1,"")</f>
        <v/>
      </c>
      <c r="AZ87">
        <f>IF(AND($A87&lt;&gt;"",AZ$3&gt;=$J87,AZ$3&lt;=$M87),1,"")</f>
        <v/>
      </c>
      <c r="BA87">
        <f>IF(AND($A87&lt;&gt;"",BA$3&gt;=$J87,BA$3&lt;=$M87),1,"")</f>
        <v/>
      </c>
      <c r="BB87">
        <f>IF(AND($A87&lt;&gt;"",BB$3&gt;=$J87,BB$3&lt;=$M87),1,"")</f>
        <v/>
      </c>
      <c r="BC87">
        <f>IF(AND($A87&lt;&gt;"",BC$3&gt;=$J87,BC$3&lt;=$M87),1,"")</f>
        <v/>
      </c>
      <c r="BD87">
        <f>IF(AND($A87&lt;&gt;"",BD$3&gt;=$J87,BD$3&lt;=$M87),1,"")</f>
        <v/>
      </c>
      <c r="BE87">
        <f>IF(AND($A87&lt;&gt;"",BE$3&gt;=$J87,BE$3&lt;=$M87),1,"")</f>
        <v/>
      </c>
      <c r="BF87">
        <f>IF(AND($A87&lt;&gt;"",BF$3&gt;=$J87,BF$3&lt;=$M87),1,"")</f>
        <v/>
      </c>
      <c r="BG87">
        <f>IF(AND($A87&lt;&gt;"",BG$3&gt;=$J87,BG$3&lt;=$M87),1,"")</f>
        <v/>
      </c>
      <c r="BH87">
        <f>IF(AND($A87&lt;&gt;"",BH$3&gt;=$J87,BH$3&lt;=$M87),1,"")</f>
        <v/>
      </c>
      <c r="BI87">
        <f>IF(AND($A87&lt;&gt;"",BI$3&gt;=$J87,BI$3&lt;=$M87),1,"")</f>
        <v/>
      </c>
      <c r="BJ87">
        <f>IF(AND($A87&lt;&gt;"",BJ$3&gt;=$J87,BJ$3&lt;=$M87),1,"")</f>
        <v/>
      </c>
      <c r="BK87">
        <f>IF(AND($A87&lt;&gt;"",BK$3&gt;=$J87,BK$3&lt;=$M87),1,"")</f>
        <v/>
      </c>
      <c r="BL87">
        <f>IF(AND($A87&lt;&gt;"",BL$3&gt;=$J87,BL$3&lt;=$M87),1,"")</f>
        <v/>
      </c>
      <c r="BM87">
        <f>IF(AND($A87&lt;&gt;"",BM$3&gt;=$J87,BM$3&lt;=$M87),1,"")</f>
        <v/>
      </c>
      <c r="BN87">
        <f>IF(AND($A87&lt;&gt;"",BN$3&gt;=$J87,BN$3&lt;=$M87),1,"")</f>
        <v/>
      </c>
      <c r="BO87">
        <f>IF(AND($A87&lt;&gt;"",BO$3&gt;=$J87,BO$3&lt;=$M87),1,"")</f>
        <v/>
      </c>
      <c r="BP87">
        <f>IF(AND($A87&lt;&gt;"",BP$3&gt;=$J87,BP$3&lt;=$M87),1,"")</f>
        <v/>
      </c>
      <c r="BQ87">
        <f>IF(AND($A87&lt;&gt;"",BQ$3&gt;=$J87,BQ$3&lt;=$M87),1,"")</f>
        <v/>
      </c>
      <c r="BR87">
        <f>IF(AND($A87&lt;&gt;"",BR$3&gt;=$J87,BR$3&lt;=$M87),1,"")</f>
        <v/>
      </c>
      <c r="BS87">
        <f>IF(AND($A87&lt;&gt;"",BS$3&gt;=$J87,BS$3&lt;=$M87),1,"")</f>
        <v/>
      </c>
      <c r="BT87">
        <f>IF(AND($A87&lt;&gt;"",BT$3&gt;=$J87,BT$3&lt;=$M87),1,"")</f>
        <v/>
      </c>
      <c r="BU87">
        <f>IF(AND($A87&lt;&gt;"",BU$3&gt;=$J87,BU$3&lt;=$M87),1,"")</f>
        <v/>
      </c>
      <c r="BV87">
        <f>IF(AND($A87&lt;&gt;"",BV$3&gt;=$J87,BV$3&lt;=$M87),1,"")</f>
        <v/>
      </c>
    </row>
    <row r="88">
      <c r="A88">
        <f>IF(Job_Master_Ring!$A88="","",Job_Master_Ring!$A88)</f>
        <v/>
      </c>
      <c r="B88">
        <f>IF($A88="","",Job_Master_Ring!B88)</f>
        <v/>
      </c>
      <c r="C88">
        <f>IF($A88="","",Job_Master_Ring!C88)</f>
        <v/>
      </c>
      <c r="D88">
        <f>IF($A88="","",Job_Master_Ring!D88)</f>
        <v/>
      </c>
      <c r="E88">
        <f>IF($A88="","",IF($I88&lt;&gt;"",$I88,IFERROR(INDEX(Machine_List!$B$50:$B$63,MATCH(1,(Machine_List!$H$50:$H$63&lt;=IFERROR(VLOOKUP($B88,CHOOSE(MATCH($C88,Settings!$L$4:$L$10,0),OPR_BR1!$A$4:$K$18,OPR_BR2!$A$4:$K$18,OPR_CR2!$A$4:$K$18,OPR_CR3!$A$4:$K$18,OPR_CR4!$A$4:$K$18,OPR_RIM!$A$4:$K$18,OPR_BPR!$A$4:$K$18),10,0),0))*(Machine_List!$I$50:$I$63&gt;=IFERROR(VLOOKUP($B88,CHOOSE(MATCH($C88,Settings!$L$4:$L$10,0),OPR_BR1!$A$4:$K$18,OPR_BR2!$A$4:$K$18,OPR_CR2!$A$4:$K$18,OPR_CR3!$A$4:$K$18,OPR_CR4!$A$4:$K$18,OPR_RIM!$A$4:$K$18,OPR_BPR!$A$4:$K$18),11,0),9999)),0)),"NO COMPATIBLE MACHINE")))</f>
        <v/>
      </c>
      <c r="F88">
        <f>IF($E88="","",IFERROR(VLOOKUP($E88,Machine_List!$B:$G,6,0),""))</f>
        <v/>
      </c>
      <c r="G88" s="17">
        <f>IF($E88="","",IFERROR(VLOOKUP($E88,Machine_List!$B:$C,2,0),""))</f>
        <v/>
      </c>
      <c r="H88">
        <f>IF($E88="","",IFERROR(VLOOKUP($E88,Machine_List!$B:$D,3,0),""))</f>
        <v/>
      </c>
      <c r="J88" s="16">
        <f>IF($A88="","",IF($I88&lt;&gt;"",$I88,MAX(CNC_Plan!$M88,IFERROR(LOOKUP(2,1/($E$3:INDIRECT("E"&amp;(ROW()-1))=$E88),$M$3:INDIRECT("M"&amp;(ROW()-1))),CNC_Plan!$M88))))</f>
        <v/>
      </c>
      <c r="K88">
        <f>IF($A88="","",IFERROR(VLOOKUP(B88,CHOOSE(MATCH($C88,Settings!$L$4:$L$10,0),OPR_BR1!$A$4:$I$18,OPR_BR2!$A$4:$I$18,OPR_CR2!$A$4:$I$18,OPR_CR3!$A$4:$I$18,OPR_CR4!$A$4:$I$18,OPR_RIM!$A$4:$I$18,OPR_BPR!$A$4:$I$18),6,0),0))</f>
        <v/>
      </c>
      <c r="L88">
        <f>IF($A88="","",K88*D88)</f>
        <v/>
      </c>
      <c r="M88" s="16">
        <f>IF($A88="","",IF(AND(ISNUMBER(G88),G88&gt;=J88,G88&lt;=(J88+(L88/(IF(F88="Contract Workman",Settings!$K$5,Settings!$K$4))))),J88+(L88/(IF(F88="Contract Workman",Settings!$K$5,Settings!$K$4)))+(H88/(IF(F88="Contract Workman",Settings!$K$5,Settings!$K$4))),J88+(L88/(IF(F88="Contract Workman",Settings!$K$5,Settings!$K$4)))))</f>
        <v/>
      </c>
      <c r="N88">
        <f>IF($A88="","",IF(F88="Contract Workman",IF(AND(MOD(M88,1)&gt;=8/24,MOD(M88,1)&lt;20/24),"Shift S1","Shift S2"),IF(AND(MOD(M88,1)&gt;=7/24,MOD(M88,1)&lt;15/24),"Shift A",IF(AND(MOD(M88,1)&gt;=15/24,MOD(M88,1)&lt;23/24),"Shift B","Shift C"))))</f>
        <v/>
      </c>
      <c r="O88">
        <f>IF(B88="","",IF(IFERROR(ISNUMBER(SEARCH(TEXT(B88,"0"),VLOOKUP(E88,Machine_List!$B:$J,9,0))),FALSE),"✅ "&amp; E88,"❌ Sug: "&amp;IFERROR(INDEX(Machine_List!$B$50:$B$63,MATCH(1,(Machine_List!$H$50:$H$63&lt;=IFERROR(VLOOKUP($B88,OPR_BR1!$A$4:$K$18,10,0),0))*(Machine_List!$I$50:$I$63&gt;=IFERROR(VLOOKUP($B88,OPR_BR1!$A$4:$K$18,11,0),9999)),0)),"?")))</f>
        <v/>
      </c>
      <c r="P88">
        <f>IF(AND($A88&lt;&gt;"",P$3&gt;=$J88,P$3&lt;=$M88),1,"")</f>
        <v/>
      </c>
      <c r="Q88">
        <f>IF(AND($A88&lt;&gt;"",Q$3&gt;=$J88,Q$3&lt;=$M88),1,"")</f>
        <v/>
      </c>
      <c r="R88">
        <f>IF(AND($A88&lt;&gt;"",R$3&gt;=$J88,R$3&lt;=$M88),1,"")</f>
        <v/>
      </c>
      <c r="S88">
        <f>IF(AND($A88&lt;&gt;"",S$3&gt;=$J88,S$3&lt;=$M88),1,"")</f>
        <v/>
      </c>
      <c r="T88">
        <f>IF(AND($A88&lt;&gt;"",T$3&gt;=$J88,T$3&lt;=$M88),1,"")</f>
        <v/>
      </c>
      <c r="U88">
        <f>IF(AND($A88&lt;&gt;"",U$3&gt;=$J88,U$3&lt;=$M88),1,"")</f>
        <v/>
      </c>
      <c r="V88">
        <f>IF(AND($A88&lt;&gt;"",V$3&gt;=$J88,V$3&lt;=$M88),1,"")</f>
        <v/>
      </c>
      <c r="W88">
        <f>IF(AND($A88&lt;&gt;"",W$3&gt;=$J88,W$3&lt;=$M88),1,"")</f>
        <v/>
      </c>
      <c r="X88">
        <f>IF(AND($A88&lt;&gt;"",X$3&gt;=$J88,X$3&lt;=$M88),1,"")</f>
        <v/>
      </c>
      <c r="Y88">
        <f>IF(AND($A88&lt;&gt;"",Y$3&gt;=$J88,Y$3&lt;=$M88),1,"")</f>
        <v/>
      </c>
      <c r="Z88">
        <f>IF(AND($A88&lt;&gt;"",Z$3&gt;=$J88,Z$3&lt;=$M88),1,"")</f>
        <v/>
      </c>
      <c r="AA88">
        <f>IF(AND($A88&lt;&gt;"",AA$3&gt;=$J88,AA$3&lt;=$M88),1,"")</f>
        <v/>
      </c>
      <c r="AB88">
        <f>IF(AND($A88&lt;&gt;"",AB$3&gt;=$J88,AB$3&lt;=$M88),1,"")</f>
        <v/>
      </c>
      <c r="AC88">
        <f>IF(AND($A88&lt;&gt;"",AC$3&gt;=$J88,AC$3&lt;=$M88),1,"")</f>
        <v/>
      </c>
      <c r="AD88">
        <f>IF(AND($A88&lt;&gt;"",AD$3&gt;=$J88,AD$3&lt;=$M88),1,"")</f>
        <v/>
      </c>
      <c r="AE88">
        <f>IF(AND($A88&lt;&gt;"",AE$3&gt;=$J88,AE$3&lt;=$M88),1,"")</f>
        <v/>
      </c>
      <c r="AF88">
        <f>IF(AND($A88&lt;&gt;"",AF$3&gt;=$J88,AF$3&lt;=$M88),1,"")</f>
        <v/>
      </c>
      <c r="AG88">
        <f>IF(AND($A88&lt;&gt;"",AG$3&gt;=$J88,AG$3&lt;=$M88),1,"")</f>
        <v/>
      </c>
      <c r="AH88">
        <f>IF(AND($A88&lt;&gt;"",AH$3&gt;=$J88,AH$3&lt;=$M88),1,"")</f>
        <v/>
      </c>
      <c r="AI88">
        <f>IF(AND($A88&lt;&gt;"",AI$3&gt;=$J88,AI$3&lt;=$M88),1,"")</f>
        <v/>
      </c>
      <c r="AJ88">
        <f>IF(AND($A88&lt;&gt;"",AJ$3&gt;=$J88,AJ$3&lt;=$M88),1,"")</f>
        <v/>
      </c>
      <c r="AK88">
        <f>IF(AND($A88&lt;&gt;"",AK$3&gt;=$J88,AK$3&lt;=$M88),1,"")</f>
        <v/>
      </c>
      <c r="AL88">
        <f>IF(AND($A88&lt;&gt;"",AL$3&gt;=$J88,AL$3&lt;=$M88),1,"")</f>
        <v/>
      </c>
      <c r="AM88">
        <f>IF(AND($A88&lt;&gt;"",AM$3&gt;=$J88,AM$3&lt;=$M88),1,"")</f>
        <v/>
      </c>
      <c r="AN88">
        <f>IF(AND($A88&lt;&gt;"",AN$3&gt;=$J88,AN$3&lt;=$M88),1,"")</f>
        <v/>
      </c>
      <c r="AO88">
        <f>IF(AND($A88&lt;&gt;"",AO$3&gt;=$J88,AO$3&lt;=$M88),1,"")</f>
        <v/>
      </c>
      <c r="AP88">
        <f>IF(AND($A88&lt;&gt;"",AP$3&gt;=$J88,AP$3&lt;=$M88),1,"")</f>
        <v/>
      </c>
      <c r="AQ88">
        <f>IF(AND($A88&lt;&gt;"",AQ$3&gt;=$J88,AQ$3&lt;=$M88),1,"")</f>
        <v/>
      </c>
      <c r="AR88">
        <f>IF(AND($A88&lt;&gt;"",AR$3&gt;=$J88,AR$3&lt;=$M88),1,"")</f>
        <v/>
      </c>
      <c r="AS88">
        <f>IF(AND($A88&lt;&gt;"",AS$3&gt;=$J88,AS$3&lt;=$M88),1,"")</f>
        <v/>
      </c>
      <c r="AT88">
        <f>IF(AND($A88&lt;&gt;"",AT$3&gt;=$J88,AT$3&lt;=$M88),1,"")</f>
        <v/>
      </c>
      <c r="AU88">
        <f>IF(AND($A88&lt;&gt;"",AU$3&gt;=$J88,AU$3&lt;=$M88),1,"")</f>
        <v/>
      </c>
      <c r="AV88">
        <f>IF(AND($A88&lt;&gt;"",AV$3&gt;=$J88,AV$3&lt;=$M88),1,"")</f>
        <v/>
      </c>
      <c r="AW88">
        <f>IF(AND($A88&lt;&gt;"",AW$3&gt;=$J88,AW$3&lt;=$M88),1,"")</f>
        <v/>
      </c>
      <c r="AX88">
        <f>IF(AND($A88&lt;&gt;"",AX$3&gt;=$J88,AX$3&lt;=$M88),1,"")</f>
        <v/>
      </c>
      <c r="AY88">
        <f>IF(AND($A88&lt;&gt;"",AY$3&gt;=$J88,AY$3&lt;=$M88),1,"")</f>
        <v/>
      </c>
      <c r="AZ88">
        <f>IF(AND($A88&lt;&gt;"",AZ$3&gt;=$J88,AZ$3&lt;=$M88),1,"")</f>
        <v/>
      </c>
      <c r="BA88">
        <f>IF(AND($A88&lt;&gt;"",BA$3&gt;=$J88,BA$3&lt;=$M88),1,"")</f>
        <v/>
      </c>
      <c r="BB88">
        <f>IF(AND($A88&lt;&gt;"",BB$3&gt;=$J88,BB$3&lt;=$M88),1,"")</f>
        <v/>
      </c>
      <c r="BC88">
        <f>IF(AND($A88&lt;&gt;"",BC$3&gt;=$J88,BC$3&lt;=$M88),1,"")</f>
        <v/>
      </c>
      <c r="BD88">
        <f>IF(AND($A88&lt;&gt;"",BD$3&gt;=$J88,BD$3&lt;=$M88),1,"")</f>
        <v/>
      </c>
      <c r="BE88">
        <f>IF(AND($A88&lt;&gt;"",BE$3&gt;=$J88,BE$3&lt;=$M88),1,"")</f>
        <v/>
      </c>
      <c r="BF88">
        <f>IF(AND($A88&lt;&gt;"",BF$3&gt;=$J88,BF$3&lt;=$M88),1,"")</f>
        <v/>
      </c>
      <c r="BG88">
        <f>IF(AND($A88&lt;&gt;"",BG$3&gt;=$J88,BG$3&lt;=$M88),1,"")</f>
        <v/>
      </c>
      <c r="BH88">
        <f>IF(AND($A88&lt;&gt;"",BH$3&gt;=$J88,BH$3&lt;=$M88),1,"")</f>
        <v/>
      </c>
      <c r="BI88">
        <f>IF(AND($A88&lt;&gt;"",BI$3&gt;=$J88,BI$3&lt;=$M88),1,"")</f>
        <v/>
      </c>
      <c r="BJ88">
        <f>IF(AND($A88&lt;&gt;"",BJ$3&gt;=$J88,BJ$3&lt;=$M88),1,"")</f>
        <v/>
      </c>
      <c r="BK88">
        <f>IF(AND($A88&lt;&gt;"",BK$3&gt;=$J88,BK$3&lt;=$M88),1,"")</f>
        <v/>
      </c>
      <c r="BL88">
        <f>IF(AND($A88&lt;&gt;"",BL$3&gt;=$J88,BL$3&lt;=$M88),1,"")</f>
        <v/>
      </c>
      <c r="BM88">
        <f>IF(AND($A88&lt;&gt;"",BM$3&gt;=$J88,BM$3&lt;=$M88),1,"")</f>
        <v/>
      </c>
      <c r="BN88">
        <f>IF(AND($A88&lt;&gt;"",BN$3&gt;=$J88,BN$3&lt;=$M88),1,"")</f>
        <v/>
      </c>
      <c r="BO88">
        <f>IF(AND($A88&lt;&gt;"",BO$3&gt;=$J88,BO$3&lt;=$M88),1,"")</f>
        <v/>
      </c>
      <c r="BP88">
        <f>IF(AND($A88&lt;&gt;"",BP$3&gt;=$J88,BP$3&lt;=$M88),1,"")</f>
        <v/>
      </c>
      <c r="BQ88">
        <f>IF(AND($A88&lt;&gt;"",BQ$3&gt;=$J88,BQ$3&lt;=$M88),1,"")</f>
        <v/>
      </c>
      <c r="BR88">
        <f>IF(AND($A88&lt;&gt;"",BR$3&gt;=$J88,BR$3&lt;=$M88),1,"")</f>
        <v/>
      </c>
      <c r="BS88">
        <f>IF(AND($A88&lt;&gt;"",BS$3&gt;=$J88,BS$3&lt;=$M88),1,"")</f>
        <v/>
      </c>
      <c r="BT88">
        <f>IF(AND($A88&lt;&gt;"",BT$3&gt;=$J88,BT$3&lt;=$M88),1,"")</f>
        <v/>
      </c>
      <c r="BU88">
        <f>IF(AND($A88&lt;&gt;"",BU$3&gt;=$J88,BU$3&lt;=$M88),1,"")</f>
        <v/>
      </c>
      <c r="BV88">
        <f>IF(AND($A88&lt;&gt;"",BV$3&gt;=$J88,BV$3&lt;=$M88),1,"")</f>
        <v/>
      </c>
    </row>
    <row r="89">
      <c r="A89">
        <f>IF(Job_Master_Ring!$A89="","",Job_Master_Ring!$A89)</f>
        <v/>
      </c>
      <c r="B89">
        <f>IF($A89="","",Job_Master_Ring!B89)</f>
        <v/>
      </c>
      <c r="C89">
        <f>IF($A89="","",Job_Master_Ring!C89)</f>
        <v/>
      </c>
      <c r="D89">
        <f>IF($A89="","",Job_Master_Ring!D89)</f>
        <v/>
      </c>
      <c r="E89">
        <f>IF($A89="","",IF($I89&lt;&gt;"",$I89,IFERROR(INDEX(Machine_List!$B$50:$B$63,MATCH(1,(Machine_List!$H$50:$H$63&lt;=IFERROR(VLOOKUP($B89,CHOOSE(MATCH($C89,Settings!$L$4:$L$10,0),OPR_BR1!$A$4:$K$18,OPR_BR2!$A$4:$K$18,OPR_CR2!$A$4:$K$18,OPR_CR3!$A$4:$K$18,OPR_CR4!$A$4:$K$18,OPR_RIM!$A$4:$K$18,OPR_BPR!$A$4:$K$18),10,0),0))*(Machine_List!$I$50:$I$63&gt;=IFERROR(VLOOKUP($B89,CHOOSE(MATCH($C89,Settings!$L$4:$L$10,0),OPR_BR1!$A$4:$K$18,OPR_BR2!$A$4:$K$18,OPR_CR2!$A$4:$K$18,OPR_CR3!$A$4:$K$18,OPR_CR4!$A$4:$K$18,OPR_RIM!$A$4:$K$18,OPR_BPR!$A$4:$K$18),11,0),9999)),0)),"NO COMPATIBLE MACHINE")))</f>
        <v/>
      </c>
      <c r="F89">
        <f>IF($E89="","",IFERROR(VLOOKUP($E89,Machine_List!$B:$G,6,0),""))</f>
        <v/>
      </c>
      <c r="G89" s="17">
        <f>IF($E89="","",IFERROR(VLOOKUP($E89,Machine_List!$B:$C,2,0),""))</f>
        <v/>
      </c>
      <c r="H89">
        <f>IF($E89="","",IFERROR(VLOOKUP($E89,Machine_List!$B:$D,3,0),""))</f>
        <v/>
      </c>
      <c r="J89" s="16">
        <f>IF($A89="","",IF($I89&lt;&gt;"",$I89,MAX(CNC_Plan!$M89,IFERROR(LOOKUP(2,1/($E$3:INDIRECT("E"&amp;(ROW()-1))=$E89),$M$3:INDIRECT("M"&amp;(ROW()-1))),CNC_Plan!$M89))))</f>
        <v/>
      </c>
      <c r="K89">
        <f>IF($A89="","",IFERROR(VLOOKUP(B89,CHOOSE(MATCH($C89,Settings!$L$4:$L$10,0),OPR_BR1!$A$4:$I$18,OPR_BR2!$A$4:$I$18,OPR_CR2!$A$4:$I$18,OPR_CR3!$A$4:$I$18,OPR_CR4!$A$4:$I$18,OPR_RIM!$A$4:$I$18,OPR_BPR!$A$4:$I$18),6,0),0))</f>
        <v/>
      </c>
      <c r="L89">
        <f>IF($A89="","",K89*D89)</f>
        <v/>
      </c>
      <c r="M89" s="16">
        <f>IF($A89="","",IF(AND(ISNUMBER(G89),G89&gt;=J89,G89&lt;=(J89+(L89/(IF(F89="Contract Workman",Settings!$K$5,Settings!$K$4))))),J89+(L89/(IF(F89="Contract Workman",Settings!$K$5,Settings!$K$4)))+(H89/(IF(F89="Contract Workman",Settings!$K$5,Settings!$K$4))),J89+(L89/(IF(F89="Contract Workman",Settings!$K$5,Settings!$K$4)))))</f>
        <v/>
      </c>
      <c r="N89">
        <f>IF($A89="","",IF(F89="Contract Workman",IF(AND(MOD(M89,1)&gt;=8/24,MOD(M89,1)&lt;20/24),"Shift S1","Shift S2"),IF(AND(MOD(M89,1)&gt;=7/24,MOD(M89,1)&lt;15/24),"Shift A",IF(AND(MOD(M89,1)&gt;=15/24,MOD(M89,1)&lt;23/24),"Shift B","Shift C"))))</f>
        <v/>
      </c>
      <c r="O89">
        <f>IF(B89="","",IF(IFERROR(ISNUMBER(SEARCH(TEXT(B89,"0"),VLOOKUP(E89,Machine_List!$B:$J,9,0))),FALSE),"✅ "&amp; E89,"❌ Sug: "&amp;IFERROR(INDEX(Machine_List!$B$50:$B$63,MATCH(1,(Machine_List!$H$50:$H$63&lt;=IFERROR(VLOOKUP($B89,OPR_BR1!$A$4:$K$18,10,0),0))*(Machine_List!$I$50:$I$63&gt;=IFERROR(VLOOKUP($B89,OPR_BR1!$A$4:$K$18,11,0),9999)),0)),"?")))</f>
        <v/>
      </c>
      <c r="P89">
        <f>IF(AND($A89&lt;&gt;"",P$3&gt;=$J89,P$3&lt;=$M89),1,"")</f>
        <v/>
      </c>
      <c r="Q89">
        <f>IF(AND($A89&lt;&gt;"",Q$3&gt;=$J89,Q$3&lt;=$M89),1,"")</f>
        <v/>
      </c>
      <c r="R89">
        <f>IF(AND($A89&lt;&gt;"",R$3&gt;=$J89,R$3&lt;=$M89),1,"")</f>
        <v/>
      </c>
      <c r="S89">
        <f>IF(AND($A89&lt;&gt;"",S$3&gt;=$J89,S$3&lt;=$M89),1,"")</f>
        <v/>
      </c>
      <c r="T89">
        <f>IF(AND($A89&lt;&gt;"",T$3&gt;=$J89,T$3&lt;=$M89),1,"")</f>
        <v/>
      </c>
      <c r="U89">
        <f>IF(AND($A89&lt;&gt;"",U$3&gt;=$J89,U$3&lt;=$M89),1,"")</f>
        <v/>
      </c>
      <c r="V89">
        <f>IF(AND($A89&lt;&gt;"",V$3&gt;=$J89,V$3&lt;=$M89),1,"")</f>
        <v/>
      </c>
      <c r="W89">
        <f>IF(AND($A89&lt;&gt;"",W$3&gt;=$J89,W$3&lt;=$M89),1,"")</f>
        <v/>
      </c>
      <c r="X89">
        <f>IF(AND($A89&lt;&gt;"",X$3&gt;=$J89,X$3&lt;=$M89),1,"")</f>
        <v/>
      </c>
      <c r="Y89">
        <f>IF(AND($A89&lt;&gt;"",Y$3&gt;=$J89,Y$3&lt;=$M89),1,"")</f>
        <v/>
      </c>
      <c r="Z89">
        <f>IF(AND($A89&lt;&gt;"",Z$3&gt;=$J89,Z$3&lt;=$M89),1,"")</f>
        <v/>
      </c>
      <c r="AA89">
        <f>IF(AND($A89&lt;&gt;"",AA$3&gt;=$J89,AA$3&lt;=$M89),1,"")</f>
        <v/>
      </c>
      <c r="AB89">
        <f>IF(AND($A89&lt;&gt;"",AB$3&gt;=$J89,AB$3&lt;=$M89),1,"")</f>
        <v/>
      </c>
      <c r="AC89">
        <f>IF(AND($A89&lt;&gt;"",AC$3&gt;=$J89,AC$3&lt;=$M89),1,"")</f>
        <v/>
      </c>
      <c r="AD89">
        <f>IF(AND($A89&lt;&gt;"",AD$3&gt;=$J89,AD$3&lt;=$M89),1,"")</f>
        <v/>
      </c>
      <c r="AE89">
        <f>IF(AND($A89&lt;&gt;"",AE$3&gt;=$J89,AE$3&lt;=$M89),1,"")</f>
        <v/>
      </c>
      <c r="AF89">
        <f>IF(AND($A89&lt;&gt;"",AF$3&gt;=$J89,AF$3&lt;=$M89),1,"")</f>
        <v/>
      </c>
      <c r="AG89">
        <f>IF(AND($A89&lt;&gt;"",AG$3&gt;=$J89,AG$3&lt;=$M89),1,"")</f>
        <v/>
      </c>
      <c r="AH89">
        <f>IF(AND($A89&lt;&gt;"",AH$3&gt;=$J89,AH$3&lt;=$M89),1,"")</f>
        <v/>
      </c>
      <c r="AI89">
        <f>IF(AND($A89&lt;&gt;"",AI$3&gt;=$J89,AI$3&lt;=$M89),1,"")</f>
        <v/>
      </c>
      <c r="AJ89">
        <f>IF(AND($A89&lt;&gt;"",AJ$3&gt;=$J89,AJ$3&lt;=$M89),1,"")</f>
        <v/>
      </c>
      <c r="AK89">
        <f>IF(AND($A89&lt;&gt;"",AK$3&gt;=$J89,AK$3&lt;=$M89),1,"")</f>
        <v/>
      </c>
      <c r="AL89">
        <f>IF(AND($A89&lt;&gt;"",AL$3&gt;=$J89,AL$3&lt;=$M89),1,"")</f>
        <v/>
      </c>
      <c r="AM89">
        <f>IF(AND($A89&lt;&gt;"",AM$3&gt;=$J89,AM$3&lt;=$M89),1,"")</f>
        <v/>
      </c>
      <c r="AN89">
        <f>IF(AND($A89&lt;&gt;"",AN$3&gt;=$J89,AN$3&lt;=$M89),1,"")</f>
        <v/>
      </c>
      <c r="AO89">
        <f>IF(AND($A89&lt;&gt;"",AO$3&gt;=$J89,AO$3&lt;=$M89),1,"")</f>
        <v/>
      </c>
      <c r="AP89">
        <f>IF(AND($A89&lt;&gt;"",AP$3&gt;=$J89,AP$3&lt;=$M89),1,"")</f>
        <v/>
      </c>
      <c r="AQ89">
        <f>IF(AND($A89&lt;&gt;"",AQ$3&gt;=$J89,AQ$3&lt;=$M89),1,"")</f>
        <v/>
      </c>
      <c r="AR89">
        <f>IF(AND($A89&lt;&gt;"",AR$3&gt;=$J89,AR$3&lt;=$M89),1,"")</f>
        <v/>
      </c>
      <c r="AS89">
        <f>IF(AND($A89&lt;&gt;"",AS$3&gt;=$J89,AS$3&lt;=$M89),1,"")</f>
        <v/>
      </c>
      <c r="AT89">
        <f>IF(AND($A89&lt;&gt;"",AT$3&gt;=$J89,AT$3&lt;=$M89),1,"")</f>
        <v/>
      </c>
      <c r="AU89">
        <f>IF(AND($A89&lt;&gt;"",AU$3&gt;=$J89,AU$3&lt;=$M89),1,"")</f>
        <v/>
      </c>
      <c r="AV89">
        <f>IF(AND($A89&lt;&gt;"",AV$3&gt;=$J89,AV$3&lt;=$M89),1,"")</f>
        <v/>
      </c>
      <c r="AW89">
        <f>IF(AND($A89&lt;&gt;"",AW$3&gt;=$J89,AW$3&lt;=$M89),1,"")</f>
        <v/>
      </c>
      <c r="AX89">
        <f>IF(AND($A89&lt;&gt;"",AX$3&gt;=$J89,AX$3&lt;=$M89),1,"")</f>
        <v/>
      </c>
      <c r="AY89">
        <f>IF(AND($A89&lt;&gt;"",AY$3&gt;=$J89,AY$3&lt;=$M89),1,"")</f>
        <v/>
      </c>
      <c r="AZ89">
        <f>IF(AND($A89&lt;&gt;"",AZ$3&gt;=$J89,AZ$3&lt;=$M89),1,"")</f>
        <v/>
      </c>
      <c r="BA89">
        <f>IF(AND($A89&lt;&gt;"",BA$3&gt;=$J89,BA$3&lt;=$M89),1,"")</f>
        <v/>
      </c>
      <c r="BB89">
        <f>IF(AND($A89&lt;&gt;"",BB$3&gt;=$J89,BB$3&lt;=$M89),1,"")</f>
        <v/>
      </c>
      <c r="BC89">
        <f>IF(AND($A89&lt;&gt;"",BC$3&gt;=$J89,BC$3&lt;=$M89),1,"")</f>
        <v/>
      </c>
      <c r="BD89">
        <f>IF(AND($A89&lt;&gt;"",BD$3&gt;=$J89,BD$3&lt;=$M89),1,"")</f>
        <v/>
      </c>
      <c r="BE89">
        <f>IF(AND($A89&lt;&gt;"",BE$3&gt;=$J89,BE$3&lt;=$M89),1,"")</f>
        <v/>
      </c>
      <c r="BF89">
        <f>IF(AND($A89&lt;&gt;"",BF$3&gt;=$J89,BF$3&lt;=$M89),1,"")</f>
        <v/>
      </c>
      <c r="BG89">
        <f>IF(AND($A89&lt;&gt;"",BG$3&gt;=$J89,BG$3&lt;=$M89),1,"")</f>
        <v/>
      </c>
      <c r="BH89">
        <f>IF(AND($A89&lt;&gt;"",BH$3&gt;=$J89,BH$3&lt;=$M89),1,"")</f>
        <v/>
      </c>
      <c r="BI89">
        <f>IF(AND($A89&lt;&gt;"",BI$3&gt;=$J89,BI$3&lt;=$M89),1,"")</f>
        <v/>
      </c>
      <c r="BJ89">
        <f>IF(AND($A89&lt;&gt;"",BJ$3&gt;=$J89,BJ$3&lt;=$M89),1,"")</f>
        <v/>
      </c>
      <c r="BK89">
        <f>IF(AND($A89&lt;&gt;"",BK$3&gt;=$J89,BK$3&lt;=$M89),1,"")</f>
        <v/>
      </c>
      <c r="BL89">
        <f>IF(AND($A89&lt;&gt;"",BL$3&gt;=$J89,BL$3&lt;=$M89),1,"")</f>
        <v/>
      </c>
      <c r="BM89">
        <f>IF(AND($A89&lt;&gt;"",BM$3&gt;=$J89,BM$3&lt;=$M89),1,"")</f>
        <v/>
      </c>
      <c r="BN89">
        <f>IF(AND($A89&lt;&gt;"",BN$3&gt;=$J89,BN$3&lt;=$M89),1,"")</f>
        <v/>
      </c>
      <c r="BO89">
        <f>IF(AND($A89&lt;&gt;"",BO$3&gt;=$J89,BO$3&lt;=$M89),1,"")</f>
        <v/>
      </c>
      <c r="BP89">
        <f>IF(AND($A89&lt;&gt;"",BP$3&gt;=$J89,BP$3&lt;=$M89),1,"")</f>
        <v/>
      </c>
      <c r="BQ89">
        <f>IF(AND($A89&lt;&gt;"",BQ$3&gt;=$J89,BQ$3&lt;=$M89),1,"")</f>
        <v/>
      </c>
      <c r="BR89">
        <f>IF(AND($A89&lt;&gt;"",BR$3&gt;=$J89,BR$3&lt;=$M89),1,"")</f>
        <v/>
      </c>
      <c r="BS89">
        <f>IF(AND($A89&lt;&gt;"",BS$3&gt;=$J89,BS$3&lt;=$M89),1,"")</f>
        <v/>
      </c>
      <c r="BT89">
        <f>IF(AND($A89&lt;&gt;"",BT$3&gt;=$J89,BT$3&lt;=$M89),1,"")</f>
        <v/>
      </c>
      <c r="BU89">
        <f>IF(AND($A89&lt;&gt;"",BU$3&gt;=$J89,BU$3&lt;=$M89),1,"")</f>
        <v/>
      </c>
      <c r="BV89">
        <f>IF(AND($A89&lt;&gt;"",BV$3&gt;=$J89,BV$3&lt;=$M89),1,"")</f>
        <v/>
      </c>
    </row>
    <row r="90">
      <c r="A90">
        <f>IF(Job_Master_Ring!$A90="","",Job_Master_Ring!$A90)</f>
        <v/>
      </c>
      <c r="B90">
        <f>IF($A90="","",Job_Master_Ring!B90)</f>
        <v/>
      </c>
      <c r="C90">
        <f>IF($A90="","",Job_Master_Ring!C90)</f>
        <v/>
      </c>
      <c r="D90">
        <f>IF($A90="","",Job_Master_Ring!D90)</f>
        <v/>
      </c>
      <c r="E90">
        <f>IF($A90="","",IF($I90&lt;&gt;"",$I90,IFERROR(INDEX(Machine_List!$B$50:$B$63,MATCH(1,(Machine_List!$H$50:$H$63&lt;=IFERROR(VLOOKUP($B90,CHOOSE(MATCH($C90,Settings!$L$4:$L$10,0),OPR_BR1!$A$4:$K$18,OPR_BR2!$A$4:$K$18,OPR_CR2!$A$4:$K$18,OPR_CR3!$A$4:$K$18,OPR_CR4!$A$4:$K$18,OPR_RIM!$A$4:$K$18,OPR_BPR!$A$4:$K$18),10,0),0))*(Machine_List!$I$50:$I$63&gt;=IFERROR(VLOOKUP($B90,CHOOSE(MATCH($C90,Settings!$L$4:$L$10,0),OPR_BR1!$A$4:$K$18,OPR_BR2!$A$4:$K$18,OPR_CR2!$A$4:$K$18,OPR_CR3!$A$4:$K$18,OPR_CR4!$A$4:$K$18,OPR_RIM!$A$4:$K$18,OPR_BPR!$A$4:$K$18),11,0),9999)),0)),"NO COMPATIBLE MACHINE")))</f>
        <v/>
      </c>
      <c r="F90">
        <f>IF($E90="","",IFERROR(VLOOKUP($E90,Machine_List!$B:$G,6,0),""))</f>
        <v/>
      </c>
      <c r="G90" s="17">
        <f>IF($E90="","",IFERROR(VLOOKUP($E90,Machine_List!$B:$C,2,0),""))</f>
        <v/>
      </c>
      <c r="H90">
        <f>IF($E90="","",IFERROR(VLOOKUP($E90,Machine_List!$B:$D,3,0),""))</f>
        <v/>
      </c>
      <c r="J90" s="16">
        <f>IF($A90="","",IF($I90&lt;&gt;"",$I90,MAX(CNC_Plan!$M90,IFERROR(LOOKUP(2,1/($E$3:INDIRECT("E"&amp;(ROW()-1))=$E90),$M$3:INDIRECT("M"&amp;(ROW()-1))),CNC_Plan!$M90))))</f>
        <v/>
      </c>
      <c r="K90">
        <f>IF($A90="","",IFERROR(VLOOKUP(B90,CHOOSE(MATCH($C90,Settings!$L$4:$L$10,0),OPR_BR1!$A$4:$I$18,OPR_BR2!$A$4:$I$18,OPR_CR2!$A$4:$I$18,OPR_CR3!$A$4:$I$18,OPR_CR4!$A$4:$I$18,OPR_RIM!$A$4:$I$18,OPR_BPR!$A$4:$I$18),6,0),0))</f>
        <v/>
      </c>
      <c r="L90">
        <f>IF($A90="","",K90*D90)</f>
        <v/>
      </c>
      <c r="M90" s="16">
        <f>IF($A90="","",IF(AND(ISNUMBER(G90),G90&gt;=J90,G90&lt;=(J90+(L90/(IF(F90="Contract Workman",Settings!$K$5,Settings!$K$4))))),J90+(L90/(IF(F90="Contract Workman",Settings!$K$5,Settings!$K$4)))+(H90/(IF(F90="Contract Workman",Settings!$K$5,Settings!$K$4))),J90+(L90/(IF(F90="Contract Workman",Settings!$K$5,Settings!$K$4)))))</f>
        <v/>
      </c>
      <c r="N90">
        <f>IF($A90="","",IF(F90="Contract Workman",IF(AND(MOD(M90,1)&gt;=8/24,MOD(M90,1)&lt;20/24),"Shift S1","Shift S2"),IF(AND(MOD(M90,1)&gt;=7/24,MOD(M90,1)&lt;15/24),"Shift A",IF(AND(MOD(M90,1)&gt;=15/24,MOD(M90,1)&lt;23/24),"Shift B","Shift C"))))</f>
        <v/>
      </c>
      <c r="O90">
        <f>IF(B90="","",IF(IFERROR(ISNUMBER(SEARCH(TEXT(B90,"0"),VLOOKUP(E90,Machine_List!$B:$J,9,0))),FALSE),"✅ "&amp; E90,"❌ Sug: "&amp;IFERROR(INDEX(Machine_List!$B$50:$B$63,MATCH(1,(Machine_List!$H$50:$H$63&lt;=IFERROR(VLOOKUP($B90,OPR_BR1!$A$4:$K$18,10,0),0))*(Machine_List!$I$50:$I$63&gt;=IFERROR(VLOOKUP($B90,OPR_BR1!$A$4:$K$18,11,0),9999)),0)),"?")))</f>
        <v/>
      </c>
      <c r="P90">
        <f>IF(AND($A90&lt;&gt;"",P$3&gt;=$J90,P$3&lt;=$M90),1,"")</f>
        <v/>
      </c>
      <c r="Q90">
        <f>IF(AND($A90&lt;&gt;"",Q$3&gt;=$J90,Q$3&lt;=$M90),1,"")</f>
        <v/>
      </c>
      <c r="R90">
        <f>IF(AND($A90&lt;&gt;"",R$3&gt;=$J90,R$3&lt;=$M90),1,"")</f>
        <v/>
      </c>
      <c r="S90">
        <f>IF(AND($A90&lt;&gt;"",S$3&gt;=$J90,S$3&lt;=$M90),1,"")</f>
        <v/>
      </c>
      <c r="T90">
        <f>IF(AND($A90&lt;&gt;"",T$3&gt;=$J90,T$3&lt;=$M90),1,"")</f>
        <v/>
      </c>
      <c r="U90">
        <f>IF(AND($A90&lt;&gt;"",U$3&gt;=$J90,U$3&lt;=$M90),1,"")</f>
        <v/>
      </c>
      <c r="V90">
        <f>IF(AND($A90&lt;&gt;"",V$3&gt;=$J90,V$3&lt;=$M90),1,"")</f>
        <v/>
      </c>
      <c r="W90">
        <f>IF(AND($A90&lt;&gt;"",W$3&gt;=$J90,W$3&lt;=$M90),1,"")</f>
        <v/>
      </c>
      <c r="X90">
        <f>IF(AND($A90&lt;&gt;"",X$3&gt;=$J90,X$3&lt;=$M90),1,"")</f>
        <v/>
      </c>
      <c r="Y90">
        <f>IF(AND($A90&lt;&gt;"",Y$3&gt;=$J90,Y$3&lt;=$M90),1,"")</f>
        <v/>
      </c>
      <c r="Z90">
        <f>IF(AND($A90&lt;&gt;"",Z$3&gt;=$J90,Z$3&lt;=$M90),1,"")</f>
        <v/>
      </c>
      <c r="AA90">
        <f>IF(AND($A90&lt;&gt;"",AA$3&gt;=$J90,AA$3&lt;=$M90),1,"")</f>
        <v/>
      </c>
      <c r="AB90">
        <f>IF(AND($A90&lt;&gt;"",AB$3&gt;=$J90,AB$3&lt;=$M90),1,"")</f>
        <v/>
      </c>
      <c r="AC90">
        <f>IF(AND($A90&lt;&gt;"",AC$3&gt;=$J90,AC$3&lt;=$M90),1,"")</f>
        <v/>
      </c>
      <c r="AD90">
        <f>IF(AND($A90&lt;&gt;"",AD$3&gt;=$J90,AD$3&lt;=$M90),1,"")</f>
        <v/>
      </c>
      <c r="AE90">
        <f>IF(AND($A90&lt;&gt;"",AE$3&gt;=$J90,AE$3&lt;=$M90),1,"")</f>
        <v/>
      </c>
      <c r="AF90">
        <f>IF(AND($A90&lt;&gt;"",AF$3&gt;=$J90,AF$3&lt;=$M90),1,"")</f>
        <v/>
      </c>
      <c r="AG90">
        <f>IF(AND($A90&lt;&gt;"",AG$3&gt;=$J90,AG$3&lt;=$M90),1,"")</f>
        <v/>
      </c>
      <c r="AH90">
        <f>IF(AND($A90&lt;&gt;"",AH$3&gt;=$J90,AH$3&lt;=$M90),1,"")</f>
        <v/>
      </c>
      <c r="AI90">
        <f>IF(AND($A90&lt;&gt;"",AI$3&gt;=$J90,AI$3&lt;=$M90),1,"")</f>
        <v/>
      </c>
      <c r="AJ90">
        <f>IF(AND($A90&lt;&gt;"",AJ$3&gt;=$J90,AJ$3&lt;=$M90),1,"")</f>
        <v/>
      </c>
      <c r="AK90">
        <f>IF(AND($A90&lt;&gt;"",AK$3&gt;=$J90,AK$3&lt;=$M90),1,"")</f>
        <v/>
      </c>
      <c r="AL90">
        <f>IF(AND($A90&lt;&gt;"",AL$3&gt;=$J90,AL$3&lt;=$M90),1,"")</f>
        <v/>
      </c>
      <c r="AM90">
        <f>IF(AND($A90&lt;&gt;"",AM$3&gt;=$J90,AM$3&lt;=$M90),1,"")</f>
        <v/>
      </c>
      <c r="AN90">
        <f>IF(AND($A90&lt;&gt;"",AN$3&gt;=$J90,AN$3&lt;=$M90),1,"")</f>
        <v/>
      </c>
      <c r="AO90">
        <f>IF(AND($A90&lt;&gt;"",AO$3&gt;=$J90,AO$3&lt;=$M90),1,"")</f>
        <v/>
      </c>
      <c r="AP90">
        <f>IF(AND($A90&lt;&gt;"",AP$3&gt;=$J90,AP$3&lt;=$M90),1,"")</f>
        <v/>
      </c>
      <c r="AQ90">
        <f>IF(AND($A90&lt;&gt;"",AQ$3&gt;=$J90,AQ$3&lt;=$M90),1,"")</f>
        <v/>
      </c>
      <c r="AR90">
        <f>IF(AND($A90&lt;&gt;"",AR$3&gt;=$J90,AR$3&lt;=$M90),1,"")</f>
        <v/>
      </c>
      <c r="AS90">
        <f>IF(AND($A90&lt;&gt;"",AS$3&gt;=$J90,AS$3&lt;=$M90),1,"")</f>
        <v/>
      </c>
      <c r="AT90">
        <f>IF(AND($A90&lt;&gt;"",AT$3&gt;=$J90,AT$3&lt;=$M90),1,"")</f>
        <v/>
      </c>
      <c r="AU90">
        <f>IF(AND($A90&lt;&gt;"",AU$3&gt;=$J90,AU$3&lt;=$M90),1,"")</f>
        <v/>
      </c>
      <c r="AV90">
        <f>IF(AND($A90&lt;&gt;"",AV$3&gt;=$J90,AV$3&lt;=$M90),1,"")</f>
        <v/>
      </c>
      <c r="AW90">
        <f>IF(AND($A90&lt;&gt;"",AW$3&gt;=$J90,AW$3&lt;=$M90),1,"")</f>
        <v/>
      </c>
      <c r="AX90">
        <f>IF(AND($A90&lt;&gt;"",AX$3&gt;=$J90,AX$3&lt;=$M90),1,"")</f>
        <v/>
      </c>
      <c r="AY90">
        <f>IF(AND($A90&lt;&gt;"",AY$3&gt;=$J90,AY$3&lt;=$M90),1,"")</f>
        <v/>
      </c>
      <c r="AZ90">
        <f>IF(AND($A90&lt;&gt;"",AZ$3&gt;=$J90,AZ$3&lt;=$M90),1,"")</f>
        <v/>
      </c>
      <c r="BA90">
        <f>IF(AND($A90&lt;&gt;"",BA$3&gt;=$J90,BA$3&lt;=$M90),1,"")</f>
        <v/>
      </c>
      <c r="BB90">
        <f>IF(AND($A90&lt;&gt;"",BB$3&gt;=$J90,BB$3&lt;=$M90),1,"")</f>
        <v/>
      </c>
      <c r="BC90">
        <f>IF(AND($A90&lt;&gt;"",BC$3&gt;=$J90,BC$3&lt;=$M90),1,"")</f>
        <v/>
      </c>
      <c r="BD90">
        <f>IF(AND($A90&lt;&gt;"",BD$3&gt;=$J90,BD$3&lt;=$M90),1,"")</f>
        <v/>
      </c>
      <c r="BE90">
        <f>IF(AND($A90&lt;&gt;"",BE$3&gt;=$J90,BE$3&lt;=$M90),1,"")</f>
        <v/>
      </c>
      <c r="BF90">
        <f>IF(AND($A90&lt;&gt;"",BF$3&gt;=$J90,BF$3&lt;=$M90),1,"")</f>
        <v/>
      </c>
      <c r="BG90">
        <f>IF(AND($A90&lt;&gt;"",BG$3&gt;=$J90,BG$3&lt;=$M90),1,"")</f>
        <v/>
      </c>
      <c r="BH90">
        <f>IF(AND($A90&lt;&gt;"",BH$3&gt;=$J90,BH$3&lt;=$M90),1,"")</f>
        <v/>
      </c>
      <c r="BI90">
        <f>IF(AND($A90&lt;&gt;"",BI$3&gt;=$J90,BI$3&lt;=$M90),1,"")</f>
        <v/>
      </c>
      <c r="BJ90">
        <f>IF(AND($A90&lt;&gt;"",BJ$3&gt;=$J90,BJ$3&lt;=$M90),1,"")</f>
        <v/>
      </c>
      <c r="BK90">
        <f>IF(AND($A90&lt;&gt;"",BK$3&gt;=$J90,BK$3&lt;=$M90),1,"")</f>
        <v/>
      </c>
      <c r="BL90">
        <f>IF(AND($A90&lt;&gt;"",BL$3&gt;=$J90,BL$3&lt;=$M90),1,"")</f>
        <v/>
      </c>
      <c r="BM90">
        <f>IF(AND($A90&lt;&gt;"",BM$3&gt;=$J90,BM$3&lt;=$M90),1,"")</f>
        <v/>
      </c>
      <c r="BN90">
        <f>IF(AND($A90&lt;&gt;"",BN$3&gt;=$J90,BN$3&lt;=$M90),1,"")</f>
        <v/>
      </c>
      <c r="BO90">
        <f>IF(AND($A90&lt;&gt;"",BO$3&gt;=$J90,BO$3&lt;=$M90),1,"")</f>
        <v/>
      </c>
      <c r="BP90">
        <f>IF(AND($A90&lt;&gt;"",BP$3&gt;=$J90,BP$3&lt;=$M90),1,"")</f>
        <v/>
      </c>
      <c r="BQ90">
        <f>IF(AND($A90&lt;&gt;"",BQ$3&gt;=$J90,BQ$3&lt;=$M90),1,"")</f>
        <v/>
      </c>
      <c r="BR90">
        <f>IF(AND($A90&lt;&gt;"",BR$3&gt;=$J90,BR$3&lt;=$M90),1,"")</f>
        <v/>
      </c>
      <c r="BS90">
        <f>IF(AND($A90&lt;&gt;"",BS$3&gt;=$J90,BS$3&lt;=$M90),1,"")</f>
        <v/>
      </c>
      <c r="BT90">
        <f>IF(AND($A90&lt;&gt;"",BT$3&gt;=$J90,BT$3&lt;=$M90),1,"")</f>
        <v/>
      </c>
      <c r="BU90">
        <f>IF(AND($A90&lt;&gt;"",BU$3&gt;=$J90,BU$3&lt;=$M90),1,"")</f>
        <v/>
      </c>
      <c r="BV90">
        <f>IF(AND($A90&lt;&gt;"",BV$3&gt;=$J90,BV$3&lt;=$M90),1,"")</f>
        <v/>
      </c>
    </row>
    <row r="91">
      <c r="A91">
        <f>IF(Job_Master_Ring!$A91="","",Job_Master_Ring!$A91)</f>
        <v/>
      </c>
      <c r="B91">
        <f>IF($A91="","",Job_Master_Ring!B91)</f>
        <v/>
      </c>
      <c r="C91">
        <f>IF($A91="","",Job_Master_Ring!C91)</f>
        <v/>
      </c>
      <c r="D91">
        <f>IF($A91="","",Job_Master_Ring!D91)</f>
        <v/>
      </c>
      <c r="E91">
        <f>IF($A91="","",IF($I91&lt;&gt;"",$I91,IFERROR(INDEX(Machine_List!$B$50:$B$63,MATCH(1,(Machine_List!$H$50:$H$63&lt;=IFERROR(VLOOKUP($B91,CHOOSE(MATCH($C91,Settings!$L$4:$L$10,0),OPR_BR1!$A$4:$K$18,OPR_BR2!$A$4:$K$18,OPR_CR2!$A$4:$K$18,OPR_CR3!$A$4:$K$18,OPR_CR4!$A$4:$K$18,OPR_RIM!$A$4:$K$18,OPR_BPR!$A$4:$K$18),10,0),0))*(Machine_List!$I$50:$I$63&gt;=IFERROR(VLOOKUP($B91,CHOOSE(MATCH($C91,Settings!$L$4:$L$10,0),OPR_BR1!$A$4:$K$18,OPR_BR2!$A$4:$K$18,OPR_CR2!$A$4:$K$18,OPR_CR3!$A$4:$K$18,OPR_CR4!$A$4:$K$18,OPR_RIM!$A$4:$K$18,OPR_BPR!$A$4:$K$18),11,0),9999)),0)),"NO COMPATIBLE MACHINE")))</f>
        <v/>
      </c>
      <c r="F91">
        <f>IF($E91="","",IFERROR(VLOOKUP($E91,Machine_List!$B:$G,6,0),""))</f>
        <v/>
      </c>
      <c r="G91" s="17">
        <f>IF($E91="","",IFERROR(VLOOKUP($E91,Machine_List!$B:$C,2,0),""))</f>
        <v/>
      </c>
      <c r="H91">
        <f>IF($E91="","",IFERROR(VLOOKUP($E91,Machine_List!$B:$D,3,0),""))</f>
        <v/>
      </c>
      <c r="J91" s="16">
        <f>IF($A91="","",IF($I91&lt;&gt;"",$I91,MAX(CNC_Plan!$M91,IFERROR(LOOKUP(2,1/($E$3:INDIRECT("E"&amp;(ROW()-1))=$E91),$M$3:INDIRECT("M"&amp;(ROW()-1))),CNC_Plan!$M91))))</f>
        <v/>
      </c>
      <c r="K91">
        <f>IF($A91="","",IFERROR(VLOOKUP(B91,CHOOSE(MATCH($C91,Settings!$L$4:$L$10,0),OPR_BR1!$A$4:$I$18,OPR_BR2!$A$4:$I$18,OPR_CR2!$A$4:$I$18,OPR_CR3!$A$4:$I$18,OPR_CR4!$A$4:$I$18,OPR_RIM!$A$4:$I$18,OPR_BPR!$A$4:$I$18),6,0),0))</f>
        <v/>
      </c>
      <c r="L91">
        <f>IF($A91="","",K91*D91)</f>
        <v/>
      </c>
      <c r="M91" s="16">
        <f>IF($A91="","",IF(AND(ISNUMBER(G91),G91&gt;=J91,G91&lt;=(J91+(L91/(IF(F91="Contract Workman",Settings!$K$5,Settings!$K$4))))),J91+(L91/(IF(F91="Contract Workman",Settings!$K$5,Settings!$K$4)))+(H91/(IF(F91="Contract Workman",Settings!$K$5,Settings!$K$4))),J91+(L91/(IF(F91="Contract Workman",Settings!$K$5,Settings!$K$4)))))</f>
        <v/>
      </c>
      <c r="N91">
        <f>IF($A91="","",IF(F91="Contract Workman",IF(AND(MOD(M91,1)&gt;=8/24,MOD(M91,1)&lt;20/24),"Shift S1","Shift S2"),IF(AND(MOD(M91,1)&gt;=7/24,MOD(M91,1)&lt;15/24),"Shift A",IF(AND(MOD(M91,1)&gt;=15/24,MOD(M91,1)&lt;23/24),"Shift B","Shift C"))))</f>
        <v/>
      </c>
      <c r="O91">
        <f>IF(B91="","",IF(IFERROR(ISNUMBER(SEARCH(TEXT(B91,"0"),VLOOKUP(E91,Machine_List!$B:$J,9,0))),FALSE),"✅ "&amp; E91,"❌ Sug: "&amp;IFERROR(INDEX(Machine_List!$B$50:$B$63,MATCH(1,(Machine_List!$H$50:$H$63&lt;=IFERROR(VLOOKUP($B91,OPR_BR1!$A$4:$K$18,10,0),0))*(Machine_List!$I$50:$I$63&gt;=IFERROR(VLOOKUP($B91,OPR_BR1!$A$4:$K$18,11,0),9999)),0)),"?")))</f>
        <v/>
      </c>
      <c r="P91">
        <f>IF(AND($A91&lt;&gt;"",P$3&gt;=$J91,P$3&lt;=$M91),1,"")</f>
        <v/>
      </c>
      <c r="Q91">
        <f>IF(AND($A91&lt;&gt;"",Q$3&gt;=$J91,Q$3&lt;=$M91),1,"")</f>
        <v/>
      </c>
      <c r="R91">
        <f>IF(AND($A91&lt;&gt;"",R$3&gt;=$J91,R$3&lt;=$M91),1,"")</f>
        <v/>
      </c>
      <c r="S91">
        <f>IF(AND($A91&lt;&gt;"",S$3&gt;=$J91,S$3&lt;=$M91),1,"")</f>
        <v/>
      </c>
      <c r="T91">
        <f>IF(AND($A91&lt;&gt;"",T$3&gt;=$J91,T$3&lt;=$M91),1,"")</f>
        <v/>
      </c>
      <c r="U91">
        <f>IF(AND($A91&lt;&gt;"",U$3&gt;=$J91,U$3&lt;=$M91),1,"")</f>
        <v/>
      </c>
      <c r="V91">
        <f>IF(AND($A91&lt;&gt;"",V$3&gt;=$J91,V$3&lt;=$M91),1,"")</f>
        <v/>
      </c>
      <c r="W91">
        <f>IF(AND($A91&lt;&gt;"",W$3&gt;=$J91,W$3&lt;=$M91),1,"")</f>
        <v/>
      </c>
      <c r="X91">
        <f>IF(AND($A91&lt;&gt;"",X$3&gt;=$J91,X$3&lt;=$M91),1,"")</f>
        <v/>
      </c>
      <c r="Y91">
        <f>IF(AND($A91&lt;&gt;"",Y$3&gt;=$J91,Y$3&lt;=$M91),1,"")</f>
        <v/>
      </c>
      <c r="Z91">
        <f>IF(AND($A91&lt;&gt;"",Z$3&gt;=$J91,Z$3&lt;=$M91),1,"")</f>
        <v/>
      </c>
      <c r="AA91">
        <f>IF(AND($A91&lt;&gt;"",AA$3&gt;=$J91,AA$3&lt;=$M91),1,"")</f>
        <v/>
      </c>
      <c r="AB91">
        <f>IF(AND($A91&lt;&gt;"",AB$3&gt;=$J91,AB$3&lt;=$M91),1,"")</f>
        <v/>
      </c>
      <c r="AC91">
        <f>IF(AND($A91&lt;&gt;"",AC$3&gt;=$J91,AC$3&lt;=$M91),1,"")</f>
        <v/>
      </c>
      <c r="AD91">
        <f>IF(AND($A91&lt;&gt;"",AD$3&gt;=$J91,AD$3&lt;=$M91),1,"")</f>
        <v/>
      </c>
      <c r="AE91">
        <f>IF(AND($A91&lt;&gt;"",AE$3&gt;=$J91,AE$3&lt;=$M91),1,"")</f>
        <v/>
      </c>
      <c r="AF91">
        <f>IF(AND($A91&lt;&gt;"",AF$3&gt;=$J91,AF$3&lt;=$M91),1,"")</f>
        <v/>
      </c>
      <c r="AG91">
        <f>IF(AND($A91&lt;&gt;"",AG$3&gt;=$J91,AG$3&lt;=$M91),1,"")</f>
        <v/>
      </c>
      <c r="AH91">
        <f>IF(AND($A91&lt;&gt;"",AH$3&gt;=$J91,AH$3&lt;=$M91),1,"")</f>
        <v/>
      </c>
      <c r="AI91">
        <f>IF(AND($A91&lt;&gt;"",AI$3&gt;=$J91,AI$3&lt;=$M91),1,"")</f>
        <v/>
      </c>
      <c r="AJ91">
        <f>IF(AND($A91&lt;&gt;"",AJ$3&gt;=$J91,AJ$3&lt;=$M91),1,"")</f>
        <v/>
      </c>
      <c r="AK91">
        <f>IF(AND($A91&lt;&gt;"",AK$3&gt;=$J91,AK$3&lt;=$M91),1,"")</f>
        <v/>
      </c>
      <c r="AL91">
        <f>IF(AND($A91&lt;&gt;"",AL$3&gt;=$J91,AL$3&lt;=$M91),1,"")</f>
        <v/>
      </c>
      <c r="AM91">
        <f>IF(AND($A91&lt;&gt;"",AM$3&gt;=$J91,AM$3&lt;=$M91),1,"")</f>
        <v/>
      </c>
      <c r="AN91">
        <f>IF(AND($A91&lt;&gt;"",AN$3&gt;=$J91,AN$3&lt;=$M91),1,"")</f>
        <v/>
      </c>
      <c r="AO91">
        <f>IF(AND($A91&lt;&gt;"",AO$3&gt;=$J91,AO$3&lt;=$M91),1,"")</f>
        <v/>
      </c>
      <c r="AP91">
        <f>IF(AND($A91&lt;&gt;"",AP$3&gt;=$J91,AP$3&lt;=$M91),1,"")</f>
        <v/>
      </c>
      <c r="AQ91">
        <f>IF(AND($A91&lt;&gt;"",AQ$3&gt;=$J91,AQ$3&lt;=$M91),1,"")</f>
        <v/>
      </c>
      <c r="AR91">
        <f>IF(AND($A91&lt;&gt;"",AR$3&gt;=$J91,AR$3&lt;=$M91),1,"")</f>
        <v/>
      </c>
      <c r="AS91">
        <f>IF(AND($A91&lt;&gt;"",AS$3&gt;=$J91,AS$3&lt;=$M91),1,"")</f>
        <v/>
      </c>
      <c r="AT91">
        <f>IF(AND($A91&lt;&gt;"",AT$3&gt;=$J91,AT$3&lt;=$M91),1,"")</f>
        <v/>
      </c>
      <c r="AU91">
        <f>IF(AND($A91&lt;&gt;"",AU$3&gt;=$J91,AU$3&lt;=$M91),1,"")</f>
        <v/>
      </c>
      <c r="AV91">
        <f>IF(AND($A91&lt;&gt;"",AV$3&gt;=$J91,AV$3&lt;=$M91),1,"")</f>
        <v/>
      </c>
      <c r="AW91">
        <f>IF(AND($A91&lt;&gt;"",AW$3&gt;=$J91,AW$3&lt;=$M91),1,"")</f>
        <v/>
      </c>
      <c r="AX91">
        <f>IF(AND($A91&lt;&gt;"",AX$3&gt;=$J91,AX$3&lt;=$M91),1,"")</f>
        <v/>
      </c>
      <c r="AY91">
        <f>IF(AND($A91&lt;&gt;"",AY$3&gt;=$J91,AY$3&lt;=$M91),1,"")</f>
        <v/>
      </c>
      <c r="AZ91">
        <f>IF(AND($A91&lt;&gt;"",AZ$3&gt;=$J91,AZ$3&lt;=$M91),1,"")</f>
        <v/>
      </c>
      <c r="BA91">
        <f>IF(AND($A91&lt;&gt;"",BA$3&gt;=$J91,BA$3&lt;=$M91),1,"")</f>
        <v/>
      </c>
      <c r="BB91">
        <f>IF(AND($A91&lt;&gt;"",BB$3&gt;=$J91,BB$3&lt;=$M91),1,"")</f>
        <v/>
      </c>
      <c r="BC91">
        <f>IF(AND($A91&lt;&gt;"",BC$3&gt;=$J91,BC$3&lt;=$M91),1,"")</f>
        <v/>
      </c>
      <c r="BD91">
        <f>IF(AND($A91&lt;&gt;"",BD$3&gt;=$J91,BD$3&lt;=$M91),1,"")</f>
        <v/>
      </c>
      <c r="BE91">
        <f>IF(AND($A91&lt;&gt;"",BE$3&gt;=$J91,BE$3&lt;=$M91),1,"")</f>
        <v/>
      </c>
      <c r="BF91">
        <f>IF(AND($A91&lt;&gt;"",BF$3&gt;=$J91,BF$3&lt;=$M91),1,"")</f>
        <v/>
      </c>
      <c r="BG91">
        <f>IF(AND($A91&lt;&gt;"",BG$3&gt;=$J91,BG$3&lt;=$M91),1,"")</f>
        <v/>
      </c>
      <c r="BH91">
        <f>IF(AND($A91&lt;&gt;"",BH$3&gt;=$J91,BH$3&lt;=$M91),1,"")</f>
        <v/>
      </c>
      <c r="BI91">
        <f>IF(AND($A91&lt;&gt;"",BI$3&gt;=$J91,BI$3&lt;=$M91),1,"")</f>
        <v/>
      </c>
      <c r="BJ91">
        <f>IF(AND($A91&lt;&gt;"",BJ$3&gt;=$J91,BJ$3&lt;=$M91),1,"")</f>
        <v/>
      </c>
      <c r="BK91">
        <f>IF(AND($A91&lt;&gt;"",BK$3&gt;=$J91,BK$3&lt;=$M91),1,"")</f>
        <v/>
      </c>
      <c r="BL91">
        <f>IF(AND($A91&lt;&gt;"",BL$3&gt;=$J91,BL$3&lt;=$M91),1,"")</f>
        <v/>
      </c>
      <c r="BM91">
        <f>IF(AND($A91&lt;&gt;"",BM$3&gt;=$J91,BM$3&lt;=$M91),1,"")</f>
        <v/>
      </c>
      <c r="BN91">
        <f>IF(AND($A91&lt;&gt;"",BN$3&gt;=$J91,BN$3&lt;=$M91),1,"")</f>
        <v/>
      </c>
      <c r="BO91">
        <f>IF(AND($A91&lt;&gt;"",BO$3&gt;=$J91,BO$3&lt;=$M91),1,"")</f>
        <v/>
      </c>
      <c r="BP91">
        <f>IF(AND($A91&lt;&gt;"",BP$3&gt;=$J91,BP$3&lt;=$M91),1,"")</f>
        <v/>
      </c>
      <c r="BQ91">
        <f>IF(AND($A91&lt;&gt;"",BQ$3&gt;=$J91,BQ$3&lt;=$M91),1,"")</f>
        <v/>
      </c>
      <c r="BR91">
        <f>IF(AND($A91&lt;&gt;"",BR$3&gt;=$J91,BR$3&lt;=$M91),1,"")</f>
        <v/>
      </c>
      <c r="BS91">
        <f>IF(AND($A91&lt;&gt;"",BS$3&gt;=$J91,BS$3&lt;=$M91),1,"")</f>
        <v/>
      </c>
      <c r="BT91">
        <f>IF(AND($A91&lt;&gt;"",BT$3&gt;=$J91,BT$3&lt;=$M91),1,"")</f>
        <v/>
      </c>
      <c r="BU91">
        <f>IF(AND($A91&lt;&gt;"",BU$3&gt;=$J91,BU$3&lt;=$M91),1,"")</f>
        <v/>
      </c>
      <c r="BV91">
        <f>IF(AND($A91&lt;&gt;"",BV$3&gt;=$J91,BV$3&lt;=$M91),1,"")</f>
        <v/>
      </c>
    </row>
    <row r="92">
      <c r="A92">
        <f>IF(Job_Master_Ring!$A92="","",Job_Master_Ring!$A92)</f>
        <v/>
      </c>
      <c r="B92">
        <f>IF($A92="","",Job_Master_Ring!B92)</f>
        <v/>
      </c>
      <c r="C92">
        <f>IF($A92="","",Job_Master_Ring!C92)</f>
        <v/>
      </c>
      <c r="D92">
        <f>IF($A92="","",Job_Master_Ring!D92)</f>
        <v/>
      </c>
      <c r="E92">
        <f>IF($A92="","",IF($I92&lt;&gt;"",$I92,IFERROR(INDEX(Machine_List!$B$50:$B$63,MATCH(1,(Machine_List!$H$50:$H$63&lt;=IFERROR(VLOOKUP($B92,CHOOSE(MATCH($C92,Settings!$L$4:$L$10,0),OPR_BR1!$A$4:$K$18,OPR_BR2!$A$4:$K$18,OPR_CR2!$A$4:$K$18,OPR_CR3!$A$4:$K$18,OPR_CR4!$A$4:$K$18,OPR_RIM!$A$4:$K$18,OPR_BPR!$A$4:$K$18),10,0),0))*(Machine_List!$I$50:$I$63&gt;=IFERROR(VLOOKUP($B92,CHOOSE(MATCH($C92,Settings!$L$4:$L$10,0),OPR_BR1!$A$4:$K$18,OPR_BR2!$A$4:$K$18,OPR_CR2!$A$4:$K$18,OPR_CR3!$A$4:$K$18,OPR_CR4!$A$4:$K$18,OPR_RIM!$A$4:$K$18,OPR_BPR!$A$4:$K$18),11,0),9999)),0)),"NO COMPATIBLE MACHINE")))</f>
        <v/>
      </c>
      <c r="F92">
        <f>IF($E92="","",IFERROR(VLOOKUP($E92,Machine_List!$B:$G,6,0),""))</f>
        <v/>
      </c>
      <c r="G92" s="17">
        <f>IF($E92="","",IFERROR(VLOOKUP($E92,Machine_List!$B:$C,2,0),""))</f>
        <v/>
      </c>
      <c r="H92">
        <f>IF($E92="","",IFERROR(VLOOKUP($E92,Machine_List!$B:$D,3,0),""))</f>
        <v/>
      </c>
      <c r="J92" s="16">
        <f>IF($A92="","",IF($I92&lt;&gt;"",$I92,MAX(CNC_Plan!$M92,IFERROR(LOOKUP(2,1/($E$3:INDIRECT("E"&amp;(ROW()-1))=$E92),$M$3:INDIRECT("M"&amp;(ROW()-1))),CNC_Plan!$M92))))</f>
        <v/>
      </c>
      <c r="K92">
        <f>IF($A92="","",IFERROR(VLOOKUP(B92,CHOOSE(MATCH($C92,Settings!$L$4:$L$10,0),OPR_BR1!$A$4:$I$18,OPR_BR2!$A$4:$I$18,OPR_CR2!$A$4:$I$18,OPR_CR3!$A$4:$I$18,OPR_CR4!$A$4:$I$18,OPR_RIM!$A$4:$I$18,OPR_BPR!$A$4:$I$18),6,0),0))</f>
        <v/>
      </c>
      <c r="L92">
        <f>IF($A92="","",K92*D92)</f>
        <v/>
      </c>
      <c r="M92" s="16">
        <f>IF($A92="","",IF(AND(ISNUMBER(G92),G92&gt;=J92,G92&lt;=(J92+(L92/(IF(F92="Contract Workman",Settings!$K$5,Settings!$K$4))))),J92+(L92/(IF(F92="Contract Workman",Settings!$K$5,Settings!$K$4)))+(H92/(IF(F92="Contract Workman",Settings!$K$5,Settings!$K$4))),J92+(L92/(IF(F92="Contract Workman",Settings!$K$5,Settings!$K$4)))))</f>
        <v/>
      </c>
      <c r="N92">
        <f>IF($A92="","",IF(F92="Contract Workman",IF(AND(MOD(M92,1)&gt;=8/24,MOD(M92,1)&lt;20/24),"Shift S1","Shift S2"),IF(AND(MOD(M92,1)&gt;=7/24,MOD(M92,1)&lt;15/24),"Shift A",IF(AND(MOD(M92,1)&gt;=15/24,MOD(M92,1)&lt;23/24),"Shift B","Shift C"))))</f>
        <v/>
      </c>
      <c r="O92">
        <f>IF(B92="","",IF(IFERROR(ISNUMBER(SEARCH(TEXT(B92,"0"),VLOOKUP(E92,Machine_List!$B:$J,9,0))),FALSE),"✅ "&amp; E92,"❌ Sug: "&amp;IFERROR(INDEX(Machine_List!$B$50:$B$63,MATCH(1,(Machine_List!$H$50:$H$63&lt;=IFERROR(VLOOKUP($B92,OPR_BR1!$A$4:$K$18,10,0),0))*(Machine_List!$I$50:$I$63&gt;=IFERROR(VLOOKUP($B92,OPR_BR1!$A$4:$K$18,11,0),9999)),0)),"?")))</f>
        <v/>
      </c>
      <c r="P92">
        <f>IF(AND($A92&lt;&gt;"",P$3&gt;=$J92,P$3&lt;=$M92),1,"")</f>
        <v/>
      </c>
      <c r="Q92">
        <f>IF(AND($A92&lt;&gt;"",Q$3&gt;=$J92,Q$3&lt;=$M92),1,"")</f>
        <v/>
      </c>
      <c r="R92">
        <f>IF(AND($A92&lt;&gt;"",R$3&gt;=$J92,R$3&lt;=$M92),1,"")</f>
        <v/>
      </c>
      <c r="S92">
        <f>IF(AND($A92&lt;&gt;"",S$3&gt;=$J92,S$3&lt;=$M92),1,"")</f>
        <v/>
      </c>
      <c r="T92">
        <f>IF(AND($A92&lt;&gt;"",T$3&gt;=$J92,T$3&lt;=$M92),1,"")</f>
        <v/>
      </c>
      <c r="U92">
        <f>IF(AND($A92&lt;&gt;"",U$3&gt;=$J92,U$3&lt;=$M92),1,"")</f>
        <v/>
      </c>
      <c r="V92">
        <f>IF(AND($A92&lt;&gt;"",V$3&gt;=$J92,V$3&lt;=$M92),1,"")</f>
        <v/>
      </c>
      <c r="W92">
        <f>IF(AND($A92&lt;&gt;"",W$3&gt;=$J92,W$3&lt;=$M92),1,"")</f>
        <v/>
      </c>
      <c r="X92">
        <f>IF(AND($A92&lt;&gt;"",X$3&gt;=$J92,X$3&lt;=$M92),1,"")</f>
        <v/>
      </c>
      <c r="Y92">
        <f>IF(AND($A92&lt;&gt;"",Y$3&gt;=$J92,Y$3&lt;=$M92),1,"")</f>
        <v/>
      </c>
      <c r="Z92">
        <f>IF(AND($A92&lt;&gt;"",Z$3&gt;=$J92,Z$3&lt;=$M92),1,"")</f>
        <v/>
      </c>
      <c r="AA92">
        <f>IF(AND($A92&lt;&gt;"",AA$3&gt;=$J92,AA$3&lt;=$M92),1,"")</f>
        <v/>
      </c>
      <c r="AB92">
        <f>IF(AND($A92&lt;&gt;"",AB$3&gt;=$J92,AB$3&lt;=$M92),1,"")</f>
        <v/>
      </c>
      <c r="AC92">
        <f>IF(AND($A92&lt;&gt;"",AC$3&gt;=$J92,AC$3&lt;=$M92),1,"")</f>
        <v/>
      </c>
      <c r="AD92">
        <f>IF(AND($A92&lt;&gt;"",AD$3&gt;=$J92,AD$3&lt;=$M92),1,"")</f>
        <v/>
      </c>
      <c r="AE92">
        <f>IF(AND($A92&lt;&gt;"",AE$3&gt;=$J92,AE$3&lt;=$M92),1,"")</f>
        <v/>
      </c>
      <c r="AF92">
        <f>IF(AND($A92&lt;&gt;"",AF$3&gt;=$J92,AF$3&lt;=$M92),1,"")</f>
        <v/>
      </c>
      <c r="AG92">
        <f>IF(AND($A92&lt;&gt;"",AG$3&gt;=$J92,AG$3&lt;=$M92),1,"")</f>
        <v/>
      </c>
      <c r="AH92">
        <f>IF(AND($A92&lt;&gt;"",AH$3&gt;=$J92,AH$3&lt;=$M92),1,"")</f>
        <v/>
      </c>
      <c r="AI92">
        <f>IF(AND($A92&lt;&gt;"",AI$3&gt;=$J92,AI$3&lt;=$M92),1,"")</f>
        <v/>
      </c>
      <c r="AJ92">
        <f>IF(AND($A92&lt;&gt;"",AJ$3&gt;=$J92,AJ$3&lt;=$M92),1,"")</f>
        <v/>
      </c>
      <c r="AK92">
        <f>IF(AND($A92&lt;&gt;"",AK$3&gt;=$J92,AK$3&lt;=$M92),1,"")</f>
        <v/>
      </c>
      <c r="AL92">
        <f>IF(AND($A92&lt;&gt;"",AL$3&gt;=$J92,AL$3&lt;=$M92),1,"")</f>
        <v/>
      </c>
      <c r="AM92">
        <f>IF(AND($A92&lt;&gt;"",AM$3&gt;=$J92,AM$3&lt;=$M92),1,"")</f>
        <v/>
      </c>
      <c r="AN92">
        <f>IF(AND($A92&lt;&gt;"",AN$3&gt;=$J92,AN$3&lt;=$M92),1,"")</f>
        <v/>
      </c>
      <c r="AO92">
        <f>IF(AND($A92&lt;&gt;"",AO$3&gt;=$J92,AO$3&lt;=$M92),1,"")</f>
        <v/>
      </c>
      <c r="AP92">
        <f>IF(AND($A92&lt;&gt;"",AP$3&gt;=$J92,AP$3&lt;=$M92),1,"")</f>
        <v/>
      </c>
      <c r="AQ92">
        <f>IF(AND($A92&lt;&gt;"",AQ$3&gt;=$J92,AQ$3&lt;=$M92),1,"")</f>
        <v/>
      </c>
      <c r="AR92">
        <f>IF(AND($A92&lt;&gt;"",AR$3&gt;=$J92,AR$3&lt;=$M92),1,"")</f>
        <v/>
      </c>
      <c r="AS92">
        <f>IF(AND($A92&lt;&gt;"",AS$3&gt;=$J92,AS$3&lt;=$M92),1,"")</f>
        <v/>
      </c>
      <c r="AT92">
        <f>IF(AND($A92&lt;&gt;"",AT$3&gt;=$J92,AT$3&lt;=$M92),1,"")</f>
        <v/>
      </c>
      <c r="AU92">
        <f>IF(AND($A92&lt;&gt;"",AU$3&gt;=$J92,AU$3&lt;=$M92),1,"")</f>
        <v/>
      </c>
      <c r="AV92">
        <f>IF(AND($A92&lt;&gt;"",AV$3&gt;=$J92,AV$3&lt;=$M92),1,"")</f>
        <v/>
      </c>
      <c r="AW92">
        <f>IF(AND($A92&lt;&gt;"",AW$3&gt;=$J92,AW$3&lt;=$M92),1,"")</f>
        <v/>
      </c>
      <c r="AX92">
        <f>IF(AND($A92&lt;&gt;"",AX$3&gt;=$J92,AX$3&lt;=$M92),1,"")</f>
        <v/>
      </c>
      <c r="AY92">
        <f>IF(AND($A92&lt;&gt;"",AY$3&gt;=$J92,AY$3&lt;=$M92),1,"")</f>
        <v/>
      </c>
      <c r="AZ92">
        <f>IF(AND($A92&lt;&gt;"",AZ$3&gt;=$J92,AZ$3&lt;=$M92),1,"")</f>
        <v/>
      </c>
      <c r="BA92">
        <f>IF(AND($A92&lt;&gt;"",BA$3&gt;=$J92,BA$3&lt;=$M92),1,"")</f>
        <v/>
      </c>
      <c r="BB92">
        <f>IF(AND($A92&lt;&gt;"",BB$3&gt;=$J92,BB$3&lt;=$M92),1,"")</f>
        <v/>
      </c>
      <c r="BC92">
        <f>IF(AND($A92&lt;&gt;"",BC$3&gt;=$J92,BC$3&lt;=$M92),1,"")</f>
        <v/>
      </c>
      <c r="BD92">
        <f>IF(AND($A92&lt;&gt;"",BD$3&gt;=$J92,BD$3&lt;=$M92),1,"")</f>
        <v/>
      </c>
      <c r="BE92">
        <f>IF(AND($A92&lt;&gt;"",BE$3&gt;=$J92,BE$3&lt;=$M92),1,"")</f>
        <v/>
      </c>
      <c r="BF92">
        <f>IF(AND($A92&lt;&gt;"",BF$3&gt;=$J92,BF$3&lt;=$M92),1,"")</f>
        <v/>
      </c>
      <c r="BG92">
        <f>IF(AND($A92&lt;&gt;"",BG$3&gt;=$J92,BG$3&lt;=$M92),1,"")</f>
        <v/>
      </c>
      <c r="BH92">
        <f>IF(AND($A92&lt;&gt;"",BH$3&gt;=$J92,BH$3&lt;=$M92),1,"")</f>
        <v/>
      </c>
      <c r="BI92">
        <f>IF(AND($A92&lt;&gt;"",BI$3&gt;=$J92,BI$3&lt;=$M92),1,"")</f>
        <v/>
      </c>
      <c r="BJ92">
        <f>IF(AND($A92&lt;&gt;"",BJ$3&gt;=$J92,BJ$3&lt;=$M92),1,"")</f>
        <v/>
      </c>
      <c r="BK92">
        <f>IF(AND($A92&lt;&gt;"",BK$3&gt;=$J92,BK$3&lt;=$M92),1,"")</f>
        <v/>
      </c>
      <c r="BL92">
        <f>IF(AND($A92&lt;&gt;"",BL$3&gt;=$J92,BL$3&lt;=$M92),1,"")</f>
        <v/>
      </c>
      <c r="BM92">
        <f>IF(AND($A92&lt;&gt;"",BM$3&gt;=$J92,BM$3&lt;=$M92),1,"")</f>
        <v/>
      </c>
      <c r="BN92">
        <f>IF(AND($A92&lt;&gt;"",BN$3&gt;=$J92,BN$3&lt;=$M92),1,"")</f>
        <v/>
      </c>
      <c r="BO92">
        <f>IF(AND($A92&lt;&gt;"",BO$3&gt;=$J92,BO$3&lt;=$M92),1,"")</f>
        <v/>
      </c>
      <c r="BP92">
        <f>IF(AND($A92&lt;&gt;"",BP$3&gt;=$J92,BP$3&lt;=$M92),1,"")</f>
        <v/>
      </c>
      <c r="BQ92">
        <f>IF(AND($A92&lt;&gt;"",BQ$3&gt;=$J92,BQ$3&lt;=$M92),1,"")</f>
        <v/>
      </c>
      <c r="BR92">
        <f>IF(AND($A92&lt;&gt;"",BR$3&gt;=$J92,BR$3&lt;=$M92),1,"")</f>
        <v/>
      </c>
      <c r="BS92">
        <f>IF(AND($A92&lt;&gt;"",BS$3&gt;=$J92,BS$3&lt;=$M92),1,"")</f>
        <v/>
      </c>
      <c r="BT92">
        <f>IF(AND($A92&lt;&gt;"",BT$3&gt;=$J92,BT$3&lt;=$M92),1,"")</f>
        <v/>
      </c>
      <c r="BU92">
        <f>IF(AND($A92&lt;&gt;"",BU$3&gt;=$J92,BU$3&lt;=$M92),1,"")</f>
        <v/>
      </c>
      <c r="BV92">
        <f>IF(AND($A92&lt;&gt;"",BV$3&gt;=$J92,BV$3&lt;=$M92),1,"")</f>
        <v/>
      </c>
    </row>
    <row r="93">
      <c r="A93">
        <f>IF(Job_Master_Ring!$A93="","",Job_Master_Ring!$A93)</f>
        <v/>
      </c>
      <c r="B93">
        <f>IF($A93="","",Job_Master_Ring!B93)</f>
        <v/>
      </c>
      <c r="C93">
        <f>IF($A93="","",Job_Master_Ring!C93)</f>
        <v/>
      </c>
      <c r="D93">
        <f>IF($A93="","",Job_Master_Ring!D93)</f>
        <v/>
      </c>
      <c r="E93">
        <f>IF($A93="","",IF($I93&lt;&gt;"",$I93,IFERROR(INDEX(Machine_List!$B$50:$B$63,MATCH(1,(Machine_List!$H$50:$H$63&lt;=IFERROR(VLOOKUP($B93,CHOOSE(MATCH($C93,Settings!$L$4:$L$10,0),OPR_BR1!$A$4:$K$18,OPR_BR2!$A$4:$K$18,OPR_CR2!$A$4:$K$18,OPR_CR3!$A$4:$K$18,OPR_CR4!$A$4:$K$18,OPR_RIM!$A$4:$K$18,OPR_BPR!$A$4:$K$18),10,0),0))*(Machine_List!$I$50:$I$63&gt;=IFERROR(VLOOKUP($B93,CHOOSE(MATCH($C93,Settings!$L$4:$L$10,0),OPR_BR1!$A$4:$K$18,OPR_BR2!$A$4:$K$18,OPR_CR2!$A$4:$K$18,OPR_CR3!$A$4:$K$18,OPR_CR4!$A$4:$K$18,OPR_RIM!$A$4:$K$18,OPR_BPR!$A$4:$K$18),11,0),9999)),0)),"NO COMPATIBLE MACHINE")))</f>
        <v/>
      </c>
      <c r="F93">
        <f>IF($E93="","",IFERROR(VLOOKUP($E93,Machine_List!$B:$G,6,0),""))</f>
        <v/>
      </c>
      <c r="G93" s="17">
        <f>IF($E93="","",IFERROR(VLOOKUP($E93,Machine_List!$B:$C,2,0),""))</f>
        <v/>
      </c>
      <c r="H93">
        <f>IF($E93="","",IFERROR(VLOOKUP($E93,Machine_List!$B:$D,3,0),""))</f>
        <v/>
      </c>
      <c r="J93" s="16">
        <f>IF($A93="","",IF($I93&lt;&gt;"",$I93,MAX(CNC_Plan!$M93,IFERROR(LOOKUP(2,1/($E$3:INDIRECT("E"&amp;(ROW()-1))=$E93),$M$3:INDIRECT("M"&amp;(ROW()-1))),CNC_Plan!$M93))))</f>
        <v/>
      </c>
      <c r="K93">
        <f>IF($A93="","",IFERROR(VLOOKUP(B93,CHOOSE(MATCH($C93,Settings!$L$4:$L$10,0),OPR_BR1!$A$4:$I$18,OPR_BR2!$A$4:$I$18,OPR_CR2!$A$4:$I$18,OPR_CR3!$A$4:$I$18,OPR_CR4!$A$4:$I$18,OPR_RIM!$A$4:$I$18,OPR_BPR!$A$4:$I$18),6,0),0))</f>
        <v/>
      </c>
      <c r="L93">
        <f>IF($A93="","",K93*D93)</f>
        <v/>
      </c>
      <c r="M93" s="16">
        <f>IF($A93="","",IF(AND(ISNUMBER(G93),G93&gt;=J93,G93&lt;=(J93+(L93/(IF(F93="Contract Workman",Settings!$K$5,Settings!$K$4))))),J93+(L93/(IF(F93="Contract Workman",Settings!$K$5,Settings!$K$4)))+(H93/(IF(F93="Contract Workman",Settings!$K$5,Settings!$K$4))),J93+(L93/(IF(F93="Contract Workman",Settings!$K$5,Settings!$K$4)))))</f>
        <v/>
      </c>
      <c r="N93">
        <f>IF($A93="","",IF(F93="Contract Workman",IF(AND(MOD(M93,1)&gt;=8/24,MOD(M93,1)&lt;20/24),"Shift S1","Shift S2"),IF(AND(MOD(M93,1)&gt;=7/24,MOD(M93,1)&lt;15/24),"Shift A",IF(AND(MOD(M93,1)&gt;=15/24,MOD(M93,1)&lt;23/24),"Shift B","Shift C"))))</f>
        <v/>
      </c>
      <c r="O93">
        <f>IF(B93="","",IF(IFERROR(ISNUMBER(SEARCH(TEXT(B93,"0"),VLOOKUP(E93,Machine_List!$B:$J,9,0))),FALSE),"✅ "&amp; E93,"❌ Sug: "&amp;IFERROR(INDEX(Machine_List!$B$50:$B$63,MATCH(1,(Machine_List!$H$50:$H$63&lt;=IFERROR(VLOOKUP($B93,OPR_BR1!$A$4:$K$18,10,0),0))*(Machine_List!$I$50:$I$63&gt;=IFERROR(VLOOKUP($B93,OPR_BR1!$A$4:$K$18,11,0),9999)),0)),"?")))</f>
        <v/>
      </c>
      <c r="P93">
        <f>IF(AND($A93&lt;&gt;"",P$3&gt;=$J93,P$3&lt;=$M93),1,"")</f>
        <v/>
      </c>
      <c r="Q93">
        <f>IF(AND($A93&lt;&gt;"",Q$3&gt;=$J93,Q$3&lt;=$M93),1,"")</f>
        <v/>
      </c>
      <c r="R93">
        <f>IF(AND($A93&lt;&gt;"",R$3&gt;=$J93,R$3&lt;=$M93),1,"")</f>
        <v/>
      </c>
      <c r="S93">
        <f>IF(AND($A93&lt;&gt;"",S$3&gt;=$J93,S$3&lt;=$M93),1,"")</f>
        <v/>
      </c>
      <c r="T93">
        <f>IF(AND($A93&lt;&gt;"",T$3&gt;=$J93,T$3&lt;=$M93),1,"")</f>
        <v/>
      </c>
      <c r="U93">
        <f>IF(AND($A93&lt;&gt;"",U$3&gt;=$J93,U$3&lt;=$M93),1,"")</f>
        <v/>
      </c>
      <c r="V93">
        <f>IF(AND($A93&lt;&gt;"",V$3&gt;=$J93,V$3&lt;=$M93),1,"")</f>
        <v/>
      </c>
      <c r="W93">
        <f>IF(AND($A93&lt;&gt;"",W$3&gt;=$J93,W$3&lt;=$M93),1,"")</f>
        <v/>
      </c>
      <c r="X93">
        <f>IF(AND($A93&lt;&gt;"",X$3&gt;=$J93,X$3&lt;=$M93),1,"")</f>
        <v/>
      </c>
      <c r="Y93">
        <f>IF(AND($A93&lt;&gt;"",Y$3&gt;=$J93,Y$3&lt;=$M93),1,"")</f>
        <v/>
      </c>
      <c r="Z93">
        <f>IF(AND($A93&lt;&gt;"",Z$3&gt;=$J93,Z$3&lt;=$M93),1,"")</f>
        <v/>
      </c>
      <c r="AA93">
        <f>IF(AND($A93&lt;&gt;"",AA$3&gt;=$J93,AA$3&lt;=$M93),1,"")</f>
        <v/>
      </c>
      <c r="AB93">
        <f>IF(AND($A93&lt;&gt;"",AB$3&gt;=$J93,AB$3&lt;=$M93),1,"")</f>
        <v/>
      </c>
      <c r="AC93">
        <f>IF(AND($A93&lt;&gt;"",AC$3&gt;=$J93,AC$3&lt;=$M93),1,"")</f>
        <v/>
      </c>
      <c r="AD93">
        <f>IF(AND($A93&lt;&gt;"",AD$3&gt;=$J93,AD$3&lt;=$M93),1,"")</f>
        <v/>
      </c>
      <c r="AE93">
        <f>IF(AND($A93&lt;&gt;"",AE$3&gt;=$J93,AE$3&lt;=$M93),1,"")</f>
        <v/>
      </c>
      <c r="AF93">
        <f>IF(AND($A93&lt;&gt;"",AF$3&gt;=$J93,AF$3&lt;=$M93),1,"")</f>
        <v/>
      </c>
      <c r="AG93">
        <f>IF(AND($A93&lt;&gt;"",AG$3&gt;=$J93,AG$3&lt;=$M93),1,"")</f>
        <v/>
      </c>
      <c r="AH93">
        <f>IF(AND($A93&lt;&gt;"",AH$3&gt;=$J93,AH$3&lt;=$M93),1,"")</f>
        <v/>
      </c>
      <c r="AI93">
        <f>IF(AND($A93&lt;&gt;"",AI$3&gt;=$J93,AI$3&lt;=$M93),1,"")</f>
        <v/>
      </c>
      <c r="AJ93">
        <f>IF(AND($A93&lt;&gt;"",AJ$3&gt;=$J93,AJ$3&lt;=$M93),1,"")</f>
        <v/>
      </c>
      <c r="AK93">
        <f>IF(AND($A93&lt;&gt;"",AK$3&gt;=$J93,AK$3&lt;=$M93),1,"")</f>
        <v/>
      </c>
      <c r="AL93">
        <f>IF(AND($A93&lt;&gt;"",AL$3&gt;=$J93,AL$3&lt;=$M93),1,"")</f>
        <v/>
      </c>
      <c r="AM93">
        <f>IF(AND($A93&lt;&gt;"",AM$3&gt;=$J93,AM$3&lt;=$M93),1,"")</f>
        <v/>
      </c>
      <c r="AN93">
        <f>IF(AND($A93&lt;&gt;"",AN$3&gt;=$J93,AN$3&lt;=$M93),1,"")</f>
        <v/>
      </c>
      <c r="AO93">
        <f>IF(AND($A93&lt;&gt;"",AO$3&gt;=$J93,AO$3&lt;=$M93),1,"")</f>
        <v/>
      </c>
      <c r="AP93">
        <f>IF(AND($A93&lt;&gt;"",AP$3&gt;=$J93,AP$3&lt;=$M93),1,"")</f>
        <v/>
      </c>
      <c r="AQ93">
        <f>IF(AND($A93&lt;&gt;"",AQ$3&gt;=$J93,AQ$3&lt;=$M93),1,"")</f>
        <v/>
      </c>
      <c r="AR93">
        <f>IF(AND($A93&lt;&gt;"",AR$3&gt;=$J93,AR$3&lt;=$M93),1,"")</f>
        <v/>
      </c>
      <c r="AS93">
        <f>IF(AND($A93&lt;&gt;"",AS$3&gt;=$J93,AS$3&lt;=$M93),1,"")</f>
        <v/>
      </c>
      <c r="AT93">
        <f>IF(AND($A93&lt;&gt;"",AT$3&gt;=$J93,AT$3&lt;=$M93),1,"")</f>
        <v/>
      </c>
      <c r="AU93">
        <f>IF(AND($A93&lt;&gt;"",AU$3&gt;=$J93,AU$3&lt;=$M93),1,"")</f>
        <v/>
      </c>
      <c r="AV93">
        <f>IF(AND($A93&lt;&gt;"",AV$3&gt;=$J93,AV$3&lt;=$M93),1,"")</f>
        <v/>
      </c>
      <c r="AW93">
        <f>IF(AND($A93&lt;&gt;"",AW$3&gt;=$J93,AW$3&lt;=$M93),1,"")</f>
        <v/>
      </c>
      <c r="AX93">
        <f>IF(AND($A93&lt;&gt;"",AX$3&gt;=$J93,AX$3&lt;=$M93),1,"")</f>
        <v/>
      </c>
      <c r="AY93">
        <f>IF(AND($A93&lt;&gt;"",AY$3&gt;=$J93,AY$3&lt;=$M93),1,"")</f>
        <v/>
      </c>
      <c r="AZ93">
        <f>IF(AND($A93&lt;&gt;"",AZ$3&gt;=$J93,AZ$3&lt;=$M93),1,"")</f>
        <v/>
      </c>
      <c r="BA93">
        <f>IF(AND($A93&lt;&gt;"",BA$3&gt;=$J93,BA$3&lt;=$M93),1,"")</f>
        <v/>
      </c>
      <c r="BB93">
        <f>IF(AND($A93&lt;&gt;"",BB$3&gt;=$J93,BB$3&lt;=$M93),1,"")</f>
        <v/>
      </c>
      <c r="BC93">
        <f>IF(AND($A93&lt;&gt;"",BC$3&gt;=$J93,BC$3&lt;=$M93),1,"")</f>
        <v/>
      </c>
      <c r="BD93">
        <f>IF(AND($A93&lt;&gt;"",BD$3&gt;=$J93,BD$3&lt;=$M93),1,"")</f>
        <v/>
      </c>
      <c r="BE93">
        <f>IF(AND($A93&lt;&gt;"",BE$3&gt;=$J93,BE$3&lt;=$M93),1,"")</f>
        <v/>
      </c>
      <c r="BF93">
        <f>IF(AND($A93&lt;&gt;"",BF$3&gt;=$J93,BF$3&lt;=$M93),1,"")</f>
        <v/>
      </c>
      <c r="BG93">
        <f>IF(AND($A93&lt;&gt;"",BG$3&gt;=$J93,BG$3&lt;=$M93),1,"")</f>
        <v/>
      </c>
      <c r="BH93">
        <f>IF(AND($A93&lt;&gt;"",BH$3&gt;=$J93,BH$3&lt;=$M93),1,"")</f>
        <v/>
      </c>
      <c r="BI93">
        <f>IF(AND($A93&lt;&gt;"",BI$3&gt;=$J93,BI$3&lt;=$M93),1,"")</f>
        <v/>
      </c>
      <c r="BJ93">
        <f>IF(AND($A93&lt;&gt;"",BJ$3&gt;=$J93,BJ$3&lt;=$M93),1,"")</f>
        <v/>
      </c>
      <c r="BK93">
        <f>IF(AND($A93&lt;&gt;"",BK$3&gt;=$J93,BK$3&lt;=$M93),1,"")</f>
        <v/>
      </c>
      <c r="BL93">
        <f>IF(AND($A93&lt;&gt;"",BL$3&gt;=$J93,BL$3&lt;=$M93),1,"")</f>
        <v/>
      </c>
      <c r="BM93">
        <f>IF(AND($A93&lt;&gt;"",BM$3&gt;=$J93,BM$3&lt;=$M93),1,"")</f>
        <v/>
      </c>
      <c r="BN93">
        <f>IF(AND($A93&lt;&gt;"",BN$3&gt;=$J93,BN$3&lt;=$M93),1,"")</f>
        <v/>
      </c>
      <c r="BO93">
        <f>IF(AND($A93&lt;&gt;"",BO$3&gt;=$J93,BO$3&lt;=$M93),1,"")</f>
        <v/>
      </c>
      <c r="BP93">
        <f>IF(AND($A93&lt;&gt;"",BP$3&gt;=$J93,BP$3&lt;=$M93),1,"")</f>
        <v/>
      </c>
      <c r="BQ93">
        <f>IF(AND($A93&lt;&gt;"",BQ$3&gt;=$J93,BQ$3&lt;=$M93),1,"")</f>
        <v/>
      </c>
      <c r="BR93">
        <f>IF(AND($A93&lt;&gt;"",BR$3&gt;=$J93,BR$3&lt;=$M93),1,"")</f>
        <v/>
      </c>
      <c r="BS93">
        <f>IF(AND($A93&lt;&gt;"",BS$3&gt;=$J93,BS$3&lt;=$M93),1,"")</f>
        <v/>
      </c>
      <c r="BT93">
        <f>IF(AND($A93&lt;&gt;"",BT$3&gt;=$J93,BT$3&lt;=$M93),1,"")</f>
        <v/>
      </c>
      <c r="BU93">
        <f>IF(AND($A93&lt;&gt;"",BU$3&gt;=$J93,BU$3&lt;=$M93),1,"")</f>
        <v/>
      </c>
      <c r="BV93">
        <f>IF(AND($A93&lt;&gt;"",BV$3&gt;=$J93,BV$3&lt;=$M93),1,"")</f>
        <v/>
      </c>
    </row>
    <row r="94">
      <c r="A94">
        <f>IF(Job_Master_Ring!$A94="","",Job_Master_Ring!$A94)</f>
        <v/>
      </c>
      <c r="B94">
        <f>IF($A94="","",Job_Master_Ring!B94)</f>
        <v/>
      </c>
      <c r="C94">
        <f>IF($A94="","",Job_Master_Ring!C94)</f>
        <v/>
      </c>
      <c r="D94">
        <f>IF($A94="","",Job_Master_Ring!D94)</f>
        <v/>
      </c>
      <c r="E94">
        <f>IF($A94="","",IF($I94&lt;&gt;"",$I94,IFERROR(INDEX(Machine_List!$B$50:$B$63,MATCH(1,(Machine_List!$H$50:$H$63&lt;=IFERROR(VLOOKUP($B94,CHOOSE(MATCH($C94,Settings!$L$4:$L$10,0),OPR_BR1!$A$4:$K$18,OPR_BR2!$A$4:$K$18,OPR_CR2!$A$4:$K$18,OPR_CR3!$A$4:$K$18,OPR_CR4!$A$4:$K$18,OPR_RIM!$A$4:$K$18,OPR_BPR!$A$4:$K$18),10,0),0))*(Machine_List!$I$50:$I$63&gt;=IFERROR(VLOOKUP($B94,CHOOSE(MATCH($C94,Settings!$L$4:$L$10,0),OPR_BR1!$A$4:$K$18,OPR_BR2!$A$4:$K$18,OPR_CR2!$A$4:$K$18,OPR_CR3!$A$4:$K$18,OPR_CR4!$A$4:$K$18,OPR_RIM!$A$4:$K$18,OPR_BPR!$A$4:$K$18),11,0),9999)),0)),"NO COMPATIBLE MACHINE")))</f>
        <v/>
      </c>
      <c r="F94">
        <f>IF($E94="","",IFERROR(VLOOKUP($E94,Machine_List!$B:$G,6,0),""))</f>
        <v/>
      </c>
      <c r="G94" s="17">
        <f>IF($E94="","",IFERROR(VLOOKUP($E94,Machine_List!$B:$C,2,0),""))</f>
        <v/>
      </c>
      <c r="H94">
        <f>IF($E94="","",IFERROR(VLOOKUP($E94,Machine_List!$B:$D,3,0),""))</f>
        <v/>
      </c>
      <c r="J94" s="16">
        <f>IF($A94="","",IF($I94&lt;&gt;"",$I94,MAX(CNC_Plan!$M94,IFERROR(LOOKUP(2,1/($E$3:INDIRECT("E"&amp;(ROW()-1))=$E94),$M$3:INDIRECT("M"&amp;(ROW()-1))),CNC_Plan!$M94))))</f>
        <v/>
      </c>
      <c r="K94">
        <f>IF($A94="","",IFERROR(VLOOKUP(B94,CHOOSE(MATCH($C94,Settings!$L$4:$L$10,0),OPR_BR1!$A$4:$I$18,OPR_BR2!$A$4:$I$18,OPR_CR2!$A$4:$I$18,OPR_CR3!$A$4:$I$18,OPR_CR4!$A$4:$I$18,OPR_RIM!$A$4:$I$18,OPR_BPR!$A$4:$I$18),6,0),0))</f>
        <v/>
      </c>
      <c r="L94">
        <f>IF($A94="","",K94*D94)</f>
        <v/>
      </c>
      <c r="M94" s="16">
        <f>IF($A94="","",IF(AND(ISNUMBER(G94),G94&gt;=J94,G94&lt;=(J94+(L94/(IF(F94="Contract Workman",Settings!$K$5,Settings!$K$4))))),J94+(L94/(IF(F94="Contract Workman",Settings!$K$5,Settings!$K$4)))+(H94/(IF(F94="Contract Workman",Settings!$K$5,Settings!$K$4))),J94+(L94/(IF(F94="Contract Workman",Settings!$K$5,Settings!$K$4)))))</f>
        <v/>
      </c>
      <c r="N94">
        <f>IF($A94="","",IF(F94="Contract Workman",IF(AND(MOD(M94,1)&gt;=8/24,MOD(M94,1)&lt;20/24),"Shift S1","Shift S2"),IF(AND(MOD(M94,1)&gt;=7/24,MOD(M94,1)&lt;15/24),"Shift A",IF(AND(MOD(M94,1)&gt;=15/24,MOD(M94,1)&lt;23/24),"Shift B","Shift C"))))</f>
        <v/>
      </c>
      <c r="O94">
        <f>IF(B94="","",IF(IFERROR(ISNUMBER(SEARCH(TEXT(B94,"0"),VLOOKUP(E94,Machine_List!$B:$J,9,0))),FALSE),"✅ "&amp; E94,"❌ Sug: "&amp;IFERROR(INDEX(Machine_List!$B$50:$B$63,MATCH(1,(Machine_List!$H$50:$H$63&lt;=IFERROR(VLOOKUP($B94,OPR_BR1!$A$4:$K$18,10,0),0))*(Machine_List!$I$50:$I$63&gt;=IFERROR(VLOOKUP($B94,OPR_BR1!$A$4:$K$18,11,0),9999)),0)),"?")))</f>
        <v/>
      </c>
      <c r="P94">
        <f>IF(AND($A94&lt;&gt;"",P$3&gt;=$J94,P$3&lt;=$M94),1,"")</f>
        <v/>
      </c>
      <c r="Q94">
        <f>IF(AND($A94&lt;&gt;"",Q$3&gt;=$J94,Q$3&lt;=$M94),1,"")</f>
        <v/>
      </c>
      <c r="R94">
        <f>IF(AND($A94&lt;&gt;"",R$3&gt;=$J94,R$3&lt;=$M94),1,"")</f>
        <v/>
      </c>
      <c r="S94">
        <f>IF(AND($A94&lt;&gt;"",S$3&gt;=$J94,S$3&lt;=$M94),1,"")</f>
        <v/>
      </c>
      <c r="T94">
        <f>IF(AND($A94&lt;&gt;"",T$3&gt;=$J94,T$3&lt;=$M94),1,"")</f>
        <v/>
      </c>
      <c r="U94">
        <f>IF(AND($A94&lt;&gt;"",U$3&gt;=$J94,U$3&lt;=$M94),1,"")</f>
        <v/>
      </c>
      <c r="V94">
        <f>IF(AND($A94&lt;&gt;"",V$3&gt;=$J94,V$3&lt;=$M94),1,"")</f>
        <v/>
      </c>
      <c r="W94">
        <f>IF(AND($A94&lt;&gt;"",W$3&gt;=$J94,W$3&lt;=$M94),1,"")</f>
        <v/>
      </c>
      <c r="X94">
        <f>IF(AND($A94&lt;&gt;"",X$3&gt;=$J94,X$3&lt;=$M94),1,"")</f>
        <v/>
      </c>
      <c r="Y94">
        <f>IF(AND($A94&lt;&gt;"",Y$3&gt;=$J94,Y$3&lt;=$M94),1,"")</f>
        <v/>
      </c>
      <c r="Z94">
        <f>IF(AND($A94&lt;&gt;"",Z$3&gt;=$J94,Z$3&lt;=$M94),1,"")</f>
        <v/>
      </c>
      <c r="AA94">
        <f>IF(AND($A94&lt;&gt;"",AA$3&gt;=$J94,AA$3&lt;=$M94),1,"")</f>
        <v/>
      </c>
      <c r="AB94">
        <f>IF(AND($A94&lt;&gt;"",AB$3&gt;=$J94,AB$3&lt;=$M94),1,"")</f>
        <v/>
      </c>
      <c r="AC94">
        <f>IF(AND($A94&lt;&gt;"",AC$3&gt;=$J94,AC$3&lt;=$M94),1,"")</f>
        <v/>
      </c>
      <c r="AD94">
        <f>IF(AND($A94&lt;&gt;"",AD$3&gt;=$J94,AD$3&lt;=$M94),1,"")</f>
        <v/>
      </c>
      <c r="AE94">
        <f>IF(AND($A94&lt;&gt;"",AE$3&gt;=$J94,AE$3&lt;=$M94),1,"")</f>
        <v/>
      </c>
      <c r="AF94">
        <f>IF(AND($A94&lt;&gt;"",AF$3&gt;=$J94,AF$3&lt;=$M94),1,"")</f>
        <v/>
      </c>
      <c r="AG94">
        <f>IF(AND($A94&lt;&gt;"",AG$3&gt;=$J94,AG$3&lt;=$M94),1,"")</f>
        <v/>
      </c>
      <c r="AH94">
        <f>IF(AND($A94&lt;&gt;"",AH$3&gt;=$J94,AH$3&lt;=$M94),1,"")</f>
        <v/>
      </c>
      <c r="AI94">
        <f>IF(AND($A94&lt;&gt;"",AI$3&gt;=$J94,AI$3&lt;=$M94),1,"")</f>
        <v/>
      </c>
      <c r="AJ94">
        <f>IF(AND($A94&lt;&gt;"",AJ$3&gt;=$J94,AJ$3&lt;=$M94),1,"")</f>
        <v/>
      </c>
      <c r="AK94">
        <f>IF(AND($A94&lt;&gt;"",AK$3&gt;=$J94,AK$3&lt;=$M94),1,"")</f>
        <v/>
      </c>
      <c r="AL94">
        <f>IF(AND($A94&lt;&gt;"",AL$3&gt;=$J94,AL$3&lt;=$M94),1,"")</f>
        <v/>
      </c>
      <c r="AM94">
        <f>IF(AND($A94&lt;&gt;"",AM$3&gt;=$J94,AM$3&lt;=$M94),1,"")</f>
        <v/>
      </c>
      <c r="AN94">
        <f>IF(AND($A94&lt;&gt;"",AN$3&gt;=$J94,AN$3&lt;=$M94),1,"")</f>
        <v/>
      </c>
      <c r="AO94">
        <f>IF(AND($A94&lt;&gt;"",AO$3&gt;=$J94,AO$3&lt;=$M94),1,"")</f>
        <v/>
      </c>
      <c r="AP94">
        <f>IF(AND($A94&lt;&gt;"",AP$3&gt;=$J94,AP$3&lt;=$M94),1,"")</f>
        <v/>
      </c>
      <c r="AQ94">
        <f>IF(AND($A94&lt;&gt;"",AQ$3&gt;=$J94,AQ$3&lt;=$M94),1,"")</f>
        <v/>
      </c>
      <c r="AR94">
        <f>IF(AND($A94&lt;&gt;"",AR$3&gt;=$J94,AR$3&lt;=$M94),1,"")</f>
        <v/>
      </c>
      <c r="AS94">
        <f>IF(AND($A94&lt;&gt;"",AS$3&gt;=$J94,AS$3&lt;=$M94),1,"")</f>
        <v/>
      </c>
      <c r="AT94">
        <f>IF(AND($A94&lt;&gt;"",AT$3&gt;=$J94,AT$3&lt;=$M94),1,"")</f>
        <v/>
      </c>
      <c r="AU94">
        <f>IF(AND($A94&lt;&gt;"",AU$3&gt;=$J94,AU$3&lt;=$M94),1,"")</f>
        <v/>
      </c>
      <c r="AV94">
        <f>IF(AND($A94&lt;&gt;"",AV$3&gt;=$J94,AV$3&lt;=$M94),1,"")</f>
        <v/>
      </c>
      <c r="AW94">
        <f>IF(AND($A94&lt;&gt;"",AW$3&gt;=$J94,AW$3&lt;=$M94),1,"")</f>
        <v/>
      </c>
      <c r="AX94">
        <f>IF(AND($A94&lt;&gt;"",AX$3&gt;=$J94,AX$3&lt;=$M94),1,"")</f>
        <v/>
      </c>
      <c r="AY94">
        <f>IF(AND($A94&lt;&gt;"",AY$3&gt;=$J94,AY$3&lt;=$M94),1,"")</f>
        <v/>
      </c>
      <c r="AZ94">
        <f>IF(AND($A94&lt;&gt;"",AZ$3&gt;=$J94,AZ$3&lt;=$M94),1,"")</f>
        <v/>
      </c>
      <c r="BA94">
        <f>IF(AND($A94&lt;&gt;"",BA$3&gt;=$J94,BA$3&lt;=$M94),1,"")</f>
        <v/>
      </c>
      <c r="BB94">
        <f>IF(AND($A94&lt;&gt;"",BB$3&gt;=$J94,BB$3&lt;=$M94),1,"")</f>
        <v/>
      </c>
      <c r="BC94">
        <f>IF(AND($A94&lt;&gt;"",BC$3&gt;=$J94,BC$3&lt;=$M94),1,"")</f>
        <v/>
      </c>
      <c r="BD94">
        <f>IF(AND($A94&lt;&gt;"",BD$3&gt;=$J94,BD$3&lt;=$M94),1,"")</f>
        <v/>
      </c>
      <c r="BE94">
        <f>IF(AND($A94&lt;&gt;"",BE$3&gt;=$J94,BE$3&lt;=$M94),1,"")</f>
        <v/>
      </c>
      <c r="BF94">
        <f>IF(AND($A94&lt;&gt;"",BF$3&gt;=$J94,BF$3&lt;=$M94),1,"")</f>
        <v/>
      </c>
      <c r="BG94">
        <f>IF(AND($A94&lt;&gt;"",BG$3&gt;=$J94,BG$3&lt;=$M94),1,"")</f>
        <v/>
      </c>
      <c r="BH94">
        <f>IF(AND($A94&lt;&gt;"",BH$3&gt;=$J94,BH$3&lt;=$M94),1,"")</f>
        <v/>
      </c>
      <c r="BI94">
        <f>IF(AND($A94&lt;&gt;"",BI$3&gt;=$J94,BI$3&lt;=$M94),1,"")</f>
        <v/>
      </c>
      <c r="BJ94">
        <f>IF(AND($A94&lt;&gt;"",BJ$3&gt;=$J94,BJ$3&lt;=$M94),1,"")</f>
        <v/>
      </c>
      <c r="BK94">
        <f>IF(AND($A94&lt;&gt;"",BK$3&gt;=$J94,BK$3&lt;=$M94),1,"")</f>
        <v/>
      </c>
      <c r="BL94">
        <f>IF(AND($A94&lt;&gt;"",BL$3&gt;=$J94,BL$3&lt;=$M94),1,"")</f>
        <v/>
      </c>
      <c r="BM94">
        <f>IF(AND($A94&lt;&gt;"",BM$3&gt;=$J94,BM$3&lt;=$M94),1,"")</f>
        <v/>
      </c>
      <c r="BN94">
        <f>IF(AND($A94&lt;&gt;"",BN$3&gt;=$J94,BN$3&lt;=$M94),1,"")</f>
        <v/>
      </c>
      <c r="BO94">
        <f>IF(AND($A94&lt;&gt;"",BO$3&gt;=$J94,BO$3&lt;=$M94),1,"")</f>
        <v/>
      </c>
      <c r="BP94">
        <f>IF(AND($A94&lt;&gt;"",BP$3&gt;=$J94,BP$3&lt;=$M94),1,"")</f>
        <v/>
      </c>
      <c r="BQ94">
        <f>IF(AND($A94&lt;&gt;"",BQ$3&gt;=$J94,BQ$3&lt;=$M94),1,"")</f>
        <v/>
      </c>
      <c r="BR94">
        <f>IF(AND($A94&lt;&gt;"",BR$3&gt;=$J94,BR$3&lt;=$M94),1,"")</f>
        <v/>
      </c>
      <c r="BS94">
        <f>IF(AND($A94&lt;&gt;"",BS$3&gt;=$J94,BS$3&lt;=$M94),1,"")</f>
        <v/>
      </c>
      <c r="BT94">
        <f>IF(AND($A94&lt;&gt;"",BT$3&gt;=$J94,BT$3&lt;=$M94),1,"")</f>
        <v/>
      </c>
      <c r="BU94">
        <f>IF(AND($A94&lt;&gt;"",BU$3&gt;=$J94,BU$3&lt;=$M94),1,"")</f>
        <v/>
      </c>
      <c r="BV94">
        <f>IF(AND($A94&lt;&gt;"",BV$3&gt;=$J94,BV$3&lt;=$M94),1,"")</f>
        <v/>
      </c>
    </row>
    <row r="95">
      <c r="A95">
        <f>IF(Job_Master_Ring!$A95="","",Job_Master_Ring!$A95)</f>
        <v/>
      </c>
      <c r="B95">
        <f>IF($A95="","",Job_Master_Ring!B95)</f>
        <v/>
      </c>
      <c r="C95">
        <f>IF($A95="","",Job_Master_Ring!C95)</f>
        <v/>
      </c>
      <c r="D95">
        <f>IF($A95="","",Job_Master_Ring!D95)</f>
        <v/>
      </c>
      <c r="E95">
        <f>IF($A95="","",IF($I95&lt;&gt;"",$I95,IFERROR(INDEX(Machine_List!$B$50:$B$63,MATCH(1,(Machine_List!$H$50:$H$63&lt;=IFERROR(VLOOKUP($B95,CHOOSE(MATCH($C95,Settings!$L$4:$L$10,0),OPR_BR1!$A$4:$K$18,OPR_BR2!$A$4:$K$18,OPR_CR2!$A$4:$K$18,OPR_CR3!$A$4:$K$18,OPR_CR4!$A$4:$K$18,OPR_RIM!$A$4:$K$18,OPR_BPR!$A$4:$K$18),10,0),0))*(Machine_List!$I$50:$I$63&gt;=IFERROR(VLOOKUP($B95,CHOOSE(MATCH($C95,Settings!$L$4:$L$10,0),OPR_BR1!$A$4:$K$18,OPR_BR2!$A$4:$K$18,OPR_CR2!$A$4:$K$18,OPR_CR3!$A$4:$K$18,OPR_CR4!$A$4:$K$18,OPR_RIM!$A$4:$K$18,OPR_BPR!$A$4:$K$18),11,0),9999)),0)),"NO COMPATIBLE MACHINE")))</f>
        <v/>
      </c>
      <c r="F95">
        <f>IF($E95="","",IFERROR(VLOOKUP($E95,Machine_List!$B:$G,6,0),""))</f>
        <v/>
      </c>
      <c r="G95" s="17">
        <f>IF($E95="","",IFERROR(VLOOKUP($E95,Machine_List!$B:$C,2,0),""))</f>
        <v/>
      </c>
      <c r="H95">
        <f>IF($E95="","",IFERROR(VLOOKUP($E95,Machine_List!$B:$D,3,0),""))</f>
        <v/>
      </c>
      <c r="J95" s="16">
        <f>IF($A95="","",IF($I95&lt;&gt;"",$I95,MAX(CNC_Plan!$M95,IFERROR(LOOKUP(2,1/($E$3:INDIRECT("E"&amp;(ROW()-1))=$E95),$M$3:INDIRECT("M"&amp;(ROW()-1))),CNC_Plan!$M95))))</f>
        <v/>
      </c>
      <c r="K95">
        <f>IF($A95="","",IFERROR(VLOOKUP(B95,CHOOSE(MATCH($C95,Settings!$L$4:$L$10,0),OPR_BR1!$A$4:$I$18,OPR_BR2!$A$4:$I$18,OPR_CR2!$A$4:$I$18,OPR_CR3!$A$4:$I$18,OPR_CR4!$A$4:$I$18,OPR_RIM!$A$4:$I$18,OPR_BPR!$A$4:$I$18),6,0),0))</f>
        <v/>
      </c>
      <c r="L95">
        <f>IF($A95="","",K95*D95)</f>
        <v/>
      </c>
      <c r="M95" s="16">
        <f>IF($A95="","",IF(AND(ISNUMBER(G95),G95&gt;=J95,G95&lt;=(J95+(L95/(IF(F95="Contract Workman",Settings!$K$5,Settings!$K$4))))),J95+(L95/(IF(F95="Contract Workman",Settings!$K$5,Settings!$K$4)))+(H95/(IF(F95="Contract Workman",Settings!$K$5,Settings!$K$4))),J95+(L95/(IF(F95="Contract Workman",Settings!$K$5,Settings!$K$4)))))</f>
        <v/>
      </c>
      <c r="N95">
        <f>IF($A95="","",IF(F95="Contract Workman",IF(AND(MOD(M95,1)&gt;=8/24,MOD(M95,1)&lt;20/24),"Shift S1","Shift S2"),IF(AND(MOD(M95,1)&gt;=7/24,MOD(M95,1)&lt;15/24),"Shift A",IF(AND(MOD(M95,1)&gt;=15/24,MOD(M95,1)&lt;23/24),"Shift B","Shift C"))))</f>
        <v/>
      </c>
      <c r="O95">
        <f>IF(B95="","",IF(IFERROR(ISNUMBER(SEARCH(TEXT(B95,"0"),VLOOKUP(E95,Machine_List!$B:$J,9,0))),FALSE),"✅ "&amp; E95,"❌ Sug: "&amp;IFERROR(INDEX(Machine_List!$B$50:$B$63,MATCH(1,(Machine_List!$H$50:$H$63&lt;=IFERROR(VLOOKUP($B95,OPR_BR1!$A$4:$K$18,10,0),0))*(Machine_List!$I$50:$I$63&gt;=IFERROR(VLOOKUP($B95,OPR_BR1!$A$4:$K$18,11,0),9999)),0)),"?")))</f>
        <v/>
      </c>
      <c r="P95">
        <f>IF(AND($A95&lt;&gt;"",P$3&gt;=$J95,P$3&lt;=$M95),1,"")</f>
        <v/>
      </c>
      <c r="Q95">
        <f>IF(AND($A95&lt;&gt;"",Q$3&gt;=$J95,Q$3&lt;=$M95),1,"")</f>
        <v/>
      </c>
      <c r="R95">
        <f>IF(AND($A95&lt;&gt;"",R$3&gt;=$J95,R$3&lt;=$M95),1,"")</f>
        <v/>
      </c>
      <c r="S95">
        <f>IF(AND($A95&lt;&gt;"",S$3&gt;=$J95,S$3&lt;=$M95),1,"")</f>
        <v/>
      </c>
      <c r="T95">
        <f>IF(AND($A95&lt;&gt;"",T$3&gt;=$J95,T$3&lt;=$M95),1,"")</f>
        <v/>
      </c>
      <c r="U95">
        <f>IF(AND($A95&lt;&gt;"",U$3&gt;=$J95,U$3&lt;=$M95),1,"")</f>
        <v/>
      </c>
      <c r="V95">
        <f>IF(AND($A95&lt;&gt;"",V$3&gt;=$J95,V$3&lt;=$M95),1,"")</f>
        <v/>
      </c>
      <c r="W95">
        <f>IF(AND($A95&lt;&gt;"",W$3&gt;=$J95,W$3&lt;=$M95),1,"")</f>
        <v/>
      </c>
      <c r="X95">
        <f>IF(AND($A95&lt;&gt;"",X$3&gt;=$J95,X$3&lt;=$M95),1,"")</f>
        <v/>
      </c>
      <c r="Y95">
        <f>IF(AND($A95&lt;&gt;"",Y$3&gt;=$J95,Y$3&lt;=$M95),1,"")</f>
        <v/>
      </c>
      <c r="Z95">
        <f>IF(AND($A95&lt;&gt;"",Z$3&gt;=$J95,Z$3&lt;=$M95),1,"")</f>
        <v/>
      </c>
      <c r="AA95">
        <f>IF(AND($A95&lt;&gt;"",AA$3&gt;=$J95,AA$3&lt;=$M95),1,"")</f>
        <v/>
      </c>
      <c r="AB95">
        <f>IF(AND($A95&lt;&gt;"",AB$3&gt;=$J95,AB$3&lt;=$M95),1,"")</f>
        <v/>
      </c>
      <c r="AC95">
        <f>IF(AND($A95&lt;&gt;"",AC$3&gt;=$J95,AC$3&lt;=$M95),1,"")</f>
        <v/>
      </c>
      <c r="AD95">
        <f>IF(AND($A95&lt;&gt;"",AD$3&gt;=$J95,AD$3&lt;=$M95),1,"")</f>
        <v/>
      </c>
      <c r="AE95">
        <f>IF(AND($A95&lt;&gt;"",AE$3&gt;=$J95,AE$3&lt;=$M95),1,"")</f>
        <v/>
      </c>
      <c r="AF95">
        <f>IF(AND($A95&lt;&gt;"",AF$3&gt;=$J95,AF$3&lt;=$M95),1,"")</f>
        <v/>
      </c>
      <c r="AG95">
        <f>IF(AND($A95&lt;&gt;"",AG$3&gt;=$J95,AG$3&lt;=$M95),1,"")</f>
        <v/>
      </c>
      <c r="AH95">
        <f>IF(AND($A95&lt;&gt;"",AH$3&gt;=$J95,AH$3&lt;=$M95),1,"")</f>
        <v/>
      </c>
      <c r="AI95">
        <f>IF(AND($A95&lt;&gt;"",AI$3&gt;=$J95,AI$3&lt;=$M95),1,"")</f>
        <v/>
      </c>
      <c r="AJ95">
        <f>IF(AND($A95&lt;&gt;"",AJ$3&gt;=$J95,AJ$3&lt;=$M95),1,"")</f>
        <v/>
      </c>
      <c r="AK95">
        <f>IF(AND($A95&lt;&gt;"",AK$3&gt;=$J95,AK$3&lt;=$M95),1,"")</f>
        <v/>
      </c>
      <c r="AL95">
        <f>IF(AND($A95&lt;&gt;"",AL$3&gt;=$J95,AL$3&lt;=$M95),1,"")</f>
        <v/>
      </c>
      <c r="AM95">
        <f>IF(AND($A95&lt;&gt;"",AM$3&gt;=$J95,AM$3&lt;=$M95),1,"")</f>
        <v/>
      </c>
      <c r="AN95">
        <f>IF(AND($A95&lt;&gt;"",AN$3&gt;=$J95,AN$3&lt;=$M95),1,"")</f>
        <v/>
      </c>
      <c r="AO95">
        <f>IF(AND($A95&lt;&gt;"",AO$3&gt;=$J95,AO$3&lt;=$M95),1,"")</f>
        <v/>
      </c>
      <c r="AP95">
        <f>IF(AND($A95&lt;&gt;"",AP$3&gt;=$J95,AP$3&lt;=$M95),1,"")</f>
        <v/>
      </c>
      <c r="AQ95">
        <f>IF(AND($A95&lt;&gt;"",AQ$3&gt;=$J95,AQ$3&lt;=$M95),1,"")</f>
        <v/>
      </c>
      <c r="AR95">
        <f>IF(AND($A95&lt;&gt;"",AR$3&gt;=$J95,AR$3&lt;=$M95),1,"")</f>
        <v/>
      </c>
      <c r="AS95">
        <f>IF(AND($A95&lt;&gt;"",AS$3&gt;=$J95,AS$3&lt;=$M95),1,"")</f>
        <v/>
      </c>
      <c r="AT95">
        <f>IF(AND($A95&lt;&gt;"",AT$3&gt;=$J95,AT$3&lt;=$M95),1,"")</f>
        <v/>
      </c>
      <c r="AU95">
        <f>IF(AND($A95&lt;&gt;"",AU$3&gt;=$J95,AU$3&lt;=$M95),1,"")</f>
        <v/>
      </c>
      <c r="AV95">
        <f>IF(AND($A95&lt;&gt;"",AV$3&gt;=$J95,AV$3&lt;=$M95),1,"")</f>
        <v/>
      </c>
      <c r="AW95">
        <f>IF(AND($A95&lt;&gt;"",AW$3&gt;=$J95,AW$3&lt;=$M95),1,"")</f>
        <v/>
      </c>
      <c r="AX95">
        <f>IF(AND($A95&lt;&gt;"",AX$3&gt;=$J95,AX$3&lt;=$M95),1,"")</f>
        <v/>
      </c>
      <c r="AY95">
        <f>IF(AND($A95&lt;&gt;"",AY$3&gt;=$J95,AY$3&lt;=$M95),1,"")</f>
        <v/>
      </c>
      <c r="AZ95">
        <f>IF(AND($A95&lt;&gt;"",AZ$3&gt;=$J95,AZ$3&lt;=$M95),1,"")</f>
        <v/>
      </c>
      <c r="BA95">
        <f>IF(AND($A95&lt;&gt;"",BA$3&gt;=$J95,BA$3&lt;=$M95),1,"")</f>
        <v/>
      </c>
      <c r="BB95">
        <f>IF(AND($A95&lt;&gt;"",BB$3&gt;=$J95,BB$3&lt;=$M95),1,"")</f>
        <v/>
      </c>
      <c r="BC95">
        <f>IF(AND($A95&lt;&gt;"",BC$3&gt;=$J95,BC$3&lt;=$M95),1,"")</f>
        <v/>
      </c>
      <c r="BD95">
        <f>IF(AND($A95&lt;&gt;"",BD$3&gt;=$J95,BD$3&lt;=$M95),1,"")</f>
        <v/>
      </c>
      <c r="BE95">
        <f>IF(AND($A95&lt;&gt;"",BE$3&gt;=$J95,BE$3&lt;=$M95),1,"")</f>
        <v/>
      </c>
      <c r="BF95">
        <f>IF(AND($A95&lt;&gt;"",BF$3&gt;=$J95,BF$3&lt;=$M95),1,"")</f>
        <v/>
      </c>
      <c r="BG95">
        <f>IF(AND($A95&lt;&gt;"",BG$3&gt;=$J95,BG$3&lt;=$M95),1,"")</f>
        <v/>
      </c>
      <c r="BH95">
        <f>IF(AND($A95&lt;&gt;"",BH$3&gt;=$J95,BH$3&lt;=$M95),1,"")</f>
        <v/>
      </c>
      <c r="BI95">
        <f>IF(AND($A95&lt;&gt;"",BI$3&gt;=$J95,BI$3&lt;=$M95),1,"")</f>
        <v/>
      </c>
      <c r="BJ95">
        <f>IF(AND($A95&lt;&gt;"",BJ$3&gt;=$J95,BJ$3&lt;=$M95),1,"")</f>
        <v/>
      </c>
      <c r="BK95">
        <f>IF(AND($A95&lt;&gt;"",BK$3&gt;=$J95,BK$3&lt;=$M95),1,"")</f>
        <v/>
      </c>
      <c r="BL95">
        <f>IF(AND($A95&lt;&gt;"",BL$3&gt;=$J95,BL$3&lt;=$M95),1,"")</f>
        <v/>
      </c>
      <c r="BM95">
        <f>IF(AND($A95&lt;&gt;"",BM$3&gt;=$J95,BM$3&lt;=$M95),1,"")</f>
        <v/>
      </c>
      <c r="BN95">
        <f>IF(AND($A95&lt;&gt;"",BN$3&gt;=$J95,BN$3&lt;=$M95),1,"")</f>
        <v/>
      </c>
      <c r="BO95">
        <f>IF(AND($A95&lt;&gt;"",BO$3&gt;=$J95,BO$3&lt;=$M95),1,"")</f>
        <v/>
      </c>
      <c r="BP95">
        <f>IF(AND($A95&lt;&gt;"",BP$3&gt;=$J95,BP$3&lt;=$M95),1,"")</f>
        <v/>
      </c>
      <c r="BQ95">
        <f>IF(AND($A95&lt;&gt;"",BQ$3&gt;=$J95,BQ$3&lt;=$M95),1,"")</f>
        <v/>
      </c>
      <c r="BR95">
        <f>IF(AND($A95&lt;&gt;"",BR$3&gt;=$J95,BR$3&lt;=$M95),1,"")</f>
        <v/>
      </c>
      <c r="BS95">
        <f>IF(AND($A95&lt;&gt;"",BS$3&gt;=$J95,BS$3&lt;=$M95),1,"")</f>
        <v/>
      </c>
      <c r="BT95">
        <f>IF(AND($A95&lt;&gt;"",BT$3&gt;=$J95,BT$3&lt;=$M95),1,"")</f>
        <v/>
      </c>
      <c r="BU95">
        <f>IF(AND($A95&lt;&gt;"",BU$3&gt;=$J95,BU$3&lt;=$M95),1,"")</f>
        <v/>
      </c>
      <c r="BV95">
        <f>IF(AND($A95&lt;&gt;"",BV$3&gt;=$J95,BV$3&lt;=$M95),1,"")</f>
        <v/>
      </c>
    </row>
    <row r="96">
      <c r="A96">
        <f>IF(Job_Master_Ring!$A96="","",Job_Master_Ring!$A96)</f>
        <v/>
      </c>
      <c r="B96">
        <f>IF($A96="","",Job_Master_Ring!B96)</f>
        <v/>
      </c>
      <c r="C96">
        <f>IF($A96="","",Job_Master_Ring!C96)</f>
        <v/>
      </c>
      <c r="D96">
        <f>IF($A96="","",Job_Master_Ring!D96)</f>
        <v/>
      </c>
      <c r="E96">
        <f>IF($A96="","",IF($I96&lt;&gt;"",$I96,IFERROR(INDEX(Machine_List!$B$50:$B$63,MATCH(1,(Machine_List!$H$50:$H$63&lt;=IFERROR(VLOOKUP($B96,CHOOSE(MATCH($C96,Settings!$L$4:$L$10,0),OPR_BR1!$A$4:$K$18,OPR_BR2!$A$4:$K$18,OPR_CR2!$A$4:$K$18,OPR_CR3!$A$4:$K$18,OPR_CR4!$A$4:$K$18,OPR_RIM!$A$4:$K$18,OPR_BPR!$A$4:$K$18),10,0),0))*(Machine_List!$I$50:$I$63&gt;=IFERROR(VLOOKUP($B96,CHOOSE(MATCH($C96,Settings!$L$4:$L$10,0),OPR_BR1!$A$4:$K$18,OPR_BR2!$A$4:$K$18,OPR_CR2!$A$4:$K$18,OPR_CR3!$A$4:$K$18,OPR_CR4!$A$4:$K$18,OPR_RIM!$A$4:$K$18,OPR_BPR!$A$4:$K$18),11,0),9999)),0)),"NO COMPATIBLE MACHINE")))</f>
        <v/>
      </c>
      <c r="F96">
        <f>IF($E96="","",IFERROR(VLOOKUP($E96,Machine_List!$B:$G,6,0),""))</f>
        <v/>
      </c>
      <c r="G96" s="17">
        <f>IF($E96="","",IFERROR(VLOOKUP($E96,Machine_List!$B:$C,2,0),""))</f>
        <v/>
      </c>
      <c r="H96">
        <f>IF($E96="","",IFERROR(VLOOKUP($E96,Machine_List!$B:$D,3,0),""))</f>
        <v/>
      </c>
      <c r="J96" s="16">
        <f>IF($A96="","",IF($I96&lt;&gt;"",$I96,MAX(CNC_Plan!$M96,IFERROR(LOOKUP(2,1/($E$3:INDIRECT("E"&amp;(ROW()-1))=$E96),$M$3:INDIRECT("M"&amp;(ROW()-1))),CNC_Plan!$M96))))</f>
        <v/>
      </c>
      <c r="K96">
        <f>IF($A96="","",IFERROR(VLOOKUP(B96,CHOOSE(MATCH($C96,Settings!$L$4:$L$10,0),OPR_BR1!$A$4:$I$18,OPR_BR2!$A$4:$I$18,OPR_CR2!$A$4:$I$18,OPR_CR3!$A$4:$I$18,OPR_CR4!$A$4:$I$18,OPR_RIM!$A$4:$I$18,OPR_BPR!$A$4:$I$18),6,0),0))</f>
        <v/>
      </c>
      <c r="L96">
        <f>IF($A96="","",K96*D96)</f>
        <v/>
      </c>
      <c r="M96" s="16">
        <f>IF($A96="","",IF(AND(ISNUMBER(G96),G96&gt;=J96,G96&lt;=(J96+(L96/(IF(F96="Contract Workman",Settings!$K$5,Settings!$K$4))))),J96+(L96/(IF(F96="Contract Workman",Settings!$K$5,Settings!$K$4)))+(H96/(IF(F96="Contract Workman",Settings!$K$5,Settings!$K$4))),J96+(L96/(IF(F96="Contract Workman",Settings!$K$5,Settings!$K$4)))))</f>
        <v/>
      </c>
      <c r="N96">
        <f>IF($A96="","",IF(F96="Contract Workman",IF(AND(MOD(M96,1)&gt;=8/24,MOD(M96,1)&lt;20/24),"Shift S1","Shift S2"),IF(AND(MOD(M96,1)&gt;=7/24,MOD(M96,1)&lt;15/24),"Shift A",IF(AND(MOD(M96,1)&gt;=15/24,MOD(M96,1)&lt;23/24),"Shift B","Shift C"))))</f>
        <v/>
      </c>
      <c r="O96">
        <f>IF(B96="","",IF(IFERROR(ISNUMBER(SEARCH(TEXT(B96,"0"),VLOOKUP(E96,Machine_List!$B:$J,9,0))),FALSE),"✅ "&amp; E96,"❌ Sug: "&amp;IFERROR(INDEX(Machine_List!$B$50:$B$63,MATCH(1,(Machine_List!$H$50:$H$63&lt;=IFERROR(VLOOKUP($B96,OPR_BR1!$A$4:$K$18,10,0),0))*(Machine_List!$I$50:$I$63&gt;=IFERROR(VLOOKUP($B96,OPR_BR1!$A$4:$K$18,11,0),9999)),0)),"?")))</f>
        <v/>
      </c>
      <c r="P96">
        <f>IF(AND($A96&lt;&gt;"",P$3&gt;=$J96,P$3&lt;=$M96),1,"")</f>
        <v/>
      </c>
      <c r="Q96">
        <f>IF(AND($A96&lt;&gt;"",Q$3&gt;=$J96,Q$3&lt;=$M96),1,"")</f>
        <v/>
      </c>
      <c r="R96">
        <f>IF(AND($A96&lt;&gt;"",R$3&gt;=$J96,R$3&lt;=$M96),1,"")</f>
        <v/>
      </c>
      <c r="S96">
        <f>IF(AND($A96&lt;&gt;"",S$3&gt;=$J96,S$3&lt;=$M96),1,"")</f>
        <v/>
      </c>
      <c r="T96">
        <f>IF(AND($A96&lt;&gt;"",T$3&gt;=$J96,T$3&lt;=$M96),1,"")</f>
        <v/>
      </c>
      <c r="U96">
        <f>IF(AND($A96&lt;&gt;"",U$3&gt;=$J96,U$3&lt;=$M96),1,"")</f>
        <v/>
      </c>
      <c r="V96">
        <f>IF(AND($A96&lt;&gt;"",V$3&gt;=$J96,V$3&lt;=$M96),1,"")</f>
        <v/>
      </c>
      <c r="W96">
        <f>IF(AND($A96&lt;&gt;"",W$3&gt;=$J96,W$3&lt;=$M96),1,"")</f>
        <v/>
      </c>
      <c r="X96">
        <f>IF(AND($A96&lt;&gt;"",X$3&gt;=$J96,X$3&lt;=$M96),1,"")</f>
        <v/>
      </c>
      <c r="Y96">
        <f>IF(AND($A96&lt;&gt;"",Y$3&gt;=$J96,Y$3&lt;=$M96),1,"")</f>
        <v/>
      </c>
      <c r="Z96">
        <f>IF(AND($A96&lt;&gt;"",Z$3&gt;=$J96,Z$3&lt;=$M96),1,"")</f>
        <v/>
      </c>
      <c r="AA96">
        <f>IF(AND($A96&lt;&gt;"",AA$3&gt;=$J96,AA$3&lt;=$M96),1,"")</f>
        <v/>
      </c>
      <c r="AB96">
        <f>IF(AND($A96&lt;&gt;"",AB$3&gt;=$J96,AB$3&lt;=$M96),1,"")</f>
        <v/>
      </c>
      <c r="AC96">
        <f>IF(AND($A96&lt;&gt;"",AC$3&gt;=$J96,AC$3&lt;=$M96),1,"")</f>
        <v/>
      </c>
      <c r="AD96">
        <f>IF(AND($A96&lt;&gt;"",AD$3&gt;=$J96,AD$3&lt;=$M96),1,"")</f>
        <v/>
      </c>
      <c r="AE96">
        <f>IF(AND($A96&lt;&gt;"",AE$3&gt;=$J96,AE$3&lt;=$M96),1,"")</f>
        <v/>
      </c>
      <c r="AF96">
        <f>IF(AND($A96&lt;&gt;"",AF$3&gt;=$J96,AF$3&lt;=$M96),1,"")</f>
        <v/>
      </c>
      <c r="AG96">
        <f>IF(AND($A96&lt;&gt;"",AG$3&gt;=$J96,AG$3&lt;=$M96),1,"")</f>
        <v/>
      </c>
      <c r="AH96">
        <f>IF(AND($A96&lt;&gt;"",AH$3&gt;=$J96,AH$3&lt;=$M96),1,"")</f>
        <v/>
      </c>
      <c r="AI96">
        <f>IF(AND($A96&lt;&gt;"",AI$3&gt;=$J96,AI$3&lt;=$M96),1,"")</f>
        <v/>
      </c>
      <c r="AJ96">
        <f>IF(AND($A96&lt;&gt;"",AJ$3&gt;=$J96,AJ$3&lt;=$M96),1,"")</f>
        <v/>
      </c>
      <c r="AK96">
        <f>IF(AND($A96&lt;&gt;"",AK$3&gt;=$J96,AK$3&lt;=$M96),1,"")</f>
        <v/>
      </c>
      <c r="AL96">
        <f>IF(AND($A96&lt;&gt;"",AL$3&gt;=$J96,AL$3&lt;=$M96),1,"")</f>
        <v/>
      </c>
      <c r="AM96">
        <f>IF(AND($A96&lt;&gt;"",AM$3&gt;=$J96,AM$3&lt;=$M96),1,"")</f>
        <v/>
      </c>
      <c r="AN96">
        <f>IF(AND($A96&lt;&gt;"",AN$3&gt;=$J96,AN$3&lt;=$M96),1,"")</f>
        <v/>
      </c>
      <c r="AO96">
        <f>IF(AND($A96&lt;&gt;"",AO$3&gt;=$J96,AO$3&lt;=$M96),1,"")</f>
        <v/>
      </c>
      <c r="AP96">
        <f>IF(AND($A96&lt;&gt;"",AP$3&gt;=$J96,AP$3&lt;=$M96),1,"")</f>
        <v/>
      </c>
      <c r="AQ96">
        <f>IF(AND($A96&lt;&gt;"",AQ$3&gt;=$J96,AQ$3&lt;=$M96),1,"")</f>
        <v/>
      </c>
      <c r="AR96">
        <f>IF(AND($A96&lt;&gt;"",AR$3&gt;=$J96,AR$3&lt;=$M96),1,"")</f>
        <v/>
      </c>
      <c r="AS96">
        <f>IF(AND($A96&lt;&gt;"",AS$3&gt;=$J96,AS$3&lt;=$M96),1,"")</f>
        <v/>
      </c>
      <c r="AT96">
        <f>IF(AND($A96&lt;&gt;"",AT$3&gt;=$J96,AT$3&lt;=$M96),1,"")</f>
        <v/>
      </c>
      <c r="AU96">
        <f>IF(AND($A96&lt;&gt;"",AU$3&gt;=$J96,AU$3&lt;=$M96),1,"")</f>
        <v/>
      </c>
      <c r="AV96">
        <f>IF(AND($A96&lt;&gt;"",AV$3&gt;=$J96,AV$3&lt;=$M96),1,"")</f>
        <v/>
      </c>
      <c r="AW96">
        <f>IF(AND($A96&lt;&gt;"",AW$3&gt;=$J96,AW$3&lt;=$M96),1,"")</f>
        <v/>
      </c>
      <c r="AX96">
        <f>IF(AND($A96&lt;&gt;"",AX$3&gt;=$J96,AX$3&lt;=$M96),1,"")</f>
        <v/>
      </c>
      <c r="AY96">
        <f>IF(AND($A96&lt;&gt;"",AY$3&gt;=$J96,AY$3&lt;=$M96),1,"")</f>
        <v/>
      </c>
      <c r="AZ96">
        <f>IF(AND($A96&lt;&gt;"",AZ$3&gt;=$J96,AZ$3&lt;=$M96),1,"")</f>
        <v/>
      </c>
      <c r="BA96">
        <f>IF(AND($A96&lt;&gt;"",BA$3&gt;=$J96,BA$3&lt;=$M96),1,"")</f>
        <v/>
      </c>
      <c r="BB96">
        <f>IF(AND($A96&lt;&gt;"",BB$3&gt;=$J96,BB$3&lt;=$M96),1,"")</f>
        <v/>
      </c>
      <c r="BC96">
        <f>IF(AND($A96&lt;&gt;"",BC$3&gt;=$J96,BC$3&lt;=$M96),1,"")</f>
        <v/>
      </c>
      <c r="BD96">
        <f>IF(AND($A96&lt;&gt;"",BD$3&gt;=$J96,BD$3&lt;=$M96),1,"")</f>
        <v/>
      </c>
      <c r="BE96">
        <f>IF(AND($A96&lt;&gt;"",BE$3&gt;=$J96,BE$3&lt;=$M96),1,"")</f>
        <v/>
      </c>
      <c r="BF96">
        <f>IF(AND($A96&lt;&gt;"",BF$3&gt;=$J96,BF$3&lt;=$M96),1,"")</f>
        <v/>
      </c>
      <c r="BG96">
        <f>IF(AND($A96&lt;&gt;"",BG$3&gt;=$J96,BG$3&lt;=$M96),1,"")</f>
        <v/>
      </c>
      <c r="BH96">
        <f>IF(AND($A96&lt;&gt;"",BH$3&gt;=$J96,BH$3&lt;=$M96),1,"")</f>
        <v/>
      </c>
      <c r="BI96">
        <f>IF(AND($A96&lt;&gt;"",BI$3&gt;=$J96,BI$3&lt;=$M96),1,"")</f>
        <v/>
      </c>
      <c r="BJ96">
        <f>IF(AND($A96&lt;&gt;"",BJ$3&gt;=$J96,BJ$3&lt;=$M96),1,"")</f>
        <v/>
      </c>
      <c r="BK96">
        <f>IF(AND($A96&lt;&gt;"",BK$3&gt;=$J96,BK$3&lt;=$M96),1,"")</f>
        <v/>
      </c>
      <c r="BL96">
        <f>IF(AND($A96&lt;&gt;"",BL$3&gt;=$J96,BL$3&lt;=$M96),1,"")</f>
        <v/>
      </c>
      <c r="BM96">
        <f>IF(AND($A96&lt;&gt;"",BM$3&gt;=$J96,BM$3&lt;=$M96),1,"")</f>
        <v/>
      </c>
      <c r="BN96">
        <f>IF(AND($A96&lt;&gt;"",BN$3&gt;=$J96,BN$3&lt;=$M96),1,"")</f>
        <v/>
      </c>
      <c r="BO96">
        <f>IF(AND($A96&lt;&gt;"",BO$3&gt;=$J96,BO$3&lt;=$M96),1,"")</f>
        <v/>
      </c>
      <c r="BP96">
        <f>IF(AND($A96&lt;&gt;"",BP$3&gt;=$J96,BP$3&lt;=$M96),1,"")</f>
        <v/>
      </c>
      <c r="BQ96">
        <f>IF(AND($A96&lt;&gt;"",BQ$3&gt;=$J96,BQ$3&lt;=$M96),1,"")</f>
        <v/>
      </c>
      <c r="BR96">
        <f>IF(AND($A96&lt;&gt;"",BR$3&gt;=$J96,BR$3&lt;=$M96),1,"")</f>
        <v/>
      </c>
      <c r="BS96">
        <f>IF(AND($A96&lt;&gt;"",BS$3&gt;=$J96,BS$3&lt;=$M96),1,"")</f>
        <v/>
      </c>
      <c r="BT96">
        <f>IF(AND($A96&lt;&gt;"",BT$3&gt;=$J96,BT$3&lt;=$M96),1,"")</f>
        <v/>
      </c>
      <c r="BU96">
        <f>IF(AND($A96&lt;&gt;"",BU$3&gt;=$J96,BU$3&lt;=$M96),1,"")</f>
        <v/>
      </c>
      <c r="BV96">
        <f>IF(AND($A96&lt;&gt;"",BV$3&gt;=$J96,BV$3&lt;=$M96),1,"")</f>
        <v/>
      </c>
    </row>
    <row r="97">
      <c r="A97">
        <f>IF(Job_Master_Ring!$A97="","",Job_Master_Ring!$A97)</f>
        <v/>
      </c>
      <c r="B97">
        <f>IF($A97="","",Job_Master_Ring!B97)</f>
        <v/>
      </c>
      <c r="C97">
        <f>IF($A97="","",Job_Master_Ring!C97)</f>
        <v/>
      </c>
      <c r="D97">
        <f>IF($A97="","",Job_Master_Ring!D97)</f>
        <v/>
      </c>
      <c r="E97">
        <f>IF($A97="","",IF($I97&lt;&gt;"",$I97,IFERROR(INDEX(Machine_List!$B$50:$B$63,MATCH(1,(Machine_List!$H$50:$H$63&lt;=IFERROR(VLOOKUP($B97,CHOOSE(MATCH($C97,Settings!$L$4:$L$10,0),OPR_BR1!$A$4:$K$18,OPR_BR2!$A$4:$K$18,OPR_CR2!$A$4:$K$18,OPR_CR3!$A$4:$K$18,OPR_CR4!$A$4:$K$18,OPR_RIM!$A$4:$K$18,OPR_BPR!$A$4:$K$18),10,0),0))*(Machine_List!$I$50:$I$63&gt;=IFERROR(VLOOKUP($B97,CHOOSE(MATCH($C97,Settings!$L$4:$L$10,0),OPR_BR1!$A$4:$K$18,OPR_BR2!$A$4:$K$18,OPR_CR2!$A$4:$K$18,OPR_CR3!$A$4:$K$18,OPR_CR4!$A$4:$K$18,OPR_RIM!$A$4:$K$18,OPR_BPR!$A$4:$K$18),11,0),9999)),0)),"NO COMPATIBLE MACHINE")))</f>
        <v/>
      </c>
      <c r="F97">
        <f>IF($E97="","",IFERROR(VLOOKUP($E97,Machine_List!$B:$G,6,0),""))</f>
        <v/>
      </c>
      <c r="G97" s="17">
        <f>IF($E97="","",IFERROR(VLOOKUP($E97,Machine_List!$B:$C,2,0),""))</f>
        <v/>
      </c>
      <c r="H97">
        <f>IF($E97="","",IFERROR(VLOOKUP($E97,Machine_List!$B:$D,3,0),""))</f>
        <v/>
      </c>
      <c r="J97" s="16">
        <f>IF($A97="","",IF($I97&lt;&gt;"",$I97,MAX(CNC_Plan!$M97,IFERROR(LOOKUP(2,1/($E$3:INDIRECT("E"&amp;(ROW()-1))=$E97),$M$3:INDIRECT("M"&amp;(ROW()-1))),CNC_Plan!$M97))))</f>
        <v/>
      </c>
      <c r="K97">
        <f>IF($A97="","",IFERROR(VLOOKUP(B97,CHOOSE(MATCH($C97,Settings!$L$4:$L$10,0),OPR_BR1!$A$4:$I$18,OPR_BR2!$A$4:$I$18,OPR_CR2!$A$4:$I$18,OPR_CR3!$A$4:$I$18,OPR_CR4!$A$4:$I$18,OPR_RIM!$A$4:$I$18,OPR_BPR!$A$4:$I$18),6,0),0))</f>
        <v/>
      </c>
      <c r="L97">
        <f>IF($A97="","",K97*D97)</f>
        <v/>
      </c>
      <c r="M97" s="16">
        <f>IF($A97="","",IF(AND(ISNUMBER(G97),G97&gt;=J97,G97&lt;=(J97+(L97/(IF(F97="Contract Workman",Settings!$K$5,Settings!$K$4))))),J97+(L97/(IF(F97="Contract Workman",Settings!$K$5,Settings!$K$4)))+(H97/(IF(F97="Contract Workman",Settings!$K$5,Settings!$K$4))),J97+(L97/(IF(F97="Contract Workman",Settings!$K$5,Settings!$K$4)))))</f>
        <v/>
      </c>
      <c r="N97">
        <f>IF($A97="","",IF(F97="Contract Workman",IF(AND(MOD(M97,1)&gt;=8/24,MOD(M97,1)&lt;20/24),"Shift S1","Shift S2"),IF(AND(MOD(M97,1)&gt;=7/24,MOD(M97,1)&lt;15/24),"Shift A",IF(AND(MOD(M97,1)&gt;=15/24,MOD(M97,1)&lt;23/24),"Shift B","Shift C"))))</f>
        <v/>
      </c>
      <c r="O97">
        <f>IF(B97="","",IF(IFERROR(ISNUMBER(SEARCH(TEXT(B97,"0"),VLOOKUP(E97,Machine_List!$B:$J,9,0))),FALSE),"✅ "&amp; E97,"❌ Sug: "&amp;IFERROR(INDEX(Machine_List!$B$50:$B$63,MATCH(1,(Machine_List!$H$50:$H$63&lt;=IFERROR(VLOOKUP($B97,OPR_BR1!$A$4:$K$18,10,0),0))*(Machine_List!$I$50:$I$63&gt;=IFERROR(VLOOKUP($B97,OPR_BR1!$A$4:$K$18,11,0),9999)),0)),"?")))</f>
        <v/>
      </c>
      <c r="P97">
        <f>IF(AND($A97&lt;&gt;"",P$3&gt;=$J97,P$3&lt;=$M97),1,"")</f>
        <v/>
      </c>
      <c r="Q97">
        <f>IF(AND($A97&lt;&gt;"",Q$3&gt;=$J97,Q$3&lt;=$M97),1,"")</f>
        <v/>
      </c>
      <c r="R97">
        <f>IF(AND($A97&lt;&gt;"",R$3&gt;=$J97,R$3&lt;=$M97),1,"")</f>
        <v/>
      </c>
      <c r="S97">
        <f>IF(AND($A97&lt;&gt;"",S$3&gt;=$J97,S$3&lt;=$M97),1,"")</f>
        <v/>
      </c>
      <c r="T97">
        <f>IF(AND($A97&lt;&gt;"",T$3&gt;=$J97,T$3&lt;=$M97),1,"")</f>
        <v/>
      </c>
      <c r="U97">
        <f>IF(AND($A97&lt;&gt;"",U$3&gt;=$J97,U$3&lt;=$M97),1,"")</f>
        <v/>
      </c>
      <c r="V97">
        <f>IF(AND($A97&lt;&gt;"",V$3&gt;=$J97,V$3&lt;=$M97),1,"")</f>
        <v/>
      </c>
      <c r="W97">
        <f>IF(AND($A97&lt;&gt;"",W$3&gt;=$J97,W$3&lt;=$M97),1,"")</f>
        <v/>
      </c>
      <c r="X97">
        <f>IF(AND($A97&lt;&gt;"",X$3&gt;=$J97,X$3&lt;=$M97),1,"")</f>
        <v/>
      </c>
      <c r="Y97">
        <f>IF(AND($A97&lt;&gt;"",Y$3&gt;=$J97,Y$3&lt;=$M97),1,"")</f>
        <v/>
      </c>
      <c r="Z97">
        <f>IF(AND($A97&lt;&gt;"",Z$3&gt;=$J97,Z$3&lt;=$M97),1,"")</f>
        <v/>
      </c>
      <c r="AA97">
        <f>IF(AND($A97&lt;&gt;"",AA$3&gt;=$J97,AA$3&lt;=$M97),1,"")</f>
        <v/>
      </c>
      <c r="AB97">
        <f>IF(AND($A97&lt;&gt;"",AB$3&gt;=$J97,AB$3&lt;=$M97),1,"")</f>
        <v/>
      </c>
      <c r="AC97">
        <f>IF(AND($A97&lt;&gt;"",AC$3&gt;=$J97,AC$3&lt;=$M97),1,"")</f>
        <v/>
      </c>
      <c r="AD97">
        <f>IF(AND($A97&lt;&gt;"",AD$3&gt;=$J97,AD$3&lt;=$M97),1,"")</f>
        <v/>
      </c>
      <c r="AE97">
        <f>IF(AND($A97&lt;&gt;"",AE$3&gt;=$J97,AE$3&lt;=$M97),1,"")</f>
        <v/>
      </c>
      <c r="AF97">
        <f>IF(AND($A97&lt;&gt;"",AF$3&gt;=$J97,AF$3&lt;=$M97),1,"")</f>
        <v/>
      </c>
      <c r="AG97">
        <f>IF(AND($A97&lt;&gt;"",AG$3&gt;=$J97,AG$3&lt;=$M97),1,"")</f>
        <v/>
      </c>
      <c r="AH97">
        <f>IF(AND($A97&lt;&gt;"",AH$3&gt;=$J97,AH$3&lt;=$M97),1,"")</f>
        <v/>
      </c>
      <c r="AI97">
        <f>IF(AND($A97&lt;&gt;"",AI$3&gt;=$J97,AI$3&lt;=$M97),1,"")</f>
        <v/>
      </c>
      <c r="AJ97">
        <f>IF(AND($A97&lt;&gt;"",AJ$3&gt;=$J97,AJ$3&lt;=$M97),1,"")</f>
        <v/>
      </c>
      <c r="AK97">
        <f>IF(AND($A97&lt;&gt;"",AK$3&gt;=$J97,AK$3&lt;=$M97),1,"")</f>
        <v/>
      </c>
      <c r="AL97">
        <f>IF(AND($A97&lt;&gt;"",AL$3&gt;=$J97,AL$3&lt;=$M97),1,"")</f>
        <v/>
      </c>
      <c r="AM97">
        <f>IF(AND($A97&lt;&gt;"",AM$3&gt;=$J97,AM$3&lt;=$M97),1,"")</f>
        <v/>
      </c>
      <c r="AN97">
        <f>IF(AND($A97&lt;&gt;"",AN$3&gt;=$J97,AN$3&lt;=$M97),1,"")</f>
        <v/>
      </c>
      <c r="AO97">
        <f>IF(AND($A97&lt;&gt;"",AO$3&gt;=$J97,AO$3&lt;=$M97),1,"")</f>
        <v/>
      </c>
      <c r="AP97">
        <f>IF(AND($A97&lt;&gt;"",AP$3&gt;=$J97,AP$3&lt;=$M97),1,"")</f>
        <v/>
      </c>
      <c r="AQ97">
        <f>IF(AND($A97&lt;&gt;"",AQ$3&gt;=$J97,AQ$3&lt;=$M97),1,"")</f>
        <v/>
      </c>
      <c r="AR97">
        <f>IF(AND($A97&lt;&gt;"",AR$3&gt;=$J97,AR$3&lt;=$M97),1,"")</f>
        <v/>
      </c>
      <c r="AS97">
        <f>IF(AND($A97&lt;&gt;"",AS$3&gt;=$J97,AS$3&lt;=$M97),1,"")</f>
        <v/>
      </c>
      <c r="AT97">
        <f>IF(AND($A97&lt;&gt;"",AT$3&gt;=$J97,AT$3&lt;=$M97),1,"")</f>
        <v/>
      </c>
      <c r="AU97">
        <f>IF(AND($A97&lt;&gt;"",AU$3&gt;=$J97,AU$3&lt;=$M97),1,"")</f>
        <v/>
      </c>
      <c r="AV97">
        <f>IF(AND($A97&lt;&gt;"",AV$3&gt;=$J97,AV$3&lt;=$M97),1,"")</f>
        <v/>
      </c>
      <c r="AW97">
        <f>IF(AND($A97&lt;&gt;"",AW$3&gt;=$J97,AW$3&lt;=$M97),1,"")</f>
        <v/>
      </c>
      <c r="AX97">
        <f>IF(AND($A97&lt;&gt;"",AX$3&gt;=$J97,AX$3&lt;=$M97),1,"")</f>
        <v/>
      </c>
      <c r="AY97">
        <f>IF(AND($A97&lt;&gt;"",AY$3&gt;=$J97,AY$3&lt;=$M97),1,"")</f>
        <v/>
      </c>
      <c r="AZ97">
        <f>IF(AND($A97&lt;&gt;"",AZ$3&gt;=$J97,AZ$3&lt;=$M97),1,"")</f>
        <v/>
      </c>
      <c r="BA97">
        <f>IF(AND($A97&lt;&gt;"",BA$3&gt;=$J97,BA$3&lt;=$M97),1,"")</f>
        <v/>
      </c>
      <c r="BB97">
        <f>IF(AND($A97&lt;&gt;"",BB$3&gt;=$J97,BB$3&lt;=$M97),1,"")</f>
        <v/>
      </c>
      <c r="BC97">
        <f>IF(AND($A97&lt;&gt;"",BC$3&gt;=$J97,BC$3&lt;=$M97),1,"")</f>
        <v/>
      </c>
      <c r="BD97">
        <f>IF(AND($A97&lt;&gt;"",BD$3&gt;=$J97,BD$3&lt;=$M97),1,"")</f>
        <v/>
      </c>
      <c r="BE97">
        <f>IF(AND($A97&lt;&gt;"",BE$3&gt;=$J97,BE$3&lt;=$M97),1,"")</f>
        <v/>
      </c>
      <c r="BF97">
        <f>IF(AND($A97&lt;&gt;"",BF$3&gt;=$J97,BF$3&lt;=$M97),1,"")</f>
        <v/>
      </c>
      <c r="BG97">
        <f>IF(AND($A97&lt;&gt;"",BG$3&gt;=$J97,BG$3&lt;=$M97),1,"")</f>
        <v/>
      </c>
      <c r="BH97">
        <f>IF(AND($A97&lt;&gt;"",BH$3&gt;=$J97,BH$3&lt;=$M97),1,"")</f>
        <v/>
      </c>
      <c r="BI97">
        <f>IF(AND($A97&lt;&gt;"",BI$3&gt;=$J97,BI$3&lt;=$M97),1,"")</f>
        <v/>
      </c>
      <c r="BJ97">
        <f>IF(AND($A97&lt;&gt;"",BJ$3&gt;=$J97,BJ$3&lt;=$M97),1,"")</f>
        <v/>
      </c>
      <c r="BK97">
        <f>IF(AND($A97&lt;&gt;"",BK$3&gt;=$J97,BK$3&lt;=$M97),1,"")</f>
        <v/>
      </c>
      <c r="BL97">
        <f>IF(AND($A97&lt;&gt;"",BL$3&gt;=$J97,BL$3&lt;=$M97),1,"")</f>
        <v/>
      </c>
      <c r="BM97">
        <f>IF(AND($A97&lt;&gt;"",BM$3&gt;=$J97,BM$3&lt;=$M97),1,"")</f>
        <v/>
      </c>
      <c r="BN97">
        <f>IF(AND($A97&lt;&gt;"",BN$3&gt;=$J97,BN$3&lt;=$M97),1,"")</f>
        <v/>
      </c>
      <c r="BO97">
        <f>IF(AND($A97&lt;&gt;"",BO$3&gt;=$J97,BO$3&lt;=$M97),1,"")</f>
        <v/>
      </c>
      <c r="BP97">
        <f>IF(AND($A97&lt;&gt;"",BP$3&gt;=$J97,BP$3&lt;=$M97),1,"")</f>
        <v/>
      </c>
      <c r="BQ97">
        <f>IF(AND($A97&lt;&gt;"",BQ$3&gt;=$J97,BQ$3&lt;=$M97),1,"")</f>
        <v/>
      </c>
      <c r="BR97">
        <f>IF(AND($A97&lt;&gt;"",BR$3&gt;=$J97,BR$3&lt;=$M97),1,"")</f>
        <v/>
      </c>
      <c r="BS97">
        <f>IF(AND($A97&lt;&gt;"",BS$3&gt;=$J97,BS$3&lt;=$M97),1,"")</f>
        <v/>
      </c>
      <c r="BT97">
        <f>IF(AND($A97&lt;&gt;"",BT$3&gt;=$J97,BT$3&lt;=$M97),1,"")</f>
        <v/>
      </c>
      <c r="BU97">
        <f>IF(AND($A97&lt;&gt;"",BU$3&gt;=$J97,BU$3&lt;=$M97),1,"")</f>
        <v/>
      </c>
      <c r="BV97">
        <f>IF(AND($A97&lt;&gt;"",BV$3&gt;=$J97,BV$3&lt;=$M97),1,"")</f>
        <v/>
      </c>
    </row>
    <row r="98">
      <c r="A98">
        <f>IF(Job_Master_Ring!$A98="","",Job_Master_Ring!$A98)</f>
        <v/>
      </c>
      <c r="B98">
        <f>IF($A98="","",Job_Master_Ring!B98)</f>
        <v/>
      </c>
      <c r="C98">
        <f>IF($A98="","",Job_Master_Ring!C98)</f>
        <v/>
      </c>
      <c r="D98">
        <f>IF($A98="","",Job_Master_Ring!D98)</f>
        <v/>
      </c>
      <c r="E98">
        <f>IF($A98="","",IF($I98&lt;&gt;"",$I98,IFERROR(INDEX(Machine_List!$B$50:$B$63,MATCH(1,(Machine_List!$H$50:$H$63&lt;=IFERROR(VLOOKUP($B98,CHOOSE(MATCH($C98,Settings!$L$4:$L$10,0),OPR_BR1!$A$4:$K$18,OPR_BR2!$A$4:$K$18,OPR_CR2!$A$4:$K$18,OPR_CR3!$A$4:$K$18,OPR_CR4!$A$4:$K$18,OPR_RIM!$A$4:$K$18,OPR_BPR!$A$4:$K$18),10,0),0))*(Machine_List!$I$50:$I$63&gt;=IFERROR(VLOOKUP($B98,CHOOSE(MATCH($C98,Settings!$L$4:$L$10,0),OPR_BR1!$A$4:$K$18,OPR_BR2!$A$4:$K$18,OPR_CR2!$A$4:$K$18,OPR_CR3!$A$4:$K$18,OPR_CR4!$A$4:$K$18,OPR_RIM!$A$4:$K$18,OPR_BPR!$A$4:$K$18),11,0),9999)),0)),"NO COMPATIBLE MACHINE")))</f>
        <v/>
      </c>
      <c r="F98">
        <f>IF($E98="","",IFERROR(VLOOKUP($E98,Machine_List!$B:$G,6,0),""))</f>
        <v/>
      </c>
      <c r="G98" s="17">
        <f>IF($E98="","",IFERROR(VLOOKUP($E98,Machine_List!$B:$C,2,0),""))</f>
        <v/>
      </c>
      <c r="H98">
        <f>IF($E98="","",IFERROR(VLOOKUP($E98,Machine_List!$B:$D,3,0),""))</f>
        <v/>
      </c>
      <c r="J98" s="16">
        <f>IF($A98="","",IF($I98&lt;&gt;"",$I98,MAX(CNC_Plan!$M98,IFERROR(LOOKUP(2,1/($E$3:INDIRECT("E"&amp;(ROW()-1))=$E98),$M$3:INDIRECT("M"&amp;(ROW()-1))),CNC_Plan!$M98))))</f>
        <v/>
      </c>
      <c r="K98">
        <f>IF($A98="","",IFERROR(VLOOKUP(B98,CHOOSE(MATCH($C98,Settings!$L$4:$L$10,0),OPR_BR1!$A$4:$I$18,OPR_BR2!$A$4:$I$18,OPR_CR2!$A$4:$I$18,OPR_CR3!$A$4:$I$18,OPR_CR4!$A$4:$I$18,OPR_RIM!$A$4:$I$18,OPR_BPR!$A$4:$I$18),6,0),0))</f>
        <v/>
      </c>
      <c r="L98">
        <f>IF($A98="","",K98*D98)</f>
        <v/>
      </c>
      <c r="M98" s="16">
        <f>IF($A98="","",IF(AND(ISNUMBER(G98),G98&gt;=J98,G98&lt;=(J98+(L98/(IF(F98="Contract Workman",Settings!$K$5,Settings!$K$4))))),J98+(L98/(IF(F98="Contract Workman",Settings!$K$5,Settings!$K$4)))+(H98/(IF(F98="Contract Workman",Settings!$K$5,Settings!$K$4))),J98+(L98/(IF(F98="Contract Workman",Settings!$K$5,Settings!$K$4)))))</f>
        <v/>
      </c>
      <c r="N98">
        <f>IF($A98="","",IF(F98="Contract Workman",IF(AND(MOD(M98,1)&gt;=8/24,MOD(M98,1)&lt;20/24),"Shift S1","Shift S2"),IF(AND(MOD(M98,1)&gt;=7/24,MOD(M98,1)&lt;15/24),"Shift A",IF(AND(MOD(M98,1)&gt;=15/24,MOD(M98,1)&lt;23/24),"Shift B","Shift C"))))</f>
        <v/>
      </c>
      <c r="O98">
        <f>IF(B98="","",IF(IFERROR(ISNUMBER(SEARCH(TEXT(B98,"0"),VLOOKUP(E98,Machine_List!$B:$J,9,0))),FALSE),"✅ "&amp; E98,"❌ Sug: "&amp;IFERROR(INDEX(Machine_List!$B$50:$B$63,MATCH(1,(Machine_List!$H$50:$H$63&lt;=IFERROR(VLOOKUP($B98,OPR_BR1!$A$4:$K$18,10,0),0))*(Machine_List!$I$50:$I$63&gt;=IFERROR(VLOOKUP($B98,OPR_BR1!$A$4:$K$18,11,0),9999)),0)),"?")))</f>
        <v/>
      </c>
      <c r="P98">
        <f>IF(AND($A98&lt;&gt;"",P$3&gt;=$J98,P$3&lt;=$M98),1,"")</f>
        <v/>
      </c>
      <c r="Q98">
        <f>IF(AND($A98&lt;&gt;"",Q$3&gt;=$J98,Q$3&lt;=$M98),1,"")</f>
        <v/>
      </c>
      <c r="R98">
        <f>IF(AND($A98&lt;&gt;"",R$3&gt;=$J98,R$3&lt;=$M98),1,"")</f>
        <v/>
      </c>
      <c r="S98">
        <f>IF(AND($A98&lt;&gt;"",S$3&gt;=$J98,S$3&lt;=$M98),1,"")</f>
        <v/>
      </c>
      <c r="T98">
        <f>IF(AND($A98&lt;&gt;"",T$3&gt;=$J98,T$3&lt;=$M98),1,"")</f>
        <v/>
      </c>
      <c r="U98">
        <f>IF(AND($A98&lt;&gt;"",U$3&gt;=$J98,U$3&lt;=$M98),1,"")</f>
        <v/>
      </c>
      <c r="V98">
        <f>IF(AND($A98&lt;&gt;"",V$3&gt;=$J98,V$3&lt;=$M98),1,"")</f>
        <v/>
      </c>
      <c r="W98">
        <f>IF(AND($A98&lt;&gt;"",W$3&gt;=$J98,W$3&lt;=$M98),1,"")</f>
        <v/>
      </c>
      <c r="X98">
        <f>IF(AND($A98&lt;&gt;"",X$3&gt;=$J98,X$3&lt;=$M98),1,"")</f>
        <v/>
      </c>
      <c r="Y98">
        <f>IF(AND($A98&lt;&gt;"",Y$3&gt;=$J98,Y$3&lt;=$M98),1,"")</f>
        <v/>
      </c>
      <c r="Z98">
        <f>IF(AND($A98&lt;&gt;"",Z$3&gt;=$J98,Z$3&lt;=$M98),1,"")</f>
        <v/>
      </c>
      <c r="AA98">
        <f>IF(AND($A98&lt;&gt;"",AA$3&gt;=$J98,AA$3&lt;=$M98),1,"")</f>
        <v/>
      </c>
      <c r="AB98">
        <f>IF(AND($A98&lt;&gt;"",AB$3&gt;=$J98,AB$3&lt;=$M98),1,"")</f>
        <v/>
      </c>
      <c r="AC98">
        <f>IF(AND($A98&lt;&gt;"",AC$3&gt;=$J98,AC$3&lt;=$M98),1,"")</f>
        <v/>
      </c>
      <c r="AD98">
        <f>IF(AND($A98&lt;&gt;"",AD$3&gt;=$J98,AD$3&lt;=$M98),1,"")</f>
        <v/>
      </c>
      <c r="AE98">
        <f>IF(AND($A98&lt;&gt;"",AE$3&gt;=$J98,AE$3&lt;=$M98),1,"")</f>
        <v/>
      </c>
      <c r="AF98">
        <f>IF(AND($A98&lt;&gt;"",AF$3&gt;=$J98,AF$3&lt;=$M98),1,"")</f>
        <v/>
      </c>
      <c r="AG98">
        <f>IF(AND($A98&lt;&gt;"",AG$3&gt;=$J98,AG$3&lt;=$M98),1,"")</f>
        <v/>
      </c>
      <c r="AH98">
        <f>IF(AND($A98&lt;&gt;"",AH$3&gt;=$J98,AH$3&lt;=$M98),1,"")</f>
        <v/>
      </c>
      <c r="AI98">
        <f>IF(AND($A98&lt;&gt;"",AI$3&gt;=$J98,AI$3&lt;=$M98),1,"")</f>
        <v/>
      </c>
      <c r="AJ98">
        <f>IF(AND($A98&lt;&gt;"",AJ$3&gt;=$J98,AJ$3&lt;=$M98),1,"")</f>
        <v/>
      </c>
      <c r="AK98">
        <f>IF(AND($A98&lt;&gt;"",AK$3&gt;=$J98,AK$3&lt;=$M98),1,"")</f>
        <v/>
      </c>
      <c r="AL98">
        <f>IF(AND($A98&lt;&gt;"",AL$3&gt;=$J98,AL$3&lt;=$M98),1,"")</f>
        <v/>
      </c>
      <c r="AM98">
        <f>IF(AND($A98&lt;&gt;"",AM$3&gt;=$J98,AM$3&lt;=$M98),1,"")</f>
        <v/>
      </c>
      <c r="AN98">
        <f>IF(AND($A98&lt;&gt;"",AN$3&gt;=$J98,AN$3&lt;=$M98),1,"")</f>
        <v/>
      </c>
      <c r="AO98">
        <f>IF(AND($A98&lt;&gt;"",AO$3&gt;=$J98,AO$3&lt;=$M98),1,"")</f>
        <v/>
      </c>
      <c r="AP98">
        <f>IF(AND($A98&lt;&gt;"",AP$3&gt;=$J98,AP$3&lt;=$M98),1,"")</f>
        <v/>
      </c>
      <c r="AQ98">
        <f>IF(AND($A98&lt;&gt;"",AQ$3&gt;=$J98,AQ$3&lt;=$M98),1,"")</f>
        <v/>
      </c>
      <c r="AR98">
        <f>IF(AND($A98&lt;&gt;"",AR$3&gt;=$J98,AR$3&lt;=$M98),1,"")</f>
        <v/>
      </c>
      <c r="AS98">
        <f>IF(AND($A98&lt;&gt;"",AS$3&gt;=$J98,AS$3&lt;=$M98),1,"")</f>
        <v/>
      </c>
      <c r="AT98">
        <f>IF(AND($A98&lt;&gt;"",AT$3&gt;=$J98,AT$3&lt;=$M98),1,"")</f>
        <v/>
      </c>
      <c r="AU98">
        <f>IF(AND($A98&lt;&gt;"",AU$3&gt;=$J98,AU$3&lt;=$M98),1,"")</f>
        <v/>
      </c>
      <c r="AV98">
        <f>IF(AND($A98&lt;&gt;"",AV$3&gt;=$J98,AV$3&lt;=$M98),1,"")</f>
        <v/>
      </c>
      <c r="AW98">
        <f>IF(AND($A98&lt;&gt;"",AW$3&gt;=$J98,AW$3&lt;=$M98),1,"")</f>
        <v/>
      </c>
      <c r="AX98">
        <f>IF(AND($A98&lt;&gt;"",AX$3&gt;=$J98,AX$3&lt;=$M98),1,"")</f>
        <v/>
      </c>
      <c r="AY98">
        <f>IF(AND($A98&lt;&gt;"",AY$3&gt;=$J98,AY$3&lt;=$M98),1,"")</f>
        <v/>
      </c>
      <c r="AZ98">
        <f>IF(AND($A98&lt;&gt;"",AZ$3&gt;=$J98,AZ$3&lt;=$M98),1,"")</f>
        <v/>
      </c>
      <c r="BA98">
        <f>IF(AND($A98&lt;&gt;"",BA$3&gt;=$J98,BA$3&lt;=$M98),1,"")</f>
        <v/>
      </c>
      <c r="BB98">
        <f>IF(AND($A98&lt;&gt;"",BB$3&gt;=$J98,BB$3&lt;=$M98),1,"")</f>
        <v/>
      </c>
      <c r="BC98">
        <f>IF(AND($A98&lt;&gt;"",BC$3&gt;=$J98,BC$3&lt;=$M98),1,"")</f>
        <v/>
      </c>
      <c r="BD98">
        <f>IF(AND($A98&lt;&gt;"",BD$3&gt;=$J98,BD$3&lt;=$M98),1,"")</f>
        <v/>
      </c>
      <c r="BE98">
        <f>IF(AND($A98&lt;&gt;"",BE$3&gt;=$J98,BE$3&lt;=$M98),1,"")</f>
        <v/>
      </c>
      <c r="BF98">
        <f>IF(AND($A98&lt;&gt;"",BF$3&gt;=$J98,BF$3&lt;=$M98),1,"")</f>
        <v/>
      </c>
      <c r="BG98">
        <f>IF(AND($A98&lt;&gt;"",BG$3&gt;=$J98,BG$3&lt;=$M98),1,"")</f>
        <v/>
      </c>
      <c r="BH98">
        <f>IF(AND($A98&lt;&gt;"",BH$3&gt;=$J98,BH$3&lt;=$M98),1,"")</f>
        <v/>
      </c>
      <c r="BI98">
        <f>IF(AND($A98&lt;&gt;"",BI$3&gt;=$J98,BI$3&lt;=$M98),1,"")</f>
        <v/>
      </c>
      <c r="BJ98">
        <f>IF(AND($A98&lt;&gt;"",BJ$3&gt;=$J98,BJ$3&lt;=$M98),1,"")</f>
        <v/>
      </c>
      <c r="BK98">
        <f>IF(AND($A98&lt;&gt;"",BK$3&gt;=$J98,BK$3&lt;=$M98),1,"")</f>
        <v/>
      </c>
      <c r="BL98">
        <f>IF(AND($A98&lt;&gt;"",BL$3&gt;=$J98,BL$3&lt;=$M98),1,"")</f>
        <v/>
      </c>
      <c r="BM98">
        <f>IF(AND($A98&lt;&gt;"",BM$3&gt;=$J98,BM$3&lt;=$M98),1,"")</f>
        <v/>
      </c>
      <c r="BN98">
        <f>IF(AND($A98&lt;&gt;"",BN$3&gt;=$J98,BN$3&lt;=$M98),1,"")</f>
        <v/>
      </c>
      <c r="BO98">
        <f>IF(AND($A98&lt;&gt;"",BO$3&gt;=$J98,BO$3&lt;=$M98),1,"")</f>
        <v/>
      </c>
      <c r="BP98">
        <f>IF(AND($A98&lt;&gt;"",BP$3&gt;=$J98,BP$3&lt;=$M98),1,"")</f>
        <v/>
      </c>
      <c r="BQ98">
        <f>IF(AND($A98&lt;&gt;"",BQ$3&gt;=$J98,BQ$3&lt;=$M98),1,"")</f>
        <v/>
      </c>
      <c r="BR98">
        <f>IF(AND($A98&lt;&gt;"",BR$3&gt;=$J98,BR$3&lt;=$M98),1,"")</f>
        <v/>
      </c>
      <c r="BS98">
        <f>IF(AND($A98&lt;&gt;"",BS$3&gt;=$J98,BS$3&lt;=$M98),1,"")</f>
        <v/>
      </c>
      <c r="BT98">
        <f>IF(AND($A98&lt;&gt;"",BT$3&gt;=$J98,BT$3&lt;=$M98),1,"")</f>
        <v/>
      </c>
      <c r="BU98">
        <f>IF(AND($A98&lt;&gt;"",BU$3&gt;=$J98,BU$3&lt;=$M98),1,"")</f>
        <v/>
      </c>
      <c r="BV98">
        <f>IF(AND($A98&lt;&gt;"",BV$3&gt;=$J98,BV$3&lt;=$M98),1,"")</f>
        <v/>
      </c>
    </row>
    <row r="99">
      <c r="A99">
        <f>IF(Job_Master_Ring!$A99="","",Job_Master_Ring!$A99)</f>
        <v/>
      </c>
      <c r="B99">
        <f>IF($A99="","",Job_Master_Ring!B99)</f>
        <v/>
      </c>
      <c r="C99">
        <f>IF($A99="","",Job_Master_Ring!C99)</f>
        <v/>
      </c>
      <c r="D99">
        <f>IF($A99="","",Job_Master_Ring!D99)</f>
        <v/>
      </c>
      <c r="E99">
        <f>IF($A99="","",IF($I99&lt;&gt;"",$I99,IFERROR(INDEX(Machine_List!$B$50:$B$63,MATCH(1,(Machine_List!$H$50:$H$63&lt;=IFERROR(VLOOKUP($B99,CHOOSE(MATCH($C99,Settings!$L$4:$L$10,0),OPR_BR1!$A$4:$K$18,OPR_BR2!$A$4:$K$18,OPR_CR2!$A$4:$K$18,OPR_CR3!$A$4:$K$18,OPR_CR4!$A$4:$K$18,OPR_RIM!$A$4:$K$18,OPR_BPR!$A$4:$K$18),10,0),0))*(Machine_List!$I$50:$I$63&gt;=IFERROR(VLOOKUP($B99,CHOOSE(MATCH($C99,Settings!$L$4:$L$10,0),OPR_BR1!$A$4:$K$18,OPR_BR2!$A$4:$K$18,OPR_CR2!$A$4:$K$18,OPR_CR3!$A$4:$K$18,OPR_CR4!$A$4:$K$18,OPR_RIM!$A$4:$K$18,OPR_BPR!$A$4:$K$18),11,0),9999)),0)),"NO COMPATIBLE MACHINE")))</f>
        <v/>
      </c>
      <c r="F99">
        <f>IF($E99="","",IFERROR(VLOOKUP($E99,Machine_List!$B:$G,6,0),""))</f>
        <v/>
      </c>
      <c r="G99" s="17">
        <f>IF($E99="","",IFERROR(VLOOKUP($E99,Machine_List!$B:$C,2,0),""))</f>
        <v/>
      </c>
      <c r="H99">
        <f>IF($E99="","",IFERROR(VLOOKUP($E99,Machine_List!$B:$D,3,0),""))</f>
        <v/>
      </c>
      <c r="J99" s="16">
        <f>IF($A99="","",IF($I99&lt;&gt;"",$I99,MAX(CNC_Plan!$M99,IFERROR(LOOKUP(2,1/($E$3:INDIRECT("E"&amp;(ROW()-1))=$E99),$M$3:INDIRECT("M"&amp;(ROW()-1))),CNC_Plan!$M99))))</f>
        <v/>
      </c>
      <c r="K99">
        <f>IF($A99="","",IFERROR(VLOOKUP(B99,CHOOSE(MATCH($C99,Settings!$L$4:$L$10,0),OPR_BR1!$A$4:$I$18,OPR_BR2!$A$4:$I$18,OPR_CR2!$A$4:$I$18,OPR_CR3!$A$4:$I$18,OPR_CR4!$A$4:$I$18,OPR_RIM!$A$4:$I$18,OPR_BPR!$A$4:$I$18),6,0),0))</f>
        <v/>
      </c>
      <c r="L99">
        <f>IF($A99="","",K99*D99)</f>
        <v/>
      </c>
      <c r="M99" s="16">
        <f>IF($A99="","",IF(AND(ISNUMBER(G99),G99&gt;=J99,G99&lt;=(J99+(L99/(IF(F99="Contract Workman",Settings!$K$5,Settings!$K$4))))),J99+(L99/(IF(F99="Contract Workman",Settings!$K$5,Settings!$K$4)))+(H99/(IF(F99="Contract Workman",Settings!$K$5,Settings!$K$4))),J99+(L99/(IF(F99="Contract Workman",Settings!$K$5,Settings!$K$4)))))</f>
        <v/>
      </c>
      <c r="N99">
        <f>IF($A99="","",IF(F99="Contract Workman",IF(AND(MOD(M99,1)&gt;=8/24,MOD(M99,1)&lt;20/24),"Shift S1","Shift S2"),IF(AND(MOD(M99,1)&gt;=7/24,MOD(M99,1)&lt;15/24),"Shift A",IF(AND(MOD(M99,1)&gt;=15/24,MOD(M99,1)&lt;23/24),"Shift B","Shift C"))))</f>
        <v/>
      </c>
      <c r="O99">
        <f>IF(B99="","",IF(IFERROR(ISNUMBER(SEARCH(TEXT(B99,"0"),VLOOKUP(E99,Machine_List!$B:$J,9,0))),FALSE),"✅ "&amp; E99,"❌ Sug: "&amp;IFERROR(INDEX(Machine_List!$B$50:$B$63,MATCH(1,(Machine_List!$H$50:$H$63&lt;=IFERROR(VLOOKUP($B99,OPR_BR1!$A$4:$K$18,10,0),0))*(Machine_List!$I$50:$I$63&gt;=IFERROR(VLOOKUP($B99,OPR_BR1!$A$4:$K$18,11,0),9999)),0)),"?")))</f>
        <v/>
      </c>
      <c r="P99">
        <f>IF(AND($A99&lt;&gt;"",P$3&gt;=$J99,P$3&lt;=$M99),1,"")</f>
        <v/>
      </c>
      <c r="Q99">
        <f>IF(AND($A99&lt;&gt;"",Q$3&gt;=$J99,Q$3&lt;=$M99),1,"")</f>
        <v/>
      </c>
      <c r="R99">
        <f>IF(AND($A99&lt;&gt;"",R$3&gt;=$J99,R$3&lt;=$M99),1,"")</f>
        <v/>
      </c>
      <c r="S99">
        <f>IF(AND($A99&lt;&gt;"",S$3&gt;=$J99,S$3&lt;=$M99),1,"")</f>
        <v/>
      </c>
      <c r="T99">
        <f>IF(AND($A99&lt;&gt;"",T$3&gt;=$J99,T$3&lt;=$M99),1,"")</f>
        <v/>
      </c>
      <c r="U99">
        <f>IF(AND($A99&lt;&gt;"",U$3&gt;=$J99,U$3&lt;=$M99),1,"")</f>
        <v/>
      </c>
      <c r="V99">
        <f>IF(AND($A99&lt;&gt;"",V$3&gt;=$J99,V$3&lt;=$M99),1,"")</f>
        <v/>
      </c>
      <c r="W99">
        <f>IF(AND($A99&lt;&gt;"",W$3&gt;=$J99,W$3&lt;=$M99),1,"")</f>
        <v/>
      </c>
      <c r="X99">
        <f>IF(AND($A99&lt;&gt;"",X$3&gt;=$J99,X$3&lt;=$M99),1,"")</f>
        <v/>
      </c>
      <c r="Y99">
        <f>IF(AND($A99&lt;&gt;"",Y$3&gt;=$J99,Y$3&lt;=$M99),1,"")</f>
        <v/>
      </c>
      <c r="Z99">
        <f>IF(AND($A99&lt;&gt;"",Z$3&gt;=$J99,Z$3&lt;=$M99),1,"")</f>
        <v/>
      </c>
      <c r="AA99">
        <f>IF(AND($A99&lt;&gt;"",AA$3&gt;=$J99,AA$3&lt;=$M99),1,"")</f>
        <v/>
      </c>
      <c r="AB99">
        <f>IF(AND($A99&lt;&gt;"",AB$3&gt;=$J99,AB$3&lt;=$M99),1,"")</f>
        <v/>
      </c>
      <c r="AC99">
        <f>IF(AND($A99&lt;&gt;"",AC$3&gt;=$J99,AC$3&lt;=$M99),1,"")</f>
        <v/>
      </c>
      <c r="AD99">
        <f>IF(AND($A99&lt;&gt;"",AD$3&gt;=$J99,AD$3&lt;=$M99),1,"")</f>
        <v/>
      </c>
      <c r="AE99">
        <f>IF(AND($A99&lt;&gt;"",AE$3&gt;=$J99,AE$3&lt;=$M99),1,"")</f>
        <v/>
      </c>
      <c r="AF99">
        <f>IF(AND($A99&lt;&gt;"",AF$3&gt;=$J99,AF$3&lt;=$M99),1,"")</f>
        <v/>
      </c>
      <c r="AG99">
        <f>IF(AND($A99&lt;&gt;"",AG$3&gt;=$J99,AG$3&lt;=$M99),1,"")</f>
        <v/>
      </c>
      <c r="AH99">
        <f>IF(AND($A99&lt;&gt;"",AH$3&gt;=$J99,AH$3&lt;=$M99),1,"")</f>
        <v/>
      </c>
      <c r="AI99">
        <f>IF(AND($A99&lt;&gt;"",AI$3&gt;=$J99,AI$3&lt;=$M99),1,"")</f>
        <v/>
      </c>
      <c r="AJ99">
        <f>IF(AND($A99&lt;&gt;"",AJ$3&gt;=$J99,AJ$3&lt;=$M99),1,"")</f>
        <v/>
      </c>
      <c r="AK99">
        <f>IF(AND($A99&lt;&gt;"",AK$3&gt;=$J99,AK$3&lt;=$M99),1,"")</f>
        <v/>
      </c>
      <c r="AL99">
        <f>IF(AND($A99&lt;&gt;"",AL$3&gt;=$J99,AL$3&lt;=$M99),1,"")</f>
        <v/>
      </c>
      <c r="AM99">
        <f>IF(AND($A99&lt;&gt;"",AM$3&gt;=$J99,AM$3&lt;=$M99),1,"")</f>
        <v/>
      </c>
      <c r="AN99">
        <f>IF(AND($A99&lt;&gt;"",AN$3&gt;=$J99,AN$3&lt;=$M99),1,"")</f>
        <v/>
      </c>
      <c r="AO99">
        <f>IF(AND($A99&lt;&gt;"",AO$3&gt;=$J99,AO$3&lt;=$M99),1,"")</f>
        <v/>
      </c>
      <c r="AP99">
        <f>IF(AND($A99&lt;&gt;"",AP$3&gt;=$J99,AP$3&lt;=$M99),1,"")</f>
        <v/>
      </c>
      <c r="AQ99">
        <f>IF(AND($A99&lt;&gt;"",AQ$3&gt;=$J99,AQ$3&lt;=$M99),1,"")</f>
        <v/>
      </c>
      <c r="AR99">
        <f>IF(AND($A99&lt;&gt;"",AR$3&gt;=$J99,AR$3&lt;=$M99),1,"")</f>
        <v/>
      </c>
      <c r="AS99">
        <f>IF(AND($A99&lt;&gt;"",AS$3&gt;=$J99,AS$3&lt;=$M99),1,"")</f>
        <v/>
      </c>
      <c r="AT99">
        <f>IF(AND($A99&lt;&gt;"",AT$3&gt;=$J99,AT$3&lt;=$M99),1,"")</f>
        <v/>
      </c>
      <c r="AU99">
        <f>IF(AND($A99&lt;&gt;"",AU$3&gt;=$J99,AU$3&lt;=$M99),1,"")</f>
        <v/>
      </c>
      <c r="AV99">
        <f>IF(AND($A99&lt;&gt;"",AV$3&gt;=$J99,AV$3&lt;=$M99),1,"")</f>
        <v/>
      </c>
      <c r="AW99">
        <f>IF(AND($A99&lt;&gt;"",AW$3&gt;=$J99,AW$3&lt;=$M99),1,"")</f>
        <v/>
      </c>
      <c r="AX99">
        <f>IF(AND($A99&lt;&gt;"",AX$3&gt;=$J99,AX$3&lt;=$M99),1,"")</f>
        <v/>
      </c>
      <c r="AY99">
        <f>IF(AND($A99&lt;&gt;"",AY$3&gt;=$J99,AY$3&lt;=$M99),1,"")</f>
        <v/>
      </c>
      <c r="AZ99">
        <f>IF(AND($A99&lt;&gt;"",AZ$3&gt;=$J99,AZ$3&lt;=$M99),1,"")</f>
        <v/>
      </c>
      <c r="BA99">
        <f>IF(AND($A99&lt;&gt;"",BA$3&gt;=$J99,BA$3&lt;=$M99),1,"")</f>
        <v/>
      </c>
      <c r="BB99">
        <f>IF(AND($A99&lt;&gt;"",BB$3&gt;=$J99,BB$3&lt;=$M99),1,"")</f>
        <v/>
      </c>
      <c r="BC99">
        <f>IF(AND($A99&lt;&gt;"",BC$3&gt;=$J99,BC$3&lt;=$M99),1,"")</f>
        <v/>
      </c>
      <c r="BD99">
        <f>IF(AND($A99&lt;&gt;"",BD$3&gt;=$J99,BD$3&lt;=$M99),1,"")</f>
        <v/>
      </c>
      <c r="BE99">
        <f>IF(AND($A99&lt;&gt;"",BE$3&gt;=$J99,BE$3&lt;=$M99),1,"")</f>
        <v/>
      </c>
      <c r="BF99">
        <f>IF(AND($A99&lt;&gt;"",BF$3&gt;=$J99,BF$3&lt;=$M99),1,"")</f>
        <v/>
      </c>
      <c r="BG99">
        <f>IF(AND($A99&lt;&gt;"",BG$3&gt;=$J99,BG$3&lt;=$M99),1,"")</f>
        <v/>
      </c>
      <c r="BH99">
        <f>IF(AND($A99&lt;&gt;"",BH$3&gt;=$J99,BH$3&lt;=$M99),1,"")</f>
        <v/>
      </c>
      <c r="BI99">
        <f>IF(AND($A99&lt;&gt;"",BI$3&gt;=$J99,BI$3&lt;=$M99),1,"")</f>
        <v/>
      </c>
      <c r="BJ99">
        <f>IF(AND($A99&lt;&gt;"",BJ$3&gt;=$J99,BJ$3&lt;=$M99),1,"")</f>
        <v/>
      </c>
      <c r="BK99">
        <f>IF(AND($A99&lt;&gt;"",BK$3&gt;=$J99,BK$3&lt;=$M99),1,"")</f>
        <v/>
      </c>
      <c r="BL99">
        <f>IF(AND($A99&lt;&gt;"",BL$3&gt;=$J99,BL$3&lt;=$M99),1,"")</f>
        <v/>
      </c>
      <c r="BM99">
        <f>IF(AND($A99&lt;&gt;"",BM$3&gt;=$J99,BM$3&lt;=$M99),1,"")</f>
        <v/>
      </c>
      <c r="BN99">
        <f>IF(AND($A99&lt;&gt;"",BN$3&gt;=$J99,BN$3&lt;=$M99),1,"")</f>
        <v/>
      </c>
      <c r="BO99">
        <f>IF(AND($A99&lt;&gt;"",BO$3&gt;=$J99,BO$3&lt;=$M99),1,"")</f>
        <v/>
      </c>
      <c r="BP99">
        <f>IF(AND($A99&lt;&gt;"",BP$3&gt;=$J99,BP$3&lt;=$M99),1,"")</f>
        <v/>
      </c>
      <c r="BQ99">
        <f>IF(AND($A99&lt;&gt;"",BQ$3&gt;=$J99,BQ$3&lt;=$M99),1,"")</f>
        <v/>
      </c>
      <c r="BR99">
        <f>IF(AND($A99&lt;&gt;"",BR$3&gt;=$J99,BR$3&lt;=$M99),1,"")</f>
        <v/>
      </c>
      <c r="BS99">
        <f>IF(AND($A99&lt;&gt;"",BS$3&gt;=$J99,BS$3&lt;=$M99),1,"")</f>
        <v/>
      </c>
      <c r="BT99">
        <f>IF(AND($A99&lt;&gt;"",BT$3&gt;=$J99,BT$3&lt;=$M99),1,"")</f>
        <v/>
      </c>
      <c r="BU99">
        <f>IF(AND($A99&lt;&gt;"",BU$3&gt;=$J99,BU$3&lt;=$M99),1,"")</f>
        <v/>
      </c>
      <c r="BV99">
        <f>IF(AND($A99&lt;&gt;"",BV$3&gt;=$J99,BV$3&lt;=$M99),1,"")</f>
        <v/>
      </c>
    </row>
    <row r="100">
      <c r="A100">
        <f>IF(Job_Master_Ring!$A100="","",Job_Master_Ring!$A100)</f>
        <v/>
      </c>
      <c r="B100">
        <f>IF($A100="","",Job_Master_Ring!B100)</f>
        <v/>
      </c>
      <c r="C100">
        <f>IF($A100="","",Job_Master_Ring!C100)</f>
        <v/>
      </c>
      <c r="D100">
        <f>IF($A100="","",Job_Master_Ring!D100)</f>
        <v/>
      </c>
      <c r="E100">
        <f>IF($A100="","",IF($I100&lt;&gt;"",$I100,IFERROR(INDEX(Machine_List!$B$50:$B$63,MATCH(1,(Machine_List!$H$50:$H$63&lt;=IFERROR(VLOOKUP($B100,CHOOSE(MATCH($C100,Settings!$L$4:$L$10,0),OPR_BR1!$A$4:$K$18,OPR_BR2!$A$4:$K$18,OPR_CR2!$A$4:$K$18,OPR_CR3!$A$4:$K$18,OPR_CR4!$A$4:$K$18,OPR_RIM!$A$4:$K$18,OPR_BPR!$A$4:$K$18),10,0),0))*(Machine_List!$I$50:$I$63&gt;=IFERROR(VLOOKUP($B100,CHOOSE(MATCH($C100,Settings!$L$4:$L$10,0),OPR_BR1!$A$4:$K$18,OPR_BR2!$A$4:$K$18,OPR_CR2!$A$4:$K$18,OPR_CR3!$A$4:$K$18,OPR_CR4!$A$4:$K$18,OPR_RIM!$A$4:$K$18,OPR_BPR!$A$4:$K$18),11,0),9999)),0)),"NO COMPATIBLE MACHINE")))</f>
        <v/>
      </c>
      <c r="F100">
        <f>IF($E100="","",IFERROR(VLOOKUP($E100,Machine_List!$B:$G,6,0),""))</f>
        <v/>
      </c>
      <c r="G100" s="17">
        <f>IF($E100="","",IFERROR(VLOOKUP($E100,Machine_List!$B:$C,2,0),""))</f>
        <v/>
      </c>
      <c r="H100">
        <f>IF($E100="","",IFERROR(VLOOKUP($E100,Machine_List!$B:$D,3,0),""))</f>
        <v/>
      </c>
      <c r="J100" s="16">
        <f>IF($A100="","",IF($I100&lt;&gt;"",$I100,MAX(CNC_Plan!$M100,IFERROR(LOOKUP(2,1/($E$3:INDIRECT("E"&amp;(ROW()-1))=$E100),$M$3:INDIRECT("M"&amp;(ROW()-1))),CNC_Plan!$M100))))</f>
        <v/>
      </c>
      <c r="K100">
        <f>IF($A100="","",IFERROR(VLOOKUP(B100,CHOOSE(MATCH($C100,Settings!$L$4:$L$10,0),OPR_BR1!$A$4:$I$18,OPR_BR2!$A$4:$I$18,OPR_CR2!$A$4:$I$18,OPR_CR3!$A$4:$I$18,OPR_CR4!$A$4:$I$18,OPR_RIM!$A$4:$I$18,OPR_BPR!$A$4:$I$18),6,0),0))</f>
        <v/>
      </c>
      <c r="L100">
        <f>IF($A100="","",K100*D100)</f>
        <v/>
      </c>
      <c r="M100" s="16">
        <f>IF($A100="","",IF(AND(ISNUMBER(G100),G100&gt;=J100,G100&lt;=(J100+(L100/(IF(F100="Contract Workman",Settings!$K$5,Settings!$K$4))))),J100+(L100/(IF(F100="Contract Workman",Settings!$K$5,Settings!$K$4)))+(H100/(IF(F100="Contract Workman",Settings!$K$5,Settings!$K$4))),J100+(L100/(IF(F100="Contract Workman",Settings!$K$5,Settings!$K$4)))))</f>
        <v/>
      </c>
      <c r="N100">
        <f>IF($A100="","",IF(F100="Contract Workman",IF(AND(MOD(M100,1)&gt;=8/24,MOD(M100,1)&lt;20/24),"Shift S1","Shift S2"),IF(AND(MOD(M100,1)&gt;=7/24,MOD(M100,1)&lt;15/24),"Shift A",IF(AND(MOD(M100,1)&gt;=15/24,MOD(M100,1)&lt;23/24),"Shift B","Shift C"))))</f>
        <v/>
      </c>
      <c r="O100">
        <f>IF(B100="","",IF(IFERROR(ISNUMBER(SEARCH(TEXT(B100,"0"),VLOOKUP(E100,Machine_List!$B:$J,9,0))),FALSE),"✅ "&amp; E100,"❌ Sug: "&amp;IFERROR(INDEX(Machine_List!$B$50:$B$63,MATCH(1,(Machine_List!$H$50:$H$63&lt;=IFERROR(VLOOKUP($B100,OPR_BR1!$A$4:$K$18,10,0),0))*(Machine_List!$I$50:$I$63&gt;=IFERROR(VLOOKUP($B100,OPR_BR1!$A$4:$K$18,11,0),9999)),0)),"?")))</f>
        <v/>
      </c>
      <c r="P100">
        <f>IF(AND($A100&lt;&gt;"",P$3&gt;=$J100,P$3&lt;=$M100),1,"")</f>
        <v/>
      </c>
      <c r="Q100">
        <f>IF(AND($A100&lt;&gt;"",Q$3&gt;=$J100,Q$3&lt;=$M100),1,"")</f>
        <v/>
      </c>
      <c r="R100">
        <f>IF(AND($A100&lt;&gt;"",R$3&gt;=$J100,R$3&lt;=$M100),1,"")</f>
        <v/>
      </c>
      <c r="S100">
        <f>IF(AND($A100&lt;&gt;"",S$3&gt;=$J100,S$3&lt;=$M100),1,"")</f>
        <v/>
      </c>
      <c r="T100">
        <f>IF(AND($A100&lt;&gt;"",T$3&gt;=$J100,T$3&lt;=$M100),1,"")</f>
        <v/>
      </c>
      <c r="U100">
        <f>IF(AND($A100&lt;&gt;"",U$3&gt;=$J100,U$3&lt;=$M100),1,"")</f>
        <v/>
      </c>
      <c r="V100">
        <f>IF(AND($A100&lt;&gt;"",V$3&gt;=$J100,V$3&lt;=$M100),1,"")</f>
        <v/>
      </c>
      <c r="W100">
        <f>IF(AND($A100&lt;&gt;"",W$3&gt;=$J100,W$3&lt;=$M100),1,"")</f>
        <v/>
      </c>
      <c r="X100">
        <f>IF(AND($A100&lt;&gt;"",X$3&gt;=$J100,X$3&lt;=$M100),1,"")</f>
        <v/>
      </c>
      <c r="Y100">
        <f>IF(AND($A100&lt;&gt;"",Y$3&gt;=$J100,Y$3&lt;=$M100),1,"")</f>
        <v/>
      </c>
      <c r="Z100">
        <f>IF(AND($A100&lt;&gt;"",Z$3&gt;=$J100,Z$3&lt;=$M100),1,"")</f>
        <v/>
      </c>
      <c r="AA100">
        <f>IF(AND($A100&lt;&gt;"",AA$3&gt;=$J100,AA$3&lt;=$M100),1,"")</f>
        <v/>
      </c>
      <c r="AB100">
        <f>IF(AND($A100&lt;&gt;"",AB$3&gt;=$J100,AB$3&lt;=$M100),1,"")</f>
        <v/>
      </c>
      <c r="AC100">
        <f>IF(AND($A100&lt;&gt;"",AC$3&gt;=$J100,AC$3&lt;=$M100),1,"")</f>
        <v/>
      </c>
      <c r="AD100">
        <f>IF(AND($A100&lt;&gt;"",AD$3&gt;=$J100,AD$3&lt;=$M100),1,"")</f>
        <v/>
      </c>
      <c r="AE100">
        <f>IF(AND($A100&lt;&gt;"",AE$3&gt;=$J100,AE$3&lt;=$M100),1,"")</f>
        <v/>
      </c>
      <c r="AF100">
        <f>IF(AND($A100&lt;&gt;"",AF$3&gt;=$J100,AF$3&lt;=$M100),1,"")</f>
        <v/>
      </c>
      <c r="AG100">
        <f>IF(AND($A100&lt;&gt;"",AG$3&gt;=$J100,AG$3&lt;=$M100),1,"")</f>
        <v/>
      </c>
      <c r="AH100">
        <f>IF(AND($A100&lt;&gt;"",AH$3&gt;=$J100,AH$3&lt;=$M100),1,"")</f>
        <v/>
      </c>
      <c r="AI100">
        <f>IF(AND($A100&lt;&gt;"",AI$3&gt;=$J100,AI$3&lt;=$M100),1,"")</f>
        <v/>
      </c>
      <c r="AJ100">
        <f>IF(AND($A100&lt;&gt;"",AJ$3&gt;=$J100,AJ$3&lt;=$M100),1,"")</f>
        <v/>
      </c>
      <c r="AK100">
        <f>IF(AND($A100&lt;&gt;"",AK$3&gt;=$J100,AK$3&lt;=$M100),1,"")</f>
        <v/>
      </c>
      <c r="AL100">
        <f>IF(AND($A100&lt;&gt;"",AL$3&gt;=$J100,AL$3&lt;=$M100),1,"")</f>
        <v/>
      </c>
      <c r="AM100">
        <f>IF(AND($A100&lt;&gt;"",AM$3&gt;=$J100,AM$3&lt;=$M100),1,"")</f>
        <v/>
      </c>
      <c r="AN100">
        <f>IF(AND($A100&lt;&gt;"",AN$3&gt;=$J100,AN$3&lt;=$M100),1,"")</f>
        <v/>
      </c>
      <c r="AO100">
        <f>IF(AND($A100&lt;&gt;"",AO$3&gt;=$J100,AO$3&lt;=$M100),1,"")</f>
        <v/>
      </c>
      <c r="AP100">
        <f>IF(AND($A100&lt;&gt;"",AP$3&gt;=$J100,AP$3&lt;=$M100),1,"")</f>
        <v/>
      </c>
      <c r="AQ100">
        <f>IF(AND($A100&lt;&gt;"",AQ$3&gt;=$J100,AQ$3&lt;=$M100),1,"")</f>
        <v/>
      </c>
      <c r="AR100">
        <f>IF(AND($A100&lt;&gt;"",AR$3&gt;=$J100,AR$3&lt;=$M100),1,"")</f>
        <v/>
      </c>
      <c r="AS100">
        <f>IF(AND($A100&lt;&gt;"",AS$3&gt;=$J100,AS$3&lt;=$M100),1,"")</f>
        <v/>
      </c>
      <c r="AT100">
        <f>IF(AND($A100&lt;&gt;"",AT$3&gt;=$J100,AT$3&lt;=$M100),1,"")</f>
        <v/>
      </c>
      <c r="AU100">
        <f>IF(AND($A100&lt;&gt;"",AU$3&gt;=$J100,AU$3&lt;=$M100),1,"")</f>
        <v/>
      </c>
      <c r="AV100">
        <f>IF(AND($A100&lt;&gt;"",AV$3&gt;=$J100,AV$3&lt;=$M100),1,"")</f>
        <v/>
      </c>
      <c r="AW100">
        <f>IF(AND($A100&lt;&gt;"",AW$3&gt;=$J100,AW$3&lt;=$M100),1,"")</f>
        <v/>
      </c>
      <c r="AX100">
        <f>IF(AND($A100&lt;&gt;"",AX$3&gt;=$J100,AX$3&lt;=$M100),1,"")</f>
        <v/>
      </c>
      <c r="AY100">
        <f>IF(AND($A100&lt;&gt;"",AY$3&gt;=$J100,AY$3&lt;=$M100),1,"")</f>
        <v/>
      </c>
      <c r="AZ100">
        <f>IF(AND($A100&lt;&gt;"",AZ$3&gt;=$J100,AZ$3&lt;=$M100),1,"")</f>
        <v/>
      </c>
      <c r="BA100">
        <f>IF(AND($A100&lt;&gt;"",BA$3&gt;=$J100,BA$3&lt;=$M100),1,"")</f>
        <v/>
      </c>
      <c r="BB100">
        <f>IF(AND($A100&lt;&gt;"",BB$3&gt;=$J100,BB$3&lt;=$M100),1,"")</f>
        <v/>
      </c>
      <c r="BC100">
        <f>IF(AND($A100&lt;&gt;"",BC$3&gt;=$J100,BC$3&lt;=$M100),1,"")</f>
        <v/>
      </c>
      <c r="BD100">
        <f>IF(AND($A100&lt;&gt;"",BD$3&gt;=$J100,BD$3&lt;=$M100),1,"")</f>
        <v/>
      </c>
      <c r="BE100">
        <f>IF(AND($A100&lt;&gt;"",BE$3&gt;=$J100,BE$3&lt;=$M100),1,"")</f>
        <v/>
      </c>
      <c r="BF100">
        <f>IF(AND($A100&lt;&gt;"",BF$3&gt;=$J100,BF$3&lt;=$M100),1,"")</f>
        <v/>
      </c>
      <c r="BG100">
        <f>IF(AND($A100&lt;&gt;"",BG$3&gt;=$J100,BG$3&lt;=$M100),1,"")</f>
        <v/>
      </c>
      <c r="BH100">
        <f>IF(AND($A100&lt;&gt;"",BH$3&gt;=$J100,BH$3&lt;=$M100),1,"")</f>
        <v/>
      </c>
      <c r="BI100">
        <f>IF(AND($A100&lt;&gt;"",BI$3&gt;=$J100,BI$3&lt;=$M100),1,"")</f>
        <v/>
      </c>
      <c r="BJ100">
        <f>IF(AND($A100&lt;&gt;"",BJ$3&gt;=$J100,BJ$3&lt;=$M100),1,"")</f>
        <v/>
      </c>
      <c r="BK100">
        <f>IF(AND($A100&lt;&gt;"",BK$3&gt;=$J100,BK$3&lt;=$M100),1,"")</f>
        <v/>
      </c>
      <c r="BL100">
        <f>IF(AND($A100&lt;&gt;"",BL$3&gt;=$J100,BL$3&lt;=$M100),1,"")</f>
        <v/>
      </c>
      <c r="BM100">
        <f>IF(AND($A100&lt;&gt;"",BM$3&gt;=$J100,BM$3&lt;=$M100),1,"")</f>
        <v/>
      </c>
      <c r="BN100">
        <f>IF(AND($A100&lt;&gt;"",BN$3&gt;=$J100,BN$3&lt;=$M100),1,"")</f>
        <v/>
      </c>
      <c r="BO100">
        <f>IF(AND($A100&lt;&gt;"",BO$3&gt;=$J100,BO$3&lt;=$M100),1,"")</f>
        <v/>
      </c>
      <c r="BP100">
        <f>IF(AND($A100&lt;&gt;"",BP$3&gt;=$J100,BP$3&lt;=$M100),1,"")</f>
        <v/>
      </c>
      <c r="BQ100">
        <f>IF(AND($A100&lt;&gt;"",BQ$3&gt;=$J100,BQ$3&lt;=$M100),1,"")</f>
        <v/>
      </c>
      <c r="BR100">
        <f>IF(AND($A100&lt;&gt;"",BR$3&gt;=$J100,BR$3&lt;=$M100),1,"")</f>
        <v/>
      </c>
      <c r="BS100">
        <f>IF(AND($A100&lt;&gt;"",BS$3&gt;=$J100,BS$3&lt;=$M100),1,"")</f>
        <v/>
      </c>
      <c r="BT100">
        <f>IF(AND($A100&lt;&gt;"",BT$3&gt;=$J100,BT$3&lt;=$M100),1,"")</f>
        <v/>
      </c>
      <c r="BU100">
        <f>IF(AND($A100&lt;&gt;"",BU$3&gt;=$J100,BU$3&lt;=$M100),1,"")</f>
        <v/>
      </c>
      <c r="BV100">
        <f>IF(AND($A100&lt;&gt;"",BV$3&gt;=$J100,BV$3&lt;=$M100),1,"")</f>
        <v/>
      </c>
    </row>
    <row r="101">
      <c r="A101">
        <f>IF(Job_Master_Ring!$A101="","",Job_Master_Ring!$A101)</f>
        <v/>
      </c>
      <c r="B101">
        <f>IF($A101="","",Job_Master_Ring!B101)</f>
        <v/>
      </c>
      <c r="C101">
        <f>IF($A101="","",Job_Master_Ring!C101)</f>
        <v/>
      </c>
      <c r="D101">
        <f>IF($A101="","",Job_Master_Ring!D101)</f>
        <v/>
      </c>
      <c r="E101">
        <f>IF($A101="","",IF($I101&lt;&gt;"",$I101,IFERROR(INDEX(Machine_List!$B$50:$B$63,MATCH(1,(Machine_List!$H$50:$H$63&lt;=IFERROR(VLOOKUP($B101,CHOOSE(MATCH($C101,Settings!$L$4:$L$10,0),OPR_BR1!$A$4:$K$18,OPR_BR2!$A$4:$K$18,OPR_CR2!$A$4:$K$18,OPR_CR3!$A$4:$K$18,OPR_CR4!$A$4:$K$18,OPR_RIM!$A$4:$K$18,OPR_BPR!$A$4:$K$18),10,0),0))*(Machine_List!$I$50:$I$63&gt;=IFERROR(VLOOKUP($B101,CHOOSE(MATCH($C101,Settings!$L$4:$L$10,0),OPR_BR1!$A$4:$K$18,OPR_BR2!$A$4:$K$18,OPR_CR2!$A$4:$K$18,OPR_CR3!$A$4:$K$18,OPR_CR4!$A$4:$K$18,OPR_RIM!$A$4:$K$18,OPR_BPR!$A$4:$K$18),11,0),9999)),0)),"NO COMPATIBLE MACHINE")))</f>
        <v/>
      </c>
      <c r="F101">
        <f>IF($E101="","",IFERROR(VLOOKUP($E101,Machine_List!$B:$G,6,0),""))</f>
        <v/>
      </c>
      <c r="G101" s="17">
        <f>IF($E101="","",IFERROR(VLOOKUP($E101,Machine_List!$B:$C,2,0),""))</f>
        <v/>
      </c>
      <c r="H101">
        <f>IF($E101="","",IFERROR(VLOOKUP($E101,Machine_List!$B:$D,3,0),""))</f>
        <v/>
      </c>
      <c r="J101" s="16">
        <f>IF($A101="","",IF($I101&lt;&gt;"",$I101,MAX(CNC_Plan!$M101,IFERROR(LOOKUP(2,1/($E$3:INDIRECT("E"&amp;(ROW()-1))=$E101),$M$3:INDIRECT("M"&amp;(ROW()-1))),CNC_Plan!$M101))))</f>
        <v/>
      </c>
      <c r="K101">
        <f>IF($A101="","",IFERROR(VLOOKUP(B101,CHOOSE(MATCH($C101,Settings!$L$4:$L$10,0),OPR_BR1!$A$4:$I$18,OPR_BR2!$A$4:$I$18,OPR_CR2!$A$4:$I$18,OPR_CR3!$A$4:$I$18,OPR_CR4!$A$4:$I$18,OPR_RIM!$A$4:$I$18,OPR_BPR!$A$4:$I$18),6,0),0))</f>
        <v/>
      </c>
      <c r="L101">
        <f>IF($A101="","",K101*D101)</f>
        <v/>
      </c>
      <c r="M101" s="16">
        <f>IF($A101="","",IF(AND(ISNUMBER(G101),G101&gt;=J101,G101&lt;=(J101+(L101/(IF(F101="Contract Workman",Settings!$K$5,Settings!$K$4))))),J101+(L101/(IF(F101="Contract Workman",Settings!$K$5,Settings!$K$4)))+(H101/(IF(F101="Contract Workman",Settings!$K$5,Settings!$K$4))),J101+(L101/(IF(F101="Contract Workman",Settings!$K$5,Settings!$K$4)))))</f>
        <v/>
      </c>
      <c r="N101">
        <f>IF($A101="","",IF(F101="Contract Workman",IF(AND(MOD(M101,1)&gt;=8/24,MOD(M101,1)&lt;20/24),"Shift S1","Shift S2"),IF(AND(MOD(M101,1)&gt;=7/24,MOD(M101,1)&lt;15/24),"Shift A",IF(AND(MOD(M101,1)&gt;=15/24,MOD(M101,1)&lt;23/24),"Shift B","Shift C"))))</f>
        <v/>
      </c>
      <c r="O101">
        <f>IF(B101="","",IF(IFERROR(ISNUMBER(SEARCH(TEXT(B101,"0"),VLOOKUP(E101,Machine_List!$B:$J,9,0))),FALSE),"✅ "&amp; E101,"❌ Sug: "&amp;IFERROR(INDEX(Machine_List!$B$50:$B$63,MATCH(1,(Machine_List!$H$50:$H$63&lt;=IFERROR(VLOOKUP($B101,OPR_BR1!$A$4:$K$18,10,0),0))*(Machine_List!$I$50:$I$63&gt;=IFERROR(VLOOKUP($B101,OPR_BR1!$A$4:$K$18,11,0),9999)),0)),"?")))</f>
        <v/>
      </c>
      <c r="P101">
        <f>IF(AND($A101&lt;&gt;"",P$3&gt;=$J101,P$3&lt;=$M101),1,"")</f>
        <v/>
      </c>
      <c r="Q101">
        <f>IF(AND($A101&lt;&gt;"",Q$3&gt;=$J101,Q$3&lt;=$M101),1,"")</f>
        <v/>
      </c>
      <c r="R101">
        <f>IF(AND($A101&lt;&gt;"",R$3&gt;=$J101,R$3&lt;=$M101),1,"")</f>
        <v/>
      </c>
      <c r="S101">
        <f>IF(AND($A101&lt;&gt;"",S$3&gt;=$J101,S$3&lt;=$M101),1,"")</f>
        <v/>
      </c>
      <c r="T101">
        <f>IF(AND($A101&lt;&gt;"",T$3&gt;=$J101,T$3&lt;=$M101),1,"")</f>
        <v/>
      </c>
      <c r="U101">
        <f>IF(AND($A101&lt;&gt;"",U$3&gt;=$J101,U$3&lt;=$M101),1,"")</f>
        <v/>
      </c>
      <c r="V101">
        <f>IF(AND($A101&lt;&gt;"",V$3&gt;=$J101,V$3&lt;=$M101),1,"")</f>
        <v/>
      </c>
      <c r="W101">
        <f>IF(AND($A101&lt;&gt;"",W$3&gt;=$J101,W$3&lt;=$M101),1,"")</f>
        <v/>
      </c>
      <c r="X101">
        <f>IF(AND($A101&lt;&gt;"",X$3&gt;=$J101,X$3&lt;=$M101),1,"")</f>
        <v/>
      </c>
      <c r="Y101">
        <f>IF(AND($A101&lt;&gt;"",Y$3&gt;=$J101,Y$3&lt;=$M101),1,"")</f>
        <v/>
      </c>
      <c r="Z101">
        <f>IF(AND($A101&lt;&gt;"",Z$3&gt;=$J101,Z$3&lt;=$M101),1,"")</f>
        <v/>
      </c>
      <c r="AA101">
        <f>IF(AND($A101&lt;&gt;"",AA$3&gt;=$J101,AA$3&lt;=$M101),1,"")</f>
        <v/>
      </c>
      <c r="AB101">
        <f>IF(AND($A101&lt;&gt;"",AB$3&gt;=$J101,AB$3&lt;=$M101),1,"")</f>
        <v/>
      </c>
      <c r="AC101">
        <f>IF(AND($A101&lt;&gt;"",AC$3&gt;=$J101,AC$3&lt;=$M101),1,"")</f>
        <v/>
      </c>
      <c r="AD101">
        <f>IF(AND($A101&lt;&gt;"",AD$3&gt;=$J101,AD$3&lt;=$M101),1,"")</f>
        <v/>
      </c>
      <c r="AE101">
        <f>IF(AND($A101&lt;&gt;"",AE$3&gt;=$J101,AE$3&lt;=$M101),1,"")</f>
        <v/>
      </c>
      <c r="AF101">
        <f>IF(AND($A101&lt;&gt;"",AF$3&gt;=$J101,AF$3&lt;=$M101),1,"")</f>
        <v/>
      </c>
      <c r="AG101">
        <f>IF(AND($A101&lt;&gt;"",AG$3&gt;=$J101,AG$3&lt;=$M101),1,"")</f>
        <v/>
      </c>
      <c r="AH101">
        <f>IF(AND($A101&lt;&gt;"",AH$3&gt;=$J101,AH$3&lt;=$M101),1,"")</f>
        <v/>
      </c>
      <c r="AI101">
        <f>IF(AND($A101&lt;&gt;"",AI$3&gt;=$J101,AI$3&lt;=$M101),1,"")</f>
        <v/>
      </c>
      <c r="AJ101">
        <f>IF(AND($A101&lt;&gt;"",AJ$3&gt;=$J101,AJ$3&lt;=$M101),1,"")</f>
        <v/>
      </c>
      <c r="AK101">
        <f>IF(AND($A101&lt;&gt;"",AK$3&gt;=$J101,AK$3&lt;=$M101),1,"")</f>
        <v/>
      </c>
      <c r="AL101">
        <f>IF(AND($A101&lt;&gt;"",AL$3&gt;=$J101,AL$3&lt;=$M101),1,"")</f>
        <v/>
      </c>
      <c r="AM101">
        <f>IF(AND($A101&lt;&gt;"",AM$3&gt;=$J101,AM$3&lt;=$M101),1,"")</f>
        <v/>
      </c>
      <c r="AN101">
        <f>IF(AND($A101&lt;&gt;"",AN$3&gt;=$J101,AN$3&lt;=$M101),1,"")</f>
        <v/>
      </c>
      <c r="AO101">
        <f>IF(AND($A101&lt;&gt;"",AO$3&gt;=$J101,AO$3&lt;=$M101),1,"")</f>
        <v/>
      </c>
      <c r="AP101">
        <f>IF(AND($A101&lt;&gt;"",AP$3&gt;=$J101,AP$3&lt;=$M101),1,"")</f>
        <v/>
      </c>
      <c r="AQ101">
        <f>IF(AND($A101&lt;&gt;"",AQ$3&gt;=$J101,AQ$3&lt;=$M101),1,"")</f>
        <v/>
      </c>
      <c r="AR101">
        <f>IF(AND($A101&lt;&gt;"",AR$3&gt;=$J101,AR$3&lt;=$M101),1,"")</f>
        <v/>
      </c>
      <c r="AS101">
        <f>IF(AND($A101&lt;&gt;"",AS$3&gt;=$J101,AS$3&lt;=$M101),1,"")</f>
        <v/>
      </c>
      <c r="AT101">
        <f>IF(AND($A101&lt;&gt;"",AT$3&gt;=$J101,AT$3&lt;=$M101),1,"")</f>
        <v/>
      </c>
      <c r="AU101">
        <f>IF(AND($A101&lt;&gt;"",AU$3&gt;=$J101,AU$3&lt;=$M101),1,"")</f>
        <v/>
      </c>
      <c r="AV101">
        <f>IF(AND($A101&lt;&gt;"",AV$3&gt;=$J101,AV$3&lt;=$M101),1,"")</f>
        <v/>
      </c>
      <c r="AW101">
        <f>IF(AND($A101&lt;&gt;"",AW$3&gt;=$J101,AW$3&lt;=$M101),1,"")</f>
        <v/>
      </c>
      <c r="AX101">
        <f>IF(AND($A101&lt;&gt;"",AX$3&gt;=$J101,AX$3&lt;=$M101),1,"")</f>
        <v/>
      </c>
      <c r="AY101">
        <f>IF(AND($A101&lt;&gt;"",AY$3&gt;=$J101,AY$3&lt;=$M101),1,"")</f>
        <v/>
      </c>
      <c r="AZ101">
        <f>IF(AND($A101&lt;&gt;"",AZ$3&gt;=$J101,AZ$3&lt;=$M101),1,"")</f>
        <v/>
      </c>
      <c r="BA101">
        <f>IF(AND($A101&lt;&gt;"",BA$3&gt;=$J101,BA$3&lt;=$M101),1,"")</f>
        <v/>
      </c>
      <c r="BB101">
        <f>IF(AND($A101&lt;&gt;"",BB$3&gt;=$J101,BB$3&lt;=$M101),1,"")</f>
        <v/>
      </c>
      <c r="BC101">
        <f>IF(AND($A101&lt;&gt;"",BC$3&gt;=$J101,BC$3&lt;=$M101),1,"")</f>
        <v/>
      </c>
      <c r="BD101">
        <f>IF(AND($A101&lt;&gt;"",BD$3&gt;=$J101,BD$3&lt;=$M101),1,"")</f>
        <v/>
      </c>
      <c r="BE101">
        <f>IF(AND($A101&lt;&gt;"",BE$3&gt;=$J101,BE$3&lt;=$M101),1,"")</f>
        <v/>
      </c>
      <c r="BF101">
        <f>IF(AND($A101&lt;&gt;"",BF$3&gt;=$J101,BF$3&lt;=$M101),1,"")</f>
        <v/>
      </c>
      <c r="BG101">
        <f>IF(AND($A101&lt;&gt;"",BG$3&gt;=$J101,BG$3&lt;=$M101),1,"")</f>
        <v/>
      </c>
      <c r="BH101">
        <f>IF(AND($A101&lt;&gt;"",BH$3&gt;=$J101,BH$3&lt;=$M101),1,"")</f>
        <v/>
      </c>
      <c r="BI101">
        <f>IF(AND($A101&lt;&gt;"",BI$3&gt;=$J101,BI$3&lt;=$M101),1,"")</f>
        <v/>
      </c>
      <c r="BJ101">
        <f>IF(AND($A101&lt;&gt;"",BJ$3&gt;=$J101,BJ$3&lt;=$M101),1,"")</f>
        <v/>
      </c>
      <c r="BK101">
        <f>IF(AND($A101&lt;&gt;"",BK$3&gt;=$J101,BK$3&lt;=$M101),1,"")</f>
        <v/>
      </c>
      <c r="BL101">
        <f>IF(AND($A101&lt;&gt;"",BL$3&gt;=$J101,BL$3&lt;=$M101),1,"")</f>
        <v/>
      </c>
      <c r="BM101">
        <f>IF(AND($A101&lt;&gt;"",BM$3&gt;=$J101,BM$3&lt;=$M101),1,"")</f>
        <v/>
      </c>
      <c r="BN101">
        <f>IF(AND($A101&lt;&gt;"",BN$3&gt;=$J101,BN$3&lt;=$M101),1,"")</f>
        <v/>
      </c>
      <c r="BO101">
        <f>IF(AND($A101&lt;&gt;"",BO$3&gt;=$J101,BO$3&lt;=$M101),1,"")</f>
        <v/>
      </c>
      <c r="BP101">
        <f>IF(AND($A101&lt;&gt;"",BP$3&gt;=$J101,BP$3&lt;=$M101),1,"")</f>
        <v/>
      </c>
      <c r="BQ101">
        <f>IF(AND($A101&lt;&gt;"",BQ$3&gt;=$J101,BQ$3&lt;=$M101),1,"")</f>
        <v/>
      </c>
      <c r="BR101">
        <f>IF(AND($A101&lt;&gt;"",BR$3&gt;=$J101,BR$3&lt;=$M101),1,"")</f>
        <v/>
      </c>
      <c r="BS101">
        <f>IF(AND($A101&lt;&gt;"",BS$3&gt;=$J101,BS$3&lt;=$M101),1,"")</f>
        <v/>
      </c>
      <c r="BT101">
        <f>IF(AND($A101&lt;&gt;"",BT$3&gt;=$J101,BT$3&lt;=$M101),1,"")</f>
        <v/>
      </c>
      <c r="BU101">
        <f>IF(AND($A101&lt;&gt;"",BU$3&gt;=$J101,BU$3&lt;=$M101),1,"")</f>
        <v/>
      </c>
      <c r="BV101">
        <f>IF(AND($A101&lt;&gt;"",BV$3&gt;=$J101,BV$3&lt;=$M101),1,"")</f>
        <v/>
      </c>
    </row>
    <row r="102">
      <c r="A102">
        <f>IF(Job_Master_Ring!$A102="","",Job_Master_Ring!$A102)</f>
        <v/>
      </c>
      <c r="B102">
        <f>IF($A102="","",Job_Master_Ring!B102)</f>
        <v/>
      </c>
      <c r="C102">
        <f>IF($A102="","",Job_Master_Ring!C102)</f>
        <v/>
      </c>
      <c r="D102">
        <f>IF($A102="","",Job_Master_Ring!D102)</f>
        <v/>
      </c>
      <c r="E102">
        <f>IF($A102="","",IF($I102&lt;&gt;"",$I102,IFERROR(INDEX(Machine_List!$B$50:$B$63,MATCH(1,(Machine_List!$H$50:$H$63&lt;=IFERROR(VLOOKUP($B102,CHOOSE(MATCH($C102,Settings!$L$4:$L$10,0),OPR_BR1!$A$4:$K$18,OPR_BR2!$A$4:$K$18,OPR_CR2!$A$4:$K$18,OPR_CR3!$A$4:$K$18,OPR_CR4!$A$4:$K$18,OPR_RIM!$A$4:$K$18,OPR_BPR!$A$4:$K$18),10,0),0))*(Machine_List!$I$50:$I$63&gt;=IFERROR(VLOOKUP($B102,CHOOSE(MATCH($C102,Settings!$L$4:$L$10,0),OPR_BR1!$A$4:$K$18,OPR_BR2!$A$4:$K$18,OPR_CR2!$A$4:$K$18,OPR_CR3!$A$4:$K$18,OPR_CR4!$A$4:$K$18,OPR_RIM!$A$4:$K$18,OPR_BPR!$A$4:$K$18),11,0),9999)),0)),"NO COMPATIBLE MACHINE")))</f>
        <v/>
      </c>
      <c r="F102">
        <f>IF($E102="","",IFERROR(VLOOKUP($E102,Machine_List!$B:$G,6,0),""))</f>
        <v/>
      </c>
      <c r="G102" s="17">
        <f>IF($E102="","",IFERROR(VLOOKUP($E102,Machine_List!$B:$C,2,0),""))</f>
        <v/>
      </c>
      <c r="H102">
        <f>IF($E102="","",IFERROR(VLOOKUP($E102,Machine_List!$B:$D,3,0),""))</f>
        <v/>
      </c>
      <c r="J102" s="16">
        <f>IF($A102="","",IF($I102&lt;&gt;"",$I102,MAX(CNC_Plan!$M102,IFERROR(LOOKUP(2,1/($E$3:INDIRECT("E"&amp;(ROW()-1))=$E102),$M$3:INDIRECT("M"&amp;(ROW()-1))),CNC_Plan!$M102))))</f>
        <v/>
      </c>
      <c r="K102">
        <f>IF($A102="","",IFERROR(VLOOKUP(B102,CHOOSE(MATCH($C102,Settings!$L$4:$L$10,0),OPR_BR1!$A$4:$I$18,OPR_BR2!$A$4:$I$18,OPR_CR2!$A$4:$I$18,OPR_CR3!$A$4:$I$18,OPR_CR4!$A$4:$I$18,OPR_RIM!$A$4:$I$18,OPR_BPR!$A$4:$I$18),6,0),0))</f>
        <v/>
      </c>
      <c r="L102">
        <f>IF($A102="","",K102*D102)</f>
        <v/>
      </c>
      <c r="M102" s="16">
        <f>IF($A102="","",IF(AND(ISNUMBER(G102),G102&gt;=J102,G102&lt;=(J102+(L102/(IF(F102="Contract Workman",Settings!$K$5,Settings!$K$4))))),J102+(L102/(IF(F102="Contract Workman",Settings!$K$5,Settings!$K$4)))+(H102/(IF(F102="Contract Workman",Settings!$K$5,Settings!$K$4))),J102+(L102/(IF(F102="Contract Workman",Settings!$K$5,Settings!$K$4)))))</f>
        <v/>
      </c>
      <c r="N102">
        <f>IF($A102="","",IF(F102="Contract Workman",IF(AND(MOD(M102,1)&gt;=8/24,MOD(M102,1)&lt;20/24),"Shift S1","Shift S2"),IF(AND(MOD(M102,1)&gt;=7/24,MOD(M102,1)&lt;15/24),"Shift A",IF(AND(MOD(M102,1)&gt;=15/24,MOD(M102,1)&lt;23/24),"Shift B","Shift C"))))</f>
        <v/>
      </c>
      <c r="O102">
        <f>IF(B102="","",IF(IFERROR(ISNUMBER(SEARCH(TEXT(B102,"0"),VLOOKUP(E102,Machine_List!$B:$J,9,0))),FALSE),"✅ "&amp; E102,"❌ Sug: "&amp;IFERROR(INDEX(Machine_List!$B$50:$B$63,MATCH(1,(Machine_List!$H$50:$H$63&lt;=IFERROR(VLOOKUP($B102,OPR_BR1!$A$4:$K$18,10,0),0))*(Machine_List!$I$50:$I$63&gt;=IFERROR(VLOOKUP($B102,OPR_BR1!$A$4:$K$18,11,0),9999)),0)),"?")))</f>
        <v/>
      </c>
      <c r="P102">
        <f>IF(AND($A102&lt;&gt;"",P$3&gt;=$J102,P$3&lt;=$M102),1,"")</f>
        <v/>
      </c>
      <c r="Q102">
        <f>IF(AND($A102&lt;&gt;"",Q$3&gt;=$J102,Q$3&lt;=$M102),1,"")</f>
        <v/>
      </c>
      <c r="R102">
        <f>IF(AND($A102&lt;&gt;"",R$3&gt;=$J102,R$3&lt;=$M102),1,"")</f>
        <v/>
      </c>
      <c r="S102">
        <f>IF(AND($A102&lt;&gt;"",S$3&gt;=$J102,S$3&lt;=$M102),1,"")</f>
        <v/>
      </c>
      <c r="T102">
        <f>IF(AND($A102&lt;&gt;"",T$3&gt;=$J102,T$3&lt;=$M102),1,"")</f>
        <v/>
      </c>
      <c r="U102">
        <f>IF(AND($A102&lt;&gt;"",U$3&gt;=$J102,U$3&lt;=$M102),1,"")</f>
        <v/>
      </c>
      <c r="V102">
        <f>IF(AND($A102&lt;&gt;"",V$3&gt;=$J102,V$3&lt;=$M102),1,"")</f>
        <v/>
      </c>
      <c r="W102">
        <f>IF(AND($A102&lt;&gt;"",W$3&gt;=$J102,W$3&lt;=$M102),1,"")</f>
        <v/>
      </c>
      <c r="X102">
        <f>IF(AND($A102&lt;&gt;"",X$3&gt;=$J102,X$3&lt;=$M102),1,"")</f>
        <v/>
      </c>
      <c r="Y102">
        <f>IF(AND($A102&lt;&gt;"",Y$3&gt;=$J102,Y$3&lt;=$M102),1,"")</f>
        <v/>
      </c>
      <c r="Z102">
        <f>IF(AND($A102&lt;&gt;"",Z$3&gt;=$J102,Z$3&lt;=$M102),1,"")</f>
        <v/>
      </c>
      <c r="AA102">
        <f>IF(AND($A102&lt;&gt;"",AA$3&gt;=$J102,AA$3&lt;=$M102),1,"")</f>
        <v/>
      </c>
      <c r="AB102">
        <f>IF(AND($A102&lt;&gt;"",AB$3&gt;=$J102,AB$3&lt;=$M102),1,"")</f>
        <v/>
      </c>
      <c r="AC102">
        <f>IF(AND($A102&lt;&gt;"",AC$3&gt;=$J102,AC$3&lt;=$M102),1,"")</f>
        <v/>
      </c>
      <c r="AD102">
        <f>IF(AND($A102&lt;&gt;"",AD$3&gt;=$J102,AD$3&lt;=$M102),1,"")</f>
        <v/>
      </c>
      <c r="AE102">
        <f>IF(AND($A102&lt;&gt;"",AE$3&gt;=$J102,AE$3&lt;=$M102),1,"")</f>
        <v/>
      </c>
      <c r="AF102">
        <f>IF(AND($A102&lt;&gt;"",AF$3&gt;=$J102,AF$3&lt;=$M102),1,"")</f>
        <v/>
      </c>
      <c r="AG102">
        <f>IF(AND($A102&lt;&gt;"",AG$3&gt;=$J102,AG$3&lt;=$M102),1,"")</f>
        <v/>
      </c>
      <c r="AH102">
        <f>IF(AND($A102&lt;&gt;"",AH$3&gt;=$J102,AH$3&lt;=$M102),1,"")</f>
        <v/>
      </c>
      <c r="AI102">
        <f>IF(AND($A102&lt;&gt;"",AI$3&gt;=$J102,AI$3&lt;=$M102),1,"")</f>
        <v/>
      </c>
      <c r="AJ102">
        <f>IF(AND($A102&lt;&gt;"",AJ$3&gt;=$J102,AJ$3&lt;=$M102),1,"")</f>
        <v/>
      </c>
      <c r="AK102">
        <f>IF(AND($A102&lt;&gt;"",AK$3&gt;=$J102,AK$3&lt;=$M102),1,"")</f>
        <v/>
      </c>
      <c r="AL102">
        <f>IF(AND($A102&lt;&gt;"",AL$3&gt;=$J102,AL$3&lt;=$M102),1,"")</f>
        <v/>
      </c>
      <c r="AM102">
        <f>IF(AND($A102&lt;&gt;"",AM$3&gt;=$J102,AM$3&lt;=$M102),1,"")</f>
        <v/>
      </c>
      <c r="AN102">
        <f>IF(AND($A102&lt;&gt;"",AN$3&gt;=$J102,AN$3&lt;=$M102),1,"")</f>
        <v/>
      </c>
      <c r="AO102">
        <f>IF(AND($A102&lt;&gt;"",AO$3&gt;=$J102,AO$3&lt;=$M102),1,"")</f>
        <v/>
      </c>
      <c r="AP102">
        <f>IF(AND($A102&lt;&gt;"",AP$3&gt;=$J102,AP$3&lt;=$M102),1,"")</f>
        <v/>
      </c>
      <c r="AQ102">
        <f>IF(AND($A102&lt;&gt;"",AQ$3&gt;=$J102,AQ$3&lt;=$M102),1,"")</f>
        <v/>
      </c>
      <c r="AR102">
        <f>IF(AND($A102&lt;&gt;"",AR$3&gt;=$J102,AR$3&lt;=$M102),1,"")</f>
        <v/>
      </c>
      <c r="AS102">
        <f>IF(AND($A102&lt;&gt;"",AS$3&gt;=$J102,AS$3&lt;=$M102),1,"")</f>
        <v/>
      </c>
      <c r="AT102">
        <f>IF(AND($A102&lt;&gt;"",AT$3&gt;=$J102,AT$3&lt;=$M102),1,"")</f>
        <v/>
      </c>
      <c r="AU102">
        <f>IF(AND($A102&lt;&gt;"",AU$3&gt;=$J102,AU$3&lt;=$M102),1,"")</f>
        <v/>
      </c>
      <c r="AV102">
        <f>IF(AND($A102&lt;&gt;"",AV$3&gt;=$J102,AV$3&lt;=$M102),1,"")</f>
        <v/>
      </c>
      <c r="AW102">
        <f>IF(AND($A102&lt;&gt;"",AW$3&gt;=$J102,AW$3&lt;=$M102),1,"")</f>
        <v/>
      </c>
      <c r="AX102">
        <f>IF(AND($A102&lt;&gt;"",AX$3&gt;=$J102,AX$3&lt;=$M102),1,"")</f>
        <v/>
      </c>
      <c r="AY102">
        <f>IF(AND($A102&lt;&gt;"",AY$3&gt;=$J102,AY$3&lt;=$M102),1,"")</f>
        <v/>
      </c>
      <c r="AZ102">
        <f>IF(AND($A102&lt;&gt;"",AZ$3&gt;=$J102,AZ$3&lt;=$M102),1,"")</f>
        <v/>
      </c>
      <c r="BA102">
        <f>IF(AND($A102&lt;&gt;"",BA$3&gt;=$J102,BA$3&lt;=$M102),1,"")</f>
        <v/>
      </c>
      <c r="BB102">
        <f>IF(AND($A102&lt;&gt;"",BB$3&gt;=$J102,BB$3&lt;=$M102),1,"")</f>
        <v/>
      </c>
      <c r="BC102">
        <f>IF(AND($A102&lt;&gt;"",BC$3&gt;=$J102,BC$3&lt;=$M102),1,"")</f>
        <v/>
      </c>
      <c r="BD102">
        <f>IF(AND($A102&lt;&gt;"",BD$3&gt;=$J102,BD$3&lt;=$M102),1,"")</f>
        <v/>
      </c>
      <c r="BE102">
        <f>IF(AND($A102&lt;&gt;"",BE$3&gt;=$J102,BE$3&lt;=$M102),1,"")</f>
        <v/>
      </c>
      <c r="BF102">
        <f>IF(AND($A102&lt;&gt;"",BF$3&gt;=$J102,BF$3&lt;=$M102),1,"")</f>
        <v/>
      </c>
      <c r="BG102">
        <f>IF(AND($A102&lt;&gt;"",BG$3&gt;=$J102,BG$3&lt;=$M102),1,"")</f>
        <v/>
      </c>
      <c r="BH102">
        <f>IF(AND($A102&lt;&gt;"",BH$3&gt;=$J102,BH$3&lt;=$M102),1,"")</f>
        <v/>
      </c>
      <c r="BI102">
        <f>IF(AND($A102&lt;&gt;"",BI$3&gt;=$J102,BI$3&lt;=$M102),1,"")</f>
        <v/>
      </c>
      <c r="BJ102">
        <f>IF(AND($A102&lt;&gt;"",BJ$3&gt;=$J102,BJ$3&lt;=$M102),1,"")</f>
        <v/>
      </c>
      <c r="BK102">
        <f>IF(AND($A102&lt;&gt;"",BK$3&gt;=$J102,BK$3&lt;=$M102),1,"")</f>
        <v/>
      </c>
      <c r="BL102">
        <f>IF(AND($A102&lt;&gt;"",BL$3&gt;=$J102,BL$3&lt;=$M102),1,"")</f>
        <v/>
      </c>
      <c r="BM102">
        <f>IF(AND($A102&lt;&gt;"",BM$3&gt;=$J102,BM$3&lt;=$M102),1,"")</f>
        <v/>
      </c>
      <c r="BN102">
        <f>IF(AND($A102&lt;&gt;"",BN$3&gt;=$J102,BN$3&lt;=$M102),1,"")</f>
        <v/>
      </c>
      <c r="BO102">
        <f>IF(AND($A102&lt;&gt;"",BO$3&gt;=$J102,BO$3&lt;=$M102),1,"")</f>
        <v/>
      </c>
      <c r="BP102">
        <f>IF(AND($A102&lt;&gt;"",BP$3&gt;=$J102,BP$3&lt;=$M102),1,"")</f>
        <v/>
      </c>
      <c r="BQ102">
        <f>IF(AND($A102&lt;&gt;"",BQ$3&gt;=$J102,BQ$3&lt;=$M102),1,"")</f>
        <v/>
      </c>
      <c r="BR102">
        <f>IF(AND($A102&lt;&gt;"",BR$3&gt;=$J102,BR$3&lt;=$M102),1,"")</f>
        <v/>
      </c>
      <c r="BS102">
        <f>IF(AND($A102&lt;&gt;"",BS$3&gt;=$J102,BS$3&lt;=$M102),1,"")</f>
        <v/>
      </c>
      <c r="BT102">
        <f>IF(AND($A102&lt;&gt;"",BT$3&gt;=$J102,BT$3&lt;=$M102),1,"")</f>
        <v/>
      </c>
      <c r="BU102">
        <f>IF(AND($A102&lt;&gt;"",BU$3&gt;=$J102,BU$3&lt;=$M102),1,"")</f>
        <v/>
      </c>
      <c r="BV102">
        <f>IF(AND($A102&lt;&gt;"",BV$3&gt;=$J102,BV$3&lt;=$M102),1,"")</f>
        <v/>
      </c>
    </row>
    <row r="103">
      <c r="A103">
        <f>IF(Job_Master_Ring!$A103="","",Job_Master_Ring!$A103)</f>
        <v/>
      </c>
      <c r="B103">
        <f>IF($A103="","",Job_Master_Ring!B103)</f>
        <v/>
      </c>
      <c r="C103">
        <f>IF($A103="","",Job_Master_Ring!C103)</f>
        <v/>
      </c>
      <c r="D103">
        <f>IF($A103="","",Job_Master_Ring!D103)</f>
        <v/>
      </c>
      <c r="E103">
        <f>IF($A103="","",IF($I103&lt;&gt;"",$I103,IFERROR(INDEX(Machine_List!$B$50:$B$63,MATCH(1,(Machine_List!$H$50:$H$63&lt;=IFERROR(VLOOKUP($B103,CHOOSE(MATCH($C103,Settings!$L$4:$L$10,0),OPR_BR1!$A$4:$K$18,OPR_BR2!$A$4:$K$18,OPR_CR2!$A$4:$K$18,OPR_CR3!$A$4:$K$18,OPR_CR4!$A$4:$K$18,OPR_RIM!$A$4:$K$18,OPR_BPR!$A$4:$K$18),10,0),0))*(Machine_List!$I$50:$I$63&gt;=IFERROR(VLOOKUP($B103,CHOOSE(MATCH($C103,Settings!$L$4:$L$10,0),OPR_BR1!$A$4:$K$18,OPR_BR2!$A$4:$K$18,OPR_CR2!$A$4:$K$18,OPR_CR3!$A$4:$K$18,OPR_CR4!$A$4:$K$18,OPR_RIM!$A$4:$K$18,OPR_BPR!$A$4:$K$18),11,0),9999)),0)),"NO COMPATIBLE MACHINE")))</f>
        <v/>
      </c>
      <c r="F103">
        <f>IF($E103="","",IFERROR(VLOOKUP($E103,Machine_List!$B:$G,6,0),""))</f>
        <v/>
      </c>
      <c r="G103" s="17">
        <f>IF($E103="","",IFERROR(VLOOKUP($E103,Machine_List!$B:$C,2,0),""))</f>
        <v/>
      </c>
      <c r="H103">
        <f>IF($E103="","",IFERROR(VLOOKUP($E103,Machine_List!$B:$D,3,0),""))</f>
        <v/>
      </c>
      <c r="J103" s="16">
        <f>IF($A103="","",IF($I103&lt;&gt;"",$I103,MAX(CNC_Plan!$M103,IFERROR(LOOKUP(2,1/($E$3:INDIRECT("E"&amp;(ROW()-1))=$E103),$M$3:INDIRECT("M"&amp;(ROW()-1))),CNC_Plan!$M103))))</f>
        <v/>
      </c>
      <c r="K103">
        <f>IF($A103="","",IFERROR(VLOOKUP(B103,CHOOSE(MATCH($C103,Settings!$L$4:$L$10,0),OPR_BR1!$A$4:$I$18,OPR_BR2!$A$4:$I$18,OPR_CR2!$A$4:$I$18,OPR_CR3!$A$4:$I$18,OPR_CR4!$A$4:$I$18,OPR_RIM!$A$4:$I$18,OPR_BPR!$A$4:$I$18),6,0),0))</f>
        <v/>
      </c>
      <c r="L103">
        <f>IF($A103="","",K103*D103)</f>
        <v/>
      </c>
      <c r="M103" s="16">
        <f>IF($A103="","",IF(AND(ISNUMBER(G103),G103&gt;=J103,G103&lt;=(J103+(L103/(IF(F103="Contract Workman",Settings!$K$5,Settings!$K$4))))),J103+(L103/(IF(F103="Contract Workman",Settings!$K$5,Settings!$K$4)))+(H103/(IF(F103="Contract Workman",Settings!$K$5,Settings!$K$4))),J103+(L103/(IF(F103="Contract Workman",Settings!$K$5,Settings!$K$4)))))</f>
        <v/>
      </c>
      <c r="N103">
        <f>IF($A103="","",IF(F103="Contract Workman",IF(AND(MOD(M103,1)&gt;=8/24,MOD(M103,1)&lt;20/24),"Shift S1","Shift S2"),IF(AND(MOD(M103,1)&gt;=7/24,MOD(M103,1)&lt;15/24),"Shift A",IF(AND(MOD(M103,1)&gt;=15/24,MOD(M103,1)&lt;23/24),"Shift B","Shift C"))))</f>
        <v/>
      </c>
      <c r="O103">
        <f>IF(B103="","",IF(IFERROR(ISNUMBER(SEARCH(TEXT(B103,"0"),VLOOKUP(E103,Machine_List!$B:$J,9,0))),FALSE),"✅ "&amp; E103,"❌ Sug: "&amp;IFERROR(INDEX(Machine_List!$B$50:$B$63,MATCH(1,(Machine_List!$H$50:$H$63&lt;=IFERROR(VLOOKUP($B103,OPR_BR1!$A$4:$K$18,10,0),0))*(Machine_List!$I$50:$I$63&gt;=IFERROR(VLOOKUP($B103,OPR_BR1!$A$4:$K$18,11,0),9999)),0)),"?")))</f>
        <v/>
      </c>
      <c r="P103">
        <f>IF(AND($A103&lt;&gt;"",P$3&gt;=$J103,P$3&lt;=$M103),1,"")</f>
        <v/>
      </c>
      <c r="Q103">
        <f>IF(AND($A103&lt;&gt;"",Q$3&gt;=$J103,Q$3&lt;=$M103),1,"")</f>
        <v/>
      </c>
      <c r="R103">
        <f>IF(AND($A103&lt;&gt;"",R$3&gt;=$J103,R$3&lt;=$M103),1,"")</f>
        <v/>
      </c>
      <c r="S103">
        <f>IF(AND($A103&lt;&gt;"",S$3&gt;=$J103,S$3&lt;=$M103),1,"")</f>
        <v/>
      </c>
      <c r="T103">
        <f>IF(AND($A103&lt;&gt;"",T$3&gt;=$J103,T$3&lt;=$M103),1,"")</f>
        <v/>
      </c>
      <c r="U103">
        <f>IF(AND($A103&lt;&gt;"",U$3&gt;=$J103,U$3&lt;=$M103),1,"")</f>
        <v/>
      </c>
      <c r="V103">
        <f>IF(AND($A103&lt;&gt;"",V$3&gt;=$J103,V$3&lt;=$M103),1,"")</f>
        <v/>
      </c>
      <c r="W103">
        <f>IF(AND($A103&lt;&gt;"",W$3&gt;=$J103,W$3&lt;=$M103),1,"")</f>
        <v/>
      </c>
      <c r="X103">
        <f>IF(AND($A103&lt;&gt;"",X$3&gt;=$J103,X$3&lt;=$M103),1,"")</f>
        <v/>
      </c>
      <c r="Y103">
        <f>IF(AND($A103&lt;&gt;"",Y$3&gt;=$J103,Y$3&lt;=$M103),1,"")</f>
        <v/>
      </c>
      <c r="Z103">
        <f>IF(AND($A103&lt;&gt;"",Z$3&gt;=$J103,Z$3&lt;=$M103),1,"")</f>
        <v/>
      </c>
      <c r="AA103">
        <f>IF(AND($A103&lt;&gt;"",AA$3&gt;=$J103,AA$3&lt;=$M103),1,"")</f>
        <v/>
      </c>
      <c r="AB103">
        <f>IF(AND($A103&lt;&gt;"",AB$3&gt;=$J103,AB$3&lt;=$M103),1,"")</f>
        <v/>
      </c>
      <c r="AC103">
        <f>IF(AND($A103&lt;&gt;"",AC$3&gt;=$J103,AC$3&lt;=$M103),1,"")</f>
        <v/>
      </c>
      <c r="AD103">
        <f>IF(AND($A103&lt;&gt;"",AD$3&gt;=$J103,AD$3&lt;=$M103),1,"")</f>
        <v/>
      </c>
      <c r="AE103">
        <f>IF(AND($A103&lt;&gt;"",AE$3&gt;=$J103,AE$3&lt;=$M103),1,"")</f>
        <v/>
      </c>
      <c r="AF103">
        <f>IF(AND($A103&lt;&gt;"",AF$3&gt;=$J103,AF$3&lt;=$M103),1,"")</f>
        <v/>
      </c>
      <c r="AG103">
        <f>IF(AND($A103&lt;&gt;"",AG$3&gt;=$J103,AG$3&lt;=$M103),1,"")</f>
        <v/>
      </c>
      <c r="AH103">
        <f>IF(AND($A103&lt;&gt;"",AH$3&gt;=$J103,AH$3&lt;=$M103),1,"")</f>
        <v/>
      </c>
      <c r="AI103">
        <f>IF(AND($A103&lt;&gt;"",AI$3&gt;=$J103,AI$3&lt;=$M103),1,"")</f>
        <v/>
      </c>
      <c r="AJ103">
        <f>IF(AND($A103&lt;&gt;"",AJ$3&gt;=$J103,AJ$3&lt;=$M103),1,"")</f>
        <v/>
      </c>
      <c r="AK103">
        <f>IF(AND($A103&lt;&gt;"",AK$3&gt;=$J103,AK$3&lt;=$M103),1,"")</f>
        <v/>
      </c>
      <c r="AL103">
        <f>IF(AND($A103&lt;&gt;"",AL$3&gt;=$J103,AL$3&lt;=$M103),1,"")</f>
        <v/>
      </c>
      <c r="AM103">
        <f>IF(AND($A103&lt;&gt;"",AM$3&gt;=$J103,AM$3&lt;=$M103),1,"")</f>
        <v/>
      </c>
      <c r="AN103">
        <f>IF(AND($A103&lt;&gt;"",AN$3&gt;=$J103,AN$3&lt;=$M103),1,"")</f>
        <v/>
      </c>
      <c r="AO103">
        <f>IF(AND($A103&lt;&gt;"",AO$3&gt;=$J103,AO$3&lt;=$M103),1,"")</f>
        <v/>
      </c>
      <c r="AP103">
        <f>IF(AND($A103&lt;&gt;"",AP$3&gt;=$J103,AP$3&lt;=$M103),1,"")</f>
        <v/>
      </c>
      <c r="AQ103">
        <f>IF(AND($A103&lt;&gt;"",AQ$3&gt;=$J103,AQ$3&lt;=$M103),1,"")</f>
        <v/>
      </c>
      <c r="AR103">
        <f>IF(AND($A103&lt;&gt;"",AR$3&gt;=$J103,AR$3&lt;=$M103),1,"")</f>
        <v/>
      </c>
      <c r="AS103">
        <f>IF(AND($A103&lt;&gt;"",AS$3&gt;=$J103,AS$3&lt;=$M103),1,"")</f>
        <v/>
      </c>
      <c r="AT103">
        <f>IF(AND($A103&lt;&gt;"",AT$3&gt;=$J103,AT$3&lt;=$M103),1,"")</f>
        <v/>
      </c>
      <c r="AU103">
        <f>IF(AND($A103&lt;&gt;"",AU$3&gt;=$J103,AU$3&lt;=$M103),1,"")</f>
        <v/>
      </c>
      <c r="AV103">
        <f>IF(AND($A103&lt;&gt;"",AV$3&gt;=$J103,AV$3&lt;=$M103),1,"")</f>
        <v/>
      </c>
      <c r="AW103">
        <f>IF(AND($A103&lt;&gt;"",AW$3&gt;=$J103,AW$3&lt;=$M103),1,"")</f>
        <v/>
      </c>
      <c r="AX103">
        <f>IF(AND($A103&lt;&gt;"",AX$3&gt;=$J103,AX$3&lt;=$M103),1,"")</f>
        <v/>
      </c>
      <c r="AY103">
        <f>IF(AND($A103&lt;&gt;"",AY$3&gt;=$J103,AY$3&lt;=$M103),1,"")</f>
        <v/>
      </c>
      <c r="AZ103">
        <f>IF(AND($A103&lt;&gt;"",AZ$3&gt;=$J103,AZ$3&lt;=$M103),1,"")</f>
        <v/>
      </c>
      <c r="BA103">
        <f>IF(AND($A103&lt;&gt;"",BA$3&gt;=$J103,BA$3&lt;=$M103),1,"")</f>
        <v/>
      </c>
      <c r="BB103">
        <f>IF(AND($A103&lt;&gt;"",BB$3&gt;=$J103,BB$3&lt;=$M103),1,"")</f>
        <v/>
      </c>
      <c r="BC103">
        <f>IF(AND($A103&lt;&gt;"",BC$3&gt;=$J103,BC$3&lt;=$M103),1,"")</f>
        <v/>
      </c>
      <c r="BD103">
        <f>IF(AND($A103&lt;&gt;"",BD$3&gt;=$J103,BD$3&lt;=$M103),1,"")</f>
        <v/>
      </c>
      <c r="BE103">
        <f>IF(AND($A103&lt;&gt;"",BE$3&gt;=$J103,BE$3&lt;=$M103),1,"")</f>
        <v/>
      </c>
      <c r="BF103">
        <f>IF(AND($A103&lt;&gt;"",BF$3&gt;=$J103,BF$3&lt;=$M103),1,"")</f>
        <v/>
      </c>
      <c r="BG103">
        <f>IF(AND($A103&lt;&gt;"",BG$3&gt;=$J103,BG$3&lt;=$M103),1,"")</f>
        <v/>
      </c>
      <c r="BH103">
        <f>IF(AND($A103&lt;&gt;"",BH$3&gt;=$J103,BH$3&lt;=$M103),1,"")</f>
        <v/>
      </c>
      <c r="BI103">
        <f>IF(AND($A103&lt;&gt;"",BI$3&gt;=$J103,BI$3&lt;=$M103),1,"")</f>
        <v/>
      </c>
      <c r="BJ103">
        <f>IF(AND($A103&lt;&gt;"",BJ$3&gt;=$J103,BJ$3&lt;=$M103),1,"")</f>
        <v/>
      </c>
      <c r="BK103">
        <f>IF(AND($A103&lt;&gt;"",BK$3&gt;=$J103,BK$3&lt;=$M103),1,"")</f>
        <v/>
      </c>
      <c r="BL103">
        <f>IF(AND($A103&lt;&gt;"",BL$3&gt;=$J103,BL$3&lt;=$M103),1,"")</f>
        <v/>
      </c>
      <c r="BM103">
        <f>IF(AND($A103&lt;&gt;"",BM$3&gt;=$J103,BM$3&lt;=$M103),1,"")</f>
        <v/>
      </c>
      <c r="BN103">
        <f>IF(AND($A103&lt;&gt;"",BN$3&gt;=$J103,BN$3&lt;=$M103),1,"")</f>
        <v/>
      </c>
      <c r="BO103">
        <f>IF(AND($A103&lt;&gt;"",BO$3&gt;=$J103,BO$3&lt;=$M103),1,"")</f>
        <v/>
      </c>
      <c r="BP103">
        <f>IF(AND($A103&lt;&gt;"",BP$3&gt;=$J103,BP$3&lt;=$M103),1,"")</f>
        <v/>
      </c>
      <c r="BQ103">
        <f>IF(AND($A103&lt;&gt;"",BQ$3&gt;=$J103,BQ$3&lt;=$M103),1,"")</f>
        <v/>
      </c>
      <c r="BR103">
        <f>IF(AND($A103&lt;&gt;"",BR$3&gt;=$J103,BR$3&lt;=$M103),1,"")</f>
        <v/>
      </c>
      <c r="BS103">
        <f>IF(AND($A103&lt;&gt;"",BS$3&gt;=$J103,BS$3&lt;=$M103),1,"")</f>
        <v/>
      </c>
      <c r="BT103">
        <f>IF(AND($A103&lt;&gt;"",BT$3&gt;=$J103,BT$3&lt;=$M103),1,"")</f>
        <v/>
      </c>
      <c r="BU103">
        <f>IF(AND($A103&lt;&gt;"",BU$3&gt;=$J103,BU$3&lt;=$M103),1,"")</f>
        <v/>
      </c>
      <c r="BV103">
        <f>IF(AND($A103&lt;&gt;"",BV$3&gt;=$J103,BV$3&lt;=$M103),1,"")</f>
        <v/>
      </c>
    </row>
  </sheetData>
  <conditionalFormatting sqref="A4:A103">
    <cfRule type="expression" priority="1" dxfId="0">
      <formula>VLOOKUP($A4,Job_Master_Ring!$A:$G,7,0)="High"</formula>
    </cfRule>
    <cfRule type="expression" priority="2" dxfId="1">
      <formula>VLOOKUP($A4,Job_Master_Ring!$A:$G,7,0)="Medium"</formula>
    </cfRule>
    <cfRule type="expression" priority="3" dxfId="2">
      <formula>VLOOKUP($A4,Job_Master_Ring!$A:$G,7,0)="Low"</formula>
    </cfRule>
  </conditionalFormatting>
  <conditionalFormatting sqref="P4:BV103">
    <cfRule type="expression" priority="4" dxfId="7">
      <formula>P4=1</formula>
    </cfRule>
    <cfRule type="expression" priority="5" dxfId="8">
      <formula>WEEKDAY(P$3,2)&gt;=6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G103"/>
  <sheetViews>
    <sheetView workbookViewId="0">
      <pane xSplit="15" ySplit="3" topLeftCell="P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8" customWidth="1" min="3" max="3"/>
    <col width="8" customWidth="1" min="4" max="4"/>
    <col width="16" customWidth="1" min="5" max="5"/>
    <col width="14" customWidth="1" min="6" max="6"/>
    <col width="12" customWidth="1" min="7" max="7"/>
    <col width="8" customWidth="1" min="8" max="8"/>
    <col width="10" customWidth="1" min="9" max="9"/>
    <col width="14" customWidth="1" min="10" max="10"/>
    <col width="8" customWidth="1" min="11" max="11"/>
    <col width="10" customWidth="1" min="12" max="12"/>
    <col width="14" customWidth="1" min="13" max="13"/>
    <col width="12" customWidth="1" min="14" max="14"/>
    <col width="14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  <col width="3" customWidth="1" min="67" max="67"/>
    <col width="3" customWidth="1" min="68" max="68"/>
    <col width="3" customWidth="1" min="69" max="69"/>
    <col width="3" customWidth="1" min="70" max="70"/>
    <col width="3" customWidth="1" min="71" max="71"/>
    <col width="3" customWidth="1" min="72" max="72"/>
    <col width="3" customWidth="1" min="73" max="73"/>
    <col width="3" customWidth="1" min="74" max="74"/>
  </cols>
  <sheetData>
    <row r="1">
      <c r="BX1" s="24" t="inlineStr">
        <is>
          <t>VENT — Monthly Load vs Capacity</t>
        </is>
      </c>
    </row>
    <row r="2">
      <c r="BX2" s="25" t="inlineStr">
        <is>
          <t>Apr-26</t>
        </is>
      </c>
      <c r="BY2" s="25" t="inlineStr">
        <is>
          <t>May-26</t>
        </is>
      </c>
      <c r="BZ2" s="25" t="inlineStr">
        <is>
          <t>Jun-26</t>
        </is>
      </c>
      <c r="CA2" s="25" t="inlineStr">
        <is>
          <t>Jul-26</t>
        </is>
      </c>
      <c r="CB2" s="25" t="inlineStr">
        <is>
          <t>Aug-26</t>
        </is>
      </c>
      <c r="CC2" s="25" t="inlineStr">
        <is>
          <t>Sep-26</t>
        </is>
      </c>
      <c r="CD2" s="25" t="inlineStr">
        <is>
          <t>Oct-26</t>
        </is>
      </c>
      <c r="CE2" s="25" t="inlineStr">
        <is>
          <t>Nov-26</t>
        </is>
      </c>
      <c r="CF2" s="25" t="inlineStr">
        <is>
          <t>Dec-26</t>
        </is>
      </c>
      <c r="CG2" s="25" t="inlineStr">
        <is>
          <t>Jan-27</t>
        </is>
      </c>
    </row>
    <row r="3" ht="40" customHeight="1">
      <c r="A3" s="5" t="inlineStr">
        <is>
          <t>Job ID</t>
        </is>
      </c>
      <c r="B3" s="5" t="inlineStr">
        <is>
          <t>Size</t>
        </is>
      </c>
      <c r="C3" s="4" t="inlineStr">
        <is>
          <t>Type</t>
        </is>
      </c>
      <c r="D3" s="5" t="inlineStr">
        <is>
          <t>Parts</t>
        </is>
      </c>
      <c r="E3" s="22" t="inlineStr">
        <is>
          <t>Allocated Machine</t>
        </is>
      </c>
      <c r="F3" s="6" t="inlineStr">
        <is>
          <t>Worker</t>
        </is>
      </c>
      <c r="G3" s="22" t="inlineStr">
        <is>
          <t>PM Date</t>
        </is>
      </c>
      <c r="H3" s="22" t="inlineStr">
        <is>
          <t>PM Hrs</t>
        </is>
      </c>
      <c r="I3" s="4" t="inlineStr">
        <is>
          <t>Override</t>
        </is>
      </c>
      <c r="J3" s="5" t="inlineStr">
        <is>
          <t>Start Date</t>
        </is>
      </c>
      <c r="K3" s="5" t="inlineStr">
        <is>
          <t>Unit CT</t>
        </is>
      </c>
      <c r="L3" s="5" t="inlineStr">
        <is>
          <t>Total Load</t>
        </is>
      </c>
      <c r="M3" s="5" t="inlineStr">
        <is>
          <t>End Date</t>
        </is>
      </c>
      <c r="N3" s="8" t="inlineStr">
        <is>
          <t>Shift | Time</t>
        </is>
      </c>
      <c r="O3" s="23" t="inlineStr">
        <is>
          <t>Machine Helper
(Pick Compatible)</t>
        </is>
      </c>
      <c r="P3" s="15" t="n">
        <v>46113</v>
      </c>
      <c r="Q3" s="15" t="n">
        <v>46114</v>
      </c>
      <c r="R3" s="15" t="n">
        <v>46115</v>
      </c>
      <c r="S3" s="15" t="n">
        <v>46116</v>
      </c>
      <c r="T3" s="15" t="n">
        <v>46118</v>
      </c>
      <c r="U3" s="15" t="n">
        <v>46119</v>
      </c>
      <c r="V3" s="15" t="n">
        <v>46120</v>
      </c>
      <c r="W3" s="15" t="n">
        <v>46121</v>
      </c>
      <c r="X3" s="15" t="n">
        <v>46122</v>
      </c>
      <c r="Y3" s="15" t="n">
        <v>46123</v>
      </c>
      <c r="Z3" s="15" t="n">
        <v>46124</v>
      </c>
      <c r="AA3" s="15" t="n">
        <v>46125</v>
      </c>
      <c r="AB3" s="15" t="n">
        <v>46126</v>
      </c>
      <c r="AC3" s="15" t="n">
        <v>46127</v>
      </c>
      <c r="AD3" s="15" t="n">
        <v>46128</v>
      </c>
      <c r="AE3" s="15" t="n">
        <v>46129</v>
      </c>
      <c r="AF3" s="15" t="n">
        <v>46130</v>
      </c>
      <c r="AG3" s="15" t="n">
        <v>46131</v>
      </c>
      <c r="AH3" s="15" t="n">
        <v>46132</v>
      </c>
      <c r="AI3" s="15" t="n">
        <v>46133</v>
      </c>
      <c r="AJ3" s="15" t="n">
        <v>46134</v>
      </c>
      <c r="AK3" s="15" t="n">
        <v>46135</v>
      </c>
      <c r="AL3" s="15" t="n">
        <v>46136</v>
      </c>
      <c r="AM3" s="15" t="n">
        <v>46137</v>
      </c>
      <c r="AN3" s="15" t="n">
        <v>46138</v>
      </c>
      <c r="AO3" s="15" t="n">
        <v>46139</v>
      </c>
      <c r="AP3" s="15" t="n">
        <v>46140</v>
      </c>
      <c r="AQ3" s="15" t="n">
        <v>46141</v>
      </c>
      <c r="AR3" s="15" t="n">
        <v>46142</v>
      </c>
      <c r="AS3" s="15" t="n">
        <v>46143</v>
      </c>
      <c r="AT3" s="15" t="n">
        <v>46144</v>
      </c>
      <c r="AU3" s="15" t="n">
        <v>46145</v>
      </c>
      <c r="AV3" s="15" t="n">
        <v>46146</v>
      </c>
      <c r="AW3" s="15" t="n">
        <v>46147</v>
      </c>
      <c r="AX3" s="15" t="n">
        <v>46148</v>
      </c>
      <c r="AY3" s="15" t="n">
        <v>46149</v>
      </c>
      <c r="AZ3" s="15" t="n">
        <v>46150</v>
      </c>
      <c r="BA3" s="15" t="n">
        <v>46151</v>
      </c>
      <c r="BB3" s="15" t="n">
        <v>46152</v>
      </c>
      <c r="BC3" s="15" t="n">
        <v>46153</v>
      </c>
      <c r="BD3" s="15" t="n">
        <v>46154</v>
      </c>
      <c r="BE3" s="15" t="n">
        <v>46155</v>
      </c>
      <c r="BF3" s="15" t="n">
        <v>46156</v>
      </c>
      <c r="BG3" s="15" t="n">
        <v>46157</v>
      </c>
      <c r="BH3" s="15" t="n">
        <v>46158</v>
      </c>
      <c r="BI3" s="15" t="n">
        <v>46159</v>
      </c>
      <c r="BJ3" s="15" t="n">
        <v>46160</v>
      </c>
      <c r="BK3" s="15" t="n">
        <v>46161</v>
      </c>
      <c r="BL3" s="15" t="n">
        <v>46162</v>
      </c>
      <c r="BM3" s="15" t="n">
        <v>46163</v>
      </c>
      <c r="BN3" s="15" t="n">
        <v>46164</v>
      </c>
      <c r="BO3" s="15" t="n">
        <v>46165</v>
      </c>
      <c r="BP3" s="15" t="n">
        <v>46166</v>
      </c>
      <c r="BQ3" s="15" t="n">
        <v>46167</v>
      </c>
      <c r="BR3" s="15" t="n">
        <v>46168</v>
      </c>
      <c r="BS3" s="15" t="n">
        <v>46169</v>
      </c>
      <c r="BT3" s="15" t="n">
        <v>46170</v>
      </c>
      <c r="BU3" s="15" t="n">
        <v>46171</v>
      </c>
      <c r="BV3" s="15" t="n">
        <v>46172</v>
      </c>
      <c r="BW3" s="26" t="inlineStr">
        <is>
          <t>Load (Hrs)</t>
        </is>
      </c>
      <c r="BX3" s="27" t="n">
        <v>0</v>
      </c>
      <c r="BY3" s="27" t="n">
        <v>0</v>
      </c>
      <c r="BZ3" s="27" t="n">
        <v>0</v>
      </c>
      <c r="CA3" s="27" t="n">
        <v>0</v>
      </c>
      <c r="CB3" s="27" t="n">
        <v>0</v>
      </c>
      <c r="CC3" s="27" t="n">
        <v>0</v>
      </c>
      <c r="CD3" s="27" t="n">
        <v>0</v>
      </c>
      <c r="CE3" s="27" t="n">
        <v>0</v>
      </c>
      <c r="CF3" s="27" t="n">
        <v>0</v>
      </c>
      <c r="CG3" s="27" t="n">
        <v>0</v>
      </c>
    </row>
    <row r="4">
      <c r="A4">
        <f>IF(Job_Master_Ring!$A4="","",Job_Master_Ring!$A4)</f>
        <v/>
      </c>
      <c r="B4">
        <f>IF($A4="","",Job_Master_Ring!B4)</f>
        <v/>
      </c>
      <c r="C4">
        <f>IF($A4="","",Job_Master_Ring!C4)</f>
        <v/>
      </c>
      <c r="D4">
        <f>IF($A4="","",Job_Master_Ring!D4)</f>
        <v/>
      </c>
      <c r="E4">
        <f>IF($A4="","",IF($I4&lt;&gt;"",$I4,IFERROR(INDEX(Machine_List!$B$64:$B$71,MATCH(1,(Machine_List!$H$64:$H$71&lt;=IFERROR(VLOOKUP($B4,CHOOSE(MATCH($C4,Settings!$L$4:$L$10,0),OPR_BR1!$A$4:$K$18,OPR_BR2!$A$4:$K$18,OPR_CR2!$A$4:$K$18,OPR_CR3!$A$4:$K$18,OPR_CR4!$A$4:$K$18,OPR_RIM!$A$4:$K$18,OPR_BPR!$A$4:$K$18),10,0),0))*(Machine_List!$I$64:$I$71&gt;=IFERROR(VLOOKUP($B4,CHOOSE(MATCH($C4,Settings!$L$4:$L$10,0),OPR_BR1!$A$4:$K$18,OPR_BR2!$A$4:$K$18,OPR_CR2!$A$4:$K$18,OPR_CR3!$A$4:$K$18,OPR_CR4!$A$4:$K$18,OPR_RIM!$A$4:$K$18,OPR_BPR!$A$4:$K$18),11,0),9999)),0)),"NO COMPATIBLE MACHINE")))</f>
        <v/>
      </c>
      <c r="F4">
        <f>IF($E4="","",IFERROR(VLOOKUP($E4,Machine_List!$B:$G,6,0),""))</f>
        <v/>
      </c>
      <c r="G4" s="17">
        <f>IF($E4="","",IFERROR(VLOOKUP($E4,Machine_List!$B:$C,2,0),""))</f>
        <v/>
      </c>
      <c r="H4">
        <f>IF($E4="","",IFERROR(VLOOKUP($E4,Machine_List!$B:$D,3,0),""))</f>
        <v/>
      </c>
      <c r="J4" s="16">
        <f>IF($A4="","",IF($I4&lt;&gt;"",$I4,MAX(ENG_Plan!$M4,IFERROR(LOOKUP(2,1/($E$3:INDIRECT("E"&amp;(ROW()-1))=$E4),$M$3:INDIRECT("M"&amp;(ROW()-1))),ENG_Plan!$M4))))</f>
        <v/>
      </c>
      <c r="K4">
        <f>IF($A4="","",IFERROR(VLOOKUP(B4,CHOOSE(MATCH($C4,Settings!$L$4:$L$10,0),OPR_BR1!$A$4:$I$18,OPR_BR2!$A$4:$I$18,OPR_CR2!$A$4:$I$18,OPR_CR3!$A$4:$I$18,OPR_CR4!$A$4:$I$18,OPR_RIM!$A$4:$I$18,OPR_BPR!$A$4:$I$18),7,0),0))</f>
        <v/>
      </c>
      <c r="L4">
        <f>IF($A4="","",K4*D4)</f>
        <v/>
      </c>
      <c r="M4" s="16">
        <f>IF($A4="","",IF(AND(ISNUMBER(G4),G4&gt;=J4,G4&lt;=(J4+(L4/(IF(F4="Contract Workman",Settings!$K$5,Settings!$K$4))))),J4+(L4/(IF(F4="Contract Workman",Settings!$K$5,Settings!$K$4)))+(H4/(IF(F4="Contract Workman",Settings!$K$5,Settings!$K$4))),J4+(L4/(IF(F4="Contract Workman",Settings!$K$5,Settings!$K$4)))))</f>
        <v/>
      </c>
      <c r="N4">
        <f>IF($A4="","",IF(F4="Contract Workman",IF(AND(MOD(M4,1)&gt;=8/24,MOD(M4,1)&lt;20/24),"Shift S1","Shift S2"),IF(AND(MOD(M4,1)&gt;=7/24,MOD(M4,1)&lt;15/24),"Shift A",IF(AND(MOD(M4,1)&gt;=15/24,MOD(M4,1)&lt;23/24),"Shift B","Shift C"))))</f>
        <v/>
      </c>
      <c r="O4">
        <f>IF(B4="","",IF(IFERROR(ISNUMBER(SEARCH(TEXT(B4,"0"),VLOOKUP(E4,Machine_List!$B:$J,9,0))),FALSE),"✅ "&amp; E4,"❌ Sug: "&amp;IFERROR(INDEX(Machine_List!$B$64:$B$71,MATCH(1,(Machine_List!$H$64:$H$71&lt;=IFERROR(VLOOKUP($B4,OPR_BR1!$A$4:$K$18,10,0),0))*(Machine_List!$I$64:$I$71&gt;=IFERROR(VLOOKUP($B4,OPR_BR1!$A$4:$K$18,11,0),9999)),0)),"?")))</f>
        <v/>
      </c>
      <c r="P4">
        <f>IF(AND($A4&lt;&gt;"",P$3&gt;=$J4,P$3&lt;=$M4),1,"")</f>
        <v/>
      </c>
      <c r="Q4">
        <f>IF(AND($A4&lt;&gt;"",Q$3&gt;=$J4,Q$3&lt;=$M4),1,"")</f>
        <v/>
      </c>
      <c r="R4">
        <f>IF(AND($A4&lt;&gt;"",R$3&gt;=$J4,R$3&lt;=$M4),1,"")</f>
        <v/>
      </c>
      <c r="S4">
        <f>IF(AND($A4&lt;&gt;"",S$3&gt;=$J4,S$3&lt;=$M4),1,"")</f>
        <v/>
      </c>
      <c r="T4">
        <f>IF(AND($A4&lt;&gt;"",T$3&gt;=$J4,T$3&lt;=$M4),1,"")</f>
        <v/>
      </c>
      <c r="U4">
        <f>IF(AND($A4&lt;&gt;"",U$3&gt;=$J4,U$3&lt;=$M4),1,"")</f>
        <v/>
      </c>
      <c r="V4">
        <f>IF(AND($A4&lt;&gt;"",V$3&gt;=$J4,V$3&lt;=$M4),1,"")</f>
        <v/>
      </c>
      <c r="W4">
        <f>IF(AND($A4&lt;&gt;"",W$3&gt;=$J4,W$3&lt;=$M4),1,"")</f>
        <v/>
      </c>
      <c r="X4">
        <f>IF(AND($A4&lt;&gt;"",X$3&gt;=$J4,X$3&lt;=$M4),1,"")</f>
        <v/>
      </c>
      <c r="Y4">
        <f>IF(AND($A4&lt;&gt;"",Y$3&gt;=$J4,Y$3&lt;=$M4),1,"")</f>
        <v/>
      </c>
      <c r="Z4">
        <f>IF(AND($A4&lt;&gt;"",Z$3&gt;=$J4,Z$3&lt;=$M4),1,"")</f>
        <v/>
      </c>
      <c r="AA4">
        <f>IF(AND($A4&lt;&gt;"",AA$3&gt;=$J4,AA$3&lt;=$M4),1,"")</f>
        <v/>
      </c>
      <c r="AB4">
        <f>IF(AND($A4&lt;&gt;"",AB$3&gt;=$J4,AB$3&lt;=$M4),1,"")</f>
        <v/>
      </c>
      <c r="AC4">
        <f>IF(AND($A4&lt;&gt;"",AC$3&gt;=$J4,AC$3&lt;=$M4),1,"")</f>
        <v/>
      </c>
      <c r="AD4">
        <f>IF(AND($A4&lt;&gt;"",AD$3&gt;=$J4,AD$3&lt;=$M4),1,"")</f>
        <v/>
      </c>
      <c r="AE4">
        <f>IF(AND($A4&lt;&gt;"",AE$3&gt;=$J4,AE$3&lt;=$M4),1,"")</f>
        <v/>
      </c>
      <c r="AF4">
        <f>IF(AND($A4&lt;&gt;"",AF$3&gt;=$J4,AF$3&lt;=$M4),1,"")</f>
        <v/>
      </c>
      <c r="AG4">
        <f>IF(AND($A4&lt;&gt;"",AG$3&gt;=$J4,AG$3&lt;=$M4),1,"")</f>
        <v/>
      </c>
      <c r="AH4">
        <f>IF(AND($A4&lt;&gt;"",AH$3&gt;=$J4,AH$3&lt;=$M4),1,"")</f>
        <v/>
      </c>
      <c r="AI4">
        <f>IF(AND($A4&lt;&gt;"",AI$3&gt;=$J4,AI$3&lt;=$M4),1,"")</f>
        <v/>
      </c>
      <c r="AJ4">
        <f>IF(AND($A4&lt;&gt;"",AJ$3&gt;=$J4,AJ$3&lt;=$M4),1,"")</f>
        <v/>
      </c>
      <c r="AK4">
        <f>IF(AND($A4&lt;&gt;"",AK$3&gt;=$J4,AK$3&lt;=$M4),1,"")</f>
        <v/>
      </c>
      <c r="AL4">
        <f>IF(AND($A4&lt;&gt;"",AL$3&gt;=$J4,AL$3&lt;=$M4),1,"")</f>
        <v/>
      </c>
      <c r="AM4">
        <f>IF(AND($A4&lt;&gt;"",AM$3&gt;=$J4,AM$3&lt;=$M4),1,"")</f>
        <v/>
      </c>
      <c r="AN4">
        <f>IF(AND($A4&lt;&gt;"",AN$3&gt;=$J4,AN$3&lt;=$M4),1,"")</f>
        <v/>
      </c>
      <c r="AO4">
        <f>IF(AND($A4&lt;&gt;"",AO$3&gt;=$J4,AO$3&lt;=$M4),1,"")</f>
        <v/>
      </c>
      <c r="AP4">
        <f>IF(AND($A4&lt;&gt;"",AP$3&gt;=$J4,AP$3&lt;=$M4),1,"")</f>
        <v/>
      </c>
      <c r="AQ4">
        <f>IF(AND($A4&lt;&gt;"",AQ$3&gt;=$J4,AQ$3&lt;=$M4),1,"")</f>
        <v/>
      </c>
      <c r="AR4">
        <f>IF(AND($A4&lt;&gt;"",AR$3&gt;=$J4,AR$3&lt;=$M4),1,"")</f>
        <v/>
      </c>
      <c r="AS4">
        <f>IF(AND($A4&lt;&gt;"",AS$3&gt;=$J4,AS$3&lt;=$M4),1,"")</f>
        <v/>
      </c>
      <c r="AT4">
        <f>IF(AND($A4&lt;&gt;"",AT$3&gt;=$J4,AT$3&lt;=$M4),1,"")</f>
        <v/>
      </c>
      <c r="AU4">
        <f>IF(AND($A4&lt;&gt;"",AU$3&gt;=$J4,AU$3&lt;=$M4),1,"")</f>
        <v/>
      </c>
      <c r="AV4">
        <f>IF(AND($A4&lt;&gt;"",AV$3&gt;=$J4,AV$3&lt;=$M4),1,"")</f>
        <v/>
      </c>
      <c r="AW4">
        <f>IF(AND($A4&lt;&gt;"",AW$3&gt;=$J4,AW$3&lt;=$M4),1,"")</f>
        <v/>
      </c>
      <c r="AX4">
        <f>IF(AND($A4&lt;&gt;"",AX$3&gt;=$J4,AX$3&lt;=$M4),1,"")</f>
        <v/>
      </c>
      <c r="AY4">
        <f>IF(AND($A4&lt;&gt;"",AY$3&gt;=$J4,AY$3&lt;=$M4),1,"")</f>
        <v/>
      </c>
      <c r="AZ4">
        <f>IF(AND($A4&lt;&gt;"",AZ$3&gt;=$J4,AZ$3&lt;=$M4),1,"")</f>
        <v/>
      </c>
      <c r="BA4">
        <f>IF(AND($A4&lt;&gt;"",BA$3&gt;=$J4,BA$3&lt;=$M4),1,"")</f>
        <v/>
      </c>
      <c r="BB4">
        <f>IF(AND($A4&lt;&gt;"",BB$3&gt;=$J4,BB$3&lt;=$M4),1,"")</f>
        <v/>
      </c>
      <c r="BC4">
        <f>IF(AND($A4&lt;&gt;"",BC$3&gt;=$J4,BC$3&lt;=$M4),1,"")</f>
        <v/>
      </c>
      <c r="BD4">
        <f>IF(AND($A4&lt;&gt;"",BD$3&gt;=$J4,BD$3&lt;=$M4),1,"")</f>
        <v/>
      </c>
      <c r="BE4">
        <f>IF(AND($A4&lt;&gt;"",BE$3&gt;=$J4,BE$3&lt;=$M4),1,"")</f>
        <v/>
      </c>
      <c r="BF4">
        <f>IF(AND($A4&lt;&gt;"",BF$3&gt;=$J4,BF$3&lt;=$M4),1,"")</f>
        <v/>
      </c>
      <c r="BG4">
        <f>IF(AND($A4&lt;&gt;"",BG$3&gt;=$J4,BG$3&lt;=$M4),1,"")</f>
        <v/>
      </c>
      <c r="BH4">
        <f>IF(AND($A4&lt;&gt;"",BH$3&gt;=$J4,BH$3&lt;=$M4),1,"")</f>
        <v/>
      </c>
      <c r="BI4">
        <f>IF(AND($A4&lt;&gt;"",BI$3&gt;=$J4,BI$3&lt;=$M4),1,"")</f>
        <v/>
      </c>
      <c r="BJ4">
        <f>IF(AND($A4&lt;&gt;"",BJ$3&gt;=$J4,BJ$3&lt;=$M4),1,"")</f>
        <v/>
      </c>
      <c r="BK4">
        <f>IF(AND($A4&lt;&gt;"",BK$3&gt;=$J4,BK$3&lt;=$M4),1,"")</f>
        <v/>
      </c>
      <c r="BL4">
        <f>IF(AND($A4&lt;&gt;"",BL$3&gt;=$J4,BL$3&lt;=$M4),1,"")</f>
        <v/>
      </c>
      <c r="BM4">
        <f>IF(AND($A4&lt;&gt;"",BM$3&gt;=$J4,BM$3&lt;=$M4),1,"")</f>
        <v/>
      </c>
      <c r="BN4">
        <f>IF(AND($A4&lt;&gt;"",BN$3&gt;=$J4,BN$3&lt;=$M4),1,"")</f>
        <v/>
      </c>
      <c r="BO4">
        <f>IF(AND($A4&lt;&gt;"",BO$3&gt;=$J4,BO$3&lt;=$M4),1,"")</f>
        <v/>
      </c>
      <c r="BP4">
        <f>IF(AND($A4&lt;&gt;"",BP$3&gt;=$J4,BP$3&lt;=$M4),1,"")</f>
        <v/>
      </c>
      <c r="BQ4">
        <f>IF(AND($A4&lt;&gt;"",BQ$3&gt;=$J4,BQ$3&lt;=$M4),1,"")</f>
        <v/>
      </c>
      <c r="BR4">
        <f>IF(AND($A4&lt;&gt;"",BR$3&gt;=$J4,BR$3&lt;=$M4),1,"")</f>
        <v/>
      </c>
      <c r="BS4">
        <f>IF(AND($A4&lt;&gt;"",BS$3&gt;=$J4,BS$3&lt;=$M4),1,"")</f>
        <v/>
      </c>
      <c r="BT4">
        <f>IF(AND($A4&lt;&gt;"",BT$3&gt;=$J4,BT$3&lt;=$M4),1,"")</f>
        <v/>
      </c>
      <c r="BU4">
        <f>IF(AND($A4&lt;&gt;"",BU$3&gt;=$J4,BU$3&lt;=$M4),1,"")</f>
        <v/>
      </c>
      <c r="BV4">
        <f>IF(AND($A4&lt;&gt;"",BV$3&gt;=$J4,BV$3&lt;=$M4),1,"")</f>
        <v/>
      </c>
      <c r="BW4" s="26" t="inlineStr">
        <is>
          <t>Capacity (Hrs)</t>
        </is>
      </c>
      <c r="BX4" s="27" t="n">
        <v>5184</v>
      </c>
      <c r="BY4" s="27" t="n">
        <v>5356.8</v>
      </c>
      <c r="BZ4" s="27" t="n">
        <v>5184</v>
      </c>
      <c r="CA4" s="27" t="n">
        <v>5356.8</v>
      </c>
      <c r="CB4" s="27" t="n">
        <v>5356.8</v>
      </c>
      <c r="CC4" s="27" t="n">
        <v>5184</v>
      </c>
      <c r="CD4" s="27" t="n">
        <v>5356.8</v>
      </c>
      <c r="CE4" s="27" t="n">
        <v>5184</v>
      </c>
      <c r="CF4" s="27" t="n">
        <v>5356.8</v>
      </c>
      <c r="CG4" s="27" t="n">
        <v>5356.8</v>
      </c>
    </row>
    <row r="5">
      <c r="A5">
        <f>IF(Job_Master_Ring!$A5="","",Job_Master_Ring!$A5)</f>
        <v/>
      </c>
      <c r="B5">
        <f>IF($A5="","",Job_Master_Ring!B5)</f>
        <v/>
      </c>
      <c r="C5">
        <f>IF($A5="","",Job_Master_Ring!C5)</f>
        <v/>
      </c>
      <c r="D5">
        <f>IF($A5="","",Job_Master_Ring!D5)</f>
        <v/>
      </c>
      <c r="E5">
        <f>IF($A5="","",IF($I5&lt;&gt;"",$I5,IFERROR(INDEX(Machine_List!$B$64:$B$71,MATCH(1,(Machine_List!$H$64:$H$71&lt;=IFERROR(VLOOKUP($B5,CHOOSE(MATCH($C5,Settings!$L$4:$L$10,0),OPR_BR1!$A$4:$K$18,OPR_BR2!$A$4:$K$18,OPR_CR2!$A$4:$K$18,OPR_CR3!$A$4:$K$18,OPR_CR4!$A$4:$K$18,OPR_RIM!$A$4:$K$18,OPR_BPR!$A$4:$K$18),10,0),0))*(Machine_List!$I$64:$I$71&gt;=IFERROR(VLOOKUP($B5,CHOOSE(MATCH($C5,Settings!$L$4:$L$10,0),OPR_BR1!$A$4:$K$18,OPR_BR2!$A$4:$K$18,OPR_CR2!$A$4:$K$18,OPR_CR3!$A$4:$K$18,OPR_CR4!$A$4:$K$18,OPR_RIM!$A$4:$K$18,OPR_BPR!$A$4:$K$18),11,0),9999)),0)),"NO COMPATIBLE MACHINE")))</f>
        <v/>
      </c>
      <c r="F5">
        <f>IF($E5="","",IFERROR(VLOOKUP($E5,Machine_List!$B:$G,6,0),""))</f>
        <v/>
      </c>
      <c r="G5" s="17">
        <f>IF($E5="","",IFERROR(VLOOKUP($E5,Machine_List!$B:$C,2,0),""))</f>
        <v/>
      </c>
      <c r="H5">
        <f>IF($E5="","",IFERROR(VLOOKUP($E5,Machine_List!$B:$D,3,0),""))</f>
        <v/>
      </c>
      <c r="J5" s="16">
        <f>IF($A5="","",IF($I5&lt;&gt;"",$I5,MAX(ENG_Plan!$M5,IFERROR(LOOKUP(2,1/($E$3:INDIRECT("E"&amp;(ROW()-1))=$E5),$M$3:INDIRECT("M"&amp;(ROW()-1))),ENG_Plan!$M5))))</f>
        <v/>
      </c>
      <c r="K5">
        <f>IF($A5="","",IFERROR(VLOOKUP(B5,CHOOSE(MATCH($C5,Settings!$L$4:$L$10,0),OPR_BR1!$A$4:$I$18,OPR_BR2!$A$4:$I$18,OPR_CR2!$A$4:$I$18,OPR_CR3!$A$4:$I$18,OPR_CR4!$A$4:$I$18,OPR_RIM!$A$4:$I$18,OPR_BPR!$A$4:$I$18),7,0),0))</f>
        <v/>
      </c>
      <c r="L5">
        <f>IF($A5="","",K5*D5)</f>
        <v/>
      </c>
      <c r="M5" s="16">
        <f>IF($A5="","",IF(AND(ISNUMBER(G5),G5&gt;=J5,G5&lt;=(J5+(L5/(IF(F5="Contract Workman",Settings!$K$5,Settings!$K$4))))),J5+(L5/(IF(F5="Contract Workman",Settings!$K$5,Settings!$K$4)))+(H5/(IF(F5="Contract Workman",Settings!$K$5,Settings!$K$4))),J5+(L5/(IF(F5="Contract Workman",Settings!$K$5,Settings!$K$4)))))</f>
        <v/>
      </c>
      <c r="N5">
        <f>IF($A5="","",IF(F5="Contract Workman",IF(AND(MOD(M5,1)&gt;=8/24,MOD(M5,1)&lt;20/24),"Shift S1","Shift S2"),IF(AND(MOD(M5,1)&gt;=7/24,MOD(M5,1)&lt;15/24),"Shift A",IF(AND(MOD(M5,1)&gt;=15/24,MOD(M5,1)&lt;23/24),"Shift B","Shift C"))))</f>
        <v/>
      </c>
      <c r="O5">
        <f>IF(B5="","",IF(IFERROR(ISNUMBER(SEARCH(TEXT(B5,"0"),VLOOKUP(E5,Machine_List!$B:$J,9,0))),FALSE),"✅ "&amp; E5,"❌ Sug: "&amp;IFERROR(INDEX(Machine_List!$B$64:$B$71,MATCH(1,(Machine_List!$H$64:$H$71&lt;=IFERROR(VLOOKUP($B5,OPR_BR1!$A$4:$K$18,10,0),0))*(Machine_List!$I$64:$I$71&gt;=IFERROR(VLOOKUP($B5,OPR_BR1!$A$4:$K$18,11,0),9999)),0)),"?")))</f>
        <v/>
      </c>
      <c r="P5">
        <f>IF(AND($A5&lt;&gt;"",P$3&gt;=$J5,P$3&lt;=$M5),1,"")</f>
        <v/>
      </c>
      <c r="Q5">
        <f>IF(AND($A5&lt;&gt;"",Q$3&gt;=$J5,Q$3&lt;=$M5),1,"")</f>
        <v/>
      </c>
      <c r="R5">
        <f>IF(AND($A5&lt;&gt;"",R$3&gt;=$J5,R$3&lt;=$M5),1,"")</f>
        <v/>
      </c>
      <c r="S5">
        <f>IF(AND($A5&lt;&gt;"",S$3&gt;=$J5,S$3&lt;=$M5),1,"")</f>
        <v/>
      </c>
      <c r="T5">
        <f>IF(AND($A5&lt;&gt;"",T$3&gt;=$J5,T$3&lt;=$M5),1,"")</f>
        <v/>
      </c>
      <c r="U5">
        <f>IF(AND($A5&lt;&gt;"",U$3&gt;=$J5,U$3&lt;=$M5),1,"")</f>
        <v/>
      </c>
      <c r="V5">
        <f>IF(AND($A5&lt;&gt;"",V$3&gt;=$J5,V$3&lt;=$M5),1,"")</f>
        <v/>
      </c>
      <c r="W5">
        <f>IF(AND($A5&lt;&gt;"",W$3&gt;=$J5,W$3&lt;=$M5),1,"")</f>
        <v/>
      </c>
      <c r="X5">
        <f>IF(AND($A5&lt;&gt;"",X$3&gt;=$J5,X$3&lt;=$M5),1,"")</f>
        <v/>
      </c>
      <c r="Y5">
        <f>IF(AND($A5&lt;&gt;"",Y$3&gt;=$J5,Y$3&lt;=$M5),1,"")</f>
        <v/>
      </c>
      <c r="Z5">
        <f>IF(AND($A5&lt;&gt;"",Z$3&gt;=$J5,Z$3&lt;=$M5),1,"")</f>
        <v/>
      </c>
      <c r="AA5">
        <f>IF(AND($A5&lt;&gt;"",AA$3&gt;=$J5,AA$3&lt;=$M5),1,"")</f>
        <v/>
      </c>
      <c r="AB5">
        <f>IF(AND($A5&lt;&gt;"",AB$3&gt;=$J5,AB$3&lt;=$M5),1,"")</f>
        <v/>
      </c>
      <c r="AC5">
        <f>IF(AND($A5&lt;&gt;"",AC$3&gt;=$J5,AC$3&lt;=$M5),1,"")</f>
        <v/>
      </c>
      <c r="AD5">
        <f>IF(AND($A5&lt;&gt;"",AD$3&gt;=$J5,AD$3&lt;=$M5),1,"")</f>
        <v/>
      </c>
      <c r="AE5">
        <f>IF(AND($A5&lt;&gt;"",AE$3&gt;=$J5,AE$3&lt;=$M5),1,"")</f>
        <v/>
      </c>
      <c r="AF5">
        <f>IF(AND($A5&lt;&gt;"",AF$3&gt;=$J5,AF$3&lt;=$M5),1,"")</f>
        <v/>
      </c>
      <c r="AG5">
        <f>IF(AND($A5&lt;&gt;"",AG$3&gt;=$J5,AG$3&lt;=$M5),1,"")</f>
        <v/>
      </c>
      <c r="AH5">
        <f>IF(AND($A5&lt;&gt;"",AH$3&gt;=$J5,AH$3&lt;=$M5),1,"")</f>
        <v/>
      </c>
      <c r="AI5">
        <f>IF(AND($A5&lt;&gt;"",AI$3&gt;=$J5,AI$3&lt;=$M5),1,"")</f>
        <v/>
      </c>
      <c r="AJ5">
        <f>IF(AND($A5&lt;&gt;"",AJ$3&gt;=$J5,AJ$3&lt;=$M5),1,"")</f>
        <v/>
      </c>
      <c r="AK5">
        <f>IF(AND($A5&lt;&gt;"",AK$3&gt;=$J5,AK$3&lt;=$M5),1,"")</f>
        <v/>
      </c>
      <c r="AL5">
        <f>IF(AND($A5&lt;&gt;"",AL$3&gt;=$J5,AL$3&lt;=$M5),1,"")</f>
        <v/>
      </c>
      <c r="AM5">
        <f>IF(AND($A5&lt;&gt;"",AM$3&gt;=$J5,AM$3&lt;=$M5),1,"")</f>
        <v/>
      </c>
      <c r="AN5">
        <f>IF(AND($A5&lt;&gt;"",AN$3&gt;=$J5,AN$3&lt;=$M5),1,"")</f>
        <v/>
      </c>
      <c r="AO5">
        <f>IF(AND($A5&lt;&gt;"",AO$3&gt;=$J5,AO$3&lt;=$M5),1,"")</f>
        <v/>
      </c>
      <c r="AP5">
        <f>IF(AND($A5&lt;&gt;"",AP$3&gt;=$J5,AP$3&lt;=$M5),1,"")</f>
        <v/>
      </c>
      <c r="AQ5">
        <f>IF(AND($A5&lt;&gt;"",AQ$3&gt;=$J5,AQ$3&lt;=$M5),1,"")</f>
        <v/>
      </c>
      <c r="AR5">
        <f>IF(AND($A5&lt;&gt;"",AR$3&gt;=$J5,AR$3&lt;=$M5),1,"")</f>
        <v/>
      </c>
      <c r="AS5">
        <f>IF(AND($A5&lt;&gt;"",AS$3&gt;=$J5,AS$3&lt;=$M5),1,"")</f>
        <v/>
      </c>
      <c r="AT5">
        <f>IF(AND($A5&lt;&gt;"",AT$3&gt;=$J5,AT$3&lt;=$M5),1,"")</f>
        <v/>
      </c>
      <c r="AU5">
        <f>IF(AND($A5&lt;&gt;"",AU$3&gt;=$J5,AU$3&lt;=$M5),1,"")</f>
        <v/>
      </c>
      <c r="AV5">
        <f>IF(AND($A5&lt;&gt;"",AV$3&gt;=$J5,AV$3&lt;=$M5),1,"")</f>
        <v/>
      </c>
      <c r="AW5">
        <f>IF(AND($A5&lt;&gt;"",AW$3&gt;=$J5,AW$3&lt;=$M5),1,"")</f>
        <v/>
      </c>
      <c r="AX5">
        <f>IF(AND($A5&lt;&gt;"",AX$3&gt;=$J5,AX$3&lt;=$M5),1,"")</f>
        <v/>
      </c>
      <c r="AY5">
        <f>IF(AND($A5&lt;&gt;"",AY$3&gt;=$J5,AY$3&lt;=$M5),1,"")</f>
        <v/>
      </c>
      <c r="AZ5">
        <f>IF(AND($A5&lt;&gt;"",AZ$3&gt;=$J5,AZ$3&lt;=$M5),1,"")</f>
        <v/>
      </c>
      <c r="BA5">
        <f>IF(AND($A5&lt;&gt;"",BA$3&gt;=$J5,BA$3&lt;=$M5),1,"")</f>
        <v/>
      </c>
      <c r="BB5">
        <f>IF(AND($A5&lt;&gt;"",BB$3&gt;=$J5,BB$3&lt;=$M5),1,"")</f>
        <v/>
      </c>
      <c r="BC5">
        <f>IF(AND($A5&lt;&gt;"",BC$3&gt;=$J5,BC$3&lt;=$M5),1,"")</f>
        <v/>
      </c>
      <c r="BD5">
        <f>IF(AND($A5&lt;&gt;"",BD$3&gt;=$J5,BD$3&lt;=$M5),1,"")</f>
        <v/>
      </c>
      <c r="BE5">
        <f>IF(AND($A5&lt;&gt;"",BE$3&gt;=$J5,BE$3&lt;=$M5),1,"")</f>
        <v/>
      </c>
      <c r="BF5">
        <f>IF(AND($A5&lt;&gt;"",BF$3&gt;=$J5,BF$3&lt;=$M5),1,"")</f>
        <v/>
      </c>
      <c r="BG5">
        <f>IF(AND($A5&lt;&gt;"",BG$3&gt;=$J5,BG$3&lt;=$M5),1,"")</f>
        <v/>
      </c>
      <c r="BH5">
        <f>IF(AND($A5&lt;&gt;"",BH$3&gt;=$J5,BH$3&lt;=$M5),1,"")</f>
        <v/>
      </c>
      <c r="BI5">
        <f>IF(AND($A5&lt;&gt;"",BI$3&gt;=$J5,BI$3&lt;=$M5),1,"")</f>
        <v/>
      </c>
      <c r="BJ5">
        <f>IF(AND($A5&lt;&gt;"",BJ$3&gt;=$J5,BJ$3&lt;=$M5),1,"")</f>
        <v/>
      </c>
      <c r="BK5">
        <f>IF(AND($A5&lt;&gt;"",BK$3&gt;=$J5,BK$3&lt;=$M5),1,"")</f>
        <v/>
      </c>
      <c r="BL5">
        <f>IF(AND($A5&lt;&gt;"",BL$3&gt;=$J5,BL$3&lt;=$M5),1,"")</f>
        <v/>
      </c>
      <c r="BM5">
        <f>IF(AND($A5&lt;&gt;"",BM$3&gt;=$J5,BM$3&lt;=$M5),1,"")</f>
        <v/>
      </c>
      <c r="BN5">
        <f>IF(AND($A5&lt;&gt;"",BN$3&gt;=$J5,BN$3&lt;=$M5),1,"")</f>
        <v/>
      </c>
      <c r="BO5">
        <f>IF(AND($A5&lt;&gt;"",BO$3&gt;=$J5,BO$3&lt;=$M5),1,"")</f>
        <v/>
      </c>
      <c r="BP5">
        <f>IF(AND($A5&lt;&gt;"",BP$3&gt;=$J5,BP$3&lt;=$M5),1,"")</f>
        <v/>
      </c>
      <c r="BQ5">
        <f>IF(AND($A5&lt;&gt;"",BQ$3&gt;=$J5,BQ$3&lt;=$M5),1,"")</f>
        <v/>
      </c>
      <c r="BR5">
        <f>IF(AND($A5&lt;&gt;"",BR$3&gt;=$J5,BR$3&lt;=$M5),1,"")</f>
        <v/>
      </c>
      <c r="BS5">
        <f>IF(AND($A5&lt;&gt;"",BS$3&gt;=$J5,BS$3&lt;=$M5),1,"")</f>
        <v/>
      </c>
      <c r="BT5">
        <f>IF(AND($A5&lt;&gt;"",BT$3&gt;=$J5,BT$3&lt;=$M5),1,"")</f>
        <v/>
      </c>
      <c r="BU5">
        <f>IF(AND($A5&lt;&gt;"",BU$3&gt;=$J5,BU$3&lt;=$M5),1,"")</f>
        <v/>
      </c>
      <c r="BV5">
        <f>IF(AND($A5&lt;&gt;"",BV$3&gt;=$J5,BV$3&lt;=$M5),1,"")</f>
        <v/>
      </c>
    </row>
    <row r="6">
      <c r="A6">
        <f>IF(Job_Master_Ring!$A6="","",Job_Master_Ring!$A6)</f>
        <v/>
      </c>
      <c r="B6">
        <f>IF($A6="","",Job_Master_Ring!B6)</f>
        <v/>
      </c>
      <c r="C6">
        <f>IF($A6="","",Job_Master_Ring!C6)</f>
        <v/>
      </c>
      <c r="D6">
        <f>IF($A6="","",Job_Master_Ring!D6)</f>
        <v/>
      </c>
      <c r="E6">
        <f>IF($A6="","",IF($I6&lt;&gt;"",$I6,IFERROR(INDEX(Machine_List!$B$64:$B$71,MATCH(1,(Machine_List!$H$64:$H$71&lt;=IFERROR(VLOOKUP($B6,CHOOSE(MATCH($C6,Settings!$L$4:$L$10,0),OPR_BR1!$A$4:$K$18,OPR_BR2!$A$4:$K$18,OPR_CR2!$A$4:$K$18,OPR_CR3!$A$4:$K$18,OPR_CR4!$A$4:$K$18,OPR_RIM!$A$4:$K$18,OPR_BPR!$A$4:$K$18),10,0),0))*(Machine_List!$I$64:$I$71&gt;=IFERROR(VLOOKUP($B6,CHOOSE(MATCH($C6,Settings!$L$4:$L$10,0),OPR_BR1!$A$4:$K$18,OPR_BR2!$A$4:$K$18,OPR_CR2!$A$4:$K$18,OPR_CR3!$A$4:$K$18,OPR_CR4!$A$4:$K$18,OPR_RIM!$A$4:$K$18,OPR_BPR!$A$4:$K$18),11,0),9999)),0)),"NO COMPATIBLE MACHINE")))</f>
        <v/>
      </c>
      <c r="F6">
        <f>IF($E6="","",IFERROR(VLOOKUP($E6,Machine_List!$B:$G,6,0),""))</f>
        <v/>
      </c>
      <c r="G6" s="17">
        <f>IF($E6="","",IFERROR(VLOOKUP($E6,Machine_List!$B:$C,2,0),""))</f>
        <v/>
      </c>
      <c r="H6">
        <f>IF($E6="","",IFERROR(VLOOKUP($E6,Machine_List!$B:$D,3,0),""))</f>
        <v/>
      </c>
      <c r="J6" s="16">
        <f>IF($A6="","",IF($I6&lt;&gt;"",$I6,MAX(ENG_Plan!$M6,IFERROR(LOOKUP(2,1/($E$3:INDIRECT("E"&amp;(ROW()-1))=$E6),$M$3:INDIRECT("M"&amp;(ROW()-1))),ENG_Plan!$M6))))</f>
        <v/>
      </c>
      <c r="K6">
        <f>IF($A6="","",IFERROR(VLOOKUP(B6,CHOOSE(MATCH($C6,Settings!$L$4:$L$10,0),OPR_BR1!$A$4:$I$18,OPR_BR2!$A$4:$I$18,OPR_CR2!$A$4:$I$18,OPR_CR3!$A$4:$I$18,OPR_CR4!$A$4:$I$18,OPR_RIM!$A$4:$I$18,OPR_BPR!$A$4:$I$18),7,0),0))</f>
        <v/>
      </c>
      <c r="L6">
        <f>IF($A6="","",K6*D6)</f>
        <v/>
      </c>
      <c r="M6" s="16">
        <f>IF($A6="","",IF(AND(ISNUMBER(G6),G6&gt;=J6,G6&lt;=(J6+(L6/(IF(F6="Contract Workman",Settings!$K$5,Settings!$K$4))))),J6+(L6/(IF(F6="Contract Workman",Settings!$K$5,Settings!$K$4)))+(H6/(IF(F6="Contract Workman",Settings!$K$5,Settings!$K$4))),J6+(L6/(IF(F6="Contract Workman",Settings!$K$5,Settings!$K$4)))))</f>
        <v/>
      </c>
      <c r="N6">
        <f>IF($A6="","",IF(F6="Contract Workman",IF(AND(MOD(M6,1)&gt;=8/24,MOD(M6,1)&lt;20/24),"Shift S1","Shift S2"),IF(AND(MOD(M6,1)&gt;=7/24,MOD(M6,1)&lt;15/24),"Shift A",IF(AND(MOD(M6,1)&gt;=15/24,MOD(M6,1)&lt;23/24),"Shift B","Shift C"))))</f>
        <v/>
      </c>
      <c r="O6">
        <f>IF(B6="","",IF(IFERROR(ISNUMBER(SEARCH(TEXT(B6,"0"),VLOOKUP(E6,Machine_List!$B:$J,9,0))),FALSE),"✅ "&amp; E6,"❌ Sug: "&amp;IFERROR(INDEX(Machine_List!$B$64:$B$71,MATCH(1,(Machine_List!$H$64:$H$71&lt;=IFERROR(VLOOKUP($B6,OPR_BR1!$A$4:$K$18,10,0),0))*(Machine_List!$I$64:$I$71&gt;=IFERROR(VLOOKUP($B6,OPR_BR1!$A$4:$K$18,11,0),9999)),0)),"?")))</f>
        <v/>
      </c>
      <c r="P6">
        <f>IF(AND($A6&lt;&gt;"",P$3&gt;=$J6,P$3&lt;=$M6),1,"")</f>
        <v/>
      </c>
      <c r="Q6">
        <f>IF(AND($A6&lt;&gt;"",Q$3&gt;=$J6,Q$3&lt;=$M6),1,"")</f>
        <v/>
      </c>
      <c r="R6">
        <f>IF(AND($A6&lt;&gt;"",R$3&gt;=$J6,R$3&lt;=$M6),1,"")</f>
        <v/>
      </c>
      <c r="S6">
        <f>IF(AND($A6&lt;&gt;"",S$3&gt;=$J6,S$3&lt;=$M6),1,"")</f>
        <v/>
      </c>
      <c r="T6">
        <f>IF(AND($A6&lt;&gt;"",T$3&gt;=$J6,T$3&lt;=$M6),1,"")</f>
        <v/>
      </c>
      <c r="U6">
        <f>IF(AND($A6&lt;&gt;"",U$3&gt;=$J6,U$3&lt;=$M6),1,"")</f>
        <v/>
      </c>
      <c r="V6">
        <f>IF(AND($A6&lt;&gt;"",V$3&gt;=$J6,V$3&lt;=$M6),1,"")</f>
        <v/>
      </c>
      <c r="W6">
        <f>IF(AND($A6&lt;&gt;"",W$3&gt;=$J6,W$3&lt;=$M6),1,"")</f>
        <v/>
      </c>
      <c r="X6">
        <f>IF(AND($A6&lt;&gt;"",X$3&gt;=$J6,X$3&lt;=$M6),1,"")</f>
        <v/>
      </c>
      <c r="Y6">
        <f>IF(AND($A6&lt;&gt;"",Y$3&gt;=$J6,Y$3&lt;=$M6),1,"")</f>
        <v/>
      </c>
      <c r="Z6">
        <f>IF(AND($A6&lt;&gt;"",Z$3&gt;=$J6,Z$3&lt;=$M6),1,"")</f>
        <v/>
      </c>
      <c r="AA6">
        <f>IF(AND($A6&lt;&gt;"",AA$3&gt;=$J6,AA$3&lt;=$M6),1,"")</f>
        <v/>
      </c>
      <c r="AB6">
        <f>IF(AND($A6&lt;&gt;"",AB$3&gt;=$J6,AB$3&lt;=$M6),1,"")</f>
        <v/>
      </c>
      <c r="AC6">
        <f>IF(AND($A6&lt;&gt;"",AC$3&gt;=$J6,AC$3&lt;=$M6),1,"")</f>
        <v/>
      </c>
      <c r="AD6">
        <f>IF(AND($A6&lt;&gt;"",AD$3&gt;=$J6,AD$3&lt;=$M6),1,"")</f>
        <v/>
      </c>
      <c r="AE6">
        <f>IF(AND($A6&lt;&gt;"",AE$3&gt;=$J6,AE$3&lt;=$M6),1,"")</f>
        <v/>
      </c>
      <c r="AF6">
        <f>IF(AND($A6&lt;&gt;"",AF$3&gt;=$J6,AF$3&lt;=$M6),1,"")</f>
        <v/>
      </c>
      <c r="AG6">
        <f>IF(AND($A6&lt;&gt;"",AG$3&gt;=$J6,AG$3&lt;=$M6),1,"")</f>
        <v/>
      </c>
      <c r="AH6">
        <f>IF(AND($A6&lt;&gt;"",AH$3&gt;=$J6,AH$3&lt;=$M6),1,"")</f>
        <v/>
      </c>
      <c r="AI6">
        <f>IF(AND($A6&lt;&gt;"",AI$3&gt;=$J6,AI$3&lt;=$M6),1,"")</f>
        <v/>
      </c>
      <c r="AJ6">
        <f>IF(AND($A6&lt;&gt;"",AJ$3&gt;=$J6,AJ$3&lt;=$M6),1,"")</f>
        <v/>
      </c>
      <c r="AK6">
        <f>IF(AND($A6&lt;&gt;"",AK$3&gt;=$J6,AK$3&lt;=$M6),1,"")</f>
        <v/>
      </c>
      <c r="AL6">
        <f>IF(AND($A6&lt;&gt;"",AL$3&gt;=$J6,AL$3&lt;=$M6),1,"")</f>
        <v/>
      </c>
      <c r="AM6">
        <f>IF(AND($A6&lt;&gt;"",AM$3&gt;=$J6,AM$3&lt;=$M6),1,"")</f>
        <v/>
      </c>
      <c r="AN6">
        <f>IF(AND($A6&lt;&gt;"",AN$3&gt;=$J6,AN$3&lt;=$M6),1,"")</f>
        <v/>
      </c>
      <c r="AO6">
        <f>IF(AND($A6&lt;&gt;"",AO$3&gt;=$J6,AO$3&lt;=$M6),1,"")</f>
        <v/>
      </c>
      <c r="AP6">
        <f>IF(AND($A6&lt;&gt;"",AP$3&gt;=$J6,AP$3&lt;=$M6),1,"")</f>
        <v/>
      </c>
      <c r="AQ6">
        <f>IF(AND($A6&lt;&gt;"",AQ$3&gt;=$J6,AQ$3&lt;=$M6),1,"")</f>
        <v/>
      </c>
      <c r="AR6">
        <f>IF(AND($A6&lt;&gt;"",AR$3&gt;=$J6,AR$3&lt;=$M6),1,"")</f>
        <v/>
      </c>
      <c r="AS6">
        <f>IF(AND($A6&lt;&gt;"",AS$3&gt;=$J6,AS$3&lt;=$M6),1,"")</f>
        <v/>
      </c>
      <c r="AT6">
        <f>IF(AND($A6&lt;&gt;"",AT$3&gt;=$J6,AT$3&lt;=$M6),1,"")</f>
        <v/>
      </c>
      <c r="AU6">
        <f>IF(AND($A6&lt;&gt;"",AU$3&gt;=$J6,AU$3&lt;=$M6),1,"")</f>
        <v/>
      </c>
      <c r="AV6">
        <f>IF(AND($A6&lt;&gt;"",AV$3&gt;=$J6,AV$3&lt;=$M6),1,"")</f>
        <v/>
      </c>
      <c r="AW6">
        <f>IF(AND($A6&lt;&gt;"",AW$3&gt;=$J6,AW$3&lt;=$M6),1,"")</f>
        <v/>
      </c>
      <c r="AX6">
        <f>IF(AND($A6&lt;&gt;"",AX$3&gt;=$J6,AX$3&lt;=$M6),1,"")</f>
        <v/>
      </c>
      <c r="AY6">
        <f>IF(AND($A6&lt;&gt;"",AY$3&gt;=$J6,AY$3&lt;=$M6),1,"")</f>
        <v/>
      </c>
      <c r="AZ6">
        <f>IF(AND($A6&lt;&gt;"",AZ$3&gt;=$J6,AZ$3&lt;=$M6),1,"")</f>
        <v/>
      </c>
      <c r="BA6">
        <f>IF(AND($A6&lt;&gt;"",BA$3&gt;=$J6,BA$3&lt;=$M6),1,"")</f>
        <v/>
      </c>
      <c r="BB6">
        <f>IF(AND($A6&lt;&gt;"",BB$3&gt;=$J6,BB$3&lt;=$M6),1,"")</f>
        <v/>
      </c>
      <c r="BC6">
        <f>IF(AND($A6&lt;&gt;"",BC$3&gt;=$J6,BC$3&lt;=$M6),1,"")</f>
        <v/>
      </c>
      <c r="BD6">
        <f>IF(AND($A6&lt;&gt;"",BD$3&gt;=$J6,BD$3&lt;=$M6),1,"")</f>
        <v/>
      </c>
      <c r="BE6">
        <f>IF(AND($A6&lt;&gt;"",BE$3&gt;=$J6,BE$3&lt;=$M6),1,"")</f>
        <v/>
      </c>
      <c r="BF6">
        <f>IF(AND($A6&lt;&gt;"",BF$3&gt;=$J6,BF$3&lt;=$M6),1,"")</f>
        <v/>
      </c>
      <c r="BG6">
        <f>IF(AND($A6&lt;&gt;"",BG$3&gt;=$J6,BG$3&lt;=$M6),1,"")</f>
        <v/>
      </c>
      <c r="BH6">
        <f>IF(AND($A6&lt;&gt;"",BH$3&gt;=$J6,BH$3&lt;=$M6),1,"")</f>
        <v/>
      </c>
      <c r="BI6">
        <f>IF(AND($A6&lt;&gt;"",BI$3&gt;=$J6,BI$3&lt;=$M6),1,"")</f>
        <v/>
      </c>
      <c r="BJ6">
        <f>IF(AND($A6&lt;&gt;"",BJ$3&gt;=$J6,BJ$3&lt;=$M6),1,"")</f>
        <v/>
      </c>
      <c r="BK6">
        <f>IF(AND($A6&lt;&gt;"",BK$3&gt;=$J6,BK$3&lt;=$M6),1,"")</f>
        <v/>
      </c>
      <c r="BL6">
        <f>IF(AND($A6&lt;&gt;"",BL$3&gt;=$J6,BL$3&lt;=$M6),1,"")</f>
        <v/>
      </c>
      <c r="BM6">
        <f>IF(AND($A6&lt;&gt;"",BM$3&gt;=$J6,BM$3&lt;=$M6),1,"")</f>
        <v/>
      </c>
      <c r="BN6">
        <f>IF(AND($A6&lt;&gt;"",BN$3&gt;=$J6,BN$3&lt;=$M6),1,"")</f>
        <v/>
      </c>
      <c r="BO6">
        <f>IF(AND($A6&lt;&gt;"",BO$3&gt;=$J6,BO$3&lt;=$M6),1,"")</f>
        <v/>
      </c>
      <c r="BP6">
        <f>IF(AND($A6&lt;&gt;"",BP$3&gt;=$J6,BP$3&lt;=$M6),1,"")</f>
        <v/>
      </c>
      <c r="BQ6">
        <f>IF(AND($A6&lt;&gt;"",BQ$3&gt;=$J6,BQ$3&lt;=$M6),1,"")</f>
        <v/>
      </c>
      <c r="BR6">
        <f>IF(AND($A6&lt;&gt;"",BR$3&gt;=$J6,BR$3&lt;=$M6),1,"")</f>
        <v/>
      </c>
      <c r="BS6">
        <f>IF(AND($A6&lt;&gt;"",BS$3&gt;=$J6,BS$3&lt;=$M6),1,"")</f>
        <v/>
      </c>
      <c r="BT6">
        <f>IF(AND($A6&lt;&gt;"",BT$3&gt;=$J6,BT$3&lt;=$M6),1,"")</f>
        <v/>
      </c>
      <c r="BU6">
        <f>IF(AND($A6&lt;&gt;"",BU$3&gt;=$J6,BU$3&lt;=$M6),1,"")</f>
        <v/>
      </c>
      <c r="BV6">
        <f>IF(AND($A6&lt;&gt;"",BV$3&gt;=$J6,BV$3&lt;=$M6),1,"")</f>
        <v/>
      </c>
    </row>
    <row r="7">
      <c r="A7">
        <f>IF(Job_Master_Ring!$A7="","",Job_Master_Ring!$A7)</f>
        <v/>
      </c>
      <c r="B7">
        <f>IF($A7="","",Job_Master_Ring!B7)</f>
        <v/>
      </c>
      <c r="C7">
        <f>IF($A7="","",Job_Master_Ring!C7)</f>
        <v/>
      </c>
      <c r="D7">
        <f>IF($A7="","",Job_Master_Ring!D7)</f>
        <v/>
      </c>
      <c r="E7">
        <f>IF($A7="","",IF($I7&lt;&gt;"",$I7,IFERROR(INDEX(Machine_List!$B$64:$B$71,MATCH(1,(Machine_List!$H$64:$H$71&lt;=IFERROR(VLOOKUP($B7,CHOOSE(MATCH($C7,Settings!$L$4:$L$10,0),OPR_BR1!$A$4:$K$18,OPR_BR2!$A$4:$K$18,OPR_CR2!$A$4:$K$18,OPR_CR3!$A$4:$K$18,OPR_CR4!$A$4:$K$18,OPR_RIM!$A$4:$K$18,OPR_BPR!$A$4:$K$18),10,0),0))*(Machine_List!$I$64:$I$71&gt;=IFERROR(VLOOKUP($B7,CHOOSE(MATCH($C7,Settings!$L$4:$L$10,0),OPR_BR1!$A$4:$K$18,OPR_BR2!$A$4:$K$18,OPR_CR2!$A$4:$K$18,OPR_CR3!$A$4:$K$18,OPR_CR4!$A$4:$K$18,OPR_RIM!$A$4:$K$18,OPR_BPR!$A$4:$K$18),11,0),9999)),0)),"NO COMPATIBLE MACHINE")))</f>
        <v/>
      </c>
      <c r="F7">
        <f>IF($E7="","",IFERROR(VLOOKUP($E7,Machine_List!$B:$G,6,0),""))</f>
        <v/>
      </c>
      <c r="G7" s="17">
        <f>IF($E7="","",IFERROR(VLOOKUP($E7,Machine_List!$B:$C,2,0),""))</f>
        <v/>
      </c>
      <c r="H7">
        <f>IF($E7="","",IFERROR(VLOOKUP($E7,Machine_List!$B:$D,3,0),""))</f>
        <v/>
      </c>
      <c r="J7" s="16">
        <f>IF($A7="","",IF($I7&lt;&gt;"",$I7,MAX(ENG_Plan!$M7,IFERROR(LOOKUP(2,1/($E$3:INDIRECT("E"&amp;(ROW()-1))=$E7),$M$3:INDIRECT("M"&amp;(ROW()-1))),ENG_Plan!$M7))))</f>
        <v/>
      </c>
      <c r="K7">
        <f>IF($A7="","",IFERROR(VLOOKUP(B7,CHOOSE(MATCH($C7,Settings!$L$4:$L$10,0),OPR_BR1!$A$4:$I$18,OPR_BR2!$A$4:$I$18,OPR_CR2!$A$4:$I$18,OPR_CR3!$A$4:$I$18,OPR_CR4!$A$4:$I$18,OPR_RIM!$A$4:$I$18,OPR_BPR!$A$4:$I$18),7,0),0))</f>
        <v/>
      </c>
      <c r="L7">
        <f>IF($A7="","",K7*D7)</f>
        <v/>
      </c>
      <c r="M7" s="16">
        <f>IF($A7="","",IF(AND(ISNUMBER(G7),G7&gt;=J7,G7&lt;=(J7+(L7/(IF(F7="Contract Workman",Settings!$K$5,Settings!$K$4))))),J7+(L7/(IF(F7="Contract Workman",Settings!$K$5,Settings!$K$4)))+(H7/(IF(F7="Contract Workman",Settings!$K$5,Settings!$K$4))),J7+(L7/(IF(F7="Contract Workman",Settings!$K$5,Settings!$K$4)))))</f>
        <v/>
      </c>
      <c r="N7">
        <f>IF($A7="","",IF(F7="Contract Workman",IF(AND(MOD(M7,1)&gt;=8/24,MOD(M7,1)&lt;20/24),"Shift S1","Shift S2"),IF(AND(MOD(M7,1)&gt;=7/24,MOD(M7,1)&lt;15/24),"Shift A",IF(AND(MOD(M7,1)&gt;=15/24,MOD(M7,1)&lt;23/24),"Shift B","Shift C"))))</f>
        <v/>
      </c>
      <c r="O7">
        <f>IF(B7="","",IF(IFERROR(ISNUMBER(SEARCH(TEXT(B7,"0"),VLOOKUP(E7,Machine_List!$B:$J,9,0))),FALSE),"✅ "&amp; E7,"❌ Sug: "&amp;IFERROR(INDEX(Machine_List!$B$64:$B$71,MATCH(1,(Machine_List!$H$64:$H$71&lt;=IFERROR(VLOOKUP($B7,OPR_BR1!$A$4:$K$18,10,0),0))*(Machine_List!$I$64:$I$71&gt;=IFERROR(VLOOKUP($B7,OPR_BR1!$A$4:$K$18,11,0),9999)),0)),"?")))</f>
        <v/>
      </c>
      <c r="P7">
        <f>IF(AND($A7&lt;&gt;"",P$3&gt;=$J7,P$3&lt;=$M7),1,"")</f>
        <v/>
      </c>
      <c r="Q7">
        <f>IF(AND($A7&lt;&gt;"",Q$3&gt;=$J7,Q$3&lt;=$M7),1,"")</f>
        <v/>
      </c>
      <c r="R7">
        <f>IF(AND($A7&lt;&gt;"",R$3&gt;=$J7,R$3&lt;=$M7),1,"")</f>
        <v/>
      </c>
      <c r="S7">
        <f>IF(AND($A7&lt;&gt;"",S$3&gt;=$J7,S$3&lt;=$M7),1,"")</f>
        <v/>
      </c>
      <c r="T7">
        <f>IF(AND($A7&lt;&gt;"",T$3&gt;=$J7,T$3&lt;=$M7),1,"")</f>
        <v/>
      </c>
      <c r="U7">
        <f>IF(AND($A7&lt;&gt;"",U$3&gt;=$J7,U$3&lt;=$M7),1,"")</f>
        <v/>
      </c>
      <c r="V7">
        <f>IF(AND($A7&lt;&gt;"",V$3&gt;=$J7,V$3&lt;=$M7),1,"")</f>
        <v/>
      </c>
      <c r="W7">
        <f>IF(AND($A7&lt;&gt;"",W$3&gt;=$J7,W$3&lt;=$M7),1,"")</f>
        <v/>
      </c>
      <c r="X7">
        <f>IF(AND($A7&lt;&gt;"",X$3&gt;=$J7,X$3&lt;=$M7),1,"")</f>
        <v/>
      </c>
      <c r="Y7">
        <f>IF(AND($A7&lt;&gt;"",Y$3&gt;=$J7,Y$3&lt;=$M7),1,"")</f>
        <v/>
      </c>
      <c r="Z7">
        <f>IF(AND($A7&lt;&gt;"",Z$3&gt;=$J7,Z$3&lt;=$M7),1,"")</f>
        <v/>
      </c>
      <c r="AA7">
        <f>IF(AND($A7&lt;&gt;"",AA$3&gt;=$J7,AA$3&lt;=$M7),1,"")</f>
        <v/>
      </c>
      <c r="AB7">
        <f>IF(AND($A7&lt;&gt;"",AB$3&gt;=$J7,AB$3&lt;=$M7),1,"")</f>
        <v/>
      </c>
      <c r="AC7">
        <f>IF(AND($A7&lt;&gt;"",AC$3&gt;=$J7,AC$3&lt;=$M7),1,"")</f>
        <v/>
      </c>
      <c r="AD7">
        <f>IF(AND($A7&lt;&gt;"",AD$3&gt;=$J7,AD$3&lt;=$M7),1,"")</f>
        <v/>
      </c>
      <c r="AE7">
        <f>IF(AND($A7&lt;&gt;"",AE$3&gt;=$J7,AE$3&lt;=$M7),1,"")</f>
        <v/>
      </c>
      <c r="AF7">
        <f>IF(AND($A7&lt;&gt;"",AF$3&gt;=$J7,AF$3&lt;=$M7),1,"")</f>
        <v/>
      </c>
      <c r="AG7">
        <f>IF(AND($A7&lt;&gt;"",AG$3&gt;=$J7,AG$3&lt;=$M7),1,"")</f>
        <v/>
      </c>
      <c r="AH7">
        <f>IF(AND($A7&lt;&gt;"",AH$3&gt;=$J7,AH$3&lt;=$M7),1,"")</f>
        <v/>
      </c>
      <c r="AI7">
        <f>IF(AND($A7&lt;&gt;"",AI$3&gt;=$J7,AI$3&lt;=$M7),1,"")</f>
        <v/>
      </c>
      <c r="AJ7">
        <f>IF(AND($A7&lt;&gt;"",AJ$3&gt;=$J7,AJ$3&lt;=$M7),1,"")</f>
        <v/>
      </c>
      <c r="AK7">
        <f>IF(AND($A7&lt;&gt;"",AK$3&gt;=$J7,AK$3&lt;=$M7),1,"")</f>
        <v/>
      </c>
      <c r="AL7">
        <f>IF(AND($A7&lt;&gt;"",AL$3&gt;=$J7,AL$3&lt;=$M7),1,"")</f>
        <v/>
      </c>
      <c r="AM7">
        <f>IF(AND($A7&lt;&gt;"",AM$3&gt;=$J7,AM$3&lt;=$M7),1,"")</f>
        <v/>
      </c>
      <c r="AN7">
        <f>IF(AND($A7&lt;&gt;"",AN$3&gt;=$J7,AN$3&lt;=$M7),1,"")</f>
        <v/>
      </c>
      <c r="AO7">
        <f>IF(AND($A7&lt;&gt;"",AO$3&gt;=$J7,AO$3&lt;=$M7),1,"")</f>
        <v/>
      </c>
      <c r="AP7">
        <f>IF(AND($A7&lt;&gt;"",AP$3&gt;=$J7,AP$3&lt;=$M7),1,"")</f>
        <v/>
      </c>
      <c r="AQ7">
        <f>IF(AND($A7&lt;&gt;"",AQ$3&gt;=$J7,AQ$3&lt;=$M7),1,"")</f>
        <v/>
      </c>
      <c r="AR7">
        <f>IF(AND($A7&lt;&gt;"",AR$3&gt;=$J7,AR$3&lt;=$M7),1,"")</f>
        <v/>
      </c>
      <c r="AS7">
        <f>IF(AND($A7&lt;&gt;"",AS$3&gt;=$J7,AS$3&lt;=$M7),1,"")</f>
        <v/>
      </c>
      <c r="AT7">
        <f>IF(AND($A7&lt;&gt;"",AT$3&gt;=$J7,AT$3&lt;=$M7),1,"")</f>
        <v/>
      </c>
      <c r="AU7">
        <f>IF(AND($A7&lt;&gt;"",AU$3&gt;=$J7,AU$3&lt;=$M7),1,"")</f>
        <v/>
      </c>
      <c r="AV7">
        <f>IF(AND($A7&lt;&gt;"",AV$3&gt;=$J7,AV$3&lt;=$M7),1,"")</f>
        <v/>
      </c>
      <c r="AW7">
        <f>IF(AND($A7&lt;&gt;"",AW$3&gt;=$J7,AW$3&lt;=$M7),1,"")</f>
        <v/>
      </c>
      <c r="AX7">
        <f>IF(AND($A7&lt;&gt;"",AX$3&gt;=$J7,AX$3&lt;=$M7),1,"")</f>
        <v/>
      </c>
      <c r="AY7">
        <f>IF(AND($A7&lt;&gt;"",AY$3&gt;=$J7,AY$3&lt;=$M7),1,"")</f>
        <v/>
      </c>
      <c r="AZ7">
        <f>IF(AND($A7&lt;&gt;"",AZ$3&gt;=$J7,AZ$3&lt;=$M7),1,"")</f>
        <v/>
      </c>
      <c r="BA7">
        <f>IF(AND($A7&lt;&gt;"",BA$3&gt;=$J7,BA$3&lt;=$M7),1,"")</f>
        <v/>
      </c>
      <c r="BB7">
        <f>IF(AND($A7&lt;&gt;"",BB$3&gt;=$J7,BB$3&lt;=$M7),1,"")</f>
        <v/>
      </c>
      <c r="BC7">
        <f>IF(AND($A7&lt;&gt;"",BC$3&gt;=$J7,BC$3&lt;=$M7),1,"")</f>
        <v/>
      </c>
      <c r="BD7">
        <f>IF(AND($A7&lt;&gt;"",BD$3&gt;=$J7,BD$3&lt;=$M7),1,"")</f>
        <v/>
      </c>
      <c r="BE7">
        <f>IF(AND($A7&lt;&gt;"",BE$3&gt;=$J7,BE$3&lt;=$M7),1,"")</f>
        <v/>
      </c>
      <c r="BF7">
        <f>IF(AND($A7&lt;&gt;"",BF$3&gt;=$J7,BF$3&lt;=$M7),1,"")</f>
        <v/>
      </c>
      <c r="BG7">
        <f>IF(AND($A7&lt;&gt;"",BG$3&gt;=$J7,BG$3&lt;=$M7),1,"")</f>
        <v/>
      </c>
      <c r="BH7">
        <f>IF(AND($A7&lt;&gt;"",BH$3&gt;=$J7,BH$3&lt;=$M7),1,"")</f>
        <v/>
      </c>
      <c r="BI7">
        <f>IF(AND($A7&lt;&gt;"",BI$3&gt;=$J7,BI$3&lt;=$M7),1,"")</f>
        <v/>
      </c>
      <c r="BJ7">
        <f>IF(AND($A7&lt;&gt;"",BJ$3&gt;=$J7,BJ$3&lt;=$M7),1,"")</f>
        <v/>
      </c>
      <c r="BK7">
        <f>IF(AND($A7&lt;&gt;"",BK$3&gt;=$J7,BK$3&lt;=$M7),1,"")</f>
        <v/>
      </c>
      <c r="BL7">
        <f>IF(AND($A7&lt;&gt;"",BL$3&gt;=$J7,BL$3&lt;=$M7),1,"")</f>
        <v/>
      </c>
      <c r="BM7">
        <f>IF(AND($A7&lt;&gt;"",BM$3&gt;=$J7,BM$3&lt;=$M7),1,"")</f>
        <v/>
      </c>
      <c r="BN7">
        <f>IF(AND($A7&lt;&gt;"",BN$3&gt;=$J7,BN$3&lt;=$M7),1,"")</f>
        <v/>
      </c>
      <c r="BO7">
        <f>IF(AND($A7&lt;&gt;"",BO$3&gt;=$J7,BO$3&lt;=$M7),1,"")</f>
        <v/>
      </c>
      <c r="BP7">
        <f>IF(AND($A7&lt;&gt;"",BP$3&gt;=$J7,BP$3&lt;=$M7),1,"")</f>
        <v/>
      </c>
      <c r="BQ7">
        <f>IF(AND($A7&lt;&gt;"",BQ$3&gt;=$J7,BQ$3&lt;=$M7),1,"")</f>
        <v/>
      </c>
      <c r="BR7">
        <f>IF(AND($A7&lt;&gt;"",BR$3&gt;=$J7,BR$3&lt;=$M7),1,"")</f>
        <v/>
      </c>
      <c r="BS7">
        <f>IF(AND($A7&lt;&gt;"",BS$3&gt;=$J7,BS$3&lt;=$M7),1,"")</f>
        <v/>
      </c>
      <c r="BT7">
        <f>IF(AND($A7&lt;&gt;"",BT$3&gt;=$J7,BT$3&lt;=$M7),1,"")</f>
        <v/>
      </c>
      <c r="BU7">
        <f>IF(AND($A7&lt;&gt;"",BU$3&gt;=$J7,BU$3&lt;=$M7),1,"")</f>
        <v/>
      </c>
      <c r="BV7">
        <f>IF(AND($A7&lt;&gt;"",BV$3&gt;=$J7,BV$3&lt;=$M7),1,"")</f>
        <v/>
      </c>
    </row>
    <row r="8">
      <c r="A8">
        <f>IF(Job_Master_Ring!$A8="","",Job_Master_Ring!$A8)</f>
        <v/>
      </c>
      <c r="B8">
        <f>IF($A8="","",Job_Master_Ring!B8)</f>
        <v/>
      </c>
      <c r="C8">
        <f>IF($A8="","",Job_Master_Ring!C8)</f>
        <v/>
      </c>
      <c r="D8">
        <f>IF($A8="","",Job_Master_Ring!D8)</f>
        <v/>
      </c>
      <c r="E8">
        <f>IF($A8="","",IF($I8&lt;&gt;"",$I8,IFERROR(INDEX(Machine_List!$B$64:$B$71,MATCH(1,(Machine_List!$H$64:$H$71&lt;=IFERROR(VLOOKUP($B8,CHOOSE(MATCH($C8,Settings!$L$4:$L$10,0),OPR_BR1!$A$4:$K$18,OPR_BR2!$A$4:$K$18,OPR_CR2!$A$4:$K$18,OPR_CR3!$A$4:$K$18,OPR_CR4!$A$4:$K$18,OPR_RIM!$A$4:$K$18,OPR_BPR!$A$4:$K$18),10,0),0))*(Machine_List!$I$64:$I$71&gt;=IFERROR(VLOOKUP($B8,CHOOSE(MATCH($C8,Settings!$L$4:$L$10,0),OPR_BR1!$A$4:$K$18,OPR_BR2!$A$4:$K$18,OPR_CR2!$A$4:$K$18,OPR_CR3!$A$4:$K$18,OPR_CR4!$A$4:$K$18,OPR_RIM!$A$4:$K$18,OPR_BPR!$A$4:$K$18),11,0),9999)),0)),"NO COMPATIBLE MACHINE")))</f>
        <v/>
      </c>
      <c r="F8">
        <f>IF($E8="","",IFERROR(VLOOKUP($E8,Machine_List!$B:$G,6,0),""))</f>
        <v/>
      </c>
      <c r="G8" s="17">
        <f>IF($E8="","",IFERROR(VLOOKUP($E8,Machine_List!$B:$C,2,0),""))</f>
        <v/>
      </c>
      <c r="H8">
        <f>IF($E8="","",IFERROR(VLOOKUP($E8,Machine_List!$B:$D,3,0),""))</f>
        <v/>
      </c>
      <c r="J8" s="16">
        <f>IF($A8="","",IF($I8&lt;&gt;"",$I8,MAX(ENG_Plan!$M8,IFERROR(LOOKUP(2,1/($E$3:INDIRECT("E"&amp;(ROW()-1))=$E8),$M$3:INDIRECT("M"&amp;(ROW()-1))),ENG_Plan!$M8))))</f>
        <v/>
      </c>
      <c r="K8">
        <f>IF($A8="","",IFERROR(VLOOKUP(B8,CHOOSE(MATCH($C8,Settings!$L$4:$L$10,0),OPR_BR1!$A$4:$I$18,OPR_BR2!$A$4:$I$18,OPR_CR2!$A$4:$I$18,OPR_CR3!$A$4:$I$18,OPR_CR4!$A$4:$I$18,OPR_RIM!$A$4:$I$18,OPR_BPR!$A$4:$I$18),7,0),0))</f>
        <v/>
      </c>
      <c r="L8">
        <f>IF($A8="","",K8*D8)</f>
        <v/>
      </c>
      <c r="M8" s="16">
        <f>IF($A8="","",IF(AND(ISNUMBER(G8),G8&gt;=J8,G8&lt;=(J8+(L8/(IF(F8="Contract Workman",Settings!$K$5,Settings!$K$4))))),J8+(L8/(IF(F8="Contract Workman",Settings!$K$5,Settings!$K$4)))+(H8/(IF(F8="Contract Workman",Settings!$K$5,Settings!$K$4))),J8+(L8/(IF(F8="Contract Workman",Settings!$K$5,Settings!$K$4)))))</f>
        <v/>
      </c>
      <c r="N8">
        <f>IF($A8="","",IF(F8="Contract Workman",IF(AND(MOD(M8,1)&gt;=8/24,MOD(M8,1)&lt;20/24),"Shift S1","Shift S2"),IF(AND(MOD(M8,1)&gt;=7/24,MOD(M8,1)&lt;15/24),"Shift A",IF(AND(MOD(M8,1)&gt;=15/24,MOD(M8,1)&lt;23/24),"Shift B","Shift C"))))</f>
        <v/>
      </c>
      <c r="O8">
        <f>IF(B8="","",IF(IFERROR(ISNUMBER(SEARCH(TEXT(B8,"0"),VLOOKUP(E8,Machine_List!$B:$J,9,0))),FALSE),"✅ "&amp; E8,"❌ Sug: "&amp;IFERROR(INDEX(Machine_List!$B$64:$B$71,MATCH(1,(Machine_List!$H$64:$H$71&lt;=IFERROR(VLOOKUP($B8,OPR_BR1!$A$4:$K$18,10,0),0))*(Machine_List!$I$64:$I$71&gt;=IFERROR(VLOOKUP($B8,OPR_BR1!$A$4:$K$18,11,0),9999)),0)),"?")))</f>
        <v/>
      </c>
      <c r="P8">
        <f>IF(AND($A8&lt;&gt;"",P$3&gt;=$J8,P$3&lt;=$M8),1,"")</f>
        <v/>
      </c>
      <c r="Q8">
        <f>IF(AND($A8&lt;&gt;"",Q$3&gt;=$J8,Q$3&lt;=$M8),1,"")</f>
        <v/>
      </c>
      <c r="R8">
        <f>IF(AND($A8&lt;&gt;"",R$3&gt;=$J8,R$3&lt;=$M8),1,"")</f>
        <v/>
      </c>
      <c r="S8">
        <f>IF(AND($A8&lt;&gt;"",S$3&gt;=$J8,S$3&lt;=$M8),1,"")</f>
        <v/>
      </c>
      <c r="T8">
        <f>IF(AND($A8&lt;&gt;"",T$3&gt;=$J8,T$3&lt;=$M8),1,"")</f>
        <v/>
      </c>
      <c r="U8">
        <f>IF(AND($A8&lt;&gt;"",U$3&gt;=$J8,U$3&lt;=$M8),1,"")</f>
        <v/>
      </c>
      <c r="V8">
        <f>IF(AND($A8&lt;&gt;"",V$3&gt;=$J8,V$3&lt;=$M8),1,"")</f>
        <v/>
      </c>
      <c r="W8">
        <f>IF(AND($A8&lt;&gt;"",W$3&gt;=$J8,W$3&lt;=$M8),1,"")</f>
        <v/>
      </c>
      <c r="X8">
        <f>IF(AND($A8&lt;&gt;"",X$3&gt;=$J8,X$3&lt;=$M8),1,"")</f>
        <v/>
      </c>
      <c r="Y8">
        <f>IF(AND($A8&lt;&gt;"",Y$3&gt;=$J8,Y$3&lt;=$M8),1,"")</f>
        <v/>
      </c>
      <c r="Z8">
        <f>IF(AND($A8&lt;&gt;"",Z$3&gt;=$J8,Z$3&lt;=$M8),1,"")</f>
        <v/>
      </c>
      <c r="AA8">
        <f>IF(AND($A8&lt;&gt;"",AA$3&gt;=$J8,AA$3&lt;=$M8),1,"")</f>
        <v/>
      </c>
      <c r="AB8">
        <f>IF(AND($A8&lt;&gt;"",AB$3&gt;=$J8,AB$3&lt;=$M8),1,"")</f>
        <v/>
      </c>
      <c r="AC8">
        <f>IF(AND($A8&lt;&gt;"",AC$3&gt;=$J8,AC$3&lt;=$M8),1,"")</f>
        <v/>
      </c>
      <c r="AD8">
        <f>IF(AND($A8&lt;&gt;"",AD$3&gt;=$J8,AD$3&lt;=$M8),1,"")</f>
        <v/>
      </c>
      <c r="AE8">
        <f>IF(AND($A8&lt;&gt;"",AE$3&gt;=$J8,AE$3&lt;=$M8),1,"")</f>
        <v/>
      </c>
      <c r="AF8">
        <f>IF(AND($A8&lt;&gt;"",AF$3&gt;=$J8,AF$3&lt;=$M8),1,"")</f>
        <v/>
      </c>
      <c r="AG8">
        <f>IF(AND($A8&lt;&gt;"",AG$3&gt;=$J8,AG$3&lt;=$M8),1,"")</f>
        <v/>
      </c>
      <c r="AH8">
        <f>IF(AND($A8&lt;&gt;"",AH$3&gt;=$J8,AH$3&lt;=$M8),1,"")</f>
        <v/>
      </c>
      <c r="AI8">
        <f>IF(AND($A8&lt;&gt;"",AI$3&gt;=$J8,AI$3&lt;=$M8),1,"")</f>
        <v/>
      </c>
      <c r="AJ8">
        <f>IF(AND($A8&lt;&gt;"",AJ$3&gt;=$J8,AJ$3&lt;=$M8),1,"")</f>
        <v/>
      </c>
      <c r="AK8">
        <f>IF(AND($A8&lt;&gt;"",AK$3&gt;=$J8,AK$3&lt;=$M8),1,"")</f>
        <v/>
      </c>
      <c r="AL8">
        <f>IF(AND($A8&lt;&gt;"",AL$3&gt;=$J8,AL$3&lt;=$M8),1,"")</f>
        <v/>
      </c>
      <c r="AM8">
        <f>IF(AND($A8&lt;&gt;"",AM$3&gt;=$J8,AM$3&lt;=$M8),1,"")</f>
        <v/>
      </c>
      <c r="AN8">
        <f>IF(AND($A8&lt;&gt;"",AN$3&gt;=$J8,AN$3&lt;=$M8),1,"")</f>
        <v/>
      </c>
      <c r="AO8">
        <f>IF(AND($A8&lt;&gt;"",AO$3&gt;=$J8,AO$3&lt;=$M8),1,"")</f>
        <v/>
      </c>
      <c r="AP8">
        <f>IF(AND($A8&lt;&gt;"",AP$3&gt;=$J8,AP$3&lt;=$M8),1,"")</f>
        <v/>
      </c>
      <c r="AQ8">
        <f>IF(AND($A8&lt;&gt;"",AQ$3&gt;=$J8,AQ$3&lt;=$M8),1,"")</f>
        <v/>
      </c>
      <c r="AR8">
        <f>IF(AND($A8&lt;&gt;"",AR$3&gt;=$J8,AR$3&lt;=$M8),1,"")</f>
        <v/>
      </c>
      <c r="AS8">
        <f>IF(AND($A8&lt;&gt;"",AS$3&gt;=$J8,AS$3&lt;=$M8),1,"")</f>
        <v/>
      </c>
      <c r="AT8">
        <f>IF(AND($A8&lt;&gt;"",AT$3&gt;=$J8,AT$3&lt;=$M8),1,"")</f>
        <v/>
      </c>
      <c r="AU8">
        <f>IF(AND($A8&lt;&gt;"",AU$3&gt;=$J8,AU$3&lt;=$M8),1,"")</f>
        <v/>
      </c>
      <c r="AV8">
        <f>IF(AND($A8&lt;&gt;"",AV$3&gt;=$J8,AV$3&lt;=$M8),1,"")</f>
        <v/>
      </c>
      <c r="AW8">
        <f>IF(AND($A8&lt;&gt;"",AW$3&gt;=$J8,AW$3&lt;=$M8),1,"")</f>
        <v/>
      </c>
      <c r="AX8">
        <f>IF(AND($A8&lt;&gt;"",AX$3&gt;=$J8,AX$3&lt;=$M8),1,"")</f>
        <v/>
      </c>
      <c r="AY8">
        <f>IF(AND($A8&lt;&gt;"",AY$3&gt;=$J8,AY$3&lt;=$M8),1,"")</f>
        <v/>
      </c>
      <c r="AZ8">
        <f>IF(AND($A8&lt;&gt;"",AZ$3&gt;=$J8,AZ$3&lt;=$M8),1,"")</f>
        <v/>
      </c>
      <c r="BA8">
        <f>IF(AND($A8&lt;&gt;"",BA$3&gt;=$J8,BA$3&lt;=$M8),1,"")</f>
        <v/>
      </c>
      <c r="BB8">
        <f>IF(AND($A8&lt;&gt;"",BB$3&gt;=$J8,BB$3&lt;=$M8),1,"")</f>
        <v/>
      </c>
      <c r="BC8">
        <f>IF(AND($A8&lt;&gt;"",BC$3&gt;=$J8,BC$3&lt;=$M8),1,"")</f>
        <v/>
      </c>
      <c r="BD8">
        <f>IF(AND($A8&lt;&gt;"",BD$3&gt;=$J8,BD$3&lt;=$M8),1,"")</f>
        <v/>
      </c>
      <c r="BE8">
        <f>IF(AND($A8&lt;&gt;"",BE$3&gt;=$J8,BE$3&lt;=$M8),1,"")</f>
        <v/>
      </c>
      <c r="BF8">
        <f>IF(AND($A8&lt;&gt;"",BF$3&gt;=$J8,BF$3&lt;=$M8),1,"")</f>
        <v/>
      </c>
      <c r="BG8">
        <f>IF(AND($A8&lt;&gt;"",BG$3&gt;=$J8,BG$3&lt;=$M8),1,"")</f>
        <v/>
      </c>
      <c r="BH8">
        <f>IF(AND($A8&lt;&gt;"",BH$3&gt;=$J8,BH$3&lt;=$M8),1,"")</f>
        <v/>
      </c>
      <c r="BI8">
        <f>IF(AND($A8&lt;&gt;"",BI$3&gt;=$J8,BI$3&lt;=$M8),1,"")</f>
        <v/>
      </c>
      <c r="BJ8">
        <f>IF(AND($A8&lt;&gt;"",BJ$3&gt;=$J8,BJ$3&lt;=$M8),1,"")</f>
        <v/>
      </c>
      <c r="BK8">
        <f>IF(AND($A8&lt;&gt;"",BK$3&gt;=$J8,BK$3&lt;=$M8),1,"")</f>
        <v/>
      </c>
      <c r="BL8">
        <f>IF(AND($A8&lt;&gt;"",BL$3&gt;=$J8,BL$3&lt;=$M8),1,"")</f>
        <v/>
      </c>
      <c r="BM8">
        <f>IF(AND($A8&lt;&gt;"",BM$3&gt;=$J8,BM$3&lt;=$M8),1,"")</f>
        <v/>
      </c>
      <c r="BN8">
        <f>IF(AND($A8&lt;&gt;"",BN$3&gt;=$J8,BN$3&lt;=$M8),1,"")</f>
        <v/>
      </c>
      <c r="BO8">
        <f>IF(AND($A8&lt;&gt;"",BO$3&gt;=$J8,BO$3&lt;=$M8),1,"")</f>
        <v/>
      </c>
      <c r="BP8">
        <f>IF(AND($A8&lt;&gt;"",BP$3&gt;=$J8,BP$3&lt;=$M8),1,"")</f>
        <v/>
      </c>
      <c r="BQ8">
        <f>IF(AND($A8&lt;&gt;"",BQ$3&gt;=$J8,BQ$3&lt;=$M8),1,"")</f>
        <v/>
      </c>
      <c r="BR8">
        <f>IF(AND($A8&lt;&gt;"",BR$3&gt;=$J8,BR$3&lt;=$M8),1,"")</f>
        <v/>
      </c>
      <c r="BS8">
        <f>IF(AND($A8&lt;&gt;"",BS$3&gt;=$J8,BS$3&lt;=$M8),1,"")</f>
        <v/>
      </c>
      <c r="BT8">
        <f>IF(AND($A8&lt;&gt;"",BT$3&gt;=$J8,BT$3&lt;=$M8),1,"")</f>
        <v/>
      </c>
      <c r="BU8">
        <f>IF(AND($A8&lt;&gt;"",BU$3&gt;=$J8,BU$3&lt;=$M8),1,"")</f>
        <v/>
      </c>
      <c r="BV8">
        <f>IF(AND($A8&lt;&gt;"",BV$3&gt;=$J8,BV$3&lt;=$M8),1,"")</f>
        <v/>
      </c>
    </row>
    <row r="9">
      <c r="A9">
        <f>IF(Job_Master_Ring!$A9="","",Job_Master_Ring!$A9)</f>
        <v/>
      </c>
      <c r="B9">
        <f>IF($A9="","",Job_Master_Ring!B9)</f>
        <v/>
      </c>
      <c r="C9">
        <f>IF($A9="","",Job_Master_Ring!C9)</f>
        <v/>
      </c>
      <c r="D9">
        <f>IF($A9="","",Job_Master_Ring!D9)</f>
        <v/>
      </c>
      <c r="E9">
        <f>IF($A9="","",IF($I9&lt;&gt;"",$I9,IFERROR(INDEX(Machine_List!$B$64:$B$71,MATCH(1,(Machine_List!$H$64:$H$71&lt;=IFERROR(VLOOKUP($B9,CHOOSE(MATCH($C9,Settings!$L$4:$L$10,0),OPR_BR1!$A$4:$K$18,OPR_BR2!$A$4:$K$18,OPR_CR2!$A$4:$K$18,OPR_CR3!$A$4:$K$18,OPR_CR4!$A$4:$K$18,OPR_RIM!$A$4:$K$18,OPR_BPR!$A$4:$K$18),10,0),0))*(Machine_List!$I$64:$I$71&gt;=IFERROR(VLOOKUP($B9,CHOOSE(MATCH($C9,Settings!$L$4:$L$10,0),OPR_BR1!$A$4:$K$18,OPR_BR2!$A$4:$K$18,OPR_CR2!$A$4:$K$18,OPR_CR3!$A$4:$K$18,OPR_CR4!$A$4:$K$18,OPR_RIM!$A$4:$K$18,OPR_BPR!$A$4:$K$18),11,0),9999)),0)),"NO COMPATIBLE MACHINE")))</f>
        <v/>
      </c>
      <c r="F9">
        <f>IF($E9="","",IFERROR(VLOOKUP($E9,Machine_List!$B:$G,6,0),""))</f>
        <v/>
      </c>
      <c r="G9" s="17">
        <f>IF($E9="","",IFERROR(VLOOKUP($E9,Machine_List!$B:$C,2,0),""))</f>
        <v/>
      </c>
      <c r="H9">
        <f>IF($E9="","",IFERROR(VLOOKUP($E9,Machine_List!$B:$D,3,0),""))</f>
        <v/>
      </c>
      <c r="J9" s="16">
        <f>IF($A9="","",IF($I9&lt;&gt;"",$I9,MAX(ENG_Plan!$M9,IFERROR(LOOKUP(2,1/($E$3:INDIRECT("E"&amp;(ROW()-1))=$E9),$M$3:INDIRECT("M"&amp;(ROW()-1))),ENG_Plan!$M9))))</f>
        <v/>
      </c>
      <c r="K9">
        <f>IF($A9="","",IFERROR(VLOOKUP(B9,CHOOSE(MATCH($C9,Settings!$L$4:$L$10,0),OPR_BR1!$A$4:$I$18,OPR_BR2!$A$4:$I$18,OPR_CR2!$A$4:$I$18,OPR_CR3!$A$4:$I$18,OPR_CR4!$A$4:$I$18,OPR_RIM!$A$4:$I$18,OPR_BPR!$A$4:$I$18),7,0),0))</f>
        <v/>
      </c>
      <c r="L9">
        <f>IF($A9="","",K9*D9)</f>
        <v/>
      </c>
      <c r="M9" s="16">
        <f>IF($A9="","",IF(AND(ISNUMBER(G9),G9&gt;=J9,G9&lt;=(J9+(L9/(IF(F9="Contract Workman",Settings!$K$5,Settings!$K$4))))),J9+(L9/(IF(F9="Contract Workman",Settings!$K$5,Settings!$K$4)))+(H9/(IF(F9="Contract Workman",Settings!$K$5,Settings!$K$4))),J9+(L9/(IF(F9="Contract Workman",Settings!$K$5,Settings!$K$4)))))</f>
        <v/>
      </c>
      <c r="N9">
        <f>IF($A9="","",IF(F9="Contract Workman",IF(AND(MOD(M9,1)&gt;=8/24,MOD(M9,1)&lt;20/24),"Shift S1","Shift S2"),IF(AND(MOD(M9,1)&gt;=7/24,MOD(M9,1)&lt;15/24),"Shift A",IF(AND(MOD(M9,1)&gt;=15/24,MOD(M9,1)&lt;23/24),"Shift B","Shift C"))))</f>
        <v/>
      </c>
      <c r="O9">
        <f>IF(B9="","",IF(IFERROR(ISNUMBER(SEARCH(TEXT(B9,"0"),VLOOKUP(E9,Machine_List!$B:$J,9,0))),FALSE),"✅ "&amp; E9,"❌ Sug: "&amp;IFERROR(INDEX(Machine_List!$B$64:$B$71,MATCH(1,(Machine_List!$H$64:$H$71&lt;=IFERROR(VLOOKUP($B9,OPR_BR1!$A$4:$K$18,10,0),0))*(Machine_List!$I$64:$I$71&gt;=IFERROR(VLOOKUP($B9,OPR_BR1!$A$4:$K$18,11,0),9999)),0)),"?")))</f>
        <v/>
      </c>
      <c r="P9">
        <f>IF(AND($A9&lt;&gt;"",P$3&gt;=$J9,P$3&lt;=$M9),1,"")</f>
        <v/>
      </c>
      <c r="Q9">
        <f>IF(AND($A9&lt;&gt;"",Q$3&gt;=$J9,Q$3&lt;=$M9),1,"")</f>
        <v/>
      </c>
      <c r="R9">
        <f>IF(AND($A9&lt;&gt;"",R$3&gt;=$J9,R$3&lt;=$M9),1,"")</f>
        <v/>
      </c>
      <c r="S9">
        <f>IF(AND($A9&lt;&gt;"",S$3&gt;=$J9,S$3&lt;=$M9),1,"")</f>
        <v/>
      </c>
      <c r="T9">
        <f>IF(AND($A9&lt;&gt;"",T$3&gt;=$J9,T$3&lt;=$M9),1,"")</f>
        <v/>
      </c>
      <c r="U9">
        <f>IF(AND($A9&lt;&gt;"",U$3&gt;=$J9,U$3&lt;=$M9),1,"")</f>
        <v/>
      </c>
      <c r="V9">
        <f>IF(AND($A9&lt;&gt;"",V$3&gt;=$J9,V$3&lt;=$M9),1,"")</f>
        <v/>
      </c>
      <c r="W9">
        <f>IF(AND($A9&lt;&gt;"",W$3&gt;=$J9,W$3&lt;=$M9),1,"")</f>
        <v/>
      </c>
      <c r="X9">
        <f>IF(AND($A9&lt;&gt;"",X$3&gt;=$J9,X$3&lt;=$M9),1,"")</f>
        <v/>
      </c>
      <c r="Y9">
        <f>IF(AND($A9&lt;&gt;"",Y$3&gt;=$J9,Y$3&lt;=$M9),1,"")</f>
        <v/>
      </c>
      <c r="Z9">
        <f>IF(AND($A9&lt;&gt;"",Z$3&gt;=$J9,Z$3&lt;=$M9),1,"")</f>
        <v/>
      </c>
      <c r="AA9">
        <f>IF(AND($A9&lt;&gt;"",AA$3&gt;=$J9,AA$3&lt;=$M9),1,"")</f>
        <v/>
      </c>
      <c r="AB9">
        <f>IF(AND($A9&lt;&gt;"",AB$3&gt;=$J9,AB$3&lt;=$M9),1,"")</f>
        <v/>
      </c>
      <c r="AC9">
        <f>IF(AND($A9&lt;&gt;"",AC$3&gt;=$J9,AC$3&lt;=$M9),1,"")</f>
        <v/>
      </c>
      <c r="AD9">
        <f>IF(AND($A9&lt;&gt;"",AD$3&gt;=$J9,AD$3&lt;=$M9),1,"")</f>
        <v/>
      </c>
      <c r="AE9">
        <f>IF(AND($A9&lt;&gt;"",AE$3&gt;=$J9,AE$3&lt;=$M9),1,"")</f>
        <v/>
      </c>
      <c r="AF9">
        <f>IF(AND($A9&lt;&gt;"",AF$3&gt;=$J9,AF$3&lt;=$M9),1,"")</f>
        <v/>
      </c>
      <c r="AG9">
        <f>IF(AND($A9&lt;&gt;"",AG$3&gt;=$J9,AG$3&lt;=$M9),1,"")</f>
        <v/>
      </c>
      <c r="AH9">
        <f>IF(AND($A9&lt;&gt;"",AH$3&gt;=$J9,AH$3&lt;=$M9),1,"")</f>
        <v/>
      </c>
      <c r="AI9">
        <f>IF(AND($A9&lt;&gt;"",AI$3&gt;=$J9,AI$3&lt;=$M9),1,"")</f>
        <v/>
      </c>
      <c r="AJ9">
        <f>IF(AND($A9&lt;&gt;"",AJ$3&gt;=$J9,AJ$3&lt;=$M9),1,"")</f>
        <v/>
      </c>
      <c r="AK9">
        <f>IF(AND($A9&lt;&gt;"",AK$3&gt;=$J9,AK$3&lt;=$M9),1,"")</f>
        <v/>
      </c>
      <c r="AL9">
        <f>IF(AND($A9&lt;&gt;"",AL$3&gt;=$J9,AL$3&lt;=$M9),1,"")</f>
        <v/>
      </c>
      <c r="AM9">
        <f>IF(AND($A9&lt;&gt;"",AM$3&gt;=$J9,AM$3&lt;=$M9),1,"")</f>
        <v/>
      </c>
      <c r="AN9">
        <f>IF(AND($A9&lt;&gt;"",AN$3&gt;=$J9,AN$3&lt;=$M9),1,"")</f>
        <v/>
      </c>
      <c r="AO9">
        <f>IF(AND($A9&lt;&gt;"",AO$3&gt;=$J9,AO$3&lt;=$M9),1,"")</f>
        <v/>
      </c>
      <c r="AP9">
        <f>IF(AND($A9&lt;&gt;"",AP$3&gt;=$J9,AP$3&lt;=$M9),1,"")</f>
        <v/>
      </c>
      <c r="AQ9">
        <f>IF(AND($A9&lt;&gt;"",AQ$3&gt;=$J9,AQ$3&lt;=$M9),1,"")</f>
        <v/>
      </c>
      <c r="AR9">
        <f>IF(AND($A9&lt;&gt;"",AR$3&gt;=$J9,AR$3&lt;=$M9),1,"")</f>
        <v/>
      </c>
      <c r="AS9">
        <f>IF(AND($A9&lt;&gt;"",AS$3&gt;=$J9,AS$3&lt;=$M9),1,"")</f>
        <v/>
      </c>
      <c r="AT9">
        <f>IF(AND($A9&lt;&gt;"",AT$3&gt;=$J9,AT$3&lt;=$M9),1,"")</f>
        <v/>
      </c>
      <c r="AU9">
        <f>IF(AND($A9&lt;&gt;"",AU$3&gt;=$J9,AU$3&lt;=$M9),1,"")</f>
        <v/>
      </c>
      <c r="AV9">
        <f>IF(AND($A9&lt;&gt;"",AV$3&gt;=$J9,AV$3&lt;=$M9),1,"")</f>
        <v/>
      </c>
      <c r="AW9">
        <f>IF(AND($A9&lt;&gt;"",AW$3&gt;=$J9,AW$3&lt;=$M9),1,"")</f>
        <v/>
      </c>
      <c r="AX9">
        <f>IF(AND($A9&lt;&gt;"",AX$3&gt;=$J9,AX$3&lt;=$M9),1,"")</f>
        <v/>
      </c>
      <c r="AY9">
        <f>IF(AND($A9&lt;&gt;"",AY$3&gt;=$J9,AY$3&lt;=$M9),1,"")</f>
        <v/>
      </c>
      <c r="AZ9">
        <f>IF(AND($A9&lt;&gt;"",AZ$3&gt;=$J9,AZ$3&lt;=$M9),1,"")</f>
        <v/>
      </c>
      <c r="BA9">
        <f>IF(AND($A9&lt;&gt;"",BA$3&gt;=$J9,BA$3&lt;=$M9),1,"")</f>
        <v/>
      </c>
      <c r="BB9">
        <f>IF(AND($A9&lt;&gt;"",BB$3&gt;=$J9,BB$3&lt;=$M9),1,"")</f>
        <v/>
      </c>
      <c r="BC9">
        <f>IF(AND($A9&lt;&gt;"",BC$3&gt;=$J9,BC$3&lt;=$M9),1,"")</f>
        <v/>
      </c>
      <c r="BD9">
        <f>IF(AND($A9&lt;&gt;"",BD$3&gt;=$J9,BD$3&lt;=$M9),1,"")</f>
        <v/>
      </c>
      <c r="BE9">
        <f>IF(AND($A9&lt;&gt;"",BE$3&gt;=$J9,BE$3&lt;=$M9),1,"")</f>
        <v/>
      </c>
      <c r="BF9">
        <f>IF(AND($A9&lt;&gt;"",BF$3&gt;=$J9,BF$3&lt;=$M9),1,"")</f>
        <v/>
      </c>
      <c r="BG9">
        <f>IF(AND($A9&lt;&gt;"",BG$3&gt;=$J9,BG$3&lt;=$M9),1,"")</f>
        <v/>
      </c>
      <c r="BH9">
        <f>IF(AND($A9&lt;&gt;"",BH$3&gt;=$J9,BH$3&lt;=$M9),1,"")</f>
        <v/>
      </c>
      <c r="BI9">
        <f>IF(AND($A9&lt;&gt;"",BI$3&gt;=$J9,BI$3&lt;=$M9),1,"")</f>
        <v/>
      </c>
      <c r="BJ9">
        <f>IF(AND($A9&lt;&gt;"",BJ$3&gt;=$J9,BJ$3&lt;=$M9),1,"")</f>
        <v/>
      </c>
      <c r="BK9">
        <f>IF(AND($A9&lt;&gt;"",BK$3&gt;=$J9,BK$3&lt;=$M9),1,"")</f>
        <v/>
      </c>
      <c r="BL9">
        <f>IF(AND($A9&lt;&gt;"",BL$3&gt;=$J9,BL$3&lt;=$M9),1,"")</f>
        <v/>
      </c>
      <c r="BM9">
        <f>IF(AND($A9&lt;&gt;"",BM$3&gt;=$J9,BM$3&lt;=$M9),1,"")</f>
        <v/>
      </c>
      <c r="BN9">
        <f>IF(AND($A9&lt;&gt;"",BN$3&gt;=$J9,BN$3&lt;=$M9),1,"")</f>
        <v/>
      </c>
      <c r="BO9">
        <f>IF(AND($A9&lt;&gt;"",BO$3&gt;=$J9,BO$3&lt;=$M9),1,"")</f>
        <v/>
      </c>
      <c r="BP9">
        <f>IF(AND($A9&lt;&gt;"",BP$3&gt;=$J9,BP$3&lt;=$M9),1,"")</f>
        <v/>
      </c>
      <c r="BQ9">
        <f>IF(AND($A9&lt;&gt;"",BQ$3&gt;=$J9,BQ$3&lt;=$M9),1,"")</f>
        <v/>
      </c>
      <c r="BR9">
        <f>IF(AND($A9&lt;&gt;"",BR$3&gt;=$J9,BR$3&lt;=$M9),1,"")</f>
        <v/>
      </c>
      <c r="BS9">
        <f>IF(AND($A9&lt;&gt;"",BS$3&gt;=$J9,BS$3&lt;=$M9),1,"")</f>
        <v/>
      </c>
      <c r="BT9">
        <f>IF(AND($A9&lt;&gt;"",BT$3&gt;=$J9,BT$3&lt;=$M9),1,"")</f>
        <v/>
      </c>
      <c r="BU9">
        <f>IF(AND($A9&lt;&gt;"",BU$3&gt;=$J9,BU$3&lt;=$M9),1,"")</f>
        <v/>
      </c>
      <c r="BV9">
        <f>IF(AND($A9&lt;&gt;"",BV$3&gt;=$J9,BV$3&lt;=$M9),1,"")</f>
        <v/>
      </c>
    </row>
    <row r="10">
      <c r="A10">
        <f>IF(Job_Master_Ring!$A10="","",Job_Master_Ring!$A10)</f>
        <v/>
      </c>
      <c r="B10">
        <f>IF($A10="","",Job_Master_Ring!B10)</f>
        <v/>
      </c>
      <c r="C10">
        <f>IF($A10="","",Job_Master_Ring!C10)</f>
        <v/>
      </c>
      <c r="D10">
        <f>IF($A10="","",Job_Master_Ring!D10)</f>
        <v/>
      </c>
      <c r="E10">
        <f>IF($A10="","",IF($I10&lt;&gt;"",$I10,IFERROR(INDEX(Machine_List!$B$64:$B$71,MATCH(1,(Machine_List!$H$64:$H$71&lt;=IFERROR(VLOOKUP($B10,CHOOSE(MATCH($C10,Settings!$L$4:$L$10,0),OPR_BR1!$A$4:$K$18,OPR_BR2!$A$4:$K$18,OPR_CR2!$A$4:$K$18,OPR_CR3!$A$4:$K$18,OPR_CR4!$A$4:$K$18,OPR_RIM!$A$4:$K$18,OPR_BPR!$A$4:$K$18),10,0),0))*(Machine_List!$I$64:$I$71&gt;=IFERROR(VLOOKUP($B10,CHOOSE(MATCH($C10,Settings!$L$4:$L$10,0),OPR_BR1!$A$4:$K$18,OPR_BR2!$A$4:$K$18,OPR_CR2!$A$4:$K$18,OPR_CR3!$A$4:$K$18,OPR_CR4!$A$4:$K$18,OPR_RIM!$A$4:$K$18,OPR_BPR!$A$4:$K$18),11,0),9999)),0)),"NO COMPATIBLE MACHINE")))</f>
        <v/>
      </c>
      <c r="F10">
        <f>IF($E10="","",IFERROR(VLOOKUP($E10,Machine_List!$B:$G,6,0),""))</f>
        <v/>
      </c>
      <c r="G10" s="17">
        <f>IF($E10="","",IFERROR(VLOOKUP($E10,Machine_List!$B:$C,2,0),""))</f>
        <v/>
      </c>
      <c r="H10">
        <f>IF($E10="","",IFERROR(VLOOKUP($E10,Machine_List!$B:$D,3,0),""))</f>
        <v/>
      </c>
      <c r="J10" s="16">
        <f>IF($A10="","",IF($I10&lt;&gt;"",$I10,MAX(ENG_Plan!$M10,IFERROR(LOOKUP(2,1/($E$3:INDIRECT("E"&amp;(ROW()-1))=$E10),$M$3:INDIRECT("M"&amp;(ROW()-1))),ENG_Plan!$M10))))</f>
        <v/>
      </c>
      <c r="K10">
        <f>IF($A10="","",IFERROR(VLOOKUP(B10,CHOOSE(MATCH($C10,Settings!$L$4:$L$10,0),OPR_BR1!$A$4:$I$18,OPR_BR2!$A$4:$I$18,OPR_CR2!$A$4:$I$18,OPR_CR3!$A$4:$I$18,OPR_CR4!$A$4:$I$18,OPR_RIM!$A$4:$I$18,OPR_BPR!$A$4:$I$18),7,0),0))</f>
        <v/>
      </c>
      <c r="L10">
        <f>IF($A10="","",K10*D10)</f>
        <v/>
      </c>
      <c r="M10" s="16">
        <f>IF($A10="","",IF(AND(ISNUMBER(G10),G10&gt;=J10,G10&lt;=(J10+(L10/(IF(F10="Contract Workman",Settings!$K$5,Settings!$K$4))))),J10+(L10/(IF(F10="Contract Workman",Settings!$K$5,Settings!$K$4)))+(H10/(IF(F10="Contract Workman",Settings!$K$5,Settings!$K$4))),J10+(L10/(IF(F10="Contract Workman",Settings!$K$5,Settings!$K$4)))))</f>
        <v/>
      </c>
      <c r="N10">
        <f>IF($A10="","",IF(F10="Contract Workman",IF(AND(MOD(M10,1)&gt;=8/24,MOD(M10,1)&lt;20/24),"Shift S1","Shift S2"),IF(AND(MOD(M10,1)&gt;=7/24,MOD(M10,1)&lt;15/24),"Shift A",IF(AND(MOD(M10,1)&gt;=15/24,MOD(M10,1)&lt;23/24),"Shift B","Shift C"))))</f>
        <v/>
      </c>
      <c r="O10">
        <f>IF(B10="","",IF(IFERROR(ISNUMBER(SEARCH(TEXT(B10,"0"),VLOOKUP(E10,Machine_List!$B:$J,9,0))),FALSE),"✅ "&amp; E10,"❌ Sug: "&amp;IFERROR(INDEX(Machine_List!$B$64:$B$71,MATCH(1,(Machine_List!$H$64:$H$71&lt;=IFERROR(VLOOKUP($B10,OPR_BR1!$A$4:$K$18,10,0),0))*(Machine_List!$I$64:$I$71&gt;=IFERROR(VLOOKUP($B10,OPR_BR1!$A$4:$K$18,11,0),9999)),0)),"?")))</f>
        <v/>
      </c>
      <c r="P10">
        <f>IF(AND($A10&lt;&gt;"",P$3&gt;=$J10,P$3&lt;=$M10),1,"")</f>
        <v/>
      </c>
      <c r="Q10">
        <f>IF(AND($A10&lt;&gt;"",Q$3&gt;=$J10,Q$3&lt;=$M10),1,"")</f>
        <v/>
      </c>
      <c r="R10">
        <f>IF(AND($A10&lt;&gt;"",R$3&gt;=$J10,R$3&lt;=$M10),1,"")</f>
        <v/>
      </c>
      <c r="S10">
        <f>IF(AND($A10&lt;&gt;"",S$3&gt;=$J10,S$3&lt;=$M10),1,"")</f>
        <v/>
      </c>
      <c r="T10">
        <f>IF(AND($A10&lt;&gt;"",T$3&gt;=$J10,T$3&lt;=$M10),1,"")</f>
        <v/>
      </c>
      <c r="U10">
        <f>IF(AND($A10&lt;&gt;"",U$3&gt;=$J10,U$3&lt;=$M10),1,"")</f>
        <v/>
      </c>
      <c r="V10">
        <f>IF(AND($A10&lt;&gt;"",V$3&gt;=$J10,V$3&lt;=$M10),1,"")</f>
        <v/>
      </c>
      <c r="W10">
        <f>IF(AND($A10&lt;&gt;"",W$3&gt;=$J10,W$3&lt;=$M10),1,"")</f>
        <v/>
      </c>
      <c r="X10">
        <f>IF(AND($A10&lt;&gt;"",X$3&gt;=$J10,X$3&lt;=$M10),1,"")</f>
        <v/>
      </c>
      <c r="Y10">
        <f>IF(AND($A10&lt;&gt;"",Y$3&gt;=$J10,Y$3&lt;=$M10),1,"")</f>
        <v/>
      </c>
      <c r="Z10">
        <f>IF(AND($A10&lt;&gt;"",Z$3&gt;=$J10,Z$3&lt;=$M10),1,"")</f>
        <v/>
      </c>
      <c r="AA10">
        <f>IF(AND($A10&lt;&gt;"",AA$3&gt;=$J10,AA$3&lt;=$M10),1,"")</f>
        <v/>
      </c>
      <c r="AB10">
        <f>IF(AND($A10&lt;&gt;"",AB$3&gt;=$J10,AB$3&lt;=$M10),1,"")</f>
        <v/>
      </c>
      <c r="AC10">
        <f>IF(AND($A10&lt;&gt;"",AC$3&gt;=$J10,AC$3&lt;=$M10),1,"")</f>
        <v/>
      </c>
      <c r="AD10">
        <f>IF(AND($A10&lt;&gt;"",AD$3&gt;=$J10,AD$3&lt;=$M10),1,"")</f>
        <v/>
      </c>
      <c r="AE10">
        <f>IF(AND($A10&lt;&gt;"",AE$3&gt;=$J10,AE$3&lt;=$M10),1,"")</f>
        <v/>
      </c>
      <c r="AF10">
        <f>IF(AND($A10&lt;&gt;"",AF$3&gt;=$J10,AF$3&lt;=$M10),1,"")</f>
        <v/>
      </c>
      <c r="AG10">
        <f>IF(AND($A10&lt;&gt;"",AG$3&gt;=$J10,AG$3&lt;=$M10),1,"")</f>
        <v/>
      </c>
      <c r="AH10">
        <f>IF(AND($A10&lt;&gt;"",AH$3&gt;=$J10,AH$3&lt;=$M10),1,"")</f>
        <v/>
      </c>
      <c r="AI10">
        <f>IF(AND($A10&lt;&gt;"",AI$3&gt;=$J10,AI$3&lt;=$M10),1,"")</f>
        <v/>
      </c>
      <c r="AJ10">
        <f>IF(AND($A10&lt;&gt;"",AJ$3&gt;=$J10,AJ$3&lt;=$M10),1,"")</f>
        <v/>
      </c>
      <c r="AK10">
        <f>IF(AND($A10&lt;&gt;"",AK$3&gt;=$J10,AK$3&lt;=$M10),1,"")</f>
        <v/>
      </c>
      <c r="AL10">
        <f>IF(AND($A10&lt;&gt;"",AL$3&gt;=$J10,AL$3&lt;=$M10),1,"")</f>
        <v/>
      </c>
      <c r="AM10">
        <f>IF(AND($A10&lt;&gt;"",AM$3&gt;=$J10,AM$3&lt;=$M10),1,"")</f>
        <v/>
      </c>
      <c r="AN10">
        <f>IF(AND($A10&lt;&gt;"",AN$3&gt;=$J10,AN$3&lt;=$M10),1,"")</f>
        <v/>
      </c>
      <c r="AO10">
        <f>IF(AND($A10&lt;&gt;"",AO$3&gt;=$J10,AO$3&lt;=$M10),1,"")</f>
        <v/>
      </c>
      <c r="AP10">
        <f>IF(AND($A10&lt;&gt;"",AP$3&gt;=$J10,AP$3&lt;=$M10),1,"")</f>
        <v/>
      </c>
      <c r="AQ10">
        <f>IF(AND($A10&lt;&gt;"",AQ$3&gt;=$J10,AQ$3&lt;=$M10),1,"")</f>
        <v/>
      </c>
      <c r="AR10">
        <f>IF(AND($A10&lt;&gt;"",AR$3&gt;=$J10,AR$3&lt;=$M10),1,"")</f>
        <v/>
      </c>
      <c r="AS10">
        <f>IF(AND($A10&lt;&gt;"",AS$3&gt;=$J10,AS$3&lt;=$M10),1,"")</f>
        <v/>
      </c>
      <c r="AT10">
        <f>IF(AND($A10&lt;&gt;"",AT$3&gt;=$J10,AT$3&lt;=$M10),1,"")</f>
        <v/>
      </c>
      <c r="AU10">
        <f>IF(AND($A10&lt;&gt;"",AU$3&gt;=$J10,AU$3&lt;=$M10),1,"")</f>
        <v/>
      </c>
      <c r="AV10">
        <f>IF(AND($A10&lt;&gt;"",AV$3&gt;=$J10,AV$3&lt;=$M10),1,"")</f>
        <v/>
      </c>
      <c r="AW10">
        <f>IF(AND($A10&lt;&gt;"",AW$3&gt;=$J10,AW$3&lt;=$M10),1,"")</f>
        <v/>
      </c>
      <c r="AX10">
        <f>IF(AND($A10&lt;&gt;"",AX$3&gt;=$J10,AX$3&lt;=$M10),1,"")</f>
        <v/>
      </c>
      <c r="AY10">
        <f>IF(AND($A10&lt;&gt;"",AY$3&gt;=$J10,AY$3&lt;=$M10),1,"")</f>
        <v/>
      </c>
      <c r="AZ10">
        <f>IF(AND($A10&lt;&gt;"",AZ$3&gt;=$J10,AZ$3&lt;=$M10),1,"")</f>
        <v/>
      </c>
      <c r="BA10">
        <f>IF(AND($A10&lt;&gt;"",BA$3&gt;=$J10,BA$3&lt;=$M10),1,"")</f>
        <v/>
      </c>
      <c r="BB10">
        <f>IF(AND($A10&lt;&gt;"",BB$3&gt;=$J10,BB$3&lt;=$M10),1,"")</f>
        <v/>
      </c>
      <c r="BC10">
        <f>IF(AND($A10&lt;&gt;"",BC$3&gt;=$J10,BC$3&lt;=$M10),1,"")</f>
        <v/>
      </c>
      <c r="BD10">
        <f>IF(AND($A10&lt;&gt;"",BD$3&gt;=$J10,BD$3&lt;=$M10),1,"")</f>
        <v/>
      </c>
      <c r="BE10">
        <f>IF(AND($A10&lt;&gt;"",BE$3&gt;=$J10,BE$3&lt;=$M10),1,"")</f>
        <v/>
      </c>
      <c r="BF10">
        <f>IF(AND($A10&lt;&gt;"",BF$3&gt;=$J10,BF$3&lt;=$M10),1,"")</f>
        <v/>
      </c>
      <c r="BG10">
        <f>IF(AND($A10&lt;&gt;"",BG$3&gt;=$J10,BG$3&lt;=$M10),1,"")</f>
        <v/>
      </c>
      <c r="BH10">
        <f>IF(AND($A10&lt;&gt;"",BH$3&gt;=$J10,BH$3&lt;=$M10),1,"")</f>
        <v/>
      </c>
      <c r="BI10">
        <f>IF(AND($A10&lt;&gt;"",BI$3&gt;=$J10,BI$3&lt;=$M10),1,"")</f>
        <v/>
      </c>
      <c r="BJ10">
        <f>IF(AND($A10&lt;&gt;"",BJ$3&gt;=$J10,BJ$3&lt;=$M10),1,"")</f>
        <v/>
      </c>
      <c r="BK10">
        <f>IF(AND($A10&lt;&gt;"",BK$3&gt;=$J10,BK$3&lt;=$M10),1,"")</f>
        <v/>
      </c>
      <c r="BL10">
        <f>IF(AND($A10&lt;&gt;"",BL$3&gt;=$J10,BL$3&lt;=$M10),1,"")</f>
        <v/>
      </c>
      <c r="BM10">
        <f>IF(AND($A10&lt;&gt;"",BM$3&gt;=$J10,BM$3&lt;=$M10),1,"")</f>
        <v/>
      </c>
      <c r="BN10">
        <f>IF(AND($A10&lt;&gt;"",BN$3&gt;=$J10,BN$3&lt;=$M10),1,"")</f>
        <v/>
      </c>
      <c r="BO10">
        <f>IF(AND($A10&lt;&gt;"",BO$3&gt;=$J10,BO$3&lt;=$M10),1,"")</f>
        <v/>
      </c>
      <c r="BP10">
        <f>IF(AND($A10&lt;&gt;"",BP$3&gt;=$J10,BP$3&lt;=$M10),1,"")</f>
        <v/>
      </c>
      <c r="BQ10">
        <f>IF(AND($A10&lt;&gt;"",BQ$3&gt;=$J10,BQ$3&lt;=$M10),1,"")</f>
        <v/>
      </c>
      <c r="BR10">
        <f>IF(AND($A10&lt;&gt;"",BR$3&gt;=$J10,BR$3&lt;=$M10),1,"")</f>
        <v/>
      </c>
      <c r="BS10">
        <f>IF(AND($A10&lt;&gt;"",BS$3&gt;=$J10,BS$3&lt;=$M10),1,"")</f>
        <v/>
      </c>
      <c r="BT10">
        <f>IF(AND($A10&lt;&gt;"",BT$3&gt;=$J10,BT$3&lt;=$M10),1,"")</f>
        <v/>
      </c>
      <c r="BU10">
        <f>IF(AND($A10&lt;&gt;"",BU$3&gt;=$J10,BU$3&lt;=$M10),1,"")</f>
        <v/>
      </c>
      <c r="BV10">
        <f>IF(AND($A10&lt;&gt;"",BV$3&gt;=$J10,BV$3&lt;=$M10),1,"")</f>
        <v/>
      </c>
    </row>
    <row r="11">
      <c r="A11">
        <f>IF(Job_Master_Ring!$A11="","",Job_Master_Ring!$A11)</f>
        <v/>
      </c>
      <c r="B11">
        <f>IF($A11="","",Job_Master_Ring!B11)</f>
        <v/>
      </c>
      <c r="C11">
        <f>IF($A11="","",Job_Master_Ring!C11)</f>
        <v/>
      </c>
      <c r="D11">
        <f>IF($A11="","",Job_Master_Ring!D11)</f>
        <v/>
      </c>
      <c r="E11">
        <f>IF($A11="","",IF($I11&lt;&gt;"",$I11,IFERROR(INDEX(Machine_List!$B$64:$B$71,MATCH(1,(Machine_List!$H$64:$H$71&lt;=IFERROR(VLOOKUP($B11,CHOOSE(MATCH($C11,Settings!$L$4:$L$10,0),OPR_BR1!$A$4:$K$18,OPR_BR2!$A$4:$K$18,OPR_CR2!$A$4:$K$18,OPR_CR3!$A$4:$K$18,OPR_CR4!$A$4:$K$18,OPR_RIM!$A$4:$K$18,OPR_BPR!$A$4:$K$18),10,0),0))*(Machine_List!$I$64:$I$71&gt;=IFERROR(VLOOKUP($B11,CHOOSE(MATCH($C11,Settings!$L$4:$L$10,0),OPR_BR1!$A$4:$K$18,OPR_BR2!$A$4:$K$18,OPR_CR2!$A$4:$K$18,OPR_CR3!$A$4:$K$18,OPR_CR4!$A$4:$K$18,OPR_RIM!$A$4:$K$18,OPR_BPR!$A$4:$K$18),11,0),9999)),0)),"NO COMPATIBLE MACHINE")))</f>
        <v/>
      </c>
      <c r="F11">
        <f>IF($E11="","",IFERROR(VLOOKUP($E11,Machine_List!$B:$G,6,0),""))</f>
        <v/>
      </c>
      <c r="G11" s="17">
        <f>IF($E11="","",IFERROR(VLOOKUP($E11,Machine_List!$B:$C,2,0),""))</f>
        <v/>
      </c>
      <c r="H11">
        <f>IF($E11="","",IFERROR(VLOOKUP($E11,Machine_List!$B:$D,3,0),""))</f>
        <v/>
      </c>
      <c r="J11" s="16">
        <f>IF($A11="","",IF($I11&lt;&gt;"",$I11,MAX(ENG_Plan!$M11,IFERROR(LOOKUP(2,1/($E$3:INDIRECT("E"&amp;(ROW()-1))=$E11),$M$3:INDIRECT("M"&amp;(ROW()-1))),ENG_Plan!$M11))))</f>
        <v/>
      </c>
      <c r="K11">
        <f>IF($A11="","",IFERROR(VLOOKUP(B11,CHOOSE(MATCH($C11,Settings!$L$4:$L$10,0),OPR_BR1!$A$4:$I$18,OPR_BR2!$A$4:$I$18,OPR_CR2!$A$4:$I$18,OPR_CR3!$A$4:$I$18,OPR_CR4!$A$4:$I$18,OPR_RIM!$A$4:$I$18,OPR_BPR!$A$4:$I$18),7,0),0))</f>
        <v/>
      </c>
      <c r="L11">
        <f>IF($A11="","",K11*D11)</f>
        <v/>
      </c>
      <c r="M11" s="16">
        <f>IF($A11="","",IF(AND(ISNUMBER(G11),G11&gt;=J11,G11&lt;=(J11+(L11/(IF(F11="Contract Workman",Settings!$K$5,Settings!$K$4))))),J11+(L11/(IF(F11="Contract Workman",Settings!$K$5,Settings!$K$4)))+(H11/(IF(F11="Contract Workman",Settings!$K$5,Settings!$K$4))),J11+(L11/(IF(F11="Contract Workman",Settings!$K$5,Settings!$K$4)))))</f>
        <v/>
      </c>
      <c r="N11">
        <f>IF($A11="","",IF(F11="Contract Workman",IF(AND(MOD(M11,1)&gt;=8/24,MOD(M11,1)&lt;20/24),"Shift S1","Shift S2"),IF(AND(MOD(M11,1)&gt;=7/24,MOD(M11,1)&lt;15/24),"Shift A",IF(AND(MOD(M11,1)&gt;=15/24,MOD(M11,1)&lt;23/24),"Shift B","Shift C"))))</f>
        <v/>
      </c>
      <c r="O11">
        <f>IF(B11="","",IF(IFERROR(ISNUMBER(SEARCH(TEXT(B11,"0"),VLOOKUP(E11,Machine_List!$B:$J,9,0))),FALSE),"✅ "&amp; E11,"❌ Sug: "&amp;IFERROR(INDEX(Machine_List!$B$64:$B$71,MATCH(1,(Machine_List!$H$64:$H$71&lt;=IFERROR(VLOOKUP($B11,OPR_BR1!$A$4:$K$18,10,0),0))*(Machine_List!$I$64:$I$71&gt;=IFERROR(VLOOKUP($B11,OPR_BR1!$A$4:$K$18,11,0),9999)),0)),"?")))</f>
        <v/>
      </c>
      <c r="P11">
        <f>IF(AND($A11&lt;&gt;"",P$3&gt;=$J11,P$3&lt;=$M11),1,"")</f>
        <v/>
      </c>
      <c r="Q11">
        <f>IF(AND($A11&lt;&gt;"",Q$3&gt;=$J11,Q$3&lt;=$M11),1,"")</f>
        <v/>
      </c>
      <c r="R11">
        <f>IF(AND($A11&lt;&gt;"",R$3&gt;=$J11,R$3&lt;=$M11),1,"")</f>
        <v/>
      </c>
      <c r="S11">
        <f>IF(AND($A11&lt;&gt;"",S$3&gt;=$J11,S$3&lt;=$M11),1,"")</f>
        <v/>
      </c>
      <c r="T11">
        <f>IF(AND($A11&lt;&gt;"",T$3&gt;=$J11,T$3&lt;=$M11),1,"")</f>
        <v/>
      </c>
      <c r="U11">
        <f>IF(AND($A11&lt;&gt;"",U$3&gt;=$J11,U$3&lt;=$M11),1,"")</f>
        <v/>
      </c>
      <c r="V11">
        <f>IF(AND($A11&lt;&gt;"",V$3&gt;=$J11,V$3&lt;=$M11),1,"")</f>
        <v/>
      </c>
      <c r="W11">
        <f>IF(AND($A11&lt;&gt;"",W$3&gt;=$J11,W$3&lt;=$M11),1,"")</f>
        <v/>
      </c>
      <c r="X11">
        <f>IF(AND($A11&lt;&gt;"",X$3&gt;=$J11,X$3&lt;=$M11),1,"")</f>
        <v/>
      </c>
      <c r="Y11">
        <f>IF(AND($A11&lt;&gt;"",Y$3&gt;=$J11,Y$3&lt;=$M11),1,"")</f>
        <v/>
      </c>
      <c r="Z11">
        <f>IF(AND($A11&lt;&gt;"",Z$3&gt;=$J11,Z$3&lt;=$M11),1,"")</f>
        <v/>
      </c>
      <c r="AA11">
        <f>IF(AND($A11&lt;&gt;"",AA$3&gt;=$J11,AA$3&lt;=$M11),1,"")</f>
        <v/>
      </c>
      <c r="AB11">
        <f>IF(AND($A11&lt;&gt;"",AB$3&gt;=$J11,AB$3&lt;=$M11),1,"")</f>
        <v/>
      </c>
      <c r="AC11">
        <f>IF(AND($A11&lt;&gt;"",AC$3&gt;=$J11,AC$3&lt;=$M11),1,"")</f>
        <v/>
      </c>
      <c r="AD11">
        <f>IF(AND($A11&lt;&gt;"",AD$3&gt;=$J11,AD$3&lt;=$M11),1,"")</f>
        <v/>
      </c>
      <c r="AE11">
        <f>IF(AND($A11&lt;&gt;"",AE$3&gt;=$J11,AE$3&lt;=$M11),1,"")</f>
        <v/>
      </c>
      <c r="AF11">
        <f>IF(AND($A11&lt;&gt;"",AF$3&gt;=$J11,AF$3&lt;=$M11),1,"")</f>
        <v/>
      </c>
      <c r="AG11">
        <f>IF(AND($A11&lt;&gt;"",AG$3&gt;=$J11,AG$3&lt;=$M11),1,"")</f>
        <v/>
      </c>
      <c r="AH11">
        <f>IF(AND($A11&lt;&gt;"",AH$3&gt;=$J11,AH$3&lt;=$M11),1,"")</f>
        <v/>
      </c>
      <c r="AI11">
        <f>IF(AND($A11&lt;&gt;"",AI$3&gt;=$J11,AI$3&lt;=$M11),1,"")</f>
        <v/>
      </c>
      <c r="AJ11">
        <f>IF(AND($A11&lt;&gt;"",AJ$3&gt;=$J11,AJ$3&lt;=$M11),1,"")</f>
        <v/>
      </c>
      <c r="AK11">
        <f>IF(AND($A11&lt;&gt;"",AK$3&gt;=$J11,AK$3&lt;=$M11),1,"")</f>
        <v/>
      </c>
      <c r="AL11">
        <f>IF(AND($A11&lt;&gt;"",AL$3&gt;=$J11,AL$3&lt;=$M11),1,"")</f>
        <v/>
      </c>
      <c r="AM11">
        <f>IF(AND($A11&lt;&gt;"",AM$3&gt;=$J11,AM$3&lt;=$M11),1,"")</f>
        <v/>
      </c>
      <c r="AN11">
        <f>IF(AND($A11&lt;&gt;"",AN$3&gt;=$J11,AN$3&lt;=$M11),1,"")</f>
        <v/>
      </c>
      <c r="AO11">
        <f>IF(AND($A11&lt;&gt;"",AO$3&gt;=$J11,AO$3&lt;=$M11),1,"")</f>
        <v/>
      </c>
      <c r="AP11">
        <f>IF(AND($A11&lt;&gt;"",AP$3&gt;=$J11,AP$3&lt;=$M11),1,"")</f>
        <v/>
      </c>
      <c r="AQ11">
        <f>IF(AND($A11&lt;&gt;"",AQ$3&gt;=$J11,AQ$3&lt;=$M11),1,"")</f>
        <v/>
      </c>
      <c r="AR11">
        <f>IF(AND($A11&lt;&gt;"",AR$3&gt;=$J11,AR$3&lt;=$M11),1,"")</f>
        <v/>
      </c>
      <c r="AS11">
        <f>IF(AND($A11&lt;&gt;"",AS$3&gt;=$J11,AS$3&lt;=$M11),1,"")</f>
        <v/>
      </c>
      <c r="AT11">
        <f>IF(AND($A11&lt;&gt;"",AT$3&gt;=$J11,AT$3&lt;=$M11),1,"")</f>
        <v/>
      </c>
      <c r="AU11">
        <f>IF(AND($A11&lt;&gt;"",AU$3&gt;=$J11,AU$3&lt;=$M11),1,"")</f>
        <v/>
      </c>
      <c r="AV11">
        <f>IF(AND($A11&lt;&gt;"",AV$3&gt;=$J11,AV$3&lt;=$M11),1,"")</f>
        <v/>
      </c>
      <c r="AW11">
        <f>IF(AND($A11&lt;&gt;"",AW$3&gt;=$J11,AW$3&lt;=$M11),1,"")</f>
        <v/>
      </c>
      <c r="AX11">
        <f>IF(AND($A11&lt;&gt;"",AX$3&gt;=$J11,AX$3&lt;=$M11),1,"")</f>
        <v/>
      </c>
      <c r="AY11">
        <f>IF(AND($A11&lt;&gt;"",AY$3&gt;=$J11,AY$3&lt;=$M11),1,"")</f>
        <v/>
      </c>
      <c r="AZ11">
        <f>IF(AND($A11&lt;&gt;"",AZ$3&gt;=$J11,AZ$3&lt;=$M11),1,"")</f>
        <v/>
      </c>
      <c r="BA11">
        <f>IF(AND($A11&lt;&gt;"",BA$3&gt;=$J11,BA$3&lt;=$M11),1,"")</f>
        <v/>
      </c>
      <c r="BB11">
        <f>IF(AND($A11&lt;&gt;"",BB$3&gt;=$J11,BB$3&lt;=$M11),1,"")</f>
        <v/>
      </c>
      <c r="BC11">
        <f>IF(AND($A11&lt;&gt;"",BC$3&gt;=$J11,BC$3&lt;=$M11),1,"")</f>
        <v/>
      </c>
      <c r="BD11">
        <f>IF(AND($A11&lt;&gt;"",BD$3&gt;=$J11,BD$3&lt;=$M11),1,"")</f>
        <v/>
      </c>
      <c r="BE11">
        <f>IF(AND($A11&lt;&gt;"",BE$3&gt;=$J11,BE$3&lt;=$M11),1,"")</f>
        <v/>
      </c>
      <c r="BF11">
        <f>IF(AND($A11&lt;&gt;"",BF$3&gt;=$J11,BF$3&lt;=$M11),1,"")</f>
        <v/>
      </c>
      <c r="BG11">
        <f>IF(AND($A11&lt;&gt;"",BG$3&gt;=$J11,BG$3&lt;=$M11),1,"")</f>
        <v/>
      </c>
      <c r="BH11">
        <f>IF(AND($A11&lt;&gt;"",BH$3&gt;=$J11,BH$3&lt;=$M11),1,"")</f>
        <v/>
      </c>
      <c r="BI11">
        <f>IF(AND($A11&lt;&gt;"",BI$3&gt;=$J11,BI$3&lt;=$M11),1,"")</f>
        <v/>
      </c>
      <c r="BJ11">
        <f>IF(AND($A11&lt;&gt;"",BJ$3&gt;=$J11,BJ$3&lt;=$M11),1,"")</f>
        <v/>
      </c>
      <c r="BK11">
        <f>IF(AND($A11&lt;&gt;"",BK$3&gt;=$J11,BK$3&lt;=$M11),1,"")</f>
        <v/>
      </c>
      <c r="BL11">
        <f>IF(AND($A11&lt;&gt;"",BL$3&gt;=$J11,BL$3&lt;=$M11),1,"")</f>
        <v/>
      </c>
      <c r="BM11">
        <f>IF(AND($A11&lt;&gt;"",BM$3&gt;=$J11,BM$3&lt;=$M11),1,"")</f>
        <v/>
      </c>
      <c r="BN11">
        <f>IF(AND($A11&lt;&gt;"",BN$3&gt;=$J11,BN$3&lt;=$M11),1,"")</f>
        <v/>
      </c>
      <c r="BO11">
        <f>IF(AND($A11&lt;&gt;"",BO$3&gt;=$J11,BO$3&lt;=$M11),1,"")</f>
        <v/>
      </c>
      <c r="BP11">
        <f>IF(AND($A11&lt;&gt;"",BP$3&gt;=$J11,BP$3&lt;=$M11),1,"")</f>
        <v/>
      </c>
      <c r="BQ11">
        <f>IF(AND($A11&lt;&gt;"",BQ$3&gt;=$J11,BQ$3&lt;=$M11),1,"")</f>
        <v/>
      </c>
      <c r="BR11">
        <f>IF(AND($A11&lt;&gt;"",BR$3&gt;=$J11,BR$3&lt;=$M11),1,"")</f>
        <v/>
      </c>
      <c r="BS11">
        <f>IF(AND($A11&lt;&gt;"",BS$3&gt;=$J11,BS$3&lt;=$M11),1,"")</f>
        <v/>
      </c>
      <c r="BT11">
        <f>IF(AND($A11&lt;&gt;"",BT$3&gt;=$J11,BT$3&lt;=$M11),1,"")</f>
        <v/>
      </c>
      <c r="BU11">
        <f>IF(AND($A11&lt;&gt;"",BU$3&gt;=$J11,BU$3&lt;=$M11),1,"")</f>
        <v/>
      </c>
      <c r="BV11">
        <f>IF(AND($A11&lt;&gt;"",BV$3&gt;=$J11,BV$3&lt;=$M11),1,"")</f>
        <v/>
      </c>
    </row>
    <row r="12">
      <c r="A12">
        <f>IF(Job_Master_Ring!$A12="","",Job_Master_Ring!$A12)</f>
        <v/>
      </c>
      <c r="B12">
        <f>IF($A12="","",Job_Master_Ring!B12)</f>
        <v/>
      </c>
      <c r="C12">
        <f>IF($A12="","",Job_Master_Ring!C12)</f>
        <v/>
      </c>
      <c r="D12">
        <f>IF($A12="","",Job_Master_Ring!D12)</f>
        <v/>
      </c>
      <c r="E12">
        <f>IF($A12="","",IF($I12&lt;&gt;"",$I12,IFERROR(INDEX(Machine_List!$B$64:$B$71,MATCH(1,(Machine_List!$H$64:$H$71&lt;=IFERROR(VLOOKUP($B12,CHOOSE(MATCH($C12,Settings!$L$4:$L$10,0),OPR_BR1!$A$4:$K$18,OPR_BR2!$A$4:$K$18,OPR_CR2!$A$4:$K$18,OPR_CR3!$A$4:$K$18,OPR_CR4!$A$4:$K$18,OPR_RIM!$A$4:$K$18,OPR_BPR!$A$4:$K$18),10,0),0))*(Machine_List!$I$64:$I$71&gt;=IFERROR(VLOOKUP($B12,CHOOSE(MATCH($C12,Settings!$L$4:$L$10,0),OPR_BR1!$A$4:$K$18,OPR_BR2!$A$4:$K$18,OPR_CR2!$A$4:$K$18,OPR_CR3!$A$4:$K$18,OPR_CR4!$A$4:$K$18,OPR_RIM!$A$4:$K$18,OPR_BPR!$A$4:$K$18),11,0),9999)),0)),"NO COMPATIBLE MACHINE")))</f>
        <v/>
      </c>
      <c r="F12">
        <f>IF($E12="","",IFERROR(VLOOKUP($E12,Machine_List!$B:$G,6,0),""))</f>
        <v/>
      </c>
      <c r="G12" s="17">
        <f>IF($E12="","",IFERROR(VLOOKUP($E12,Machine_List!$B:$C,2,0),""))</f>
        <v/>
      </c>
      <c r="H12">
        <f>IF($E12="","",IFERROR(VLOOKUP($E12,Machine_List!$B:$D,3,0),""))</f>
        <v/>
      </c>
      <c r="J12" s="16">
        <f>IF($A12="","",IF($I12&lt;&gt;"",$I12,MAX(ENG_Plan!$M12,IFERROR(LOOKUP(2,1/($E$3:INDIRECT("E"&amp;(ROW()-1))=$E12),$M$3:INDIRECT("M"&amp;(ROW()-1))),ENG_Plan!$M12))))</f>
        <v/>
      </c>
      <c r="K12">
        <f>IF($A12="","",IFERROR(VLOOKUP(B12,CHOOSE(MATCH($C12,Settings!$L$4:$L$10,0),OPR_BR1!$A$4:$I$18,OPR_BR2!$A$4:$I$18,OPR_CR2!$A$4:$I$18,OPR_CR3!$A$4:$I$18,OPR_CR4!$A$4:$I$18,OPR_RIM!$A$4:$I$18,OPR_BPR!$A$4:$I$18),7,0),0))</f>
        <v/>
      </c>
      <c r="L12">
        <f>IF($A12="","",K12*D12)</f>
        <v/>
      </c>
      <c r="M12" s="16">
        <f>IF($A12="","",IF(AND(ISNUMBER(G12),G12&gt;=J12,G12&lt;=(J12+(L12/(IF(F12="Contract Workman",Settings!$K$5,Settings!$K$4))))),J12+(L12/(IF(F12="Contract Workman",Settings!$K$5,Settings!$K$4)))+(H12/(IF(F12="Contract Workman",Settings!$K$5,Settings!$K$4))),J12+(L12/(IF(F12="Contract Workman",Settings!$K$5,Settings!$K$4)))))</f>
        <v/>
      </c>
      <c r="N12">
        <f>IF($A12="","",IF(F12="Contract Workman",IF(AND(MOD(M12,1)&gt;=8/24,MOD(M12,1)&lt;20/24),"Shift S1","Shift S2"),IF(AND(MOD(M12,1)&gt;=7/24,MOD(M12,1)&lt;15/24),"Shift A",IF(AND(MOD(M12,1)&gt;=15/24,MOD(M12,1)&lt;23/24),"Shift B","Shift C"))))</f>
        <v/>
      </c>
      <c r="O12">
        <f>IF(B12="","",IF(IFERROR(ISNUMBER(SEARCH(TEXT(B12,"0"),VLOOKUP(E12,Machine_List!$B:$J,9,0))),FALSE),"✅ "&amp; E12,"❌ Sug: "&amp;IFERROR(INDEX(Machine_List!$B$64:$B$71,MATCH(1,(Machine_List!$H$64:$H$71&lt;=IFERROR(VLOOKUP($B12,OPR_BR1!$A$4:$K$18,10,0),0))*(Machine_List!$I$64:$I$71&gt;=IFERROR(VLOOKUP($B12,OPR_BR1!$A$4:$K$18,11,0),9999)),0)),"?")))</f>
        <v/>
      </c>
      <c r="P12">
        <f>IF(AND($A12&lt;&gt;"",P$3&gt;=$J12,P$3&lt;=$M12),1,"")</f>
        <v/>
      </c>
      <c r="Q12">
        <f>IF(AND($A12&lt;&gt;"",Q$3&gt;=$J12,Q$3&lt;=$M12),1,"")</f>
        <v/>
      </c>
      <c r="R12">
        <f>IF(AND($A12&lt;&gt;"",R$3&gt;=$J12,R$3&lt;=$M12),1,"")</f>
        <v/>
      </c>
      <c r="S12">
        <f>IF(AND($A12&lt;&gt;"",S$3&gt;=$J12,S$3&lt;=$M12),1,"")</f>
        <v/>
      </c>
      <c r="T12">
        <f>IF(AND($A12&lt;&gt;"",T$3&gt;=$J12,T$3&lt;=$M12),1,"")</f>
        <v/>
      </c>
      <c r="U12">
        <f>IF(AND($A12&lt;&gt;"",U$3&gt;=$J12,U$3&lt;=$M12),1,"")</f>
        <v/>
      </c>
      <c r="V12">
        <f>IF(AND($A12&lt;&gt;"",V$3&gt;=$J12,V$3&lt;=$M12),1,"")</f>
        <v/>
      </c>
      <c r="W12">
        <f>IF(AND($A12&lt;&gt;"",W$3&gt;=$J12,W$3&lt;=$M12),1,"")</f>
        <v/>
      </c>
      <c r="X12">
        <f>IF(AND($A12&lt;&gt;"",X$3&gt;=$J12,X$3&lt;=$M12),1,"")</f>
        <v/>
      </c>
      <c r="Y12">
        <f>IF(AND($A12&lt;&gt;"",Y$3&gt;=$J12,Y$3&lt;=$M12),1,"")</f>
        <v/>
      </c>
      <c r="Z12">
        <f>IF(AND($A12&lt;&gt;"",Z$3&gt;=$J12,Z$3&lt;=$M12),1,"")</f>
        <v/>
      </c>
      <c r="AA12">
        <f>IF(AND($A12&lt;&gt;"",AA$3&gt;=$J12,AA$3&lt;=$M12),1,"")</f>
        <v/>
      </c>
      <c r="AB12">
        <f>IF(AND($A12&lt;&gt;"",AB$3&gt;=$J12,AB$3&lt;=$M12),1,"")</f>
        <v/>
      </c>
      <c r="AC12">
        <f>IF(AND($A12&lt;&gt;"",AC$3&gt;=$J12,AC$3&lt;=$M12),1,"")</f>
        <v/>
      </c>
      <c r="AD12">
        <f>IF(AND($A12&lt;&gt;"",AD$3&gt;=$J12,AD$3&lt;=$M12),1,"")</f>
        <v/>
      </c>
      <c r="AE12">
        <f>IF(AND($A12&lt;&gt;"",AE$3&gt;=$J12,AE$3&lt;=$M12),1,"")</f>
        <v/>
      </c>
      <c r="AF12">
        <f>IF(AND($A12&lt;&gt;"",AF$3&gt;=$J12,AF$3&lt;=$M12),1,"")</f>
        <v/>
      </c>
      <c r="AG12">
        <f>IF(AND($A12&lt;&gt;"",AG$3&gt;=$J12,AG$3&lt;=$M12),1,"")</f>
        <v/>
      </c>
      <c r="AH12">
        <f>IF(AND($A12&lt;&gt;"",AH$3&gt;=$J12,AH$3&lt;=$M12),1,"")</f>
        <v/>
      </c>
      <c r="AI12">
        <f>IF(AND($A12&lt;&gt;"",AI$3&gt;=$J12,AI$3&lt;=$M12),1,"")</f>
        <v/>
      </c>
      <c r="AJ12">
        <f>IF(AND($A12&lt;&gt;"",AJ$3&gt;=$J12,AJ$3&lt;=$M12),1,"")</f>
        <v/>
      </c>
      <c r="AK12">
        <f>IF(AND($A12&lt;&gt;"",AK$3&gt;=$J12,AK$3&lt;=$M12),1,"")</f>
        <v/>
      </c>
      <c r="AL12">
        <f>IF(AND($A12&lt;&gt;"",AL$3&gt;=$J12,AL$3&lt;=$M12),1,"")</f>
        <v/>
      </c>
      <c r="AM12">
        <f>IF(AND($A12&lt;&gt;"",AM$3&gt;=$J12,AM$3&lt;=$M12),1,"")</f>
        <v/>
      </c>
      <c r="AN12">
        <f>IF(AND($A12&lt;&gt;"",AN$3&gt;=$J12,AN$3&lt;=$M12),1,"")</f>
        <v/>
      </c>
      <c r="AO12">
        <f>IF(AND($A12&lt;&gt;"",AO$3&gt;=$J12,AO$3&lt;=$M12),1,"")</f>
        <v/>
      </c>
      <c r="AP12">
        <f>IF(AND($A12&lt;&gt;"",AP$3&gt;=$J12,AP$3&lt;=$M12),1,"")</f>
        <v/>
      </c>
      <c r="AQ12">
        <f>IF(AND($A12&lt;&gt;"",AQ$3&gt;=$J12,AQ$3&lt;=$M12),1,"")</f>
        <v/>
      </c>
      <c r="AR12">
        <f>IF(AND($A12&lt;&gt;"",AR$3&gt;=$J12,AR$3&lt;=$M12),1,"")</f>
        <v/>
      </c>
      <c r="AS12">
        <f>IF(AND($A12&lt;&gt;"",AS$3&gt;=$J12,AS$3&lt;=$M12),1,"")</f>
        <v/>
      </c>
      <c r="AT12">
        <f>IF(AND($A12&lt;&gt;"",AT$3&gt;=$J12,AT$3&lt;=$M12),1,"")</f>
        <v/>
      </c>
      <c r="AU12">
        <f>IF(AND($A12&lt;&gt;"",AU$3&gt;=$J12,AU$3&lt;=$M12),1,"")</f>
        <v/>
      </c>
      <c r="AV12">
        <f>IF(AND($A12&lt;&gt;"",AV$3&gt;=$J12,AV$3&lt;=$M12),1,"")</f>
        <v/>
      </c>
      <c r="AW12">
        <f>IF(AND($A12&lt;&gt;"",AW$3&gt;=$J12,AW$3&lt;=$M12),1,"")</f>
        <v/>
      </c>
      <c r="AX12">
        <f>IF(AND($A12&lt;&gt;"",AX$3&gt;=$J12,AX$3&lt;=$M12),1,"")</f>
        <v/>
      </c>
      <c r="AY12">
        <f>IF(AND($A12&lt;&gt;"",AY$3&gt;=$J12,AY$3&lt;=$M12),1,"")</f>
        <v/>
      </c>
      <c r="AZ12">
        <f>IF(AND($A12&lt;&gt;"",AZ$3&gt;=$J12,AZ$3&lt;=$M12),1,"")</f>
        <v/>
      </c>
      <c r="BA12">
        <f>IF(AND($A12&lt;&gt;"",BA$3&gt;=$J12,BA$3&lt;=$M12),1,"")</f>
        <v/>
      </c>
      <c r="BB12">
        <f>IF(AND($A12&lt;&gt;"",BB$3&gt;=$J12,BB$3&lt;=$M12),1,"")</f>
        <v/>
      </c>
      <c r="BC12">
        <f>IF(AND($A12&lt;&gt;"",BC$3&gt;=$J12,BC$3&lt;=$M12),1,"")</f>
        <v/>
      </c>
      <c r="BD12">
        <f>IF(AND($A12&lt;&gt;"",BD$3&gt;=$J12,BD$3&lt;=$M12),1,"")</f>
        <v/>
      </c>
      <c r="BE12">
        <f>IF(AND($A12&lt;&gt;"",BE$3&gt;=$J12,BE$3&lt;=$M12),1,"")</f>
        <v/>
      </c>
      <c r="BF12">
        <f>IF(AND($A12&lt;&gt;"",BF$3&gt;=$J12,BF$3&lt;=$M12),1,"")</f>
        <v/>
      </c>
      <c r="BG12">
        <f>IF(AND($A12&lt;&gt;"",BG$3&gt;=$J12,BG$3&lt;=$M12),1,"")</f>
        <v/>
      </c>
      <c r="BH12">
        <f>IF(AND($A12&lt;&gt;"",BH$3&gt;=$J12,BH$3&lt;=$M12),1,"")</f>
        <v/>
      </c>
      <c r="BI12">
        <f>IF(AND($A12&lt;&gt;"",BI$3&gt;=$J12,BI$3&lt;=$M12),1,"")</f>
        <v/>
      </c>
      <c r="BJ12">
        <f>IF(AND($A12&lt;&gt;"",BJ$3&gt;=$J12,BJ$3&lt;=$M12),1,"")</f>
        <v/>
      </c>
      <c r="BK12">
        <f>IF(AND($A12&lt;&gt;"",BK$3&gt;=$J12,BK$3&lt;=$M12),1,"")</f>
        <v/>
      </c>
      <c r="BL12">
        <f>IF(AND($A12&lt;&gt;"",BL$3&gt;=$J12,BL$3&lt;=$M12),1,"")</f>
        <v/>
      </c>
      <c r="BM12">
        <f>IF(AND($A12&lt;&gt;"",BM$3&gt;=$J12,BM$3&lt;=$M12),1,"")</f>
        <v/>
      </c>
      <c r="BN12">
        <f>IF(AND($A12&lt;&gt;"",BN$3&gt;=$J12,BN$3&lt;=$M12),1,"")</f>
        <v/>
      </c>
      <c r="BO12">
        <f>IF(AND($A12&lt;&gt;"",BO$3&gt;=$J12,BO$3&lt;=$M12),1,"")</f>
        <v/>
      </c>
      <c r="BP12">
        <f>IF(AND($A12&lt;&gt;"",BP$3&gt;=$J12,BP$3&lt;=$M12),1,"")</f>
        <v/>
      </c>
      <c r="BQ12">
        <f>IF(AND($A12&lt;&gt;"",BQ$3&gt;=$J12,BQ$3&lt;=$M12),1,"")</f>
        <v/>
      </c>
      <c r="BR12">
        <f>IF(AND($A12&lt;&gt;"",BR$3&gt;=$J12,BR$3&lt;=$M12),1,"")</f>
        <v/>
      </c>
      <c r="BS12">
        <f>IF(AND($A12&lt;&gt;"",BS$3&gt;=$J12,BS$3&lt;=$M12),1,"")</f>
        <v/>
      </c>
      <c r="BT12">
        <f>IF(AND($A12&lt;&gt;"",BT$3&gt;=$J12,BT$3&lt;=$M12),1,"")</f>
        <v/>
      </c>
      <c r="BU12">
        <f>IF(AND($A12&lt;&gt;"",BU$3&gt;=$J12,BU$3&lt;=$M12),1,"")</f>
        <v/>
      </c>
      <c r="BV12">
        <f>IF(AND($A12&lt;&gt;"",BV$3&gt;=$J12,BV$3&lt;=$M12),1,"")</f>
        <v/>
      </c>
    </row>
    <row r="13">
      <c r="A13">
        <f>IF(Job_Master_Ring!$A13="","",Job_Master_Ring!$A13)</f>
        <v/>
      </c>
      <c r="B13">
        <f>IF($A13="","",Job_Master_Ring!B13)</f>
        <v/>
      </c>
      <c r="C13">
        <f>IF($A13="","",Job_Master_Ring!C13)</f>
        <v/>
      </c>
      <c r="D13">
        <f>IF($A13="","",Job_Master_Ring!D13)</f>
        <v/>
      </c>
      <c r="E13">
        <f>IF($A13="","",IF($I13&lt;&gt;"",$I13,IFERROR(INDEX(Machine_List!$B$64:$B$71,MATCH(1,(Machine_List!$H$64:$H$71&lt;=IFERROR(VLOOKUP($B13,CHOOSE(MATCH($C13,Settings!$L$4:$L$10,0),OPR_BR1!$A$4:$K$18,OPR_BR2!$A$4:$K$18,OPR_CR2!$A$4:$K$18,OPR_CR3!$A$4:$K$18,OPR_CR4!$A$4:$K$18,OPR_RIM!$A$4:$K$18,OPR_BPR!$A$4:$K$18),10,0),0))*(Machine_List!$I$64:$I$71&gt;=IFERROR(VLOOKUP($B13,CHOOSE(MATCH($C13,Settings!$L$4:$L$10,0),OPR_BR1!$A$4:$K$18,OPR_BR2!$A$4:$K$18,OPR_CR2!$A$4:$K$18,OPR_CR3!$A$4:$K$18,OPR_CR4!$A$4:$K$18,OPR_RIM!$A$4:$K$18,OPR_BPR!$A$4:$K$18),11,0),9999)),0)),"NO COMPATIBLE MACHINE")))</f>
        <v/>
      </c>
      <c r="F13">
        <f>IF($E13="","",IFERROR(VLOOKUP($E13,Machine_List!$B:$G,6,0),""))</f>
        <v/>
      </c>
      <c r="G13" s="17">
        <f>IF($E13="","",IFERROR(VLOOKUP($E13,Machine_List!$B:$C,2,0),""))</f>
        <v/>
      </c>
      <c r="H13">
        <f>IF($E13="","",IFERROR(VLOOKUP($E13,Machine_List!$B:$D,3,0),""))</f>
        <v/>
      </c>
      <c r="J13" s="16">
        <f>IF($A13="","",IF($I13&lt;&gt;"",$I13,MAX(ENG_Plan!$M13,IFERROR(LOOKUP(2,1/($E$3:INDIRECT("E"&amp;(ROW()-1))=$E13),$M$3:INDIRECT("M"&amp;(ROW()-1))),ENG_Plan!$M13))))</f>
        <v/>
      </c>
      <c r="K13">
        <f>IF($A13="","",IFERROR(VLOOKUP(B13,CHOOSE(MATCH($C13,Settings!$L$4:$L$10,0),OPR_BR1!$A$4:$I$18,OPR_BR2!$A$4:$I$18,OPR_CR2!$A$4:$I$18,OPR_CR3!$A$4:$I$18,OPR_CR4!$A$4:$I$18,OPR_RIM!$A$4:$I$18,OPR_BPR!$A$4:$I$18),7,0),0))</f>
        <v/>
      </c>
      <c r="L13">
        <f>IF($A13="","",K13*D13)</f>
        <v/>
      </c>
      <c r="M13" s="16">
        <f>IF($A13="","",IF(AND(ISNUMBER(G13),G13&gt;=J13,G13&lt;=(J13+(L13/(IF(F13="Contract Workman",Settings!$K$5,Settings!$K$4))))),J13+(L13/(IF(F13="Contract Workman",Settings!$K$5,Settings!$K$4)))+(H13/(IF(F13="Contract Workman",Settings!$K$5,Settings!$K$4))),J13+(L13/(IF(F13="Contract Workman",Settings!$K$5,Settings!$K$4)))))</f>
        <v/>
      </c>
      <c r="N13">
        <f>IF($A13="","",IF(F13="Contract Workman",IF(AND(MOD(M13,1)&gt;=8/24,MOD(M13,1)&lt;20/24),"Shift S1","Shift S2"),IF(AND(MOD(M13,1)&gt;=7/24,MOD(M13,1)&lt;15/24),"Shift A",IF(AND(MOD(M13,1)&gt;=15/24,MOD(M13,1)&lt;23/24),"Shift B","Shift C"))))</f>
        <v/>
      </c>
      <c r="O13">
        <f>IF(B13="","",IF(IFERROR(ISNUMBER(SEARCH(TEXT(B13,"0"),VLOOKUP(E13,Machine_List!$B:$J,9,0))),FALSE),"✅ "&amp; E13,"❌ Sug: "&amp;IFERROR(INDEX(Machine_List!$B$64:$B$71,MATCH(1,(Machine_List!$H$64:$H$71&lt;=IFERROR(VLOOKUP($B13,OPR_BR1!$A$4:$K$18,10,0),0))*(Machine_List!$I$64:$I$71&gt;=IFERROR(VLOOKUP($B13,OPR_BR1!$A$4:$K$18,11,0),9999)),0)),"?")))</f>
        <v/>
      </c>
      <c r="P13">
        <f>IF(AND($A13&lt;&gt;"",P$3&gt;=$J13,P$3&lt;=$M13),1,"")</f>
        <v/>
      </c>
      <c r="Q13">
        <f>IF(AND($A13&lt;&gt;"",Q$3&gt;=$J13,Q$3&lt;=$M13),1,"")</f>
        <v/>
      </c>
      <c r="R13">
        <f>IF(AND($A13&lt;&gt;"",R$3&gt;=$J13,R$3&lt;=$M13),1,"")</f>
        <v/>
      </c>
      <c r="S13">
        <f>IF(AND($A13&lt;&gt;"",S$3&gt;=$J13,S$3&lt;=$M13),1,"")</f>
        <v/>
      </c>
      <c r="T13">
        <f>IF(AND($A13&lt;&gt;"",T$3&gt;=$J13,T$3&lt;=$M13),1,"")</f>
        <v/>
      </c>
      <c r="U13">
        <f>IF(AND($A13&lt;&gt;"",U$3&gt;=$J13,U$3&lt;=$M13),1,"")</f>
        <v/>
      </c>
      <c r="V13">
        <f>IF(AND($A13&lt;&gt;"",V$3&gt;=$J13,V$3&lt;=$M13),1,"")</f>
        <v/>
      </c>
      <c r="W13">
        <f>IF(AND($A13&lt;&gt;"",W$3&gt;=$J13,W$3&lt;=$M13),1,"")</f>
        <v/>
      </c>
      <c r="X13">
        <f>IF(AND($A13&lt;&gt;"",X$3&gt;=$J13,X$3&lt;=$M13),1,"")</f>
        <v/>
      </c>
      <c r="Y13">
        <f>IF(AND($A13&lt;&gt;"",Y$3&gt;=$J13,Y$3&lt;=$M13),1,"")</f>
        <v/>
      </c>
      <c r="Z13">
        <f>IF(AND($A13&lt;&gt;"",Z$3&gt;=$J13,Z$3&lt;=$M13),1,"")</f>
        <v/>
      </c>
      <c r="AA13">
        <f>IF(AND($A13&lt;&gt;"",AA$3&gt;=$J13,AA$3&lt;=$M13),1,"")</f>
        <v/>
      </c>
      <c r="AB13">
        <f>IF(AND($A13&lt;&gt;"",AB$3&gt;=$J13,AB$3&lt;=$M13),1,"")</f>
        <v/>
      </c>
      <c r="AC13">
        <f>IF(AND($A13&lt;&gt;"",AC$3&gt;=$J13,AC$3&lt;=$M13),1,"")</f>
        <v/>
      </c>
      <c r="AD13">
        <f>IF(AND($A13&lt;&gt;"",AD$3&gt;=$J13,AD$3&lt;=$M13),1,"")</f>
        <v/>
      </c>
      <c r="AE13">
        <f>IF(AND($A13&lt;&gt;"",AE$3&gt;=$J13,AE$3&lt;=$M13),1,"")</f>
        <v/>
      </c>
      <c r="AF13">
        <f>IF(AND($A13&lt;&gt;"",AF$3&gt;=$J13,AF$3&lt;=$M13),1,"")</f>
        <v/>
      </c>
      <c r="AG13">
        <f>IF(AND($A13&lt;&gt;"",AG$3&gt;=$J13,AG$3&lt;=$M13),1,"")</f>
        <v/>
      </c>
      <c r="AH13">
        <f>IF(AND($A13&lt;&gt;"",AH$3&gt;=$J13,AH$3&lt;=$M13),1,"")</f>
        <v/>
      </c>
      <c r="AI13">
        <f>IF(AND($A13&lt;&gt;"",AI$3&gt;=$J13,AI$3&lt;=$M13),1,"")</f>
        <v/>
      </c>
      <c r="AJ13">
        <f>IF(AND($A13&lt;&gt;"",AJ$3&gt;=$J13,AJ$3&lt;=$M13),1,"")</f>
        <v/>
      </c>
      <c r="AK13">
        <f>IF(AND($A13&lt;&gt;"",AK$3&gt;=$J13,AK$3&lt;=$M13),1,"")</f>
        <v/>
      </c>
      <c r="AL13">
        <f>IF(AND($A13&lt;&gt;"",AL$3&gt;=$J13,AL$3&lt;=$M13),1,"")</f>
        <v/>
      </c>
      <c r="AM13">
        <f>IF(AND($A13&lt;&gt;"",AM$3&gt;=$J13,AM$3&lt;=$M13),1,"")</f>
        <v/>
      </c>
      <c r="AN13">
        <f>IF(AND($A13&lt;&gt;"",AN$3&gt;=$J13,AN$3&lt;=$M13),1,"")</f>
        <v/>
      </c>
      <c r="AO13">
        <f>IF(AND($A13&lt;&gt;"",AO$3&gt;=$J13,AO$3&lt;=$M13),1,"")</f>
        <v/>
      </c>
      <c r="AP13">
        <f>IF(AND($A13&lt;&gt;"",AP$3&gt;=$J13,AP$3&lt;=$M13),1,"")</f>
        <v/>
      </c>
      <c r="AQ13">
        <f>IF(AND($A13&lt;&gt;"",AQ$3&gt;=$J13,AQ$3&lt;=$M13),1,"")</f>
        <v/>
      </c>
      <c r="AR13">
        <f>IF(AND($A13&lt;&gt;"",AR$3&gt;=$J13,AR$3&lt;=$M13),1,"")</f>
        <v/>
      </c>
      <c r="AS13">
        <f>IF(AND($A13&lt;&gt;"",AS$3&gt;=$J13,AS$3&lt;=$M13),1,"")</f>
        <v/>
      </c>
      <c r="AT13">
        <f>IF(AND($A13&lt;&gt;"",AT$3&gt;=$J13,AT$3&lt;=$M13),1,"")</f>
        <v/>
      </c>
      <c r="AU13">
        <f>IF(AND($A13&lt;&gt;"",AU$3&gt;=$J13,AU$3&lt;=$M13),1,"")</f>
        <v/>
      </c>
      <c r="AV13">
        <f>IF(AND($A13&lt;&gt;"",AV$3&gt;=$J13,AV$3&lt;=$M13),1,"")</f>
        <v/>
      </c>
      <c r="AW13">
        <f>IF(AND($A13&lt;&gt;"",AW$3&gt;=$J13,AW$3&lt;=$M13),1,"")</f>
        <v/>
      </c>
      <c r="AX13">
        <f>IF(AND($A13&lt;&gt;"",AX$3&gt;=$J13,AX$3&lt;=$M13),1,"")</f>
        <v/>
      </c>
      <c r="AY13">
        <f>IF(AND($A13&lt;&gt;"",AY$3&gt;=$J13,AY$3&lt;=$M13),1,"")</f>
        <v/>
      </c>
      <c r="AZ13">
        <f>IF(AND($A13&lt;&gt;"",AZ$3&gt;=$J13,AZ$3&lt;=$M13),1,"")</f>
        <v/>
      </c>
      <c r="BA13">
        <f>IF(AND($A13&lt;&gt;"",BA$3&gt;=$J13,BA$3&lt;=$M13),1,"")</f>
        <v/>
      </c>
      <c r="BB13">
        <f>IF(AND($A13&lt;&gt;"",BB$3&gt;=$J13,BB$3&lt;=$M13),1,"")</f>
        <v/>
      </c>
      <c r="BC13">
        <f>IF(AND($A13&lt;&gt;"",BC$3&gt;=$J13,BC$3&lt;=$M13),1,"")</f>
        <v/>
      </c>
      <c r="BD13">
        <f>IF(AND($A13&lt;&gt;"",BD$3&gt;=$J13,BD$3&lt;=$M13),1,"")</f>
        <v/>
      </c>
      <c r="BE13">
        <f>IF(AND($A13&lt;&gt;"",BE$3&gt;=$J13,BE$3&lt;=$M13),1,"")</f>
        <v/>
      </c>
      <c r="BF13">
        <f>IF(AND($A13&lt;&gt;"",BF$3&gt;=$J13,BF$3&lt;=$M13),1,"")</f>
        <v/>
      </c>
      <c r="BG13">
        <f>IF(AND($A13&lt;&gt;"",BG$3&gt;=$J13,BG$3&lt;=$M13),1,"")</f>
        <v/>
      </c>
      <c r="BH13">
        <f>IF(AND($A13&lt;&gt;"",BH$3&gt;=$J13,BH$3&lt;=$M13),1,"")</f>
        <v/>
      </c>
      <c r="BI13">
        <f>IF(AND($A13&lt;&gt;"",BI$3&gt;=$J13,BI$3&lt;=$M13),1,"")</f>
        <v/>
      </c>
      <c r="BJ13">
        <f>IF(AND($A13&lt;&gt;"",BJ$3&gt;=$J13,BJ$3&lt;=$M13),1,"")</f>
        <v/>
      </c>
      <c r="BK13">
        <f>IF(AND($A13&lt;&gt;"",BK$3&gt;=$J13,BK$3&lt;=$M13),1,"")</f>
        <v/>
      </c>
      <c r="BL13">
        <f>IF(AND($A13&lt;&gt;"",BL$3&gt;=$J13,BL$3&lt;=$M13),1,"")</f>
        <v/>
      </c>
      <c r="BM13">
        <f>IF(AND($A13&lt;&gt;"",BM$3&gt;=$J13,BM$3&lt;=$M13),1,"")</f>
        <v/>
      </c>
      <c r="BN13">
        <f>IF(AND($A13&lt;&gt;"",BN$3&gt;=$J13,BN$3&lt;=$M13),1,"")</f>
        <v/>
      </c>
      <c r="BO13">
        <f>IF(AND($A13&lt;&gt;"",BO$3&gt;=$J13,BO$3&lt;=$M13),1,"")</f>
        <v/>
      </c>
      <c r="BP13">
        <f>IF(AND($A13&lt;&gt;"",BP$3&gt;=$J13,BP$3&lt;=$M13),1,"")</f>
        <v/>
      </c>
      <c r="BQ13">
        <f>IF(AND($A13&lt;&gt;"",BQ$3&gt;=$J13,BQ$3&lt;=$M13),1,"")</f>
        <v/>
      </c>
      <c r="BR13">
        <f>IF(AND($A13&lt;&gt;"",BR$3&gt;=$J13,BR$3&lt;=$M13),1,"")</f>
        <v/>
      </c>
      <c r="BS13">
        <f>IF(AND($A13&lt;&gt;"",BS$3&gt;=$J13,BS$3&lt;=$M13),1,"")</f>
        <v/>
      </c>
      <c r="BT13">
        <f>IF(AND($A13&lt;&gt;"",BT$3&gt;=$J13,BT$3&lt;=$M13),1,"")</f>
        <v/>
      </c>
      <c r="BU13">
        <f>IF(AND($A13&lt;&gt;"",BU$3&gt;=$J13,BU$3&lt;=$M13),1,"")</f>
        <v/>
      </c>
      <c r="BV13">
        <f>IF(AND($A13&lt;&gt;"",BV$3&gt;=$J13,BV$3&lt;=$M13),1,"")</f>
        <v/>
      </c>
    </row>
    <row r="14">
      <c r="A14">
        <f>IF(Job_Master_Ring!$A14="","",Job_Master_Ring!$A14)</f>
        <v/>
      </c>
      <c r="B14">
        <f>IF($A14="","",Job_Master_Ring!B14)</f>
        <v/>
      </c>
      <c r="C14">
        <f>IF($A14="","",Job_Master_Ring!C14)</f>
        <v/>
      </c>
      <c r="D14">
        <f>IF($A14="","",Job_Master_Ring!D14)</f>
        <v/>
      </c>
      <c r="E14">
        <f>IF($A14="","",IF($I14&lt;&gt;"",$I14,IFERROR(INDEX(Machine_List!$B$64:$B$71,MATCH(1,(Machine_List!$H$64:$H$71&lt;=IFERROR(VLOOKUP($B14,CHOOSE(MATCH($C14,Settings!$L$4:$L$10,0),OPR_BR1!$A$4:$K$18,OPR_BR2!$A$4:$K$18,OPR_CR2!$A$4:$K$18,OPR_CR3!$A$4:$K$18,OPR_CR4!$A$4:$K$18,OPR_RIM!$A$4:$K$18,OPR_BPR!$A$4:$K$18),10,0),0))*(Machine_List!$I$64:$I$71&gt;=IFERROR(VLOOKUP($B14,CHOOSE(MATCH($C14,Settings!$L$4:$L$10,0),OPR_BR1!$A$4:$K$18,OPR_BR2!$A$4:$K$18,OPR_CR2!$A$4:$K$18,OPR_CR3!$A$4:$K$18,OPR_CR4!$A$4:$K$18,OPR_RIM!$A$4:$K$18,OPR_BPR!$A$4:$K$18),11,0),9999)),0)),"NO COMPATIBLE MACHINE")))</f>
        <v/>
      </c>
      <c r="F14">
        <f>IF($E14="","",IFERROR(VLOOKUP($E14,Machine_List!$B:$G,6,0),""))</f>
        <v/>
      </c>
      <c r="G14" s="17">
        <f>IF($E14="","",IFERROR(VLOOKUP($E14,Machine_List!$B:$C,2,0),""))</f>
        <v/>
      </c>
      <c r="H14">
        <f>IF($E14="","",IFERROR(VLOOKUP($E14,Machine_List!$B:$D,3,0),""))</f>
        <v/>
      </c>
      <c r="J14" s="16">
        <f>IF($A14="","",IF($I14&lt;&gt;"",$I14,MAX(ENG_Plan!$M14,IFERROR(LOOKUP(2,1/($E$3:INDIRECT("E"&amp;(ROW()-1))=$E14),$M$3:INDIRECT("M"&amp;(ROW()-1))),ENG_Plan!$M14))))</f>
        <v/>
      </c>
      <c r="K14">
        <f>IF($A14="","",IFERROR(VLOOKUP(B14,CHOOSE(MATCH($C14,Settings!$L$4:$L$10,0),OPR_BR1!$A$4:$I$18,OPR_BR2!$A$4:$I$18,OPR_CR2!$A$4:$I$18,OPR_CR3!$A$4:$I$18,OPR_CR4!$A$4:$I$18,OPR_RIM!$A$4:$I$18,OPR_BPR!$A$4:$I$18),7,0),0))</f>
        <v/>
      </c>
      <c r="L14">
        <f>IF($A14="","",K14*D14)</f>
        <v/>
      </c>
      <c r="M14" s="16">
        <f>IF($A14="","",IF(AND(ISNUMBER(G14),G14&gt;=J14,G14&lt;=(J14+(L14/(IF(F14="Contract Workman",Settings!$K$5,Settings!$K$4))))),J14+(L14/(IF(F14="Contract Workman",Settings!$K$5,Settings!$K$4)))+(H14/(IF(F14="Contract Workman",Settings!$K$5,Settings!$K$4))),J14+(L14/(IF(F14="Contract Workman",Settings!$K$5,Settings!$K$4)))))</f>
        <v/>
      </c>
      <c r="N14">
        <f>IF($A14="","",IF(F14="Contract Workman",IF(AND(MOD(M14,1)&gt;=8/24,MOD(M14,1)&lt;20/24),"Shift S1","Shift S2"),IF(AND(MOD(M14,1)&gt;=7/24,MOD(M14,1)&lt;15/24),"Shift A",IF(AND(MOD(M14,1)&gt;=15/24,MOD(M14,1)&lt;23/24),"Shift B","Shift C"))))</f>
        <v/>
      </c>
      <c r="O14">
        <f>IF(B14="","",IF(IFERROR(ISNUMBER(SEARCH(TEXT(B14,"0"),VLOOKUP(E14,Machine_List!$B:$J,9,0))),FALSE),"✅ "&amp; E14,"❌ Sug: "&amp;IFERROR(INDEX(Machine_List!$B$64:$B$71,MATCH(1,(Machine_List!$H$64:$H$71&lt;=IFERROR(VLOOKUP($B14,OPR_BR1!$A$4:$K$18,10,0),0))*(Machine_List!$I$64:$I$71&gt;=IFERROR(VLOOKUP($B14,OPR_BR1!$A$4:$K$18,11,0),9999)),0)),"?")))</f>
        <v/>
      </c>
      <c r="P14">
        <f>IF(AND($A14&lt;&gt;"",P$3&gt;=$J14,P$3&lt;=$M14),1,"")</f>
        <v/>
      </c>
      <c r="Q14">
        <f>IF(AND($A14&lt;&gt;"",Q$3&gt;=$J14,Q$3&lt;=$M14),1,"")</f>
        <v/>
      </c>
      <c r="R14">
        <f>IF(AND($A14&lt;&gt;"",R$3&gt;=$J14,R$3&lt;=$M14),1,"")</f>
        <v/>
      </c>
      <c r="S14">
        <f>IF(AND($A14&lt;&gt;"",S$3&gt;=$J14,S$3&lt;=$M14),1,"")</f>
        <v/>
      </c>
      <c r="T14">
        <f>IF(AND($A14&lt;&gt;"",T$3&gt;=$J14,T$3&lt;=$M14),1,"")</f>
        <v/>
      </c>
      <c r="U14">
        <f>IF(AND($A14&lt;&gt;"",U$3&gt;=$J14,U$3&lt;=$M14),1,"")</f>
        <v/>
      </c>
      <c r="V14">
        <f>IF(AND($A14&lt;&gt;"",V$3&gt;=$J14,V$3&lt;=$M14),1,"")</f>
        <v/>
      </c>
      <c r="W14">
        <f>IF(AND($A14&lt;&gt;"",W$3&gt;=$J14,W$3&lt;=$M14),1,"")</f>
        <v/>
      </c>
      <c r="X14">
        <f>IF(AND($A14&lt;&gt;"",X$3&gt;=$J14,X$3&lt;=$M14),1,"")</f>
        <v/>
      </c>
      <c r="Y14">
        <f>IF(AND($A14&lt;&gt;"",Y$3&gt;=$J14,Y$3&lt;=$M14),1,"")</f>
        <v/>
      </c>
      <c r="Z14">
        <f>IF(AND($A14&lt;&gt;"",Z$3&gt;=$J14,Z$3&lt;=$M14),1,"")</f>
        <v/>
      </c>
      <c r="AA14">
        <f>IF(AND($A14&lt;&gt;"",AA$3&gt;=$J14,AA$3&lt;=$M14),1,"")</f>
        <v/>
      </c>
      <c r="AB14">
        <f>IF(AND($A14&lt;&gt;"",AB$3&gt;=$J14,AB$3&lt;=$M14),1,"")</f>
        <v/>
      </c>
      <c r="AC14">
        <f>IF(AND($A14&lt;&gt;"",AC$3&gt;=$J14,AC$3&lt;=$M14),1,"")</f>
        <v/>
      </c>
      <c r="AD14">
        <f>IF(AND($A14&lt;&gt;"",AD$3&gt;=$J14,AD$3&lt;=$M14),1,"")</f>
        <v/>
      </c>
      <c r="AE14">
        <f>IF(AND($A14&lt;&gt;"",AE$3&gt;=$J14,AE$3&lt;=$M14),1,"")</f>
        <v/>
      </c>
      <c r="AF14">
        <f>IF(AND($A14&lt;&gt;"",AF$3&gt;=$J14,AF$3&lt;=$M14),1,"")</f>
        <v/>
      </c>
      <c r="AG14">
        <f>IF(AND($A14&lt;&gt;"",AG$3&gt;=$J14,AG$3&lt;=$M14),1,"")</f>
        <v/>
      </c>
      <c r="AH14">
        <f>IF(AND($A14&lt;&gt;"",AH$3&gt;=$J14,AH$3&lt;=$M14),1,"")</f>
        <v/>
      </c>
      <c r="AI14">
        <f>IF(AND($A14&lt;&gt;"",AI$3&gt;=$J14,AI$3&lt;=$M14),1,"")</f>
        <v/>
      </c>
      <c r="AJ14">
        <f>IF(AND($A14&lt;&gt;"",AJ$3&gt;=$J14,AJ$3&lt;=$M14),1,"")</f>
        <v/>
      </c>
      <c r="AK14">
        <f>IF(AND($A14&lt;&gt;"",AK$3&gt;=$J14,AK$3&lt;=$M14),1,"")</f>
        <v/>
      </c>
      <c r="AL14">
        <f>IF(AND($A14&lt;&gt;"",AL$3&gt;=$J14,AL$3&lt;=$M14),1,"")</f>
        <v/>
      </c>
      <c r="AM14">
        <f>IF(AND($A14&lt;&gt;"",AM$3&gt;=$J14,AM$3&lt;=$M14),1,"")</f>
        <v/>
      </c>
      <c r="AN14">
        <f>IF(AND($A14&lt;&gt;"",AN$3&gt;=$J14,AN$3&lt;=$M14),1,"")</f>
        <v/>
      </c>
      <c r="AO14">
        <f>IF(AND($A14&lt;&gt;"",AO$3&gt;=$J14,AO$3&lt;=$M14),1,"")</f>
        <v/>
      </c>
      <c r="AP14">
        <f>IF(AND($A14&lt;&gt;"",AP$3&gt;=$J14,AP$3&lt;=$M14),1,"")</f>
        <v/>
      </c>
      <c r="AQ14">
        <f>IF(AND($A14&lt;&gt;"",AQ$3&gt;=$J14,AQ$3&lt;=$M14),1,"")</f>
        <v/>
      </c>
      <c r="AR14">
        <f>IF(AND($A14&lt;&gt;"",AR$3&gt;=$J14,AR$3&lt;=$M14),1,"")</f>
        <v/>
      </c>
      <c r="AS14">
        <f>IF(AND($A14&lt;&gt;"",AS$3&gt;=$J14,AS$3&lt;=$M14),1,"")</f>
        <v/>
      </c>
      <c r="AT14">
        <f>IF(AND($A14&lt;&gt;"",AT$3&gt;=$J14,AT$3&lt;=$M14),1,"")</f>
        <v/>
      </c>
      <c r="AU14">
        <f>IF(AND($A14&lt;&gt;"",AU$3&gt;=$J14,AU$3&lt;=$M14),1,"")</f>
        <v/>
      </c>
      <c r="AV14">
        <f>IF(AND($A14&lt;&gt;"",AV$3&gt;=$J14,AV$3&lt;=$M14),1,"")</f>
        <v/>
      </c>
      <c r="AW14">
        <f>IF(AND($A14&lt;&gt;"",AW$3&gt;=$J14,AW$3&lt;=$M14),1,"")</f>
        <v/>
      </c>
      <c r="AX14">
        <f>IF(AND($A14&lt;&gt;"",AX$3&gt;=$J14,AX$3&lt;=$M14),1,"")</f>
        <v/>
      </c>
      <c r="AY14">
        <f>IF(AND($A14&lt;&gt;"",AY$3&gt;=$J14,AY$3&lt;=$M14),1,"")</f>
        <v/>
      </c>
      <c r="AZ14">
        <f>IF(AND($A14&lt;&gt;"",AZ$3&gt;=$J14,AZ$3&lt;=$M14),1,"")</f>
        <v/>
      </c>
      <c r="BA14">
        <f>IF(AND($A14&lt;&gt;"",BA$3&gt;=$J14,BA$3&lt;=$M14),1,"")</f>
        <v/>
      </c>
      <c r="BB14">
        <f>IF(AND($A14&lt;&gt;"",BB$3&gt;=$J14,BB$3&lt;=$M14),1,"")</f>
        <v/>
      </c>
      <c r="BC14">
        <f>IF(AND($A14&lt;&gt;"",BC$3&gt;=$J14,BC$3&lt;=$M14),1,"")</f>
        <v/>
      </c>
      <c r="BD14">
        <f>IF(AND($A14&lt;&gt;"",BD$3&gt;=$J14,BD$3&lt;=$M14),1,"")</f>
        <v/>
      </c>
      <c r="BE14">
        <f>IF(AND($A14&lt;&gt;"",BE$3&gt;=$J14,BE$3&lt;=$M14),1,"")</f>
        <v/>
      </c>
      <c r="BF14">
        <f>IF(AND($A14&lt;&gt;"",BF$3&gt;=$J14,BF$3&lt;=$M14),1,"")</f>
        <v/>
      </c>
      <c r="BG14">
        <f>IF(AND($A14&lt;&gt;"",BG$3&gt;=$J14,BG$3&lt;=$M14),1,"")</f>
        <v/>
      </c>
      <c r="BH14">
        <f>IF(AND($A14&lt;&gt;"",BH$3&gt;=$J14,BH$3&lt;=$M14),1,"")</f>
        <v/>
      </c>
      <c r="BI14">
        <f>IF(AND($A14&lt;&gt;"",BI$3&gt;=$J14,BI$3&lt;=$M14),1,"")</f>
        <v/>
      </c>
      <c r="BJ14">
        <f>IF(AND($A14&lt;&gt;"",BJ$3&gt;=$J14,BJ$3&lt;=$M14),1,"")</f>
        <v/>
      </c>
      <c r="BK14">
        <f>IF(AND($A14&lt;&gt;"",BK$3&gt;=$J14,BK$3&lt;=$M14),1,"")</f>
        <v/>
      </c>
      <c r="BL14">
        <f>IF(AND($A14&lt;&gt;"",BL$3&gt;=$J14,BL$3&lt;=$M14),1,"")</f>
        <v/>
      </c>
      <c r="BM14">
        <f>IF(AND($A14&lt;&gt;"",BM$3&gt;=$J14,BM$3&lt;=$M14),1,"")</f>
        <v/>
      </c>
      <c r="BN14">
        <f>IF(AND($A14&lt;&gt;"",BN$3&gt;=$J14,BN$3&lt;=$M14),1,"")</f>
        <v/>
      </c>
      <c r="BO14">
        <f>IF(AND($A14&lt;&gt;"",BO$3&gt;=$J14,BO$3&lt;=$M14),1,"")</f>
        <v/>
      </c>
      <c r="BP14">
        <f>IF(AND($A14&lt;&gt;"",BP$3&gt;=$J14,BP$3&lt;=$M14),1,"")</f>
        <v/>
      </c>
      <c r="BQ14">
        <f>IF(AND($A14&lt;&gt;"",BQ$3&gt;=$J14,BQ$3&lt;=$M14),1,"")</f>
        <v/>
      </c>
      <c r="BR14">
        <f>IF(AND($A14&lt;&gt;"",BR$3&gt;=$J14,BR$3&lt;=$M14),1,"")</f>
        <v/>
      </c>
      <c r="BS14">
        <f>IF(AND($A14&lt;&gt;"",BS$3&gt;=$J14,BS$3&lt;=$M14),1,"")</f>
        <v/>
      </c>
      <c r="BT14">
        <f>IF(AND($A14&lt;&gt;"",BT$3&gt;=$J14,BT$3&lt;=$M14),1,"")</f>
        <v/>
      </c>
      <c r="BU14">
        <f>IF(AND($A14&lt;&gt;"",BU$3&gt;=$J14,BU$3&lt;=$M14),1,"")</f>
        <v/>
      </c>
      <c r="BV14">
        <f>IF(AND($A14&lt;&gt;"",BV$3&gt;=$J14,BV$3&lt;=$M14),1,"")</f>
        <v/>
      </c>
    </row>
    <row r="15">
      <c r="A15">
        <f>IF(Job_Master_Ring!$A15="","",Job_Master_Ring!$A15)</f>
        <v/>
      </c>
      <c r="B15">
        <f>IF($A15="","",Job_Master_Ring!B15)</f>
        <v/>
      </c>
      <c r="C15">
        <f>IF($A15="","",Job_Master_Ring!C15)</f>
        <v/>
      </c>
      <c r="D15">
        <f>IF($A15="","",Job_Master_Ring!D15)</f>
        <v/>
      </c>
      <c r="E15">
        <f>IF($A15="","",IF($I15&lt;&gt;"",$I15,IFERROR(INDEX(Machine_List!$B$64:$B$71,MATCH(1,(Machine_List!$H$64:$H$71&lt;=IFERROR(VLOOKUP($B15,CHOOSE(MATCH($C15,Settings!$L$4:$L$10,0),OPR_BR1!$A$4:$K$18,OPR_BR2!$A$4:$K$18,OPR_CR2!$A$4:$K$18,OPR_CR3!$A$4:$K$18,OPR_CR4!$A$4:$K$18,OPR_RIM!$A$4:$K$18,OPR_BPR!$A$4:$K$18),10,0),0))*(Machine_List!$I$64:$I$71&gt;=IFERROR(VLOOKUP($B15,CHOOSE(MATCH($C15,Settings!$L$4:$L$10,0),OPR_BR1!$A$4:$K$18,OPR_BR2!$A$4:$K$18,OPR_CR2!$A$4:$K$18,OPR_CR3!$A$4:$K$18,OPR_CR4!$A$4:$K$18,OPR_RIM!$A$4:$K$18,OPR_BPR!$A$4:$K$18),11,0),9999)),0)),"NO COMPATIBLE MACHINE")))</f>
        <v/>
      </c>
      <c r="F15">
        <f>IF($E15="","",IFERROR(VLOOKUP($E15,Machine_List!$B:$G,6,0),""))</f>
        <v/>
      </c>
      <c r="G15" s="17">
        <f>IF($E15="","",IFERROR(VLOOKUP($E15,Machine_List!$B:$C,2,0),""))</f>
        <v/>
      </c>
      <c r="H15">
        <f>IF($E15="","",IFERROR(VLOOKUP($E15,Machine_List!$B:$D,3,0),""))</f>
        <v/>
      </c>
      <c r="J15" s="16">
        <f>IF($A15="","",IF($I15&lt;&gt;"",$I15,MAX(ENG_Plan!$M15,IFERROR(LOOKUP(2,1/($E$3:INDIRECT("E"&amp;(ROW()-1))=$E15),$M$3:INDIRECT("M"&amp;(ROW()-1))),ENG_Plan!$M15))))</f>
        <v/>
      </c>
      <c r="K15">
        <f>IF($A15="","",IFERROR(VLOOKUP(B15,CHOOSE(MATCH($C15,Settings!$L$4:$L$10,0),OPR_BR1!$A$4:$I$18,OPR_BR2!$A$4:$I$18,OPR_CR2!$A$4:$I$18,OPR_CR3!$A$4:$I$18,OPR_CR4!$A$4:$I$18,OPR_RIM!$A$4:$I$18,OPR_BPR!$A$4:$I$18),7,0),0))</f>
        <v/>
      </c>
      <c r="L15">
        <f>IF($A15="","",K15*D15)</f>
        <v/>
      </c>
      <c r="M15" s="16">
        <f>IF($A15="","",IF(AND(ISNUMBER(G15),G15&gt;=J15,G15&lt;=(J15+(L15/(IF(F15="Contract Workman",Settings!$K$5,Settings!$K$4))))),J15+(L15/(IF(F15="Contract Workman",Settings!$K$5,Settings!$K$4)))+(H15/(IF(F15="Contract Workman",Settings!$K$5,Settings!$K$4))),J15+(L15/(IF(F15="Contract Workman",Settings!$K$5,Settings!$K$4)))))</f>
        <v/>
      </c>
      <c r="N15">
        <f>IF($A15="","",IF(F15="Contract Workman",IF(AND(MOD(M15,1)&gt;=8/24,MOD(M15,1)&lt;20/24),"Shift S1","Shift S2"),IF(AND(MOD(M15,1)&gt;=7/24,MOD(M15,1)&lt;15/24),"Shift A",IF(AND(MOD(M15,1)&gt;=15/24,MOD(M15,1)&lt;23/24),"Shift B","Shift C"))))</f>
        <v/>
      </c>
      <c r="O15">
        <f>IF(B15="","",IF(IFERROR(ISNUMBER(SEARCH(TEXT(B15,"0"),VLOOKUP(E15,Machine_List!$B:$J,9,0))),FALSE),"✅ "&amp; E15,"❌ Sug: "&amp;IFERROR(INDEX(Machine_List!$B$64:$B$71,MATCH(1,(Machine_List!$H$64:$H$71&lt;=IFERROR(VLOOKUP($B15,OPR_BR1!$A$4:$K$18,10,0),0))*(Machine_List!$I$64:$I$71&gt;=IFERROR(VLOOKUP($B15,OPR_BR1!$A$4:$K$18,11,0),9999)),0)),"?")))</f>
        <v/>
      </c>
      <c r="P15">
        <f>IF(AND($A15&lt;&gt;"",P$3&gt;=$J15,P$3&lt;=$M15),1,"")</f>
        <v/>
      </c>
      <c r="Q15">
        <f>IF(AND($A15&lt;&gt;"",Q$3&gt;=$J15,Q$3&lt;=$M15),1,"")</f>
        <v/>
      </c>
      <c r="R15">
        <f>IF(AND($A15&lt;&gt;"",R$3&gt;=$J15,R$3&lt;=$M15),1,"")</f>
        <v/>
      </c>
      <c r="S15">
        <f>IF(AND($A15&lt;&gt;"",S$3&gt;=$J15,S$3&lt;=$M15),1,"")</f>
        <v/>
      </c>
      <c r="T15">
        <f>IF(AND($A15&lt;&gt;"",T$3&gt;=$J15,T$3&lt;=$M15),1,"")</f>
        <v/>
      </c>
      <c r="U15">
        <f>IF(AND($A15&lt;&gt;"",U$3&gt;=$J15,U$3&lt;=$M15),1,"")</f>
        <v/>
      </c>
      <c r="V15">
        <f>IF(AND($A15&lt;&gt;"",V$3&gt;=$J15,V$3&lt;=$M15),1,"")</f>
        <v/>
      </c>
      <c r="W15">
        <f>IF(AND($A15&lt;&gt;"",W$3&gt;=$J15,W$3&lt;=$M15),1,"")</f>
        <v/>
      </c>
      <c r="X15">
        <f>IF(AND($A15&lt;&gt;"",X$3&gt;=$J15,X$3&lt;=$M15),1,"")</f>
        <v/>
      </c>
      <c r="Y15">
        <f>IF(AND($A15&lt;&gt;"",Y$3&gt;=$J15,Y$3&lt;=$M15),1,"")</f>
        <v/>
      </c>
      <c r="Z15">
        <f>IF(AND($A15&lt;&gt;"",Z$3&gt;=$J15,Z$3&lt;=$M15),1,"")</f>
        <v/>
      </c>
      <c r="AA15">
        <f>IF(AND($A15&lt;&gt;"",AA$3&gt;=$J15,AA$3&lt;=$M15),1,"")</f>
        <v/>
      </c>
      <c r="AB15">
        <f>IF(AND($A15&lt;&gt;"",AB$3&gt;=$J15,AB$3&lt;=$M15),1,"")</f>
        <v/>
      </c>
      <c r="AC15">
        <f>IF(AND($A15&lt;&gt;"",AC$3&gt;=$J15,AC$3&lt;=$M15),1,"")</f>
        <v/>
      </c>
      <c r="AD15">
        <f>IF(AND($A15&lt;&gt;"",AD$3&gt;=$J15,AD$3&lt;=$M15),1,"")</f>
        <v/>
      </c>
      <c r="AE15">
        <f>IF(AND($A15&lt;&gt;"",AE$3&gt;=$J15,AE$3&lt;=$M15),1,"")</f>
        <v/>
      </c>
      <c r="AF15">
        <f>IF(AND($A15&lt;&gt;"",AF$3&gt;=$J15,AF$3&lt;=$M15),1,"")</f>
        <v/>
      </c>
      <c r="AG15">
        <f>IF(AND($A15&lt;&gt;"",AG$3&gt;=$J15,AG$3&lt;=$M15),1,"")</f>
        <v/>
      </c>
      <c r="AH15">
        <f>IF(AND($A15&lt;&gt;"",AH$3&gt;=$J15,AH$3&lt;=$M15),1,"")</f>
        <v/>
      </c>
      <c r="AI15">
        <f>IF(AND($A15&lt;&gt;"",AI$3&gt;=$J15,AI$3&lt;=$M15),1,"")</f>
        <v/>
      </c>
      <c r="AJ15">
        <f>IF(AND($A15&lt;&gt;"",AJ$3&gt;=$J15,AJ$3&lt;=$M15),1,"")</f>
        <v/>
      </c>
      <c r="AK15">
        <f>IF(AND($A15&lt;&gt;"",AK$3&gt;=$J15,AK$3&lt;=$M15),1,"")</f>
        <v/>
      </c>
      <c r="AL15">
        <f>IF(AND($A15&lt;&gt;"",AL$3&gt;=$J15,AL$3&lt;=$M15),1,"")</f>
        <v/>
      </c>
      <c r="AM15">
        <f>IF(AND($A15&lt;&gt;"",AM$3&gt;=$J15,AM$3&lt;=$M15),1,"")</f>
        <v/>
      </c>
      <c r="AN15">
        <f>IF(AND($A15&lt;&gt;"",AN$3&gt;=$J15,AN$3&lt;=$M15),1,"")</f>
        <v/>
      </c>
      <c r="AO15">
        <f>IF(AND($A15&lt;&gt;"",AO$3&gt;=$J15,AO$3&lt;=$M15),1,"")</f>
        <v/>
      </c>
      <c r="AP15">
        <f>IF(AND($A15&lt;&gt;"",AP$3&gt;=$J15,AP$3&lt;=$M15),1,"")</f>
        <v/>
      </c>
      <c r="AQ15">
        <f>IF(AND($A15&lt;&gt;"",AQ$3&gt;=$J15,AQ$3&lt;=$M15),1,"")</f>
        <v/>
      </c>
      <c r="AR15">
        <f>IF(AND($A15&lt;&gt;"",AR$3&gt;=$J15,AR$3&lt;=$M15),1,"")</f>
        <v/>
      </c>
      <c r="AS15">
        <f>IF(AND($A15&lt;&gt;"",AS$3&gt;=$J15,AS$3&lt;=$M15),1,"")</f>
        <v/>
      </c>
      <c r="AT15">
        <f>IF(AND($A15&lt;&gt;"",AT$3&gt;=$J15,AT$3&lt;=$M15),1,"")</f>
        <v/>
      </c>
      <c r="AU15">
        <f>IF(AND($A15&lt;&gt;"",AU$3&gt;=$J15,AU$3&lt;=$M15),1,"")</f>
        <v/>
      </c>
      <c r="AV15">
        <f>IF(AND($A15&lt;&gt;"",AV$3&gt;=$J15,AV$3&lt;=$M15),1,"")</f>
        <v/>
      </c>
      <c r="AW15">
        <f>IF(AND($A15&lt;&gt;"",AW$3&gt;=$J15,AW$3&lt;=$M15),1,"")</f>
        <v/>
      </c>
      <c r="AX15">
        <f>IF(AND($A15&lt;&gt;"",AX$3&gt;=$J15,AX$3&lt;=$M15),1,"")</f>
        <v/>
      </c>
      <c r="AY15">
        <f>IF(AND($A15&lt;&gt;"",AY$3&gt;=$J15,AY$3&lt;=$M15),1,"")</f>
        <v/>
      </c>
      <c r="AZ15">
        <f>IF(AND($A15&lt;&gt;"",AZ$3&gt;=$J15,AZ$3&lt;=$M15),1,"")</f>
        <v/>
      </c>
      <c r="BA15">
        <f>IF(AND($A15&lt;&gt;"",BA$3&gt;=$J15,BA$3&lt;=$M15),1,"")</f>
        <v/>
      </c>
      <c r="BB15">
        <f>IF(AND($A15&lt;&gt;"",BB$3&gt;=$J15,BB$3&lt;=$M15),1,"")</f>
        <v/>
      </c>
      <c r="BC15">
        <f>IF(AND($A15&lt;&gt;"",BC$3&gt;=$J15,BC$3&lt;=$M15),1,"")</f>
        <v/>
      </c>
      <c r="BD15">
        <f>IF(AND($A15&lt;&gt;"",BD$3&gt;=$J15,BD$3&lt;=$M15),1,"")</f>
        <v/>
      </c>
      <c r="BE15">
        <f>IF(AND($A15&lt;&gt;"",BE$3&gt;=$J15,BE$3&lt;=$M15),1,"")</f>
        <v/>
      </c>
      <c r="BF15">
        <f>IF(AND($A15&lt;&gt;"",BF$3&gt;=$J15,BF$3&lt;=$M15),1,"")</f>
        <v/>
      </c>
      <c r="BG15">
        <f>IF(AND($A15&lt;&gt;"",BG$3&gt;=$J15,BG$3&lt;=$M15),1,"")</f>
        <v/>
      </c>
      <c r="BH15">
        <f>IF(AND($A15&lt;&gt;"",BH$3&gt;=$J15,BH$3&lt;=$M15),1,"")</f>
        <v/>
      </c>
      <c r="BI15">
        <f>IF(AND($A15&lt;&gt;"",BI$3&gt;=$J15,BI$3&lt;=$M15),1,"")</f>
        <v/>
      </c>
      <c r="BJ15">
        <f>IF(AND($A15&lt;&gt;"",BJ$3&gt;=$J15,BJ$3&lt;=$M15),1,"")</f>
        <v/>
      </c>
      <c r="BK15">
        <f>IF(AND($A15&lt;&gt;"",BK$3&gt;=$J15,BK$3&lt;=$M15),1,"")</f>
        <v/>
      </c>
      <c r="BL15">
        <f>IF(AND($A15&lt;&gt;"",BL$3&gt;=$J15,BL$3&lt;=$M15),1,"")</f>
        <v/>
      </c>
      <c r="BM15">
        <f>IF(AND($A15&lt;&gt;"",BM$3&gt;=$J15,BM$3&lt;=$M15),1,"")</f>
        <v/>
      </c>
      <c r="BN15">
        <f>IF(AND($A15&lt;&gt;"",BN$3&gt;=$J15,BN$3&lt;=$M15),1,"")</f>
        <v/>
      </c>
      <c r="BO15">
        <f>IF(AND($A15&lt;&gt;"",BO$3&gt;=$J15,BO$3&lt;=$M15),1,"")</f>
        <v/>
      </c>
      <c r="BP15">
        <f>IF(AND($A15&lt;&gt;"",BP$3&gt;=$J15,BP$3&lt;=$M15),1,"")</f>
        <v/>
      </c>
      <c r="BQ15">
        <f>IF(AND($A15&lt;&gt;"",BQ$3&gt;=$J15,BQ$3&lt;=$M15),1,"")</f>
        <v/>
      </c>
      <c r="BR15">
        <f>IF(AND($A15&lt;&gt;"",BR$3&gt;=$J15,BR$3&lt;=$M15),1,"")</f>
        <v/>
      </c>
      <c r="BS15">
        <f>IF(AND($A15&lt;&gt;"",BS$3&gt;=$J15,BS$3&lt;=$M15),1,"")</f>
        <v/>
      </c>
      <c r="BT15">
        <f>IF(AND($A15&lt;&gt;"",BT$3&gt;=$J15,BT$3&lt;=$M15),1,"")</f>
        <v/>
      </c>
      <c r="BU15">
        <f>IF(AND($A15&lt;&gt;"",BU$3&gt;=$J15,BU$3&lt;=$M15),1,"")</f>
        <v/>
      </c>
      <c r="BV15">
        <f>IF(AND($A15&lt;&gt;"",BV$3&gt;=$J15,BV$3&lt;=$M15),1,"")</f>
        <v/>
      </c>
    </row>
    <row r="16">
      <c r="A16">
        <f>IF(Job_Master_Ring!$A16="","",Job_Master_Ring!$A16)</f>
        <v/>
      </c>
      <c r="B16">
        <f>IF($A16="","",Job_Master_Ring!B16)</f>
        <v/>
      </c>
      <c r="C16">
        <f>IF($A16="","",Job_Master_Ring!C16)</f>
        <v/>
      </c>
      <c r="D16">
        <f>IF($A16="","",Job_Master_Ring!D16)</f>
        <v/>
      </c>
      <c r="E16">
        <f>IF($A16="","",IF($I16&lt;&gt;"",$I16,IFERROR(INDEX(Machine_List!$B$64:$B$71,MATCH(1,(Machine_List!$H$64:$H$71&lt;=IFERROR(VLOOKUP($B16,CHOOSE(MATCH($C16,Settings!$L$4:$L$10,0),OPR_BR1!$A$4:$K$18,OPR_BR2!$A$4:$K$18,OPR_CR2!$A$4:$K$18,OPR_CR3!$A$4:$K$18,OPR_CR4!$A$4:$K$18,OPR_RIM!$A$4:$K$18,OPR_BPR!$A$4:$K$18),10,0),0))*(Machine_List!$I$64:$I$71&gt;=IFERROR(VLOOKUP($B16,CHOOSE(MATCH($C16,Settings!$L$4:$L$10,0),OPR_BR1!$A$4:$K$18,OPR_BR2!$A$4:$K$18,OPR_CR2!$A$4:$K$18,OPR_CR3!$A$4:$K$18,OPR_CR4!$A$4:$K$18,OPR_RIM!$A$4:$K$18,OPR_BPR!$A$4:$K$18),11,0),9999)),0)),"NO COMPATIBLE MACHINE")))</f>
        <v/>
      </c>
      <c r="F16">
        <f>IF($E16="","",IFERROR(VLOOKUP($E16,Machine_List!$B:$G,6,0),""))</f>
        <v/>
      </c>
      <c r="G16" s="17">
        <f>IF($E16="","",IFERROR(VLOOKUP($E16,Machine_List!$B:$C,2,0),""))</f>
        <v/>
      </c>
      <c r="H16">
        <f>IF($E16="","",IFERROR(VLOOKUP($E16,Machine_List!$B:$D,3,0),""))</f>
        <v/>
      </c>
      <c r="J16" s="16">
        <f>IF($A16="","",IF($I16&lt;&gt;"",$I16,MAX(ENG_Plan!$M16,IFERROR(LOOKUP(2,1/($E$3:INDIRECT("E"&amp;(ROW()-1))=$E16),$M$3:INDIRECT("M"&amp;(ROW()-1))),ENG_Plan!$M16))))</f>
        <v/>
      </c>
      <c r="K16">
        <f>IF($A16="","",IFERROR(VLOOKUP(B16,CHOOSE(MATCH($C16,Settings!$L$4:$L$10,0),OPR_BR1!$A$4:$I$18,OPR_BR2!$A$4:$I$18,OPR_CR2!$A$4:$I$18,OPR_CR3!$A$4:$I$18,OPR_CR4!$A$4:$I$18,OPR_RIM!$A$4:$I$18,OPR_BPR!$A$4:$I$18),7,0),0))</f>
        <v/>
      </c>
      <c r="L16">
        <f>IF($A16="","",K16*D16)</f>
        <v/>
      </c>
      <c r="M16" s="16">
        <f>IF($A16="","",IF(AND(ISNUMBER(G16),G16&gt;=J16,G16&lt;=(J16+(L16/(IF(F16="Contract Workman",Settings!$K$5,Settings!$K$4))))),J16+(L16/(IF(F16="Contract Workman",Settings!$K$5,Settings!$K$4)))+(H16/(IF(F16="Contract Workman",Settings!$K$5,Settings!$K$4))),J16+(L16/(IF(F16="Contract Workman",Settings!$K$5,Settings!$K$4)))))</f>
        <v/>
      </c>
      <c r="N16">
        <f>IF($A16="","",IF(F16="Contract Workman",IF(AND(MOD(M16,1)&gt;=8/24,MOD(M16,1)&lt;20/24),"Shift S1","Shift S2"),IF(AND(MOD(M16,1)&gt;=7/24,MOD(M16,1)&lt;15/24),"Shift A",IF(AND(MOD(M16,1)&gt;=15/24,MOD(M16,1)&lt;23/24),"Shift B","Shift C"))))</f>
        <v/>
      </c>
      <c r="O16">
        <f>IF(B16="","",IF(IFERROR(ISNUMBER(SEARCH(TEXT(B16,"0"),VLOOKUP(E16,Machine_List!$B:$J,9,0))),FALSE),"✅ "&amp; E16,"❌ Sug: "&amp;IFERROR(INDEX(Machine_List!$B$64:$B$71,MATCH(1,(Machine_List!$H$64:$H$71&lt;=IFERROR(VLOOKUP($B16,OPR_BR1!$A$4:$K$18,10,0),0))*(Machine_List!$I$64:$I$71&gt;=IFERROR(VLOOKUP($B16,OPR_BR1!$A$4:$K$18,11,0),9999)),0)),"?")))</f>
        <v/>
      </c>
      <c r="P16">
        <f>IF(AND($A16&lt;&gt;"",P$3&gt;=$J16,P$3&lt;=$M16),1,"")</f>
        <v/>
      </c>
      <c r="Q16">
        <f>IF(AND($A16&lt;&gt;"",Q$3&gt;=$J16,Q$3&lt;=$M16),1,"")</f>
        <v/>
      </c>
      <c r="R16">
        <f>IF(AND($A16&lt;&gt;"",R$3&gt;=$J16,R$3&lt;=$M16),1,"")</f>
        <v/>
      </c>
      <c r="S16">
        <f>IF(AND($A16&lt;&gt;"",S$3&gt;=$J16,S$3&lt;=$M16),1,"")</f>
        <v/>
      </c>
      <c r="T16">
        <f>IF(AND($A16&lt;&gt;"",T$3&gt;=$J16,T$3&lt;=$M16),1,"")</f>
        <v/>
      </c>
      <c r="U16">
        <f>IF(AND($A16&lt;&gt;"",U$3&gt;=$J16,U$3&lt;=$M16),1,"")</f>
        <v/>
      </c>
      <c r="V16">
        <f>IF(AND($A16&lt;&gt;"",V$3&gt;=$J16,V$3&lt;=$M16),1,"")</f>
        <v/>
      </c>
      <c r="W16">
        <f>IF(AND($A16&lt;&gt;"",W$3&gt;=$J16,W$3&lt;=$M16),1,"")</f>
        <v/>
      </c>
      <c r="X16">
        <f>IF(AND($A16&lt;&gt;"",X$3&gt;=$J16,X$3&lt;=$M16),1,"")</f>
        <v/>
      </c>
      <c r="Y16">
        <f>IF(AND($A16&lt;&gt;"",Y$3&gt;=$J16,Y$3&lt;=$M16),1,"")</f>
        <v/>
      </c>
      <c r="Z16">
        <f>IF(AND($A16&lt;&gt;"",Z$3&gt;=$J16,Z$3&lt;=$M16),1,"")</f>
        <v/>
      </c>
      <c r="AA16">
        <f>IF(AND($A16&lt;&gt;"",AA$3&gt;=$J16,AA$3&lt;=$M16),1,"")</f>
        <v/>
      </c>
      <c r="AB16">
        <f>IF(AND($A16&lt;&gt;"",AB$3&gt;=$J16,AB$3&lt;=$M16),1,"")</f>
        <v/>
      </c>
      <c r="AC16">
        <f>IF(AND($A16&lt;&gt;"",AC$3&gt;=$J16,AC$3&lt;=$M16),1,"")</f>
        <v/>
      </c>
      <c r="AD16">
        <f>IF(AND($A16&lt;&gt;"",AD$3&gt;=$J16,AD$3&lt;=$M16),1,"")</f>
        <v/>
      </c>
      <c r="AE16">
        <f>IF(AND($A16&lt;&gt;"",AE$3&gt;=$J16,AE$3&lt;=$M16),1,"")</f>
        <v/>
      </c>
      <c r="AF16">
        <f>IF(AND($A16&lt;&gt;"",AF$3&gt;=$J16,AF$3&lt;=$M16),1,"")</f>
        <v/>
      </c>
      <c r="AG16">
        <f>IF(AND($A16&lt;&gt;"",AG$3&gt;=$J16,AG$3&lt;=$M16),1,"")</f>
        <v/>
      </c>
      <c r="AH16">
        <f>IF(AND($A16&lt;&gt;"",AH$3&gt;=$J16,AH$3&lt;=$M16),1,"")</f>
        <v/>
      </c>
      <c r="AI16">
        <f>IF(AND($A16&lt;&gt;"",AI$3&gt;=$J16,AI$3&lt;=$M16),1,"")</f>
        <v/>
      </c>
      <c r="AJ16">
        <f>IF(AND($A16&lt;&gt;"",AJ$3&gt;=$J16,AJ$3&lt;=$M16),1,"")</f>
        <v/>
      </c>
      <c r="AK16">
        <f>IF(AND($A16&lt;&gt;"",AK$3&gt;=$J16,AK$3&lt;=$M16),1,"")</f>
        <v/>
      </c>
      <c r="AL16">
        <f>IF(AND($A16&lt;&gt;"",AL$3&gt;=$J16,AL$3&lt;=$M16),1,"")</f>
        <v/>
      </c>
      <c r="AM16">
        <f>IF(AND($A16&lt;&gt;"",AM$3&gt;=$J16,AM$3&lt;=$M16),1,"")</f>
        <v/>
      </c>
      <c r="AN16">
        <f>IF(AND($A16&lt;&gt;"",AN$3&gt;=$J16,AN$3&lt;=$M16),1,"")</f>
        <v/>
      </c>
      <c r="AO16">
        <f>IF(AND($A16&lt;&gt;"",AO$3&gt;=$J16,AO$3&lt;=$M16),1,"")</f>
        <v/>
      </c>
      <c r="AP16">
        <f>IF(AND($A16&lt;&gt;"",AP$3&gt;=$J16,AP$3&lt;=$M16),1,"")</f>
        <v/>
      </c>
      <c r="AQ16">
        <f>IF(AND($A16&lt;&gt;"",AQ$3&gt;=$J16,AQ$3&lt;=$M16),1,"")</f>
        <v/>
      </c>
      <c r="AR16">
        <f>IF(AND($A16&lt;&gt;"",AR$3&gt;=$J16,AR$3&lt;=$M16),1,"")</f>
        <v/>
      </c>
      <c r="AS16">
        <f>IF(AND($A16&lt;&gt;"",AS$3&gt;=$J16,AS$3&lt;=$M16),1,"")</f>
        <v/>
      </c>
      <c r="AT16">
        <f>IF(AND($A16&lt;&gt;"",AT$3&gt;=$J16,AT$3&lt;=$M16),1,"")</f>
        <v/>
      </c>
      <c r="AU16">
        <f>IF(AND($A16&lt;&gt;"",AU$3&gt;=$J16,AU$3&lt;=$M16),1,"")</f>
        <v/>
      </c>
      <c r="AV16">
        <f>IF(AND($A16&lt;&gt;"",AV$3&gt;=$J16,AV$3&lt;=$M16),1,"")</f>
        <v/>
      </c>
      <c r="AW16">
        <f>IF(AND($A16&lt;&gt;"",AW$3&gt;=$J16,AW$3&lt;=$M16),1,"")</f>
        <v/>
      </c>
      <c r="AX16">
        <f>IF(AND($A16&lt;&gt;"",AX$3&gt;=$J16,AX$3&lt;=$M16),1,"")</f>
        <v/>
      </c>
      <c r="AY16">
        <f>IF(AND($A16&lt;&gt;"",AY$3&gt;=$J16,AY$3&lt;=$M16),1,"")</f>
        <v/>
      </c>
      <c r="AZ16">
        <f>IF(AND($A16&lt;&gt;"",AZ$3&gt;=$J16,AZ$3&lt;=$M16),1,"")</f>
        <v/>
      </c>
      <c r="BA16">
        <f>IF(AND($A16&lt;&gt;"",BA$3&gt;=$J16,BA$3&lt;=$M16),1,"")</f>
        <v/>
      </c>
      <c r="BB16">
        <f>IF(AND($A16&lt;&gt;"",BB$3&gt;=$J16,BB$3&lt;=$M16),1,"")</f>
        <v/>
      </c>
      <c r="BC16">
        <f>IF(AND($A16&lt;&gt;"",BC$3&gt;=$J16,BC$3&lt;=$M16),1,"")</f>
        <v/>
      </c>
      <c r="BD16">
        <f>IF(AND($A16&lt;&gt;"",BD$3&gt;=$J16,BD$3&lt;=$M16),1,"")</f>
        <v/>
      </c>
      <c r="BE16">
        <f>IF(AND($A16&lt;&gt;"",BE$3&gt;=$J16,BE$3&lt;=$M16),1,"")</f>
        <v/>
      </c>
      <c r="BF16">
        <f>IF(AND($A16&lt;&gt;"",BF$3&gt;=$J16,BF$3&lt;=$M16),1,"")</f>
        <v/>
      </c>
      <c r="BG16">
        <f>IF(AND($A16&lt;&gt;"",BG$3&gt;=$J16,BG$3&lt;=$M16),1,"")</f>
        <v/>
      </c>
      <c r="BH16">
        <f>IF(AND($A16&lt;&gt;"",BH$3&gt;=$J16,BH$3&lt;=$M16),1,"")</f>
        <v/>
      </c>
      <c r="BI16">
        <f>IF(AND($A16&lt;&gt;"",BI$3&gt;=$J16,BI$3&lt;=$M16),1,"")</f>
        <v/>
      </c>
      <c r="BJ16">
        <f>IF(AND($A16&lt;&gt;"",BJ$3&gt;=$J16,BJ$3&lt;=$M16),1,"")</f>
        <v/>
      </c>
      <c r="BK16">
        <f>IF(AND($A16&lt;&gt;"",BK$3&gt;=$J16,BK$3&lt;=$M16),1,"")</f>
        <v/>
      </c>
      <c r="BL16">
        <f>IF(AND($A16&lt;&gt;"",BL$3&gt;=$J16,BL$3&lt;=$M16),1,"")</f>
        <v/>
      </c>
      <c r="BM16">
        <f>IF(AND($A16&lt;&gt;"",BM$3&gt;=$J16,BM$3&lt;=$M16),1,"")</f>
        <v/>
      </c>
      <c r="BN16">
        <f>IF(AND($A16&lt;&gt;"",BN$3&gt;=$J16,BN$3&lt;=$M16),1,"")</f>
        <v/>
      </c>
      <c r="BO16">
        <f>IF(AND($A16&lt;&gt;"",BO$3&gt;=$J16,BO$3&lt;=$M16),1,"")</f>
        <v/>
      </c>
      <c r="BP16">
        <f>IF(AND($A16&lt;&gt;"",BP$3&gt;=$J16,BP$3&lt;=$M16),1,"")</f>
        <v/>
      </c>
      <c r="BQ16">
        <f>IF(AND($A16&lt;&gt;"",BQ$3&gt;=$J16,BQ$3&lt;=$M16),1,"")</f>
        <v/>
      </c>
      <c r="BR16">
        <f>IF(AND($A16&lt;&gt;"",BR$3&gt;=$J16,BR$3&lt;=$M16),1,"")</f>
        <v/>
      </c>
      <c r="BS16">
        <f>IF(AND($A16&lt;&gt;"",BS$3&gt;=$J16,BS$3&lt;=$M16),1,"")</f>
        <v/>
      </c>
      <c r="BT16">
        <f>IF(AND($A16&lt;&gt;"",BT$3&gt;=$J16,BT$3&lt;=$M16),1,"")</f>
        <v/>
      </c>
      <c r="BU16">
        <f>IF(AND($A16&lt;&gt;"",BU$3&gt;=$J16,BU$3&lt;=$M16),1,"")</f>
        <v/>
      </c>
      <c r="BV16">
        <f>IF(AND($A16&lt;&gt;"",BV$3&gt;=$J16,BV$3&lt;=$M16),1,"")</f>
        <v/>
      </c>
    </row>
    <row r="17">
      <c r="A17">
        <f>IF(Job_Master_Ring!$A17="","",Job_Master_Ring!$A17)</f>
        <v/>
      </c>
      <c r="B17">
        <f>IF($A17="","",Job_Master_Ring!B17)</f>
        <v/>
      </c>
      <c r="C17">
        <f>IF($A17="","",Job_Master_Ring!C17)</f>
        <v/>
      </c>
      <c r="D17">
        <f>IF($A17="","",Job_Master_Ring!D17)</f>
        <v/>
      </c>
      <c r="E17">
        <f>IF($A17="","",IF($I17&lt;&gt;"",$I17,IFERROR(INDEX(Machine_List!$B$64:$B$71,MATCH(1,(Machine_List!$H$64:$H$71&lt;=IFERROR(VLOOKUP($B17,CHOOSE(MATCH($C17,Settings!$L$4:$L$10,0),OPR_BR1!$A$4:$K$18,OPR_BR2!$A$4:$K$18,OPR_CR2!$A$4:$K$18,OPR_CR3!$A$4:$K$18,OPR_CR4!$A$4:$K$18,OPR_RIM!$A$4:$K$18,OPR_BPR!$A$4:$K$18),10,0),0))*(Machine_List!$I$64:$I$71&gt;=IFERROR(VLOOKUP($B17,CHOOSE(MATCH($C17,Settings!$L$4:$L$10,0),OPR_BR1!$A$4:$K$18,OPR_BR2!$A$4:$K$18,OPR_CR2!$A$4:$K$18,OPR_CR3!$A$4:$K$18,OPR_CR4!$A$4:$K$18,OPR_RIM!$A$4:$K$18,OPR_BPR!$A$4:$K$18),11,0),9999)),0)),"NO COMPATIBLE MACHINE")))</f>
        <v/>
      </c>
      <c r="F17">
        <f>IF($E17="","",IFERROR(VLOOKUP($E17,Machine_List!$B:$G,6,0),""))</f>
        <v/>
      </c>
      <c r="G17" s="17">
        <f>IF($E17="","",IFERROR(VLOOKUP($E17,Machine_List!$B:$C,2,0),""))</f>
        <v/>
      </c>
      <c r="H17">
        <f>IF($E17="","",IFERROR(VLOOKUP($E17,Machine_List!$B:$D,3,0),""))</f>
        <v/>
      </c>
      <c r="J17" s="16">
        <f>IF($A17="","",IF($I17&lt;&gt;"",$I17,MAX(ENG_Plan!$M17,IFERROR(LOOKUP(2,1/($E$3:INDIRECT("E"&amp;(ROW()-1))=$E17),$M$3:INDIRECT("M"&amp;(ROW()-1))),ENG_Plan!$M17))))</f>
        <v/>
      </c>
      <c r="K17">
        <f>IF($A17="","",IFERROR(VLOOKUP(B17,CHOOSE(MATCH($C17,Settings!$L$4:$L$10,0),OPR_BR1!$A$4:$I$18,OPR_BR2!$A$4:$I$18,OPR_CR2!$A$4:$I$18,OPR_CR3!$A$4:$I$18,OPR_CR4!$A$4:$I$18,OPR_RIM!$A$4:$I$18,OPR_BPR!$A$4:$I$18),7,0),0))</f>
        <v/>
      </c>
      <c r="L17">
        <f>IF($A17="","",K17*D17)</f>
        <v/>
      </c>
      <c r="M17" s="16">
        <f>IF($A17="","",IF(AND(ISNUMBER(G17),G17&gt;=J17,G17&lt;=(J17+(L17/(IF(F17="Contract Workman",Settings!$K$5,Settings!$K$4))))),J17+(L17/(IF(F17="Contract Workman",Settings!$K$5,Settings!$K$4)))+(H17/(IF(F17="Contract Workman",Settings!$K$5,Settings!$K$4))),J17+(L17/(IF(F17="Contract Workman",Settings!$K$5,Settings!$K$4)))))</f>
        <v/>
      </c>
      <c r="N17">
        <f>IF($A17="","",IF(F17="Contract Workman",IF(AND(MOD(M17,1)&gt;=8/24,MOD(M17,1)&lt;20/24),"Shift S1","Shift S2"),IF(AND(MOD(M17,1)&gt;=7/24,MOD(M17,1)&lt;15/24),"Shift A",IF(AND(MOD(M17,1)&gt;=15/24,MOD(M17,1)&lt;23/24),"Shift B","Shift C"))))</f>
        <v/>
      </c>
      <c r="O17">
        <f>IF(B17="","",IF(IFERROR(ISNUMBER(SEARCH(TEXT(B17,"0"),VLOOKUP(E17,Machine_List!$B:$J,9,0))),FALSE),"✅ "&amp; E17,"❌ Sug: "&amp;IFERROR(INDEX(Machine_List!$B$64:$B$71,MATCH(1,(Machine_List!$H$64:$H$71&lt;=IFERROR(VLOOKUP($B17,OPR_BR1!$A$4:$K$18,10,0),0))*(Machine_List!$I$64:$I$71&gt;=IFERROR(VLOOKUP($B17,OPR_BR1!$A$4:$K$18,11,0),9999)),0)),"?")))</f>
        <v/>
      </c>
      <c r="P17">
        <f>IF(AND($A17&lt;&gt;"",P$3&gt;=$J17,P$3&lt;=$M17),1,"")</f>
        <v/>
      </c>
      <c r="Q17">
        <f>IF(AND($A17&lt;&gt;"",Q$3&gt;=$J17,Q$3&lt;=$M17),1,"")</f>
        <v/>
      </c>
      <c r="R17">
        <f>IF(AND($A17&lt;&gt;"",R$3&gt;=$J17,R$3&lt;=$M17),1,"")</f>
        <v/>
      </c>
      <c r="S17">
        <f>IF(AND($A17&lt;&gt;"",S$3&gt;=$J17,S$3&lt;=$M17),1,"")</f>
        <v/>
      </c>
      <c r="T17">
        <f>IF(AND($A17&lt;&gt;"",T$3&gt;=$J17,T$3&lt;=$M17),1,"")</f>
        <v/>
      </c>
      <c r="U17">
        <f>IF(AND($A17&lt;&gt;"",U$3&gt;=$J17,U$3&lt;=$M17),1,"")</f>
        <v/>
      </c>
      <c r="V17">
        <f>IF(AND($A17&lt;&gt;"",V$3&gt;=$J17,V$3&lt;=$M17),1,"")</f>
        <v/>
      </c>
      <c r="W17">
        <f>IF(AND($A17&lt;&gt;"",W$3&gt;=$J17,W$3&lt;=$M17),1,"")</f>
        <v/>
      </c>
      <c r="X17">
        <f>IF(AND($A17&lt;&gt;"",X$3&gt;=$J17,X$3&lt;=$M17),1,"")</f>
        <v/>
      </c>
      <c r="Y17">
        <f>IF(AND($A17&lt;&gt;"",Y$3&gt;=$J17,Y$3&lt;=$M17),1,"")</f>
        <v/>
      </c>
      <c r="Z17">
        <f>IF(AND($A17&lt;&gt;"",Z$3&gt;=$J17,Z$3&lt;=$M17),1,"")</f>
        <v/>
      </c>
      <c r="AA17">
        <f>IF(AND($A17&lt;&gt;"",AA$3&gt;=$J17,AA$3&lt;=$M17),1,"")</f>
        <v/>
      </c>
      <c r="AB17">
        <f>IF(AND($A17&lt;&gt;"",AB$3&gt;=$J17,AB$3&lt;=$M17),1,"")</f>
        <v/>
      </c>
      <c r="AC17">
        <f>IF(AND($A17&lt;&gt;"",AC$3&gt;=$J17,AC$3&lt;=$M17),1,"")</f>
        <v/>
      </c>
      <c r="AD17">
        <f>IF(AND($A17&lt;&gt;"",AD$3&gt;=$J17,AD$3&lt;=$M17),1,"")</f>
        <v/>
      </c>
      <c r="AE17">
        <f>IF(AND($A17&lt;&gt;"",AE$3&gt;=$J17,AE$3&lt;=$M17),1,"")</f>
        <v/>
      </c>
      <c r="AF17">
        <f>IF(AND($A17&lt;&gt;"",AF$3&gt;=$J17,AF$3&lt;=$M17),1,"")</f>
        <v/>
      </c>
      <c r="AG17">
        <f>IF(AND($A17&lt;&gt;"",AG$3&gt;=$J17,AG$3&lt;=$M17),1,"")</f>
        <v/>
      </c>
      <c r="AH17">
        <f>IF(AND($A17&lt;&gt;"",AH$3&gt;=$J17,AH$3&lt;=$M17),1,"")</f>
        <v/>
      </c>
      <c r="AI17">
        <f>IF(AND($A17&lt;&gt;"",AI$3&gt;=$J17,AI$3&lt;=$M17),1,"")</f>
        <v/>
      </c>
      <c r="AJ17">
        <f>IF(AND($A17&lt;&gt;"",AJ$3&gt;=$J17,AJ$3&lt;=$M17),1,"")</f>
        <v/>
      </c>
      <c r="AK17">
        <f>IF(AND($A17&lt;&gt;"",AK$3&gt;=$J17,AK$3&lt;=$M17),1,"")</f>
        <v/>
      </c>
      <c r="AL17">
        <f>IF(AND($A17&lt;&gt;"",AL$3&gt;=$J17,AL$3&lt;=$M17),1,"")</f>
        <v/>
      </c>
      <c r="AM17">
        <f>IF(AND($A17&lt;&gt;"",AM$3&gt;=$J17,AM$3&lt;=$M17),1,"")</f>
        <v/>
      </c>
      <c r="AN17">
        <f>IF(AND($A17&lt;&gt;"",AN$3&gt;=$J17,AN$3&lt;=$M17),1,"")</f>
        <v/>
      </c>
      <c r="AO17">
        <f>IF(AND($A17&lt;&gt;"",AO$3&gt;=$J17,AO$3&lt;=$M17),1,"")</f>
        <v/>
      </c>
      <c r="AP17">
        <f>IF(AND($A17&lt;&gt;"",AP$3&gt;=$J17,AP$3&lt;=$M17),1,"")</f>
        <v/>
      </c>
      <c r="AQ17">
        <f>IF(AND($A17&lt;&gt;"",AQ$3&gt;=$J17,AQ$3&lt;=$M17),1,"")</f>
        <v/>
      </c>
      <c r="AR17">
        <f>IF(AND($A17&lt;&gt;"",AR$3&gt;=$J17,AR$3&lt;=$M17),1,"")</f>
        <v/>
      </c>
      <c r="AS17">
        <f>IF(AND($A17&lt;&gt;"",AS$3&gt;=$J17,AS$3&lt;=$M17),1,"")</f>
        <v/>
      </c>
      <c r="AT17">
        <f>IF(AND($A17&lt;&gt;"",AT$3&gt;=$J17,AT$3&lt;=$M17),1,"")</f>
        <v/>
      </c>
      <c r="AU17">
        <f>IF(AND($A17&lt;&gt;"",AU$3&gt;=$J17,AU$3&lt;=$M17),1,"")</f>
        <v/>
      </c>
      <c r="AV17">
        <f>IF(AND($A17&lt;&gt;"",AV$3&gt;=$J17,AV$3&lt;=$M17),1,"")</f>
        <v/>
      </c>
      <c r="AW17">
        <f>IF(AND($A17&lt;&gt;"",AW$3&gt;=$J17,AW$3&lt;=$M17),1,"")</f>
        <v/>
      </c>
      <c r="AX17">
        <f>IF(AND($A17&lt;&gt;"",AX$3&gt;=$J17,AX$3&lt;=$M17),1,"")</f>
        <v/>
      </c>
      <c r="AY17">
        <f>IF(AND($A17&lt;&gt;"",AY$3&gt;=$J17,AY$3&lt;=$M17),1,"")</f>
        <v/>
      </c>
      <c r="AZ17">
        <f>IF(AND($A17&lt;&gt;"",AZ$3&gt;=$J17,AZ$3&lt;=$M17),1,"")</f>
        <v/>
      </c>
      <c r="BA17">
        <f>IF(AND($A17&lt;&gt;"",BA$3&gt;=$J17,BA$3&lt;=$M17),1,"")</f>
        <v/>
      </c>
      <c r="BB17">
        <f>IF(AND($A17&lt;&gt;"",BB$3&gt;=$J17,BB$3&lt;=$M17),1,"")</f>
        <v/>
      </c>
      <c r="BC17">
        <f>IF(AND($A17&lt;&gt;"",BC$3&gt;=$J17,BC$3&lt;=$M17),1,"")</f>
        <v/>
      </c>
      <c r="BD17">
        <f>IF(AND($A17&lt;&gt;"",BD$3&gt;=$J17,BD$3&lt;=$M17),1,"")</f>
        <v/>
      </c>
      <c r="BE17">
        <f>IF(AND($A17&lt;&gt;"",BE$3&gt;=$J17,BE$3&lt;=$M17),1,"")</f>
        <v/>
      </c>
      <c r="BF17">
        <f>IF(AND($A17&lt;&gt;"",BF$3&gt;=$J17,BF$3&lt;=$M17),1,"")</f>
        <v/>
      </c>
      <c r="BG17">
        <f>IF(AND($A17&lt;&gt;"",BG$3&gt;=$J17,BG$3&lt;=$M17),1,"")</f>
        <v/>
      </c>
      <c r="BH17">
        <f>IF(AND($A17&lt;&gt;"",BH$3&gt;=$J17,BH$3&lt;=$M17),1,"")</f>
        <v/>
      </c>
      <c r="BI17">
        <f>IF(AND($A17&lt;&gt;"",BI$3&gt;=$J17,BI$3&lt;=$M17),1,"")</f>
        <v/>
      </c>
      <c r="BJ17">
        <f>IF(AND($A17&lt;&gt;"",BJ$3&gt;=$J17,BJ$3&lt;=$M17),1,"")</f>
        <v/>
      </c>
      <c r="BK17">
        <f>IF(AND($A17&lt;&gt;"",BK$3&gt;=$J17,BK$3&lt;=$M17),1,"")</f>
        <v/>
      </c>
      <c r="BL17">
        <f>IF(AND($A17&lt;&gt;"",BL$3&gt;=$J17,BL$3&lt;=$M17),1,"")</f>
        <v/>
      </c>
      <c r="BM17">
        <f>IF(AND($A17&lt;&gt;"",BM$3&gt;=$J17,BM$3&lt;=$M17),1,"")</f>
        <v/>
      </c>
      <c r="BN17">
        <f>IF(AND($A17&lt;&gt;"",BN$3&gt;=$J17,BN$3&lt;=$M17),1,"")</f>
        <v/>
      </c>
      <c r="BO17">
        <f>IF(AND($A17&lt;&gt;"",BO$3&gt;=$J17,BO$3&lt;=$M17),1,"")</f>
        <v/>
      </c>
      <c r="BP17">
        <f>IF(AND($A17&lt;&gt;"",BP$3&gt;=$J17,BP$3&lt;=$M17),1,"")</f>
        <v/>
      </c>
      <c r="BQ17">
        <f>IF(AND($A17&lt;&gt;"",BQ$3&gt;=$J17,BQ$3&lt;=$M17),1,"")</f>
        <v/>
      </c>
      <c r="BR17">
        <f>IF(AND($A17&lt;&gt;"",BR$3&gt;=$J17,BR$3&lt;=$M17),1,"")</f>
        <v/>
      </c>
      <c r="BS17">
        <f>IF(AND($A17&lt;&gt;"",BS$3&gt;=$J17,BS$3&lt;=$M17),1,"")</f>
        <v/>
      </c>
      <c r="BT17">
        <f>IF(AND($A17&lt;&gt;"",BT$3&gt;=$J17,BT$3&lt;=$M17),1,"")</f>
        <v/>
      </c>
      <c r="BU17">
        <f>IF(AND($A17&lt;&gt;"",BU$3&gt;=$J17,BU$3&lt;=$M17),1,"")</f>
        <v/>
      </c>
      <c r="BV17">
        <f>IF(AND($A17&lt;&gt;"",BV$3&gt;=$J17,BV$3&lt;=$M17),1,"")</f>
        <v/>
      </c>
    </row>
    <row r="18">
      <c r="A18">
        <f>IF(Job_Master_Ring!$A18="","",Job_Master_Ring!$A18)</f>
        <v/>
      </c>
      <c r="B18">
        <f>IF($A18="","",Job_Master_Ring!B18)</f>
        <v/>
      </c>
      <c r="C18">
        <f>IF($A18="","",Job_Master_Ring!C18)</f>
        <v/>
      </c>
      <c r="D18">
        <f>IF($A18="","",Job_Master_Ring!D18)</f>
        <v/>
      </c>
      <c r="E18">
        <f>IF($A18="","",IF($I18&lt;&gt;"",$I18,IFERROR(INDEX(Machine_List!$B$64:$B$71,MATCH(1,(Machine_List!$H$64:$H$71&lt;=IFERROR(VLOOKUP($B18,CHOOSE(MATCH($C18,Settings!$L$4:$L$10,0),OPR_BR1!$A$4:$K$18,OPR_BR2!$A$4:$K$18,OPR_CR2!$A$4:$K$18,OPR_CR3!$A$4:$K$18,OPR_CR4!$A$4:$K$18,OPR_RIM!$A$4:$K$18,OPR_BPR!$A$4:$K$18),10,0),0))*(Machine_List!$I$64:$I$71&gt;=IFERROR(VLOOKUP($B18,CHOOSE(MATCH($C18,Settings!$L$4:$L$10,0),OPR_BR1!$A$4:$K$18,OPR_BR2!$A$4:$K$18,OPR_CR2!$A$4:$K$18,OPR_CR3!$A$4:$K$18,OPR_CR4!$A$4:$K$18,OPR_RIM!$A$4:$K$18,OPR_BPR!$A$4:$K$18),11,0),9999)),0)),"NO COMPATIBLE MACHINE")))</f>
        <v/>
      </c>
      <c r="F18">
        <f>IF($E18="","",IFERROR(VLOOKUP($E18,Machine_List!$B:$G,6,0),""))</f>
        <v/>
      </c>
      <c r="G18" s="17">
        <f>IF($E18="","",IFERROR(VLOOKUP($E18,Machine_List!$B:$C,2,0),""))</f>
        <v/>
      </c>
      <c r="H18">
        <f>IF($E18="","",IFERROR(VLOOKUP($E18,Machine_List!$B:$D,3,0),""))</f>
        <v/>
      </c>
      <c r="J18" s="16">
        <f>IF($A18="","",IF($I18&lt;&gt;"",$I18,MAX(ENG_Plan!$M18,IFERROR(LOOKUP(2,1/($E$3:INDIRECT("E"&amp;(ROW()-1))=$E18),$M$3:INDIRECT("M"&amp;(ROW()-1))),ENG_Plan!$M18))))</f>
        <v/>
      </c>
      <c r="K18">
        <f>IF($A18="","",IFERROR(VLOOKUP(B18,CHOOSE(MATCH($C18,Settings!$L$4:$L$10,0),OPR_BR1!$A$4:$I$18,OPR_BR2!$A$4:$I$18,OPR_CR2!$A$4:$I$18,OPR_CR3!$A$4:$I$18,OPR_CR4!$A$4:$I$18,OPR_RIM!$A$4:$I$18,OPR_BPR!$A$4:$I$18),7,0),0))</f>
        <v/>
      </c>
      <c r="L18">
        <f>IF($A18="","",K18*D18)</f>
        <v/>
      </c>
      <c r="M18" s="16">
        <f>IF($A18="","",IF(AND(ISNUMBER(G18),G18&gt;=J18,G18&lt;=(J18+(L18/(IF(F18="Contract Workman",Settings!$K$5,Settings!$K$4))))),J18+(L18/(IF(F18="Contract Workman",Settings!$K$5,Settings!$K$4)))+(H18/(IF(F18="Contract Workman",Settings!$K$5,Settings!$K$4))),J18+(L18/(IF(F18="Contract Workman",Settings!$K$5,Settings!$K$4)))))</f>
        <v/>
      </c>
      <c r="N18">
        <f>IF($A18="","",IF(F18="Contract Workman",IF(AND(MOD(M18,1)&gt;=8/24,MOD(M18,1)&lt;20/24),"Shift S1","Shift S2"),IF(AND(MOD(M18,1)&gt;=7/24,MOD(M18,1)&lt;15/24),"Shift A",IF(AND(MOD(M18,1)&gt;=15/24,MOD(M18,1)&lt;23/24),"Shift B","Shift C"))))</f>
        <v/>
      </c>
      <c r="O18">
        <f>IF(B18="","",IF(IFERROR(ISNUMBER(SEARCH(TEXT(B18,"0"),VLOOKUP(E18,Machine_List!$B:$J,9,0))),FALSE),"✅ "&amp; E18,"❌ Sug: "&amp;IFERROR(INDEX(Machine_List!$B$64:$B$71,MATCH(1,(Machine_List!$H$64:$H$71&lt;=IFERROR(VLOOKUP($B18,OPR_BR1!$A$4:$K$18,10,0),0))*(Machine_List!$I$64:$I$71&gt;=IFERROR(VLOOKUP($B18,OPR_BR1!$A$4:$K$18,11,0),9999)),0)),"?")))</f>
        <v/>
      </c>
      <c r="P18">
        <f>IF(AND($A18&lt;&gt;"",P$3&gt;=$J18,P$3&lt;=$M18),1,"")</f>
        <v/>
      </c>
      <c r="Q18">
        <f>IF(AND($A18&lt;&gt;"",Q$3&gt;=$J18,Q$3&lt;=$M18),1,"")</f>
        <v/>
      </c>
      <c r="R18">
        <f>IF(AND($A18&lt;&gt;"",R$3&gt;=$J18,R$3&lt;=$M18),1,"")</f>
        <v/>
      </c>
      <c r="S18">
        <f>IF(AND($A18&lt;&gt;"",S$3&gt;=$J18,S$3&lt;=$M18),1,"")</f>
        <v/>
      </c>
      <c r="T18">
        <f>IF(AND($A18&lt;&gt;"",T$3&gt;=$J18,T$3&lt;=$M18),1,"")</f>
        <v/>
      </c>
      <c r="U18">
        <f>IF(AND($A18&lt;&gt;"",U$3&gt;=$J18,U$3&lt;=$M18),1,"")</f>
        <v/>
      </c>
      <c r="V18">
        <f>IF(AND($A18&lt;&gt;"",V$3&gt;=$J18,V$3&lt;=$M18),1,"")</f>
        <v/>
      </c>
      <c r="W18">
        <f>IF(AND($A18&lt;&gt;"",W$3&gt;=$J18,W$3&lt;=$M18),1,"")</f>
        <v/>
      </c>
      <c r="X18">
        <f>IF(AND($A18&lt;&gt;"",X$3&gt;=$J18,X$3&lt;=$M18),1,"")</f>
        <v/>
      </c>
      <c r="Y18">
        <f>IF(AND($A18&lt;&gt;"",Y$3&gt;=$J18,Y$3&lt;=$M18),1,"")</f>
        <v/>
      </c>
      <c r="Z18">
        <f>IF(AND($A18&lt;&gt;"",Z$3&gt;=$J18,Z$3&lt;=$M18),1,"")</f>
        <v/>
      </c>
      <c r="AA18">
        <f>IF(AND($A18&lt;&gt;"",AA$3&gt;=$J18,AA$3&lt;=$M18),1,"")</f>
        <v/>
      </c>
      <c r="AB18">
        <f>IF(AND($A18&lt;&gt;"",AB$3&gt;=$J18,AB$3&lt;=$M18),1,"")</f>
        <v/>
      </c>
      <c r="AC18">
        <f>IF(AND($A18&lt;&gt;"",AC$3&gt;=$J18,AC$3&lt;=$M18),1,"")</f>
        <v/>
      </c>
      <c r="AD18">
        <f>IF(AND($A18&lt;&gt;"",AD$3&gt;=$J18,AD$3&lt;=$M18),1,"")</f>
        <v/>
      </c>
      <c r="AE18">
        <f>IF(AND($A18&lt;&gt;"",AE$3&gt;=$J18,AE$3&lt;=$M18),1,"")</f>
        <v/>
      </c>
      <c r="AF18">
        <f>IF(AND($A18&lt;&gt;"",AF$3&gt;=$J18,AF$3&lt;=$M18),1,"")</f>
        <v/>
      </c>
      <c r="AG18">
        <f>IF(AND($A18&lt;&gt;"",AG$3&gt;=$J18,AG$3&lt;=$M18),1,"")</f>
        <v/>
      </c>
      <c r="AH18">
        <f>IF(AND($A18&lt;&gt;"",AH$3&gt;=$J18,AH$3&lt;=$M18),1,"")</f>
        <v/>
      </c>
      <c r="AI18">
        <f>IF(AND($A18&lt;&gt;"",AI$3&gt;=$J18,AI$3&lt;=$M18),1,"")</f>
        <v/>
      </c>
      <c r="AJ18">
        <f>IF(AND($A18&lt;&gt;"",AJ$3&gt;=$J18,AJ$3&lt;=$M18),1,"")</f>
        <v/>
      </c>
      <c r="AK18">
        <f>IF(AND($A18&lt;&gt;"",AK$3&gt;=$J18,AK$3&lt;=$M18),1,"")</f>
        <v/>
      </c>
      <c r="AL18">
        <f>IF(AND($A18&lt;&gt;"",AL$3&gt;=$J18,AL$3&lt;=$M18),1,"")</f>
        <v/>
      </c>
      <c r="AM18">
        <f>IF(AND($A18&lt;&gt;"",AM$3&gt;=$J18,AM$3&lt;=$M18),1,"")</f>
        <v/>
      </c>
      <c r="AN18">
        <f>IF(AND($A18&lt;&gt;"",AN$3&gt;=$J18,AN$3&lt;=$M18),1,"")</f>
        <v/>
      </c>
      <c r="AO18">
        <f>IF(AND($A18&lt;&gt;"",AO$3&gt;=$J18,AO$3&lt;=$M18),1,"")</f>
        <v/>
      </c>
      <c r="AP18">
        <f>IF(AND($A18&lt;&gt;"",AP$3&gt;=$J18,AP$3&lt;=$M18),1,"")</f>
        <v/>
      </c>
      <c r="AQ18">
        <f>IF(AND($A18&lt;&gt;"",AQ$3&gt;=$J18,AQ$3&lt;=$M18),1,"")</f>
        <v/>
      </c>
      <c r="AR18">
        <f>IF(AND($A18&lt;&gt;"",AR$3&gt;=$J18,AR$3&lt;=$M18),1,"")</f>
        <v/>
      </c>
      <c r="AS18">
        <f>IF(AND($A18&lt;&gt;"",AS$3&gt;=$J18,AS$3&lt;=$M18),1,"")</f>
        <v/>
      </c>
      <c r="AT18">
        <f>IF(AND($A18&lt;&gt;"",AT$3&gt;=$J18,AT$3&lt;=$M18),1,"")</f>
        <v/>
      </c>
      <c r="AU18">
        <f>IF(AND($A18&lt;&gt;"",AU$3&gt;=$J18,AU$3&lt;=$M18),1,"")</f>
        <v/>
      </c>
      <c r="AV18">
        <f>IF(AND($A18&lt;&gt;"",AV$3&gt;=$J18,AV$3&lt;=$M18),1,"")</f>
        <v/>
      </c>
      <c r="AW18">
        <f>IF(AND($A18&lt;&gt;"",AW$3&gt;=$J18,AW$3&lt;=$M18),1,"")</f>
        <v/>
      </c>
      <c r="AX18">
        <f>IF(AND($A18&lt;&gt;"",AX$3&gt;=$J18,AX$3&lt;=$M18),1,"")</f>
        <v/>
      </c>
      <c r="AY18">
        <f>IF(AND($A18&lt;&gt;"",AY$3&gt;=$J18,AY$3&lt;=$M18),1,"")</f>
        <v/>
      </c>
      <c r="AZ18">
        <f>IF(AND($A18&lt;&gt;"",AZ$3&gt;=$J18,AZ$3&lt;=$M18),1,"")</f>
        <v/>
      </c>
      <c r="BA18">
        <f>IF(AND($A18&lt;&gt;"",BA$3&gt;=$J18,BA$3&lt;=$M18),1,"")</f>
        <v/>
      </c>
      <c r="BB18">
        <f>IF(AND($A18&lt;&gt;"",BB$3&gt;=$J18,BB$3&lt;=$M18),1,"")</f>
        <v/>
      </c>
      <c r="BC18">
        <f>IF(AND($A18&lt;&gt;"",BC$3&gt;=$J18,BC$3&lt;=$M18),1,"")</f>
        <v/>
      </c>
      <c r="BD18">
        <f>IF(AND($A18&lt;&gt;"",BD$3&gt;=$J18,BD$3&lt;=$M18),1,"")</f>
        <v/>
      </c>
      <c r="BE18">
        <f>IF(AND($A18&lt;&gt;"",BE$3&gt;=$J18,BE$3&lt;=$M18),1,"")</f>
        <v/>
      </c>
      <c r="BF18">
        <f>IF(AND($A18&lt;&gt;"",BF$3&gt;=$J18,BF$3&lt;=$M18),1,"")</f>
        <v/>
      </c>
      <c r="BG18">
        <f>IF(AND($A18&lt;&gt;"",BG$3&gt;=$J18,BG$3&lt;=$M18),1,"")</f>
        <v/>
      </c>
      <c r="BH18">
        <f>IF(AND($A18&lt;&gt;"",BH$3&gt;=$J18,BH$3&lt;=$M18),1,"")</f>
        <v/>
      </c>
      <c r="BI18">
        <f>IF(AND($A18&lt;&gt;"",BI$3&gt;=$J18,BI$3&lt;=$M18),1,"")</f>
        <v/>
      </c>
      <c r="BJ18">
        <f>IF(AND($A18&lt;&gt;"",BJ$3&gt;=$J18,BJ$3&lt;=$M18),1,"")</f>
        <v/>
      </c>
      <c r="BK18">
        <f>IF(AND($A18&lt;&gt;"",BK$3&gt;=$J18,BK$3&lt;=$M18),1,"")</f>
        <v/>
      </c>
      <c r="BL18">
        <f>IF(AND($A18&lt;&gt;"",BL$3&gt;=$J18,BL$3&lt;=$M18),1,"")</f>
        <v/>
      </c>
      <c r="BM18">
        <f>IF(AND($A18&lt;&gt;"",BM$3&gt;=$J18,BM$3&lt;=$M18),1,"")</f>
        <v/>
      </c>
      <c r="BN18">
        <f>IF(AND($A18&lt;&gt;"",BN$3&gt;=$J18,BN$3&lt;=$M18),1,"")</f>
        <v/>
      </c>
      <c r="BO18">
        <f>IF(AND($A18&lt;&gt;"",BO$3&gt;=$J18,BO$3&lt;=$M18),1,"")</f>
        <v/>
      </c>
      <c r="BP18">
        <f>IF(AND($A18&lt;&gt;"",BP$3&gt;=$J18,BP$3&lt;=$M18),1,"")</f>
        <v/>
      </c>
      <c r="BQ18">
        <f>IF(AND($A18&lt;&gt;"",BQ$3&gt;=$J18,BQ$3&lt;=$M18),1,"")</f>
        <v/>
      </c>
      <c r="BR18">
        <f>IF(AND($A18&lt;&gt;"",BR$3&gt;=$J18,BR$3&lt;=$M18),1,"")</f>
        <v/>
      </c>
      <c r="BS18">
        <f>IF(AND($A18&lt;&gt;"",BS$3&gt;=$J18,BS$3&lt;=$M18),1,"")</f>
        <v/>
      </c>
      <c r="BT18">
        <f>IF(AND($A18&lt;&gt;"",BT$3&gt;=$J18,BT$3&lt;=$M18),1,"")</f>
        <v/>
      </c>
      <c r="BU18">
        <f>IF(AND($A18&lt;&gt;"",BU$3&gt;=$J18,BU$3&lt;=$M18),1,"")</f>
        <v/>
      </c>
      <c r="BV18">
        <f>IF(AND($A18&lt;&gt;"",BV$3&gt;=$J18,BV$3&lt;=$M18),1,"")</f>
        <v/>
      </c>
    </row>
    <row r="19">
      <c r="A19">
        <f>IF(Job_Master_Ring!$A19="","",Job_Master_Ring!$A19)</f>
        <v/>
      </c>
      <c r="B19">
        <f>IF($A19="","",Job_Master_Ring!B19)</f>
        <v/>
      </c>
      <c r="C19">
        <f>IF($A19="","",Job_Master_Ring!C19)</f>
        <v/>
      </c>
      <c r="D19">
        <f>IF($A19="","",Job_Master_Ring!D19)</f>
        <v/>
      </c>
      <c r="E19">
        <f>IF($A19="","",IF($I19&lt;&gt;"",$I19,IFERROR(INDEX(Machine_List!$B$64:$B$71,MATCH(1,(Machine_List!$H$64:$H$71&lt;=IFERROR(VLOOKUP($B19,CHOOSE(MATCH($C19,Settings!$L$4:$L$10,0),OPR_BR1!$A$4:$K$18,OPR_BR2!$A$4:$K$18,OPR_CR2!$A$4:$K$18,OPR_CR3!$A$4:$K$18,OPR_CR4!$A$4:$K$18,OPR_RIM!$A$4:$K$18,OPR_BPR!$A$4:$K$18),10,0),0))*(Machine_List!$I$64:$I$71&gt;=IFERROR(VLOOKUP($B19,CHOOSE(MATCH($C19,Settings!$L$4:$L$10,0),OPR_BR1!$A$4:$K$18,OPR_BR2!$A$4:$K$18,OPR_CR2!$A$4:$K$18,OPR_CR3!$A$4:$K$18,OPR_CR4!$A$4:$K$18,OPR_RIM!$A$4:$K$18,OPR_BPR!$A$4:$K$18),11,0),9999)),0)),"NO COMPATIBLE MACHINE")))</f>
        <v/>
      </c>
      <c r="F19">
        <f>IF($E19="","",IFERROR(VLOOKUP($E19,Machine_List!$B:$G,6,0),""))</f>
        <v/>
      </c>
      <c r="G19" s="17">
        <f>IF($E19="","",IFERROR(VLOOKUP($E19,Machine_List!$B:$C,2,0),""))</f>
        <v/>
      </c>
      <c r="H19">
        <f>IF($E19="","",IFERROR(VLOOKUP($E19,Machine_List!$B:$D,3,0),""))</f>
        <v/>
      </c>
      <c r="J19" s="16">
        <f>IF($A19="","",IF($I19&lt;&gt;"",$I19,MAX(ENG_Plan!$M19,IFERROR(LOOKUP(2,1/($E$3:INDIRECT("E"&amp;(ROW()-1))=$E19),$M$3:INDIRECT("M"&amp;(ROW()-1))),ENG_Plan!$M19))))</f>
        <v/>
      </c>
      <c r="K19">
        <f>IF($A19="","",IFERROR(VLOOKUP(B19,CHOOSE(MATCH($C19,Settings!$L$4:$L$10,0),OPR_BR1!$A$4:$I$18,OPR_BR2!$A$4:$I$18,OPR_CR2!$A$4:$I$18,OPR_CR3!$A$4:$I$18,OPR_CR4!$A$4:$I$18,OPR_RIM!$A$4:$I$18,OPR_BPR!$A$4:$I$18),7,0),0))</f>
        <v/>
      </c>
      <c r="L19">
        <f>IF($A19="","",K19*D19)</f>
        <v/>
      </c>
      <c r="M19" s="16">
        <f>IF($A19="","",IF(AND(ISNUMBER(G19),G19&gt;=J19,G19&lt;=(J19+(L19/(IF(F19="Contract Workman",Settings!$K$5,Settings!$K$4))))),J19+(L19/(IF(F19="Contract Workman",Settings!$K$5,Settings!$K$4)))+(H19/(IF(F19="Contract Workman",Settings!$K$5,Settings!$K$4))),J19+(L19/(IF(F19="Contract Workman",Settings!$K$5,Settings!$K$4)))))</f>
        <v/>
      </c>
      <c r="N19">
        <f>IF($A19="","",IF(F19="Contract Workman",IF(AND(MOD(M19,1)&gt;=8/24,MOD(M19,1)&lt;20/24),"Shift S1","Shift S2"),IF(AND(MOD(M19,1)&gt;=7/24,MOD(M19,1)&lt;15/24),"Shift A",IF(AND(MOD(M19,1)&gt;=15/24,MOD(M19,1)&lt;23/24),"Shift B","Shift C"))))</f>
        <v/>
      </c>
      <c r="O19">
        <f>IF(B19="","",IF(IFERROR(ISNUMBER(SEARCH(TEXT(B19,"0"),VLOOKUP(E19,Machine_List!$B:$J,9,0))),FALSE),"✅ "&amp; E19,"❌ Sug: "&amp;IFERROR(INDEX(Machine_List!$B$64:$B$71,MATCH(1,(Machine_List!$H$64:$H$71&lt;=IFERROR(VLOOKUP($B19,OPR_BR1!$A$4:$K$18,10,0),0))*(Machine_List!$I$64:$I$71&gt;=IFERROR(VLOOKUP($B19,OPR_BR1!$A$4:$K$18,11,0),9999)),0)),"?")))</f>
        <v/>
      </c>
      <c r="P19">
        <f>IF(AND($A19&lt;&gt;"",P$3&gt;=$J19,P$3&lt;=$M19),1,"")</f>
        <v/>
      </c>
      <c r="Q19">
        <f>IF(AND($A19&lt;&gt;"",Q$3&gt;=$J19,Q$3&lt;=$M19),1,"")</f>
        <v/>
      </c>
      <c r="R19">
        <f>IF(AND($A19&lt;&gt;"",R$3&gt;=$J19,R$3&lt;=$M19),1,"")</f>
        <v/>
      </c>
      <c r="S19">
        <f>IF(AND($A19&lt;&gt;"",S$3&gt;=$J19,S$3&lt;=$M19),1,"")</f>
        <v/>
      </c>
      <c r="T19">
        <f>IF(AND($A19&lt;&gt;"",T$3&gt;=$J19,T$3&lt;=$M19),1,"")</f>
        <v/>
      </c>
      <c r="U19">
        <f>IF(AND($A19&lt;&gt;"",U$3&gt;=$J19,U$3&lt;=$M19),1,"")</f>
        <v/>
      </c>
      <c r="V19">
        <f>IF(AND($A19&lt;&gt;"",V$3&gt;=$J19,V$3&lt;=$M19),1,"")</f>
        <v/>
      </c>
      <c r="W19">
        <f>IF(AND($A19&lt;&gt;"",W$3&gt;=$J19,W$3&lt;=$M19),1,"")</f>
        <v/>
      </c>
      <c r="X19">
        <f>IF(AND($A19&lt;&gt;"",X$3&gt;=$J19,X$3&lt;=$M19),1,"")</f>
        <v/>
      </c>
      <c r="Y19">
        <f>IF(AND($A19&lt;&gt;"",Y$3&gt;=$J19,Y$3&lt;=$M19),1,"")</f>
        <v/>
      </c>
      <c r="Z19">
        <f>IF(AND($A19&lt;&gt;"",Z$3&gt;=$J19,Z$3&lt;=$M19),1,"")</f>
        <v/>
      </c>
      <c r="AA19">
        <f>IF(AND($A19&lt;&gt;"",AA$3&gt;=$J19,AA$3&lt;=$M19),1,"")</f>
        <v/>
      </c>
      <c r="AB19">
        <f>IF(AND($A19&lt;&gt;"",AB$3&gt;=$J19,AB$3&lt;=$M19),1,"")</f>
        <v/>
      </c>
      <c r="AC19">
        <f>IF(AND($A19&lt;&gt;"",AC$3&gt;=$J19,AC$3&lt;=$M19),1,"")</f>
        <v/>
      </c>
      <c r="AD19">
        <f>IF(AND($A19&lt;&gt;"",AD$3&gt;=$J19,AD$3&lt;=$M19),1,"")</f>
        <v/>
      </c>
      <c r="AE19">
        <f>IF(AND($A19&lt;&gt;"",AE$3&gt;=$J19,AE$3&lt;=$M19),1,"")</f>
        <v/>
      </c>
      <c r="AF19">
        <f>IF(AND($A19&lt;&gt;"",AF$3&gt;=$J19,AF$3&lt;=$M19),1,"")</f>
        <v/>
      </c>
      <c r="AG19">
        <f>IF(AND($A19&lt;&gt;"",AG$3&gt;=$J19,AG$3&lt;=$M19),1,"")</f>
        <v/>
      </c>
      <c r="AH19">
        <f>IF(AND($A19&lt;&gt;"",AH$3&gt;=$J19,AH$3&lt;=$M19),1,"")</f>
        <v/>
      </c>
      <c r="AI19">
        <f>IF(AND($A19&lt;&gt;"",AI$3&gt;=$J19,AI$3&lt;=$M19),1,"")</f>
        <v/>
      </c>
      <c r="AJ19">
        <f>IF(AND($A19&lt;&gt;"",AJ$3&gt;=$J19,AJ$3&lt;=$M19),1,"")</f>
        <v/>
      </c>
      <c r="AK19">
        <f>IF(AND($A19&lt;&gt;"",AK$3&gt;=$J19,AK$3&lt;=$M19),1,"")</f>
        <v/>
      </c>
      <c r="AL19">
        <f>IF(AND($A19&lt;&gt;"",AL$3&gt;=$J19,AL$3&lt;=$M19),1,"")</f>
        <v/>
      </c>
      <c r="AM19">
        <f>IF(AND($A19&lt;&gt;"",AM$3&gt;=$J19,AM$3&lt;=$M19),1,"")</f>
        <v/>
      </c>
      <c r="AN19">
        <f>IF(AND($A19&lt;&gt;"",AN$3&gt;=$J19,AN$3&lt;=$M19),1,"")</f>
        <v/>
      </c>
      <c r="AO19">
        <f>IF(AND($A19&lt;&gt;"",AO$3&gt;=$J19,AO$3&lt;=$M19),1,"")</f>
        <v/>
      </c>
      <c r="AP19">
        <f>IF(AND($A19&lt;&gt;"",AP$3&gt;=$J19,AP$3&lt;=$M19),1,"")</f>
        <v/>
      </c>
      <c r="AQ19">
        <f>IF(AND($A19&lt;&gt;"",AQ$3&gt;=$J19,AQ$3&lt;=$M19),1,"")</f>
        <v/>
      </c>
      <c r="AR19">
        <f>IF(AND($A19&lt;&gt;"",AR$3&gt;=$J19,AR$3&lt;=$M19),1,"")</f>
        <v/>
      </c>
      <c r="AS19">
        <f>IF(AND($A19&lt;&gt;"",AS$3&gt;=$J19,AS$3&lt;=$M19),1,"")</f>
        <v/>
      </c>
      <c r="AT19">
        <f>IF(AND($A19&lt;&gt;"",AT$3&gt;=$J19,AT$3&lt;=$M19),1,"")</f>
        <v/>
      </c>
      <c r="AU19">
        <f>IF(AND($A19&lt;&gt;"",AU$3&gt;=$J19,AU$3&lt;=$M19),1,"")</f>
        <v/>
      </c>
      <c r="AV19">
        <f>IF(AND($A19&lt;&gt;"",AV$3&gt;=$J19,AV$3&lt;=$M19),1,"")</f>
        <v/>
      </c>
      <c r="AW19">
        <f>IF(AND($A19&lt;&gt;"",AW$3&gt;=$J19,AW$3&lt;=$M19),1,"")</f>
        <v/>
      </c>
      <c r="AX19">
        <f>IF(AND($A19&lt;&gt;"",AX$3&gt;=$J19,AX$3&lt;=$M19),1,"")</f>
        <v/>
      </c>
      <c r="AY19">
        <f>IF(AND($A19&lt;&gt;"",AY$3&gt;=$J19,AY$3&lt;=$M19),1,"")</f>
        <v/>
      </c>
      <c r="AZ19">
        <f>IF(AND($A19&lt;&gt;"",AZ$3&gt;=$J19,AZ$3&lt;=$M19),1,"")</f>
        <v/>
      </c>
      <c r="BA19">
        <f>IF(AND($A19&lt;&gt;"",BA$3&gt;=$J19,BA$3&lt;=$M19),1,"")</f>
        <v/>
      </c>
      <c r="BB19">
        <f>IF(AND($A19&lt;&gt;"",BB$3&gt;=$J19,BB$3&lt;=$M19),1,"")</f>
        <v/>
      </c>
      <c r="BC19">
        <f>IF(AND($A19&lt;&gt;"",BC$3&gt;=$J19,BC$3&lt;=$M19),1,"")</f>
        <v/>
      </c>
      <c r="BD19">
        <f>IF(AND($A19&lt;&gt;"",BD$3&gt;=$J19,BD$3&lt;=$M19),1,"")</f>
        <v/>
      </c>
      <c r="BE19">
        <f>IF(AND($A19&lt;&gt;"",BE$3&gt;=$J19,BE$3&lt;=$M19),1,"")</f>
        <v/>
      </c>
      <c r="BF19">
        <f>IF(AND($A19&lt;&gt;"",BF$3&gt;=$J19,BF$3&lt;=$M19),1,"")</f>
        <v/>
      </c>
      <c r="BG19">
        <f>IF(AND($A19&lt;&gt;"",BG$3&gt;=$J19,BG$3&lt;=$M19),1,"")</f>
        <v/>
      </c>
      <c r="BH19">
        <f>IF(AND($A19&lt;&gt;"",BH$3&gt;=$J19,BH$3&lt;=$M19),1,"")</f>
        <v/>
      </c>
      <c r="BI19">
        <f>IF(AND($A19&lt;&gt;"",BI$3&gt;=$J19,BI$3&lt;=$M19),1,"")</f>
        <v/>
      </c>
      <c r="BJ19">
        <f>IF(AND($A19&lt;&gt;"",BJ$3&gt;=$J19,BJ$3&lt;=$M19),1,"")</f>
        <v/>
      </c>
      <c r="BK19">
        <f>IF(AND($A19&lt;&gt;"",BK$3&gt;=$J19,BK$3&lt;=$M19),1,"")</f>
        <v/>
      </c>
      <c r="BL19">
        <f>IF(AND($A19&lt;&gt;"",BL$3&gt;=$J19,BL$3&lt;=$M19),1,"")</f>
        <v/>
      </c>
      <c r="BM19">
        <f>IF(AND($A19&lt;&gt;"",BM$3&gt;=$J19,BM$3&lt;=$M19),1,"")</f>
        <v/>
      </c>
      <c r="BN19">
        <f>IF(AND($A19&lt;&gt;"",BN$3&gt;=$J19,BN$3&lt;=$M19),1,"")</f>
        <v/>
      </c>
      <c r="BO19">
        <f>IF(AND($A19&lt;&gt;"",BO$3&gt;=$J19,BO$3&lt;=$M19),1,"")</f>
        <v/>
      </c>
      <c r="BP19">
        <f>IF(AND($A19&lt;&gt;"",BP$3&gt;=$J19,BP$3&lt;=$M19),1,"")</f>
        <v/>
      </c>
      <c r="BQ19">
        <f>IF(AND($A19&lt;&gt;"",BQ$3&gt;=$J19,BQ$3&lt;=$M19),1,"")</f>
        <v/>
      </c>
      <c r="BR19">
        <f>IF(AND($A19&lt;&gt;"",BR$3&gt;=$J19,BR$3&lt;=$M19),1,"")</f>
        <v/>
      </c>
      <c r="BS19">
        <f>IF(AND($A19&lt;&gt;"",BS$3&gt;=$J19,BS$3&lt;=$M19),1,"")</f>
        <v/>
      </c>
      <c r="BT19">
        <f>IF(AND($A19&lt;&gt;"",BT$3&gt;=$J19,BT$3&lt;=$M19),1,"")</f>
        <v/>
      </c>
      <c r="BU19">
        <f>IF(AND($A19&lt;&gt;"",BU$3&gt;=$J19,BU$3&lt;=$M19),1,"")</f>
        <v/>
      </c>
      <c r="BV19">
        <f>IF(AND($A19&lt;&gt;"",BV$3&gt;=$J19,BV$3&lt;=$M19),1,"")</f>
        <v/>
      </c>
    </row>
    <row r="20">
      <c r="A20">
        <f>IF(Job_Master_Ring!$A20="","",Job_Master_Ring!$A20)</f>
        <v/>
      </c>
      <c r="B20">
        <f>IF($A20="","",Job_Master_Ring!B20)</f>
        <v/>
      </c>
      <c r="C20">
        <f>IF($A20="","",Job_Master_Ring!C20)</f>
        <v/>
      </c>
      <c r="D20">
        <f>IF($A20="","",Job_Master_Ring!D20)</f>
        <v/>
      </c>
      <c r="E20">
        <f>IF($A20="","",IF($I20&lt;&gt;"",$I20,IFERROR(INDEX(Machine_List!$B$64:$B$71,MATCH(1,(Machine_List!$H$64:$H$71&lt;=IFERROR(VLOOKUP($B20,CHOOSE(MATCH($C20,Settings!$L$4:$L$10,0),OPR_BR1!$A$4:$K$18,OPR_BR2!$A$4:$K$18,OPR_CR2!$A$4:$K$18,OPR_CR3!$A$4:$K$18,OPR_CR4!$A$4:$K$18,OPR_RIM!$A$4:$K$18,OPR_BPR!$A$4:$K$18),10,0),0))*(Machine_List!$I$64:$I$71&gt;=IFERROR(VLOOKUP($B20,CHOOSE(MATCH($C20,Settings!$L$4:$L$10,0),OPR_BR1!$A$4:$K$18,OPR_BR2!$A$4:$K$18,OPR_CR2!$A$4:$K$18,OPR_CR3!$A$4:$K$18,OPR_CR4!$A$4:$K$18,OPR_RIM!$A$4:$K$18,OPR_BPR!$A$4:$K$18),11,0),9999)),0)),"NO COMPATIBLE MACHINE")))</f>
        <v/>
      </c>
      <c r="F20">
        <f>IF($E20="","",IFERROR(VLOOKUP($E20,Machine_List!$B:$G,6,0),""))</f>
        <v/>
      </c>
      <c r="G20" s="17">
        <f>IF($E20="","",IFERROR(VLOOKUP($E20,Machine_List!$B:$C,2,0),""))</f>
        <v/>
      </c>
      <c r="H20">
        <f>IF($E20="","",IFERROR(VLOOKUP($E20,Machine_List!$B:$D,3,0),""))</f>
        <v/>
      </c>
      <c r="J20" s="16">
        <f>IF($A20="","",IF($I20&lt;&gt;"",$I20,MAX(ENG_Plan!$M20,IFERROR(LOOKUP(2,1/($E$3:INDIRECT("E"&amp;(ROW()-1))=$E20),$M$3:INDIRECT("M"&amp;(ROW()-1))),ENG_Plan!$M20))))</f>
        <v/>
      </c>
      <c r="K20">
        <f>IF($A20="","",IFERROR(VLOOKUP(B20,CHOOSE(MATCH($C20,Settings!$L$4:$L$10,0),OPR_BR1!$A$4:$I$18,OPR_BR2!$A$4:$I$18,OPR_CR2!$A$4:$I$18,OPR_CR3!$A$4:$I$18,OPR_CR4!$A$4:$I$18,OPR_RIM!$A$4:$I$18,OPR_BPR!$A$4:$I$18),7,0),0))</f>
        <v/>
      </c>
      <c r="L20">
        <f>IF($A20="","",K20*D20)</f>
        <v/>
      </c>
      <c r="M20" s="16">
        <f>IF($A20="","",IF(AND(ISNUMBER(G20),G20&gt;=J20,G20&lt;=(J20+(L20/(IF(F20="Contract Workman",Settings!$K$5,Settings!$K$4))))),J20+(L20/(IF(F20="Contract Workman",Settings!$K$5,Settings!$K$4)))+(H20/(IF(F20="Contract Workman",Settings!$K$5,Settings!$K$4))),J20+(L20/(IF(F20="Contract Workman",Settings!$K$5,Settings!$K$4)))))</f>
        <v/>
      </c>
      <c r="N20">
        <f>IF($A20="","",IF(F20="Contract Workman",IF(AND(MOD(M20,1)&gt;=8/24,MOD(M20,1)&lt;20/24),"Shift S1","Shift S2"),IF(AND(MOD(M20,1)&gt;=7/24,MOD(M20,1)&lt;15/24),"Shift A",IF(AND(MOD(M20,1)&gt;=15/24,MOD(M20,1)&lt;23/24),"Shift B","Shift C"))))</f>
        <v/>
      </c>
      <c r="O20">
        <f>IF(B20="","",IF(IFERROR(ISNUMBER(SEARCH(TEXT(B20,"0"),VLOOKUP(E20,Machine_List!$B:$J,9,0))),FALSE),"✅ "&amp; E20,"❌ Sug: "&amp;IFERROR(INDEX(Machine_List!$B$64:$B$71,MATCH(1,(Machine_List!$H$64:$H$71&lt;=IFERROR(VLOOKUP($B20,OPR_BR1!$A$4:$K$18,10,0),0))*(Machine_List!$I$64:$I$71&gt;=IFERROR(VLOOKUP($B20,OPR_BR1!$A$4:$K$18,11,0),9999)),0)),"?")))</f>
        <v/>
      </c>
      <c r="P20">
        <f>IF(AND($A20&lt;&gt;"",P$3&gt;=$J20,P$3&lt;=$M20),1,"")</f>
        <v/>
      </c>
      <c r="Q20">
        <f>IF(AND($A20&lt;&gt;"",Q$3&gt;=$J20,Q$3&lt;=$M20),1,"")</f>
        <v/>
      </c>
      <c r="R20">
        <f>IF(AND($A20&lt;&gt;"",R$3&gt;=$J20,R$3&lt;=$M20),1,"")</f>
        <v/>
      </c>
      <c r="S20">
        <f>IF(AND($A20&lt;&gt;"",S$3&gt;=$J20,S$3&lt;=$M20),1,"")</f>
        <v/>
      </c>
      <c r="T20">
        <f>IF(AND($A20&lt;&gt;"",T$3&gt;=$J20,T$3&lt;=$M20),1,"")</f>
        <v/>
      </c>
      <c r="U20">
        <f>IF(AND($A20&lt;&gt;"",U$3&gt;=$J20,U$3&lt;=$M20),1,"")</f>
        <v/>
      </c>
      <c r="V20">
        <f>IF(AND($A20&lt;&gt;"",V$3&gt;=$J20,V$3&lt;=$M20),1,"")</f>
        <v/>
      </c>
      <c r="W20">
        <f>IF(AND($A20&lt;&gt;"",W$3&gt;=$J20,W$3&lt;=$M20),1,"")</f>
        <v/>
      </c>
      <c r="X20">
        <f>IF(AND($A20&lt;&gt;"",X$3&gt;=$J20,X$3&lt;=$M20),1,"")</f>
        <v/>
      </c>
      <c r="Y20">
        <f>IF(AND($A20&lt;&gt;"",Y$3&gt;=$J20,Y$3&lt;=$M20),1,"")</f>
        <v/>
      </c>
      <c r="Z20">
        <f>IF(AND($A20&lt;&gt;"",Z$3&gt;=$J20,Z$3&lt;=$M20),1,"")</f>
        <v/>
      </c>
      <c r="AA20">
        <f>IF(AND($A20&lt;&gt;"",AA$3&gt;=$J20,AA$3&lt;=$M20),1,"")</f>
        <v/>
      </c>
      <c r="AB20">
        <f>IF(AND($A20&lt;&gt;"",AB$3&gt;=$J20,AB$3&lt;=$M20),1,"")</f>
        <v/>
      </c>
      <c r="AC20">
        <f>IF(AND($A20&lt;&gt;"",AC$3&gt;=$J20,AC$3&lt;=$M20),1,"")</f>
        <v/>
      </c>
      <c r="AD20">
        <f>IF(AND($A20&lt;&gt;"",AD$3&gt;=$J20,AD$3&lt;=$M20),1,"")</f>
        <v/>
      </c>
      <c r="AE20">
        <f>IF(AND($A20&lt;&gt;"",AE$3&gt;=$J20,AE$3&lt;=$M20),1,"")</f>
        <v/>
      </c>
      <c r="AF20">
        <f>IF(AND($A20&lt;&gt;"",AF$3&gt;=$J20,AF$3&lt;=$M20),1,"")</f>
        <v/>
      </c>
      <c r="AG20">
        <f>IF(AND($A20&lt;&gt;"",AG$3&gt;=$J20,AG$3&lt;=$M20),1,"")</f>
        <v/>
      </c>
      <c r="AH20">
        <f>IF(AND($A20&lt;&gt;"",AH$3&gt;=$J20,AH$3&lt;=$M20),1,"")</f>
        <v/>
      </c>
      <c r="AI20">
        <f>IF(AND($A20&lt;&gt;"",AI$3&gt;=$J20,AI$3&lt;=$M20),1,"")</f>
        <v/>
      </c>
      <c r="AJ20">
        <f>IF(AND($A20&lt;&gt;"",AJ$3&gt;=$J20,AJ$3&lt;=$M20),1,"")</f>
        <v/>
      </c>
      <c r="AK20">
        <f>IF(AND($A20&lt;&gt;"",AK$3&gt;=$J20,AK$3&lt;=$M20),1,"")</f>
        <v/>
      </c>
      <c r="AL20">
        <f>IF(AND($A20&lt;&gt;"",AL$3&gt;=$J20,AL$3&lt;=$M20),1,"")</f>
        <v/>
      </c>
      <c r="AM20">
        <f>IF(AND($A20&lt;&gt;"",AM$3&gt;=$J20,AM$3&lt;=$M20),1,"")</f>
        <v/>
      </c>
      <c r="AN20">
        <f>IF(AND($A20&lt;&gt;"",AN$3&gt;=$J20,AN$3&lt;=$M20),1,"")</f>
        <v/>
      </c>
      <c r="AO20">
        <f>IF(AND($A20&lt;&gt;"",AO$3&gt;=$J20,AO$3&lt;=$M20),1,"")</f>
        <v/>
      </c>
      <c r="AP20">
        <f>IF(AND($A20&lt;&gt;"",AP$3&gt;=$J20,AP$3&lt;=$M20),1,"")</f>
        <v/>
      </c>
      <c r="AQ20">
        <f>IF(AND($A20&lt;&gt;"",AQ$3&gt;=$J20,AQ$3&lt;=$M20),1,"")</f>
        <v/>
      </c>
      <c r="AR20">
        <f>IF(AND($A20&lt;&gt;"",AR$3&gt;=$J20,AR$3&lt;=$M20),1,"")</f>
        <v/>
      </c>
      <c r="AS20">
        <f>IF(AND($A20&lt;&gt;"",AS$3&gt;=$J20,AS$3&lt;=$M20),1,"")</f>
        <v/>
      </c>
      <c r="AT20">
        <f>IF(AND($A20&lt;&gt;"",AT$3&gt;=$J20,AT$3&lt;=$M20),1,"")</f>
        <v/>
      </c>
      <c r="AU20">
        <f>IF(AND($A20&lt;&gt;"",AU$3&gt;=$J20,AU$3&lt;=$M20),1,"")</f>
        <v/>
      </c>
      <c r="AV20">
        <f>IF(AND($A20&lt;&gt;"",AV$3&gt;=$J20,AV$3&lt;=$M20),1,"")</f>
        <v/>
      </c>
      <c r="AW20">
        <f>IF(AND($A20&lt;&gt;"",AW$3&gt;=$J20,AW$3&lt;=$M20),1,"")</f>
        <v/>
      </c>
      <c r="AX20">
        <f>IF(AND($A20&lt;&gt;"",AX$3&gt;=$J20,AX$3&lt;=$M20),1,"")</f>
        <v/>
      </c>
      <c r="AY20">
        <f>IF(AND($A20&lt;&gt;"",AY$3&gt;=$J20,AY$3&lt;=$M20),1,"")</f>
        <v/>
      </c>
      <c r="AZ20">
        <f>IF(AND($A20&lt;&gt;"",AZ$3&gt;=$J20,AZ$3&lt;=$M20),1,"")</f>
        <v/>
      </c>
      <c r="BA20">
        <f>IF(AND($A20&lt;&gt;"",BA$3&gt;=$J20,BA$3&lt;=$M20),1,"")</f>
        <v/>
      </c>
      <c r="BB20">
        <f>IF(AND($A20&lt;&gt;"",BB$3&gt;=$J20,BB$3&lt;=$M20),1,"")</f>
        <v/>
      </c>
      <c r="BC20">
        <f>IF(AND($A20&lt;&gt;"",BC$3&gt;=$J20,BC$3&lt;=$M20),1,"")</f>
        <v/>
      </c>
      <c r="BD20">
        <f>IF(AND($A20&lt;&gt;"",BD$3&gt;=$J20,BD$3&lt;=$M20),1,"")</f>
        <v/>
      </c>
      <c r="BE20">
        <f>IF(AND($A20&lt;&gt;"",BE$3&gt;=$J20,BE$3&lt;=$M20),1,"")</f>
        <v/>
      </c>
      <c r="BF20">
        <f>IF(AND($A20&lt;&gt;"",BF$3&gt;=$J20,BF$3&lt;=$M20),1,"")</f>
        <v/>
      </c>
      <c r="BG20">
        <f>IF(AND($A20&lt;&gt;"",BG$3&gt;=$J20,BG$3&lt;=$M20),1,"")</f>
        <v/>
      </c>
      <c r="BH20">
        <f>IF(AND($A20&lt;&gt;"",BH$3&gt;=$J20,BH$3&lt;=$M20),1,"")</f>
        <v/>
      </c>
      <c r="BI20">
        <f>IF(AND($A20&lt;&gt;"",BI$3&gt;=$J20,BI$3&lt;=$M20),1,"")</f>
        <v/>
      </c>
      <c r="BJ20">
        <f>IF(AND($A20&lt;&gt;"",BJ$3&gt;=$J20,BJ$3&lt;=$M20),1,"")</f>
        <v/>
      </c>
      <c r="BK20">
        <f>IF(AND($A20&lt;&gt;"",BK$3&gt;=$J20,BK$3&lt;=$M20),1,"")</f>
        <v/>
      </c>
      <c r="BL20">
        <f>IF(AND($A20&lt;&gt;"",BL$3&gt;=$J20,BL$3&lt;=$M20),1,"")</f>
        <v/>
      </c>
      <c r="BM20">
        <f>IF(AND($A20&lt;&gt;"",BM$3&gt;=$J20,BM$3&lt;=$M20),1,"")</f>
        <v/>
      </c>
      <c r="BN20">
        <f>IF(AND($A20&lt;&gt;"",BN$3&gt;=$J20,BN$3&lt;=$M20),1,"")</f>
        <v/>
      </c>
      <c r="BO20">
        <f>IF(AND($A20&lt;&gt;"",BO$3&gt;=$J20,BO$3&lt;=$M20),1,"")</f>
        <v/>
      </c>
      <c r="BP20">
        <f>IF(AND($A20&lt;&gt;"",BP$3&gt;=$J20,BP$3&lt;=$M20),1,"")</f>
        <v/>
      </c>
      <c r="BQ20">
        <f>IF(AND($A20&lt;&gt;"",BQ$3&gt;=$J20,BQ$3&lt;=$M20),1,"")</f>
        <v/>
      </c>
      <c r="BR20">
        <f>IF(AND($A20&lt;&gt;"",BR$3&gt;=$J20,BR$3&lt;=$M20),1,"")</f>
        <v/>
      </c>
      <c r="BS20">
        <f>IF(AND($A20&lt;&gt;"",BS$3&gt;=$J20,BS$3&lt;=$M20),1,"")</f>
        <v/>
      </c>
      <c r="BT20">
        <f>IF(AND($A20&lt;&gt;"",BT$3&gt;=$J20,BT$3&lt;=$M20),1,"")</f>
        <v/>
      </c>
      <c r="BU20">
        <f>IF(AND($A20&lt;&gt;"",BU$3&gt;=$J20,BU$3&lt;=$M20),1,"")</f>
        <v/>
      </c>
      <c r="BV20">
        <f>IF(AND($A20&lt;&gt;"",BV$3&gt;=$J20,BV$3&lt;=$M20),1,"")</f>
        <v/>
      </c>
    </row>
    <row r="21">
      <c r="A21">
        <f>IF(Job_Master_Ring!$A21="","",Job_Master_Ring!$A21)</f>
        <v/>
      </c>
      <c r="B21">
        <f>IF($A21="","",Job_Master_Ring!B21)</f>
        <v/>
      </c>
      <c r="C21">
        <f>IF($A21="","",Job_Master_Ring!C21)</f>
        <v/>
      </c>
      <c r="D21">
        <f>IF($A21="","",Job_Master_Ring!D21)</f>
        <v/>
      </c>
      <c r="E21">
        <f>IF($A21="","",IF($I21&lt;&gt;"",$I21,IFERROR(INDEX(Machine_List!$B$64:$B$71,MATCH(1,(Machine_List!$H$64:$H$71&lt;=IFERROR(VLOOKUP($B21,CHOOSE(MATCH($C21,Settings!$L$4:$L$10,0),OPR_BR1!$A$4:$K$18,OPR_BR2!$A$4:$K$18,OPR_CR2!$A$4:$K$18,OPR_CR3!$A$4:$K$18,OPR_CR4!$A$4:$K$18,OPR_RIM!$A$4:$K$18,OPR_BPR!$A$4:$K$18),10,0),0))*(Machine_List!$I$64:$I$71&gt;=IFERROR(VLOOKUP($B21,CHOOSE(MATCH($C21,Settings!$L$4:$L$10,0),OPR_BR1!$A$4:$K$18,OPR_BR2!$A$4:$K$18,OPR_CR2!$A$4:$K$18,OPR_CR3!$A$4:$K$18,OPR_CR4!$A$4:$K$18,OPR_RIM!$A$4:$K$18,OPR_BPR!$A$4:$K$18),11,0),9999)),0)),"NO COMPATIBLE MACHINE")))</f>
        <v/>
      </c>
      <c r="F21">
        <f>IF($E21="","",IFERROR(VLOOKUP($E21,Machine_List!$B:$G,6,0),""))</f>
        <v/>
      </c>
      <c r="G21" s="17">
        <f>IF($E21="","",IFERROR(VLOOKUP($E21,Machine_List!$B:$C,2,0),""))</f>
        <v/>
      </c>
      <c r="H21">
        <f>IF($E21="","",IFERROR(VLOOKUP($E21,Machine_List!$B:$D,3,0),""))</f>
        <v/>
      </c>
      <c r="J21" s="16">
        <f>IF($A21="","",IF($I21&lt;&gt;"",$I21,MAX(ENG_Plan!$M21,IFERROR(LOOKUP(2,1/($E$3:INDIRECT("E"&amp;(ROW()-1))=$E21),$M$3:INDIRECT("M"&amp;(ROW()-1))),ENG_Plan!$M21))))</f>
        <v/>
      </c>
      <c r="K21">
        <f>IF($A21="","",IFERROR(VLOOKUP(B21,CHOOSE(MATCH($C21,Settings!$L$4:$L$10,0),OPR_BR1!$A$4:$I$18,OPR_BR2!$A$4:$I$18,OPR_CR2!$A$4:$I$18,OPR_CR3!$A$4:$I$18,OPR_CR4!$A$4:$I$18,OPR_RIM!$A$4:$I$18,OPR_BPR!$A$4:$I$18),7,0),0))</f>
        <v/>
      </c>
      <c r="L21">
        <f>IF($A21="","",K21*D21)</f>
        <v/>
      </c>
      <c r="M21" s="16">
        <f>IF($A21="","",IF(AND(ISNUMBER(G21),G21&gt;=J21,G21&lt;=(J21+(L21/(IF(F21="Contract Workman",Settings!$K$5,Settings!$K$4))))),J21+(L21/(IF(F21="Contract Workman",Settings!$K$5,Settings!$K$4)))+(H21/(IF(F21="Contract Workman",Settings!$K$5,Settings!$K$4))),J21+(L21/(IF(F21="Contract Workman",Settings!$K$5,Settings!$K$4)))))</f>
        <v/>
      </c>
      <c r="N21">
        <f>IF($A21="","",IF(F21="Contract Workman",IF(AND(MOD(M21,1)&gt;=8/24,MOD(M21,1)&lt;20/24),"Shift S1","Shift S2"),IF(AND(MOD(M21,1)&gt;=7/24,MOD(M21,1)&lt;15/24),"Shift A",IF(AND(MOD(M21,1)&gt;=15/24,MOD(M21,1)&lt;23/24),"Shift B","Shift C"))))</f>
        <v/>
      </c>
      <c r="O21">
        <f>IF(B21="","",IF(IFERROR(ISNUMBER(SEARCH(TEXT(B21,"0"),VLOOKUP(E21,Machine_List!$B:$J,9,0))),FALSE),"✅ "&amp; E21,"❌ Sug: "&amp;IFERROR(INDEX(Machine_List!$B$64:$B$71,MATCH(1,(Machine_List!$H$64:$H$71&lt;=IFERROR(VLOOKUP($B21,OPR_BR1!$A$4:$K$18,10,0),0))*(Machine_List!$I$64:$I$71&gt;=IFERROR(VLOOKUP($B21,OPR_BR1!$A$4:$K$18,11,0),9999)),0)),"?")))</f>
        <v/>
      </c>
      <c r="P21">
        <f>IF(AND($A21&lt;&gt;"",P$3&gt;=$J21,P$3&lt;=$M21),1,"")</f>
        <v/>
      </c>
      <c r="Q21">
        <f>IF(AND($A21&lt;&gt;"",Q$3&gt;=$J21,Q$3&lt;=$M21),1,"")</f>
        <v/>
      </c>
      <c r="R21">
        <f>IF(AND($A21&lt;&gt;"",R$3&gt;=$J21,R$3&lt;=$M21),1,"")</f>
        <v/>
      </c>
      <c r="S21">
        <f>IF(AND($A21&lt;&gt;"",S$3&gt;=$J21,S$3&lt;=$M21),1,"")</f>
        <v/>
      </c>
      <c r="T21">
        <f>IF(AND($A21&lt;&gt;"",T$3&gt;=$J21,T$3&lt;=$M21),1,"")</f>
        <v/>
      </c>
      <c r="U21">
        <f>IF(AND($A21&lt;&gt;"",U$3&gt;=$J21,U$3&lt;=$M21),1,"")</f>
        <v/>
      </c>
      <c r="V21">
        <f>IF(AND($A21&lt;&gt;"",V$3&gt;=$J21,V$3&lt;=$M21),1,"")</f>
        <v/>
      </c>
      <c r="W21">
        <f>IF(AND($A21&lt;&gt;"",W$3&gt;=$J21,W$3&lt;=$M21),1,"")</f>
        <v/>
      </c>
      <c r="X21">
        <f>IF(AND($A21&lt;&gt;"",X$3&gt;=$J21,X$3&lt;=$M21),1,"")</f>
        <v/>
      </c>
      <c r="Y21">
        <f>IF(AND($A21&lt;&gt;"",Y$3&gt;=$J21,Y$3&lt;=$M21),1,"")</f>
        <v/>
      </c>
      <c r="Z21">
        <f>IF(AND($A21&lt;&gt;"",Z$3&gt;=$J21,Z$3&lt;=$M21),1,"")</f>
        <v/>
      </c>
      <c r="AA21">
        <f>IF(AND($A21&lt;&gt;"",AA$3&gt;=$J21,AA$3&lt;=$M21),1,"")</f>
        <v/>
      </c>
      <c r="AB21">
        <f>IF(AND($A21&lt;&gt;"",AB$3&gt;=$J21,AB$3&lt;=$M21),1,"")</f>
        <v/>
      </c>
      <c r="AC21">
        <f>IF(AND($A21&lt;&gt;"",AC$3&gt;=$J21,AC$3&lt;=$M21),1,"")</f>
        <v/>
      </c>
      <c r="AD21">
        <f>IF(AND($A21&lt;&gt;"",AD$3&gt;=$J21,AD$3&lt;=$M21),1,"")</f>
        <v/>
      </c>
      <c r="AE21">
        <f>IF(AND($A21&lt;&gt;"",AE$3&gt;=$J21,AE$3&lt;=$M21),1,"")</f>
        <v/>
      </c>
      <c r="AF21">
        <f>IF(AND($A21&lt;&gt;"",AF$3&gt;=$J21,AF$3&lt;=$M21),1,"")</f>
        <v/>
      </c>
      <c r="AG21">
        <f>IF(AND($A21&lt;&gt;"",AG$3&gt;=$J21,AG$3&lt;=$M21),1,"")</f>
        <v/>
      </c>
      <c r="AH21">
        <f>IF(AND($A21&lt;&gt;"",AH$3&gt;=$J21,AH$3&lt;=$M21),1,"")</f>
        <v/>
      </c>
      <c r="AI21">
        <f>IF(AND($A21&lt;&gt;"",AI$3&gt;=$J21,AI$3&lt;=$M21),1,"")</f>
        <v/>
      </c>
      <c r="AJ21">
        <f>IF(AND($A21&lt;&gt;"",AJ$3&gt;=$J21,AJ$3&lt;=$M21),1,"")</f>
        <v/>
      </c>
      <c r="AK21">
        <f>IF(AND($A21&lt;&gt;"",AK$3&gt;=$J21,AK$3&lt;=$M21),1,"")</f>
        <v/>
      </c>
      <c r="AL21">
        <f>IF(AND($A21&lt;&gt;"",AL$3&gt;=$J21,AL$3&lt;=$M21),1,"")</f>
        <v/>
      </c>
      <c r="AM21">
        <f>IF(AND($A21&lt;&gt;"",AM$3&gt;=$J21,AM$3&lt;=$M21),1,"")</f>
        <v/>
      </c>
      <c r="AN21">
        <f>IF(AND($A21&lt;&gt;"",AN$3&gt;=$J21,AN$3&lt;=$M21),1,"")</f>
        <v/>
      </c>
      <c r="AO21">
        <f>IF(AND($A21&lt;&gt;"",AO$3&gt;=$J21,AO$3&lt;=$M21),1,"")</f>
        <v/>
      </c>
      <c r="AP21">
        <f>IF(AND($A21&lt;&gt;"",AP$3&gt;=$J21,AP$3&lt;=$M21),1,"")</f>
        <v/>
      </c>
      <c r="AQ21">
        <f>IF(AND($A21&lt;&gt;"",AQ$3&gt;=$J21,AQ$3&lt;=$M21),1,"")</f>
        <v/>
      </c>
      <c r="AR21">
        <f>IF(AND($A21&lt;&gt;"",AR$3&gt;=$J21,AR$3&lt;=$M21),1,"")</f>
        <v/>
      </c>
      <c r="AS21">
        <f>IF(AND($A21&lt;&gt;"",AS$3&gt;=$J21,AS$3&lt;=$M21),1,"")</f>
        <v/>
      </c>
      <c r="AT21">
        <f>IF(AND($A21&lt;&gt;"",AT$3&gt;=$J21,AT$3&lt;=$M21),1,"")</f>
        <v/>
      </c>
      <c r="AU21">
        <f>IF(AND($A21&lt;&gt;"",AU$3&gt;=$J21,AU$3&lt;=$M21),1,"")</f>
        <v/>
      </c>
      <c r="AV21">
        <f>IF(AND($A21&lt;&gt;"",AV$3&gt;=$J21,AV$3&lt;=$M21),1,"")</f>
        <v/>
      </c>
      <c r="AW21">
        <f>IF(AND($A21&lt;&gt;"",AW$3&gt;=$J21,AW$3&lt;=$M21),1,"")</f>
        <v/>
      </c>
      <c r="AX21">
        <f>IF(AND($A21&lt;&gt;"",AX$3&gt;=$J21,AX$3&lt;=$M21),1,"")</f>
        <v/>
      </c>
      <c r="AY21">
        <f>IF(AND($A21&lt;&gt;"",AY$3&gt;=$J21,AY$3&lt;=$M21),1,"")</f>
        <v/>
      </c>
      <c r="AZ21">
        <f>IF(AND($A21&lt;&gt;"",AZ$3&gt;=$J21,AZ$3&lt;=$M21),1,"")</f>
        <v/>
      </c>
      <c r="BA21">
        <f>IF(AND($A21&lt;&gt;"",BA$3&gt;=$J21,BA$3&lt;=$M21),1,"")</f>
        <v/>
      </c>
      <c r="BB21">
        <f>IF(AND($A21&lt;&gt;"",BB$3&gt;=$J21,BB$3&lt;=$M21),1,"")</f>
        <v/>
      </c>
      <c r="BC21">
        <f>IF(AND($A21&lt;&gt;"",BC$3&gt;=$J21,BC$3&lt;=$M21),1,"")</f>
        <v/>
      </c>
      <c r="BD21">
        <f>IF(AND($A21&lt;&gt;"",BD$3&gt;=$J21,BD$3&lt;=$M21),1,"")</f>
        <v/>
      </c>
      <c r="BE21">
        <f>IF(AND($A21&lt;&gt;"",BE$3&gt;=$J21,BE$3&lt;=$M21),1,"")</f>
        <v/>
      </c>
      <c r="BF21">
        <f>IF(AND($A21&lt;&gt;"",BF$3&gt;=$J21,BF$3&lt;=$M21),1,"")</f>
        <v/>
      </c>
      <c r="BG21">
        <f>IF(AND($A21&lt;&gt;"",BG$3&gt;=$J21,BG$3&lt;=$M21),1,"")</f>
        <v/>
      </c>
      <c r="BH21">
        <f>IF(AND($A21&lt;&gt;"",BH$3&gt;=$J21,BH$3&lt;=$M21),1,"")</f>
        <v/>
      </c>
      <c r="BI21">
        <f>IF(AND($A21&lt;&gt;"",BI$3&gt;=$J21,BI$3&lt;=$M21),1,"")</f>
        <v/>
      </c>
      <c r="BJ21">
        <f>IF(AND($A21&lt;&gt;"",BJ$3&gt;=$J21,BJ$3&lt;=$M21),1,"")</f>
        <v/>
      </c>
      <c r="BK21">
        <f>IF(AND($A21&lt;&gt;"",BK$3&gt;=$J21,BK$3&lt;=$M21),1,"")</f>
        <v/>
      </c>
      <c r="BL21">
        <f>IF(AND($A21&lt;&gt;"",BL$3&gt;=$J21,BL$3&lt;=$M21),1,"")</f>
        <v/>
      </c>
      <c r="BM21">
        <f>IF(AND($A21&lt;&gt;"",BM$3&gt;=$J21,BM$3&lt;=$M21),1,"")</f>
        <v/>
      </c>
      <c r="BN21">
        <f>IF(AND($A21&lt;&gt;"",BN$3&gt;=$J21,BN$3&lt;=$M21),1,"")</f>
        <v/>
      </c>
      <c r="BO21">
        <f>IF(AND($A21&lt;&gt;"",BO$3&gt;=$J21,BO$3&lt;=$M21),1,"")</f>
        <v/>
      </c>
      <c r="BP21">
        <f>IF(AND($A21&lt;&gt;"",BP$3&gt;=$J21,BP$3&lt;=$M21),1,"")</f>
        <v/>
      </c>
      <c r="BQ21">
        <f>IF(AND($A21&lt;&gt;"",BQ$3&gt;=$J21,BQ$3&lt;=$M21),1,"")</f>
        <v/>
      </c>
      <c r="BR21">
        <f>IF(AND($A21&lt;&gt;"",BR$3&gt;=$J21,BR$3&lt;=$M21),1,"")</f>
        <v/>
      </c>
      <c r="BS21">
        <f>IF(AND($A21&lt;&gt;"",BS$3&gt;=$J21,BS$3&lt;=$M21),1,"")</f>
        <v/>
      </c>
      <c r="BT21">
        <f>IF(AND($A21&lt;&gt;"",BT$3&gt;=$J21,BT$3&lt;=$M21),1,"")</f>
        <v/>
      </c>
      <c r="BU21">
        <f>IF(AND($A21&lt;&gt;"",BU$3&gt;=$J21,BU$3&lt;=$M21),1,"")</f>
        <v/>
      </c>
      <c r="BV21">
        <f>IF(AND($A21&lt;&gt;"",BV$3&gt;=$J21,BV$3&lt;=$M21),1,"")</f>
        <v/>
      </c>
    </row>
    <row r="22">
      <c r="A22">
        <f>IF(Job_Master_Ring!$A22="","",Job_Master_Ring!$A22)</f>
        <v/>
      </c>
      <c r="B22">
        <f>IF($A22="","",Job_Master_Ring!B22)</f>
        <v/>
      </c>
      <c r="C22">
        <f>IF($A22="","",Job_Master_Ring!C22)</f>
        <v/>
      </c>
      <c r="D22">
        <f>IF($A22="","",Job_Master_Ring!D22)</f>
        <v/>
      </c>
      <c r="E22">
        <f>IF($A22="","",IF($I22&lt;&gt;"",$I22,IFERROR(INDEX(Machine_List!$B$64:$B$71,MATCH(1,(Machine_List!$H$64:$H$71&lt;=IFERROR(VLOOKUP($B22,CHOOSE(MATCH($C22,Settings!$L$4:$L$10,0),OPR_BR1!$A$4:$K$18,OPR_BR2!$A$4:$K$18,OPR_CR2!$A$4:$K$18,OPR_CR3!$A$4:$K$18,OPR_CR4!$A$4:$K$18,OPR_RIM!$A$4:$K$18,OPR_BPR!$A$4:$K$18),10,0),0))*(Machine_List!$I$64:$I$71&gt;=IFERROR(VLOOKUP($B22,CHOOSE(MATCH($C22,Settings!$L$4:$L$10,0),OPR_BR1!$A$4:$K$18,OPR_BR2!$A$4:$K$18,OPR_CR2!$A$4:$K$18,OPR_CR3!$A$4:$K$18,OPR_CR4!$A$4:$K$18,OPR_RIM!$A$4:$K$18,OPR_BPR!$A$4:$K$18),11,0),9999)),0)),"NO COMPATIBLE MACHINE")))</f>
        <v/>
      </c>
      <c r="F22">
        <f>IF($E22="","",IFERROR(VLOOKUP($E22,Machine_List!$B:$G,6,0),""))</f>
        <v/>
      </c>
      <c r="G22" s="17">
        <f>IF($E22="","",IFERROR(VLOOKUP($E22,Machine_List!$B:$C,2,0),""))</f>
        <v/>
      </c>
      <c r="H22">
        <f>IF($E22="","",IFERROR(VLOOKUP($E22,Machine_List!$B:$D,3,0),""))</f>
        <v/>
      </c>
      <c r="J22" s="16">
        <f>IF($A22="","",IF($I22&lt;&gt;"",$I22,MAX(ENG_Plan!$M22,IFERROR(LOOKUP(2,1/($E$3:INDIRECT("E"&amp;(ROW()-1))=$E22),$M$3:INDIRECT("M"&amp;(ROW()-1))),ENG_Plan!$M22))))</f>
        <v/>
      </c>
      <c r="K22">
        <f>IF($A22="","",IFERROR(VLOOKUP(B22,CHOOSE(MATCH($C22,Settings!$L$4:$L$10,0),OPR_BR1!$A$4:$I$18,OPR_BR2!$A$4:$I$18,OPR_CR2!$A$4:$I$18,OPR_CR3!$A$4:$I$18,OPR_CR4!$A$4:$I$18,OPR_RIM!$A$4:$I$18,OPR_BPR!$A$4:$I$18),7,0),0))</f>
        <v/>
      </c>
      <c r="L22">
        <f>IF($A22="","",K22*D22)</f>
        <v/>
      </c>
      <c r="M22" s="16">
        <f>IF($A22="","",IF(AND(ISNUMBER(G22),G22&gt;=J22,G22&lt;=(J22+(L22/(IF(F22="Contract Workman",Settings!$K$5,Settings!$K$4))))),J22+(L22/(IF(F22="Contract Workman",Settings!$K$5,Settings!$K$4)))+(H22/(IF(F22="Contract Workman",Settings!$K$5,Settings!$K$4))),J22+(L22/(IF(F22="Contract Workman",Settings!$K$5,Settings!$K$4)))))</f>
        <v/>
      </c>
      <c r="N22">
        <f>IF($A22="","",IF(F22="Contract Workman",IF(AND(MOD(M22,1)&gt;=8/24,MOD(M22,1)&lt;20/24),"Shift S1","Shift S2"),IF(AND(MOD(M22,1)&gt;=7/24,MOD(M22,1)&lt;15/24),"Shift A",IF(AND(MOD(M22,1)&gt;=15/24,MOD(M22,1)&lt;23/24),"Shift B","Shift C"))))</f>
        <v/>
      </c>
      <c r="O22">
        <f>IF(B22="","",IF(IFERROR(ISNUMBER(SEARCH(TEXT(B22,"0"),VLOOKUP(E22,Machine_List!$B:$J,9,0))),FALSE),"✅ "&amp; E22,"❌ Sug: "&amp;IFERROR(INDEX(Machine_List!$B$64:$B$71,MATCH(1,(Machine_List!$H$64:$H$71&lt;=IFERROR(VLOOKUP($B22,OPR_BR1!$A$4:$K$18,10,0),0))*(Machine_List!$I$64:$I$71&gt;=IFERROR(VLOOKUP($B22,OPR_BR1!$A$4:$K$18,11,0),9999)),0)),"?")))</f>
        <v/>
      </c>
      <c r="P22">
        <f>IF(AND($A22&lt;&gt;"",P$3&gt;=$J22,P$3&lt;=$M22),1,"")</f>
        <v/>
      </c>
      <c r="Q22">
        <f>IF(AND($A22&lt;&gt;"",Q$3&gt;=$J22,Q$3&lt;=$M22),1,"")</f>
        <v/>
      </c>
      <c r="R22">
        <f>IF(AND($A22&lt;&gt;"",R$3&gt;=$J22,R$3&lt;=$M22),1,"")</f>
        <v/>
      </c>
      <c r="S22">
        <f>IF(AND($A22&lt;&gt;"",S$3&gt;=$J22,S$3&lt;=$M22),1,"")</f>
        <v/>
      </c>
      <c r="T22">
        <f>IF(AND($A22&lt;&gt;"",T$3&gt;=$J22,T$3&lt;=$M22),1,"")</f>
        <v/>
      </c>
      <c r="U22">
        <f>IF(AND($A22&lt;&gt;"",U$3&gt;=$J22,U$3&lt;=$M22),1,"")</f>
        <v/>
      </c>
      <c r="V22">
        <f>IF(AND($A22&lt;&gt;"",V$3&gt;=$J22,V$3&lt;=$M22),1,"")</f>
        <v/>
      </c>
      <c r="W22">
        <f>IF(AND($A22&lt;&gt;"",W$3&gt;=$J22,W$3&lt;=$M22),1,"")</f>
        <v/>
      </c>
      <c r="X22">
        <f>IF(AND($A22&lt;&gt;"",X$3&gt;=$J22,X$3&lt;=$M22),1,"")</f>
        <v/>
      </c>
      <c r="Y22">
        <f>IF(AND($A22&lt;&gt;"",Y$3&gt;=$J22,Y$3&lt;=$M22),1,"")</f>
        <v/>
      </c>
      <c r="Z22">
        <f>IF(AND($A22&lt;&gt;"",Z$3&gt;=$J22,Z$3&lt;=$M22),1,"")</f>
        <v/>
      </c>
      <c r="AA22">
        <f>IF(AND($A22&lt;&gt;"",AA$3&gt;=$J22,AA$3&lt;=$M22),1,"")</f>
        <v/>
      </c>
      <c r="AB22">
        <f>IF(AND($A22&lt;&gt;"",AB$3&gt;=$J22,AB$3&lt;=$M22),1,"")</f>
        <v/>
      </c>
      <c r="AC22">
        <f>IF(AND($A22&lt;&gt;"",AC$3&gt;=$J22,AC$3&lt;=$M22),1,"")</f>
        <v/>
      </c>
      <c r="AD22">
        <f>IF(AND($A22&lt;&gt;"",AD$3&gt;=$J22,AD$3&lt;=$M22),1,"")</f>
        <v/>
      </c>
      <c r="AE22">
        <f>IF(AND($A22&lt;&gt;"",AE$3&gt;=$J22,AE$3&lt;=$M22),1,"")</f>
        <v/>
      </c>
      <c r="AF22">
        <f>IF(AND($A22&lt;&gt;"",AF$3&gt;=$J22,AF$3&lt;=$M22),1,"")</f>
        <v/>
      </c>
      <c r="AG22">
        <f>IF(AND($A22&lt;&gt;"",AG$3&gt;=$J22,AG$3&lt;=$M22),1,"")</f>
        <v/>
      </c>
      <c r="AH22">
        <f>IF(AND($A22&lt;&gt;"",AH$3&gt;=$J22,AH$3&lt;=$M22),1,"")</f>
        <v/>
      </c>
      <c r="AI22">
        <f>IF(AND($A22&lt;&gt;"",AI$3&gt;=$J22,AI$3&lt;=$M22),1,"")</f>
        <v/>
      </c>
      <c r="AJ22">
        <f>IF(AND($A22&lt;&gt;"",AJ$3&gt;=$J22,AJ$3&lt;=$M22),1,"")</f>
        <v/>
      </c>
      <c r="AK22">
        <f>IF(AND($A22&lt;&gt;"",AK$3&gt;=$J22,AK$3&lt;=$M22),1,"")</f>
        <v/>
      </c>
      <c r="AL22">
        <f>IF(AND($A22&lt;&gt;"",AL$3&gt;=$J22,AL$3&lt;=$M22),1,"")</f>
        <v/>
      </c>
      <c r="AM22">
        <f>IF(AND($A22&lt;&gt;"",AM$3&gt;=$J22,AM$3&lt;=$M22),1,"")</f>
        <v/>
      </c>
      <c r="AN22">
        <f>IF(AND($A22&lt;&gt;"",AN$3&gt;=$J22,AN$3&lt;=$M22),1,"")</f>
        <v/>
      </c>
      <c r="AO22">
        <f>IF(AND($A22&lt;&gt;"",AO$3&gt;=$J22,AO$3&lt;=$M22),1,"")</f>
        <v/>
      </c>
      <c r="AP22">
        <f>IF(AND($A22&lt;&gt;"",AP$3&gt;=$J22,AP$3&lt;=$M22),1,"")</f>
        <v/>
      </c>
      <c r="AQ22">
        <f>IF(AND($A22&lt;&gt;"",AQ$3&gt;=$J22,AQ$3&lt;=$M22),1,"")</f>
        <v/>
      </c>
      <c r="AR22">
        <f>IF(AND($A22&lt;&gt;"",AR$3&gt;=$J22,AR$3&lt;=$M22),1,"")</f>
        <v/>
      </c>
      <c r="AS22">
        <f>IF(AND($A22&lt;&gt;"",AS$3&gt;=$J22,AS$3&lt;=$M22),1,"")</f>
        <v/>
      </c>
      <c r="AT22">
        <f>IF(AND($A22&lt;&gt;"",AT$3&gt;=$J22,AT$3&lt;=$M22),1,"")</f>
        <v/>
      </c>
      <c r="AU22">
        <f>IF(AND($A22&lt;&gt;"",AU$3&gt;=$J22,AU$3&lt;=$M22),1,"")</f>
        <v/>
      </c>
      <c r="AV22">
        <f>IF(AND($A22&lt;&gt;"",AV$3&gt;=$J22,AV$3&lt;=$M22),1,"")</f>
        <v/>
      </c>
      <c r="AW22">
        <f>IF(AND($A22&lt;&gt;"",AW$3&gt;=$J22,AW$3&lt;=$M22),1,"")</f>
        <v/>
      </c>
      <c r="AX22">
        <f>IF(AND($A22&lt;&gt;"",AX$3&gt;=$J22,AX$3&lt;=$M22),1,"")</f>
        <v/>
      </c>
      <c r="AY22">
        <f>IF(AND($A22&lt;&gt;"",AY$3&gt;=$J22,AY$3&lt;=$M22),1,"")</f>
        <v/>
      </c>
      <c r="AZ22">
        <f>IF(AND($A22&lt;&gt;"",AZ$3&gt;=$J22,AZ$3&lt;=$M22),1,"")</f>
        <v/>
      </c>
      <c r="BA22">
        <f>IF(AND($A22&lt;&gt;"",BA$3&gt;=$J22,BA$3&lt;=$M22),1,"")</f>
        <v/>
      </c>
      <c r="BB22">
        <f>IF(AND($A22&lt;&gt;"",BB$3&gt;=$J22,BB$3&lt;=$M22),1,"")</f>
        <v/>
      </c>
      <c r="BC22">
        <f>IF(AND($A22&lt;&gt;"",BC$3&gt;=$J22,BC$3&lt;=$M22),1,"")</f>
        <v/>
      </c>
      <c r="BD22">
        <f>IF(AND($A22&lt;&gt;"",BD$3&gt;=$J22,BD$3&lt;=$M22),1,"")</f>
        <v/>
      </c>
      <c r="BE22">
        <f>IF(AND($A22&lt;&gt;"",BE$3&gt;=$J22,BE$3&lt;=$M22),1,"")</f>
        <v/>
      </c>
      <c r="BF22">
        <f>IF(AND($A22&lt;&gt;"",BF$3&gt;=$J22,BF$3&lt;=$M22),1,"")</f>
        <v/>
      </c>
      <c r="BG22">
        <f>IF(AND($A22&lt;&gt;"",BG$3&gt;=$J22,BG$3&lt;=$M22),1,"")</f>
        <v/>
      </c>
      <c r="BH22">
        <f>IF(AND($A22&lt;&gt;"",BH$3&gt;=$J22,BH$3&lt;=$M22),1,"")</f>
        <v/>
      </c>
      <c r="BI22">
        <f>IF(AND($A22&lt;&gt;"",BI$3&gt;=$J22,BI$3&lt;=$M22),1,"")</f>
        <v/>
      </c>
      <c r="BJ22">
        <f>IF(AND($A22&lt;&gt;"",BJ$3&gt;=$J22,BJ$3&lt;=$M22),1,"")</f>
        <v/>
      </c>
      <c r="BK22">
        <f>IF(AND($A22&lt;&gt;"",BK$3&gt;=$J22,BK$3&lt;=$M22),1,"")</f>
        <v/>
      </c>
      <c r="BL22">
        <f>IF(AND($A22&lt;&gt;"",BL$3&gt;=$J22,BL$3&lt;=$M22),1,"")</f>
        <v/>
      </c>
      <c r="BM22">
        <f>IF(AND($A22&lt;&gt;"",BM$3&gt;=$J22,BM$3&lt;=$M22),1,"")</f>
        <v/>
      </c>
      <c r="BN22">
        <f>IF(AND($A22&lt;&gt;"",BN$3&gt;=$J22,BN$3&lt;=$M22),1,"")</f>
        <v/>
      </c>
      <c r="BO22">
        <f>IF(AND($A22&lt;&gt;"",BO$3&gt;=$J22,BO$3&lt;=$M22),1,"")</f>
        <v/>
      </c>
      <c r="BP22">
        <f>IF(AND($A22&lt;&gt;"",BP$3&gt;=$J22,BP$3&lt;=$M22),1,"")</f>
        <v/>
      </c>
      <c r="BQ22">
        <f>IF(AND($A22&lt;&gt;"",BQ$3&gt;=$J22,BQ$3&lt;=$M22),1,"")</f>
        <v/>
      </c>
      <c r="BR22">
        <f>IF(AND($A22&lt;&gt;"",BR$3&gt;=$J22,BR$3&lt;=$M22),1,"")</f>
        <v/>
      </c>
      <c r="BS22">
        <f>IF(AND($A22&lt;&gt;"",BS$3&gt;=$J22,BS$3&lt;=$M22),1,"")</f>
        <v/>
      </c>
      <c r="BT22">
        <f>IF(AND($A22&lt;&gt;"",BT$3&gt;=$J22,BT$3&lt;=$M22),1,"")</f>
        <v/>
      </c>
      <c r="BU22">
        <f>IF(AND($A22&lt;&gt;"",BU$3&gt;=$J22,BU$3&lt;=$M22),1,"")</f>
        <v/>
      </c>
      <c r="BV22">
        <f>IF(AND($A22&lt;&gt;"",BV$3&gt;=$J22,BV$3&lt;=$M22),1,"")</f>
        <v/>
      </c>
    </row>
    <row r="23">
      <c r="A23">
        <f>IF(Job_Master_Ring!$A23="","",Job_Master_Ring!$A23)</f>
        <v/>
      </c>
      <c r="B23">
        <f>IF($A23="","",Job_Master_Ring!B23)</f>
        <v/>
      </c>
      <c r="C23">
        <f>IF($A23="","",Job_Master_Ring!C23)</f>
        <v/>
      </c>
      <c r="D23">
        <f>IF($A23="","",Job_Master_Ring!D23)</f>
        <v/>
      </c>
      <c r="E23">
        <f>IF($A23="","",IF($I23&lt;&gt;"",$I23,IFERROR(INDEX(Machine_List!$B$64:$B$71,MATCH(1,(Machine_List!$H$64:$H$71&lt;=IFERROR(VLOOKUP($B23,CHOOSE(MATCH($C23,Settings!$L$4:$L$10,0),OPR_BR1!$A$4:$K$18,OPR_BR2!$A$4:$K$18,OPR_CR2!$A$4:$K$18,OPR_CR3!$A$4:$K$18,OPR_CR4!$A$4:$K$18,OPR_RIM!$A$4:$K$18,OPR_BPR!$A$4:$K$18),10,0),0))*(Machine_List!$I$64:$I$71&gt;=IFERROR(VLOOKUP($B23,CHOOSE(MATCH($C23,Settings!$L$4:$L$10,0),OPR_BR1!$A$4:$K$18,OPR_BR2!$A$4:$K$18,OPR_CR2!$A$4:$K$18,OPR_CR3!$A$4:$K$18,OPR_CR4!$A$4:$K$18,OPR_RIM!$A$4:$K$18,OPR_BPR!$A$4:$K$18),11,0),9999)),0)),"NO COMPATIBLE MACHINE")))</f>
        <v/>
      </c>
      <c r="F23">
        <f>IF($E23="","",IFERROR(VLOOKUP($E23,Machine_List!$B:$G,6,0),""))</f>
        <v/>
      </c>
      <c r="G23" s="17">
        <f>IF($E23="","",IFERROR(VLOOKUP($E23,Machine_List!$B:$C,2,0),""))</f>
        <v/>
      </c>
      <c r="H23">
        <f>IF($E23="","",IFERROR(VLOOKUP($E23,Machine_List!$B:$D,3,0),""))</f>
        <v/>
      </c>
      <c r="J23" s="16">
        <f>IF($A23="","",IF($I23&lt;&gt;"",$I23,MAX(ENG_Plan!$M23,IFERROR(LOOKUP(2,1/($E$3:INDIRECT("E"&amp;(ROW()-1))=$E23),$M$3:INDIRECT("M"&amp;(ROW()-1))),ENG_Plan!$M23))))</f>
        <v/>
      </c>
      <c r="K23">
        <f>IF($A23="","",IFERROR(VLOOKUP(B23,CHOOSE(MATCH($C23,Settings!$L$4:$L$10,0),OPR_BR1!$A$4:$I$18,OPR_BR2!$A$4:$I$18,OPR_CR2!$A$4:$I$18,OPR_CR3!$A$4:$I$18,OPR_CR4!$A$4:$I$18,OPR_RIM!$A$4:$I$18,OPR_BPR!$A$4:$I$18),7,0),0))</f>
        <v/>
      </c>
      <c r="L23">
        <f>IF($A23="","",K23*D23)</f>
        <v/>
      </c>
      <c r="M23" s="16">
        <f>IF($A23="","",IF(AND(ISNUMBER(G23),G23&gt;=J23,G23&lt;=(J23+(L23/(IF(F23="Contract Workman",Settings!$K$5,Settings!$K$4))))),J23+(L23/(IF(F23="Contract Workman",Settings!$K$5,Settings!$K$4)))+(H23/(IF(F23="Contract Workman",Settings!$K$5,Settings!$K$4))),J23+(L23/(IF(F23="Contract Workman",Settings!$K$5,Settings!$K$4)))))</f>
        <v/>
      </c>
      <c r="N23">
        <f>IF($A23="","",IF(F23="Contract Workman",IF(AND(MOD(M23,1)&gt;=8/24,MOD(M23,1)&lt;20/24),"Shift S1","Shift S2"),IF(AND(MOD(M23,1)&gt;=7/24,MOD(M23,1)&lt;15/24),"Shift A",IF(AND(MOD(M23,1)&gt;=15/24,MOD(M23,1)&lt;23/24),"Shift B","Shift C"))))</f>
        <v/>
      </c>
      <c r="O23">
        <f>IF(B23="","",IF(IFERROR(ISNUMBER(SEARCH(TEXT(B23,"0"),VLOOKUP(E23,Machine_List!$B:$J,9,0))),FALSE),"✅ "&amp; E23,"❌ Sug: "&amp;IFERROR(INDEX(Machine_List!$B$64:$B$71,MATCH(1,(Machine_List!$H$64:$H$71&lt;=IFERROR(VLOOKUP($B23,OPR_BR1!$A$4:$K$18,10,0),0))*(Machine_List!$I$64:$I$71&gt;=IFERROR(VLOOKUP($B23,OPR_BR1!$A$4:$K$18,11,0),9999)),0)),"?")))</f>
        <v/>
      </c>
      <c r="P23">
        <f>IF(AND($A23&lt;&gt;"",P$3&gt;=$J23,P$3&lt;=$M23),1,"")</f>
        <v/>
      </c>
      <c r="Q23">
        <f>IF(AND($A23&lt;&gt;"",Q$3&gt;=$J23,Q$3&lt;=$M23),1,"")</f>
        <v/>
      </c>
      <c r="R23">
        <f>IF(AND($A23&lt;&gt;"",R$3&gt;=$J23,R$3&lt;=$M23),1,"")</f>
        <v/>
      </c>
      <c r="S23">
        <f>IF(AND($A23&lt;&gt;"",S$3&gt;=$J23,S$3&lt;=$M23),1,"")</f>
        <v/>
      </c>
      <c r="T23">
        <f>IF(AND($A23&lt;&gt;"",T$3&gt;=$J23,T$3&lt;=$M23),1,"")</f>
        <v/>
      </c>
      <c r="U23">
        <f>IF(AND($A23&lt;&gt;"",U$3&gt;=$J23,U$3&lt;=$M23),1,"")</f>
        <v/>
      </c>
      <c r="V23">
        <f>IF(AND($A23&lt;&gt;"",V$3&gt;=$J23,V$3&lt;=$M23),1,"")</f>
        <v/>
      </c>
      <c r="W23">
        <f>IF(AND($A23&lt;&gt;"",W$3&gt;=$J23,W$3&lt;=$M23),1,"")</f>
        <v/>
      </c>
      <c r="X23">
        <f>IF(AND($A23&lt;&gt;"",X$3&gt;=$J23,X$3&lt;=$M23),1,"")</f>
        <v/>
      </c>
      <c r="Y23">
        <f>IF(AND($A23&lt;&gt;"",Y$3&gt;=$J23,Y$3&lt;=$M23),1,"")</f>
        <v/>
      </c>
      <c r="Z23">
        <f>IF(AND($A23&lt;&gt;"",Z$3&gt;=$J23,Z$3&lt;=$M23),1,"")</f>
        <v/>
      </c>
      <c r="AA23">
        <f>IF(AND($A23&lt;&gt;"",AA$3&gt;=$J23,AA$3&lt;=$M23),1,"")</f>
        <v/>
      </c>
      <c r="AB23">
        <f>IF(AND($A23&lt;&gt;"",AB$3&gt;=$J23,AB$3&lt;=$M23),1,"")</f>
        <v/>
      </c>
      <c r="AC23">
        <f>IF(AND($A23&lt;&gt;"",AC$3&gt;=$J23,AC$3&lt;=$M23),1,"")</f>
        <v/>
      </c>
      <c r="AD23">
        <f>IF(AND($A23&lt;&gt;"",AD$3&gt;=$J23,AD$3&lt;=$M23),1,"")</f>
        <v/>
      </c>
      <c r="AE23">
        <f>IF(AND($A23&lt;&gt;"",AE$3&gt;=$J23,AE$3&lt;=$M23),1,"")</f>
        <v/>
      </c>
      <c r="AF23">
        <f>IF(AND($A23&lt;&gt;"",AF$3&gt;=$J23,AF$3&lt;=$M23),1,"")</f>
        <v/>
      </c>
      <c r="AG23">
        <f>IF(AND($A23&lt;&gt;"",AG$3&gt;=$J23,AG$3&lt;=$M23),1,"")</f>
        <v/>
      </c>
      <c r="AH23">
        <f>IF(AND($A23&lt;&gt;"",AH$3&gt;=$J23,AH$3&lt;=$M23),1,"")</f>
        <v/>
      </c>
      <c r="AI23">
        <f>IF(AND($A23&lt;&gt;"",AI$3&gt;=$J23,AI$3&lt;=$M23),1,"")</f>
        <v/>
      </c>
      <c r="AJ23">
        <f>IF(AND($A23&lt;&gt;"",AJ$3&gt;=$J23,AJ$3&lt;=$M23),1,"")</f>
        <v/>
      </c>
      <c r="AK23">
        <f>IF(AND($A23&lt;&gt;"",AK$3&gt;=$J23,AK$3&lt;=$M23),1,"")</f>
        <v/>
      </c>
      <c r="AL23">
        <f>IF(AND($A23&lt;&gt;"",AL$3&gt;=$J23,AL$3&lt;=$M23),1,"")</f>
        <v/>
      </c>
      <c r="AM23">
        <f>IF(AND($A23&lt;&gt;"",AM$3&gt;=$J23,AM$3&lt;=$M23),1,"")</f>
        <v/>
      </c>
      <c r="AN23">
        <f>IF(AND($A23&lt;&gt;"",AN$3&gt;=$J23,AN$3&lt;=$M23),1,"")</f>
        <v/>
      </c>
      <c r="AO23">
        <f>IF(AND($A23&lt;&gt;"",AO$3&gt;=$J23,AO$3&lt;=$M23),1,"")</f>
        <v/>
      </c>
      <c r="AP23">
        <f>IF(AND($A23&lt;&gt;"",AP$3&gt;=$J23,AP$3&lt;=$M23),1,"")</f>
        <v/>
      </c>
      <c r="AQ23">
        <f>IF(AND($A23&lt;&gt;"",AQ$3&gt;=$J23,AQ$3&lt;=$M23),1,"")</f>
        <v/>
      </c>
      <c r="AR23">
        <f>IF(AND($A23&lt;&gt;"",AR$3&gt;=$J23,AR$3&lt;=$M23),1,"")</f>
        <v/>
      </c>
      <c r="AS23">
        <f>IF(AND($A23&lt;&gt;"",AS$3&gt;=$J23,AS$3&lt;=$M23),1,"")</f>
        <v/>
      </c>
      <c r="AT23">
        <f>IF(AND($A23&lt;&gt;"",AT$3&gt;=$J23,AT$3&lt;=$M23),1,"")</f>
        <v/>
      </c>
      <c r="AU23">
        <f>IF(AND($A23&lt;&gt;"",AU$3&gt;=$J23,AU$3&lt;=$M23),1,"")</f>
        <v/>
      </c>
      <c r="AV23">
        <f>IF(AND($A23&lt;&gt;"",AV$3&gt;=$J23,AV$3&lt;=$M23),1,"")</f>
        <v/>
      </c>
      <c r="AW23">
        <f>IF(AND($A23&lt;&gt;"",AW$3&gt;=$J23,AW$3&lt;=$M23),1,"")</f>
        <v/>
      </c>
      <c r="AX23">
        <f>IF(AND($A23&lt;&gt;"",AX$3&gt;=$J23,AX$3&lt;=$M23),1,"")</f>
        <v/>
      </c>
      <c r="AY23">
        <f>IF(AND($A23&lt;&gt;"",AY$3&gt;=$J23,AY$3&lt;=$M23),1,"")</f>
        <v/>
      </c>
      <c r="AZ23">
        <f>IF(AND($A23&lt;&gt;"",AZ$3&gt;=$J23,AZ$3&lt;=$M23),1,"")</f>
        <v/>
      </c>
      <c r="BA23">
        <f>IF(AND($A23&lt;&gt;"",BA$3&gt;=$J23,BA$3&lt;=$M23),1,"")</f>
        <v/>
      </c>
      <c r="BB23">
        <f>IF(AND($A23&lt;&gt;"",BB$3&gt;=$J23,BB$3&lt;=$M23),1,"")</f>
        <v/>
      </c>
      <c r="BC23">
        <f>IF(AND($A23&lt;&gt;"",BC$3&gt;=$J23,BC$3&lt;=$M23),1,"")</f>
        <v/>
      </c>
      <c r="BD23">
        <f>IF(AND($A23&lt;&gt;"",BD$3&gt;=$J23,BD$3&lt;=$M23),1,"")</f>
        <v/>
      </c>
      <c r="BE23">
        <f>IF(AND($A23&lt;&gt;"",BE$3&gt;=$J23,BE$3&lt;=$M23),1,"")</f>
        <v/>
      </c>
      <c r="BF23">
        <f>IF(AND($A23&lt;&gt;"",BF$3&gt;=$J23,BF$3&lt;=$M23),1,"")</f>
        <v/>
      </c>
      <c r="BG23">
        <f>IF(AND($A23&lt;&gt;"",BG$3&gt;=$J23,BG$3&lt;=$M23),1,"")</f>
        <v/>
      </c>
      <c r="BH23">
        <f>IF(AND($A23&lt;&gt;"",BH$3&gt;=$J23,BH$3&lt;=$M23),1,"")</f>
        <v/>
      </c>
      <c r="BI23">
        <f>IF(AND($A23&lt;&gt;"",BI$3&gt;=$J23,BI$3&lt;=$M23),1,"")</f>
        <v/>
      </c>
      <c r="BJ23">
        <f>IF(AND($A23&lt;&gt;"",BJ$3&gt;=$J23,BJ$3&lt;=$M23),1,"")</f>
        <v/>
      </c>
      <c r="BK23">
        <f>IF(AND($A23&lt;&gt;"",BK$3&gt;=$J23,BK$3&lt;=$M23),1,"")</f>
        <v/>
      </c>
      <c r="BL23">
        <f>IF(AND($A23&lt;&gt;"",BL$3&gt;=$J23,BL$3&lt;=$M23),1,"")</f>
        <v/>
      </c>
      <c r="BM23">
        <f>IF(AND($A23&lt;&gt;"",BM$3&gt;=$J23,BM$3&lt;=$M23),1,"")</f>
        <v/>
      </c>
      <c r="BN23">
        <f>IF(AND($A23&lt;&gt;"",BN$3&gt;=$J23,BN$3&lt;=$M23),1,"")</f>
        <v/>
      </c>
      <c r="BO23">
        <f>IF(AND($A23&lt;&gt;"",BO$3&gt;=$J23,BO$3&lt;=$M23),1,"")</f>
        <v/>
      </c>
      <c r="BP23">
        <f>IF(AND($A23&lt;&gt;"",BP$3&gt;=$J23,BP$3&lt;=$M23),1,"")</f>
        <v/>
      </c>
      <c r="BQ23">
        <f>IF(AND($A23&lt;&gt;"",BQ$3&gt;=$J23,BQ$3&lt;=$M23),1,"")</f>
        <v/>
      </c>
      <c r="BR23">
        <f>IF(AND($A23&lt;&gt;"",BR$3&gt;=$J23,BR$3&lt;=$M23),1,"")</f>
        <v/>
      </c>
      <c r="BS23">
        <f>IF(AND($A23&lt;&gt;"",BS$3&gt;=$J23,BS$3&lt;=$M23),1,"")</f>
        <v/>
      </c>
      <c r="BT23">
        <f>IF(AND($A23&lt;&gt;"",BT$3&gt;=$J23,BT$3&lt;=$M23),1,"")</f>
        <v/>
      </c>
      <c r="BU23">
        <f>IF(AND($A23&lt;&gt;"",BU$3&gt;=$J23,BU$3&lt;=$M23),1,"")</f>
        <v/>
      </c>
      <c r="BV23">
        <f>IF(AND($A23&lt;&gt;"",BV$3&gt;=$J23,BV$3&lt;=$M23),1,"")</f>
        <v/>
      </c>
    </row>
    <row r="24">
      <c r="A24">
        <f>IF(Job_Master_Ring!$A24="","",Job_Master_Ring!$A24)</f>
        <v/>
      </c>
      <c r="B24">
        <f>IF($A24="","",Job_Master_Ring!B24)</f>
        <v/>
      </c>
      <c r="C24">
        <f>IF($A24="","",Job_Master_Ring!C24)</f>
        <v/>
      </c>
      <c r="D24">
        <f>IF($A24="","",Job_Master_Ring!D24)</f>
        <v/>
      </c>
      <c r="E24">
        <f>IF($A24="","",IF($I24&lt;&gt;"",$I24,IFERROR(INDEX(Machine_List!$B$64:$B$71,MATCH(1,(Machine_List!$H$64:$H$71&lt;=IFERROR(VLOOKUP($B24,CHOOSE(MATCH($C24,Settings!$L$4:$L$10,0),OPR_BR1!$A$4:$K$18,OPR_BR2!$A$4:$K$18,OPR_CR2!$A$4:$K$18,OPR_CR3!$A$4:$K$18,OPR_CR4!$A$4:$K$18,OPR_RIM!$A$4:$K$18,OPR_BPR!$A$4:$K$18),10,0),0))*(Machine_List!$I$64:$I$71&gt;=IFERROR(VLOOKUP($B24,CHOOSE(MATCH($C24,Settings!$L$4:$L$10,0),OPR_BR1!$A$4:$K$18,OPR_BR2!$A$4:$K$18,OPR_CR2!$A$4:$K$18,OPR_CR3!$A$4:$K$18,OPR_CR4!$A$4:$K$18,OPR_RIM!$A$4:$K$18,OPR_BPR!$A$4:$K$18),11,0),9999)),0)),"NO COMPATIBLE MACHINE")))</f>
        <v/>
      </c>
      <c r="F24">
        <f>IF($E24="","",IFERROR(VLOOKUP($E24,Machine_List!$B:$G,6,0),""))</f>
        <v/>
      </c>
      <c r="G24" s="17">
        <f>IF($E24="","",IFERROR(VLOOKUP($E24,Machine_List!$B:$C,2,0),""))</f>
        <v/>
      </c>
      <c r="H24">
        <f>IF($E24="","",IFERROR(VLOOKUP($E24,Machine_List!$B:$D,3,0),""))</f>
        <v/>
      </c>
      <c r="J24" s="16">
        <f>IF($A24="","",IF($I24&lt;&gt;"",$I24,MAX(ENG_Plan!$M24,IFERROR(LOOKUP(2,1/($E$3:INDIRECT("E"&amp;(ROW()-1))=$E24),$M$3:INDIRECT("M"&amp;(ROW()-1))),ENG_Plan!$M24))))</f>
        <v/>
      </c>
      <c r="K24">
        <f>IF($A24="","",IFERROR(VLOOKUP(B24,CHOOSE(MATCH($C24,Settings!$L$4:$L$10,0),OPR_BR1!$A$4:$I$18,OPR_BR2!$A$4:$I$18,OPR_CR2!$A$4:$I$18,OPR_CR3!$A$4:$I$18,OPR_CR4!$A$4:$I$18,OPR_RIM!$A$4:$I$18,OPR_BPR!$A$4:$I$18),7,0),0))</f>
        <v/>
      </c>
      <c r="L24">
        <f>IF($A24="","",K24*D24)</f>
        <v/>
      </c>
      <c r="M24" s="16">
        <f>IF($A24="","",IF(AND(ISNUMBER(G24),G24&gt;=J24,G24&lt;=(J24+(L24/(IF(F24="Contract Workman",Settings!$K$5,Settings!$K$4))))),J24+(L24/(IF(F24="Contract Workman",Settings!$K$5,Settings!$K$4)))+(H24/(IF(F24="Contract Workman",Settings!$K$5,Settings!$K$4))),J24+(L24/(IF(F24="Contract Workman",Settings!$K$5,Settings!$K$4)))))</f>
        <v/>
      </c>
      <c r="N24">
        <f>IF($A24="","",IF(F24="Contract Workman",IF(AND(MOD(M24,1)&gt;=8/24,MOD(M24,1)&lt;20/24),"Shift S1","Shift S2"),IF(AND(MOD(M24,1)&gt;=7/24,MOD(M24,1)&lt;15/24),"Shift A",IF(AND(MOD(M24,1)&gt;=15/24,MOD(M24,1)&lt;23/24),"Shift B","Shift C"))))</f>
        <v/>
      </c>
      <c r="O24">
        <f>IF(B24="","",IF(IFERROR(ISNUMBER(SEARCH(TEXT(B24,"0"),VLOOKUP(E24,Machine_List!$B:$J,9,0))),FALSE),"✅ "&amp; E24,"❌ Sug: "&amp;IFERROR(INDEX(Machine_List!$B$64:$B$71,MATCH(1,(Machine_List!$H$64:$H$71&lt;=IFERROR(VLOOKUP($B24,OPR_BR1!$A$4:$K$18,10,0),0))*(Machine_List!$I$64:$I$71&gt;=IFERROR(VLOOKUP($B24,OPR_BR1!$A$4:$K$18,11,0),9999)),0)),"?")))</f>
        <v/>
      </c>
      <c r="P24">
        <f>IF(AND($A24&lt;&gt;"",P$3&gt;=$J24,P$3&lt;=$M24),1,"")</f>
        <v/>
      </c>
      <c r="Q24">
        <f>IF(AND($A24&lt;&gt;"",Q$3&gt;=$J24,Q$3&lt;=$M24),1,"")</f>
        <v/>
      </c>
      <c r="R24">
        <f>IF(AND($A24&lt;&gt;"",R$3&gt;=$J24,R$3&lt;=$M24),1,"")</f>
        <v/>
      </c>
      <c r="S24">
        <f>IF(AND($A24&lt;&gt;"",S$3&gt;=$J24,S$3&lt;=$M24),1,"")</f>
        <v/>
      </c>
      <c r="T24">
        <f>IF(AND($A24&lt;&gt;"",T$3&gt;=$J24,T$3&lt;=$M24),1,"")</f>
        <v/>
      </c>
      <c r="U24">
        <f>IF(AND($A24&lt;&gt;"",U$3&gt;=$J24,U$3&lt;=$M24),1,"")</f>
        <v/>
      </c>
      <c r="V24">
        <f>IF(AND($A24&lt;&gt;"",V$3&gt;=$J24,V$3&lt;=$M24),1,"")</f>
        <v/>
      </c>
      <c r="W24">
        <f>IF(AND($A24&lt;&gt;"",W$3&gt;=$J24,W$3&lt;=$M24),1,"")</f>
        <v/>
      </c>
      <c r="X24">
        <f>IF(AND($A24&lt;&gt;"",X$3&gt;=$J24,X$3&lt;=$M24),1,"")</f>
        <v/>
      </c>
      <c r="Y24">
        <f>IF(AND($A24&lt;&gt;"",Y$3&gt;=$J24,Y$3&lt;=$M24),1,"")</f>
        <v/>
      </c>
      <c r="Z24">
        <f>IF(AND($A24&lt;&gt;"",Z$3&gt;=$J24,Z$3&lt;=$M24),1,"")</f>
        <v/>
      </c>
      <c r="AA24">
        <f>IF(AND($A24&lt;&gt;"",AA$3&gt;=$J24,AA$3&lt;=$M24),1,"")</f>
        <v/>
      </c>
      <c r="AB24">
        <f>IF(AND($A24&lt;&gt;"",AB$3&gt;=$J24,AB$3&lt;=$M24),1,"")</f>
        <v/>
      </c>
      <c r="AC24">
        <f>IF(AND($A24&lt;&gt;"",AC$3&gt;=$J24,AC$3&lt;=$M24),1,"")</f>
        <v/>
      </c>
      <c r="AD24">
        <f>IF(AND($A24&lt;&gt;"",AD$3&gt;=$J24,AD$3&lt;=$M24),1,"")</f>
        <v/>
      </c>
      <c r="AE24">
        <f>IF(AND($A24&lt;&gt;"",AE$3&gt;=$J24,AE$3&lt;=$M24),1,"")</f>
        <v/>
      </c>
      <c r="AF24">
        <f>IF(AND($A24&lt;&gt;"",AF$3&gt;=$J24,AF$3&lt;=$M24),1,"")</f>
        <v/>
      </c>
      <c r="AG24">
        <f>IF(AND($A24&lt;&gt;"",AG$3&gt;=$J24,AG$3&lt;=$M24),1,"")</f>
        <v/>
      </c>
      <c r="AH24">
        <f>IF(AND($A24&lt;&gt;"",AH$3&gt;=$J24,AH$3&lt;=$M24),1,"")</f>
        <v/>
      </c>
      <c r="AI24">
        <f>IF(AND($A24&lt;&gt;"",AI$3&gt;=$J24,AI$3&lt;=$M24),1,"")</f>
        <v/>
      </c>
      <c r="AJ24">
        <f>IF(AND($A24&lt;&gt;"",AJ$3&gt;=$J24,AJ$3&lt;=$M24),1,"")</f>
        <v/>
      </c>
      <c r="AK24">
        <f>IF(AND($A24&lt;&gt;"",AK$3&gt;=$J24,AK$3&lt;=$M24),1,"")</f>
        <v/>
      </c>
      <c r="AL24">
        <f>IF(AND($A24&lt;&gt;"",AL$3&gt;=$J24,AL$3&lt;=$M24),1,"")</f>
        <v/>
      </c>
      <c r="AM24">
        <f>IF(AND($A24&lt;&gt;"",AM$3&gt;=$J24,AM$3&lt;=$M24),1,"")</f>
        <v/>
      </c>
      <c r="AN24">
        <f>IF(AND($A24&lt;&gt;"",AN$3&gt;=$J24,AN$3&lt;=$M24),1,"")</f>
        <v/>
      </c>
      <c r="AO24">
        <f>IF(AND($A24&lt;&gt;"",AO$3&gt;=$J24,AO$3&lt;=$M24),1,"")</f>
        <v/>
      </c>
      <c r="AP24">
        <f>IF(AND($A24&lt;&gt;"",AP$3&gt;=$J24,AP$3&lt;=$M24),1,"")</f>
        <v/>
      </c>
      <c r="AQ24">
        <f>IF(AND($A24&lt;&gt;"",AQ$3&gt;=$J24,AQ$3&lt;=$M24),1,"")</f>
        <v/>
      </c>
      <c r="AR24">
        <f>IF(AND($A24&lt;&gt;"",AR$3&gt;=$J24,AR$3&lt;=$M24),1,"")</f>
        <v/>
      </c>
      <c r="AS24">
        <f>IF(AND($A24&lt;&gt;"",AS$3&gt;=$J24,AS$3&lt;=$M24),1,"")</f>
        <v/>
      </c>
      <c r="AT24">
        <f>IF(AND($A24&lt;&gt;"",AT$3&gt;=$J24,AT$3&lt;=$M24),1,"")</f>
        <v/>
      </c>
      <c r="AU24">
        <f>IF(AND($A24&lt;&gt;"",AU$3&gt;=$J24,AU$3&lt;=$M24),1,"")</f>
        <v/>
      </c>
      <c r="AV24">
        <f>IF(AND($A24&lt;&gt;"",AV$3&gt;=$J24,AV$3&lt;=$M24),1,"")</f>
        <v/>
      </c>
      <c r="AW24">
        <f>IF(AND($A24&lt;&gt;"",AW$3&gt;=$J24,AW$3&lt;=$M24),1,"")</f>
        <v/>
      </c>
      <c r="AX24">
        <f>IF(AND($A24&lt;&gt;"",AX$3&gt;=$J24,AX$3&lt;=$M24),1,"")</f>
        <v/>
      </c>
      <c r="AY24">
        <f>IF(AND($A24&lt;&gt;"",AY$3&gt;=$J24,AY$3&lt;=$M24),1,"")</f>
        <v/>
      </c>
      <c r="AZ24">
        <f>IF(AND($A24&lt;&gt;"",AZ$3&gt;=$J24,AZ$3&lt;=$M24),1,"")</f>
        <v/>
      </c>
      <c r="BA24">
        <f>IF(AND($A24&lt;&gt;"",BA$3&gt;=$J24,BA$3&lt;=$M24),1,"")</f>
        <v/>
      </c>
      <c r="BB24">
        <f>IF(AND($A24&lt;&gt;"",BB$3&gt;=$J24,BB$3&lt;=$M24),1,"")</f>
        <v/>
      </c>
      <c r="BC24">
        <f>IF(AND($A24&lt;&gt;"",BC$3&gt;=$J24,BC$3&lt;=$M24),1,"")</f>
        <v/>
      </c>
      <c r="BD24">
        <f>IF(AND($A24&lt;&gt;"",BD$3&gt;=$J24,BD$3&lt;=$M24),1,"")</f>
        <v/>
      </c>
      <c r="BE24">
        <f>IF(AND($A24&lt;&gt;"",BE$3&gt;=$J24,BE$3&lt;=$M24),1,"")</f>
        <v/>
      </c>
      <c r="BF24">
        <f>IF(AND($A24&lt;&gt;"",BF$3&gt;=$J24,BF$3&lt;=$M24),1,"")</f>
        <v/>
      </c>
      <c r="BG24">
        <f>IF(AND($A24&lt;&gt;"",BG$3&gt;=$J24,BG$3&lt;=$M24),1,"")</f>
        <v/>
      </c>
      <c r="BH24">
        <f>IF(AND($A24&lt;&gt;"",BH$3&gt;=$J24,BH$3&lt;=$M24),1,"")</f>
        <v/>
      </c>
      <c r="BI24">
        <f>IF(AND($A24&lt;&gt;"",BI$3&gt;=$J24,BI$3&lt;=$M24),1,"")</f>
        <v/>
      </c>
      <c r="BJ24">
        <f>IF(AND($A24&lt;&gt;"",BJ$3&gt;=$J24,BJ$3&lt;=$M24),1,"")</f>
        <v/>
      </c>
      <c r="BK24">
        <f>IF(AND($A24&lt;&gt;"",BK$3&gt;=$J24,BK$3&lt;=$M24),1,"")</f>
        <v/>
      </c>
      <c r="BL24">
        <f>IF(AND($A24&lt;&gt;"",BL$3&gt;=$J24,BL$3&lt;=$M24),1,"")</f>
        <v/>
      </c>
      <c r="BM24">
        <f>IF(AND($A24&lt;&gt;"",BM$3&gt;=$J24,BM$3&lt;=$M24),1,"")</f>
        <v/>
      </c>
      <c r="BN24">
        <f>IF(AND($A24&lt;&gt;"",BN$3&gt;=$J24,BN$3&lt;=$M24),1,"")</f>
        <v/>
      </c>
      <c r="BO24">
        <f>IF(AND($A24&lt;&gt;"",BO$3&gt;=$J24,BO$3&lt;=$M24),1,"")</f>
        <v/>
      </c>
      <c r="BP24">
        <f>IF(AND($A24&lt;&gt;"",BP$3&gt;=$J24,BP$3&lt;=$M24),1,"")</f>
        <v/>
      </c>
      <c r="BQ24">
        <f>IF(AND($A24&lt;&gt;"",BQ$3&gt;=$J24,BQ$3&lt;=$M24),1,"")</f>
        <v/>
      </c>
      <c r="BR24">
        <f>IF(AND($A24&lt;&gt;"",BR$3&gt;=$J24,BR$3&lt;=$M24),1,"")</f>
        <v/>
      </c>
      <c r="BS24">
        <f>IF(AND($A24&lt;&gt;"",BS$3&gt;=$J24,BS$3&lt;=$M24),1,"")</f>
        <v/>
      </c>
      <c r="BT24">
        <f>IF(AND($A24&lt;&gt;"",BT$3&gt;=$J24,BT$3&lt;=$M24),1,"")</f>
        <v/>
      </c>
      <c r="BU24">
        <f>IF(AND($A24&lt;&gt;"",BU$3&gt;=$J24,BU$3&lt;=$M24),1,"")</f>
        <v/>
      </c>
      <c r="BV24">
        <f>IF(AND($A24&lt;&gt;"",BV$3&gt;=$J24,BV$3&lt;=$M24),1,"")</f>
        <v/>
      </c>
    </row>
    <row r="25">
      <c r="A25">
        <f>IF(Job_Master_Ring!$A25="","",Job_Master_Ring!$A25)</f>
        <v/>
      </c>
      <c r="B25">
        <f>IF($A25="","",Job_Master_Ring!B25)</f>
        <v/>
      </c>
      <c r="C25">
        <f>IF($A25="","",Job_Master_Ring!C25)</f>
        <v/>
      </c>
      <c r="D25">
        <f>IF($A25="","",Job_Master_Ring!D25)</f>
        <v/>
      </c>
      <c r="E25">
        <f>IF($A25="","",IF($I25&lt;&gt;"",$I25,IFERROR(INDEX(Machine_List!$B$64:$B$71,MATCH(1,(Machine_List!$H$64:$H$71&lt;=IFERROR(VLOOKUP($B25,CHOOSE(MATCH($C25,Settings!$L$4:$L$10,0),OPR_BR1!$A$4:$K$18,OPR_BR2!$A$4:$K$18,OPR_CR2!$A$4:$K$18,OPR_CR3!$A$4:$K$18,OPR_CR4!$A$4:$K$18,OPR_RIM!$A$4:$K$18,OPR_BPR!$A$4:$K$18),10,0),0))*(Machine_List!$I$64:$I$71&gt;=IFERROR(VLOOKUP($B25,CHOOSE(MATCH($C25,Settings!$L$4:$L$10,0),OPR_BR1!$A$4:$K$18,OPR_BR2!$A$4:$K$18,OPR_CR2!$A$4:$K$18,OPR_CR3!$A$4:$K$18,OPR_CR4!$A$4:$K$18,OPR_RIM!$A$4:$K$18,OPR_BPR!$A$4:$K$18),11,0),9999)),0)),"NO COMPATIBLE MACHINE")))</f>
        <v/>
      </c>
      <c r="F25">
        <f>IF($E25="","",IFERROR(VLOOKUP($E25,Machine_List!$B:$G,6,0),""))</f>
        <v/>
      </c>
      <c r="G25" s="17">
        <f>IF($E25="","",IFERROR(VLOOKUP($E25,Machine_List!$B:$C,2,0),""))</f>
        <v/>
      </c>
      <c r="H25">
        <f>IF($E25="","",IFERROR(VLOOKUP($E25,Machine_List!$B:$D,3,0),""))</f>
        <v/>
      </c>
      <c r="J25" s="16">
        <f>IF($A25="","",IF($I25&lt;&gt;"",$I25,MAX(ENG_Plan!$M25,IFERROR(LOOKUP(2,1/($E$3:INDIRECT("E"&amp;(ROW()-1))=$E25),$M$3:INDIRECT("M"&amp;(ROW()-1))),ENG_Plan!$M25))))</f>
        <v/>
      </c>
      <c r="K25">
        <f>IF($A25="","",IFERROR(VLOOKUP(B25,CHOOSE(MATCH($C25,Settings!$L$4:$L$10,0),OPR_BR1!$A$4:$I$18,OPR_BR2!$A$4:$I$18,OPR_CR2!$A$4:$I$18,OPR_CR3!$A$4:$I$18,OPR_CR4!$A$4:$I$18,OPR_RIM!$A$4:$I$18,OPR_BPR!$A$4:$I$18),7,0),0))</f>
        <v/>
      </c>
      <c r="L25">
        <f>IF($A25="","",K25*D25)</f>
        <v/>
      </c>
      <c r="M25" s="16">
        <f>IF($A25="","",IF(AND(ISNUMBER(G25),G25&gt;=J25,G25&lt;=(J25+(L25/(IF(F25="Contract Workman",Settings!$K$5,Settings!$K$4))))),J25+(L25/(IF(F25="Contract Workman",Settings!$K$5,Settings!$K$4)))+(H25/(IF(F25="Contract Workman",Settings!$K$5,Settings!$K$4))),J25+(L25/(IF(F25="Contract Workman",Settings!$K$5,Settings!$K$4)))))</f>
        <v/>
      </c>
      <c r="N25">
        <f>IF($A25="","",IF(F25="Contract Workman",IF(AND(MOD(M25,1)&gt;=8/24,MOD(M25,1)&lt;20/24),"Shift S1","Shift S2"),IF(AND(MOD(M25,1)&gt;=7/24,MOD(M25,1)&lt;15/24),"Shift A",IF(AND(MOD(M25,1)&gt;=15/24,MOD(M25,1)&lt;23/24),"Shift B","Shift C"))))</f>
        <v/>
      </c>
      <c r="O25">
        <f>IF(B25="","",IF(IFERROR(ISNUMBER(SEARCH(TEXT(B25,"0"),VLOOKUP(E25,Machine_List!$B:$J,9,0))),FALSE),"✅ "&amp; E25,"❌ Sug: "&amp;IFERROR(INDEX(Machine_List!$B$64:$B$71,MATCH(1,(Machine_List!$H$64:$H$71&lt;=IFERROR(VLOOKUP($B25,OPR_BR1!$A$4:$K$18,10,0),0))*(Machine_List!$I$64:$I$71&gt;=IFERROR(VLOOKUP($B25,OPR_BR1!$A$4:$K$18,11,0),9999)),0)),"?")))</f>
        <v/>
      </c>
      <c r="P25">
        <f>IF(AND($A25&lt;&gt;"",P$3&gt;=$J25,P$3&lt;=$M25),1,"")</f>
        <v/>
      </c>
      <c r="Q25">
        <f>IF(AND($A25&lt;&gt;"",Q$3&gt;=$J25,Q$3&lt;=$M25),1,"")</f>
        <v/>
      </c>
      <c r="R25">
        <f>IF(AND($A25&lt;&gt;"",R$3&gt;=$J25,R$3&lt;=$M25),1,"")</f>
        <v/>
      </c>
      <c r="S25">
        <f>IF(AND($A25&lt;&gt;"",S$3&gt;=$J25,S$3&lt;=$M25),1,"")</f>
        <v/>
      </c>
      <c r="T25">
        <f>IF(AND($A25&lt;&gt;"",T$3&gt;=$J25,T$3&lt;=$M25),1,"")</f>
        <v/>
      </c>
      <c r="U25">
        <f>IF(AND($A25&lt;&gt;"",U$3&gt;=$J25,U$3&lt;=$M25),1,"")</f>
        <v/>
      </c>
      <c r="V25">
        <f>IF(AND($A25&lt;&gt;"",V$3&gt;=$J25,V$3&lt;=$M25),1,"")</f>
        <v/>
      </c>
      <c r="W25">
        <f>IF(AND($A25&lt;&gt;"",W$3&gt;=$J25,W$3&lt;=$M25),1,"")</f>
        <v/>
      </c>
      <c r="X25">
        <f>IF(AND($A25&lt;&gt;"",X$3&gt;=$J25,X$3&lt;=$M25),1,"")</f>
        <v/>
      </c>
      <c r="Y25">
        <f>IF(AND($A25&lt;&gt;"",Y$3&gt;=$J25,Y$3&lt;=$M25),1,"")</f>
        <v/>
      </c>
      <c r="Z25">
        <f>IF(AND($A25&lt;&gt;"",Z$3&gt;=$J25,Z$3&lt;=$M25),1,"")</f>
        <v/>
      </c>
      <c r="AA25">
        <f>IF(AND($A25&lt;&gt;"",AA$3&gt;=$J25,AA$3&lt;=$M25),1,"")</f>
        <v/>
      </c>
      <c r="AB25">
        <f>IF(AND($A25&lt;&gt;"",AB$3&gt;=$J25,AB$3&lt;=$M25),1,"")</f>
        <v/>
      </c>
      <c r="AC25">
        <f>IF(AND($A25&lt;&gt;"",AC$3&gt;=$J25,AC$3&lt;=$M25),1,"")</f>
        <v/>
      </c>
      <c r="AD25">
        <f>IF(AND($A25&lt;&gt;"",AD$3&gt;=$J25,AD$3&lt;=$M25),1,"")</f>
        <v/>
      </c>
      <c r="AE25">
        <f>IF(AND($A25&lt;&gt;"",AE$3&gt;=$J25,AE$3&lt;=$M25),1,"")</f>
        <v/>
      </c>
      <c r="AF25">
        <f>IF(AND($A25&lt;&gt;"",AF$3&gt;=$J25,AF$3&lt;=$M25),1,"")</f>
        <v/>
      </c>
      <c r="AG25">
        <f>IF(AND($A25&lt;&gt;"",AG$3&gt;=$J25,AG$3&lt;=$M25),1,"")</f>
        <v/>
      </c>
      <c r="AH25">
        <f>IF(AND($A25&lt;&gt;"",AH$3&gt;=$J25,AH$3&lt;=$M25),1,"")</f>
        <v/>
      </c>
      <c r="AI25">
        <f>IF(AND($A25&lt;&gt;"",AI$3&gt;=$J25,AI$3&lt;=$M25),1,"")</f>
        <v/>
      </c>
      <c r="AJ25">
        <f>IF(AND($A25&lt;&gt;"",AJ$3&gt;=$J25,AJ$3&lt;=$M25),1,"")</f>
        <v/>
      </c>
      <c r="AK25">
        <f>IF(AND($A25&lt;&gt;"",AK$3&gt;=$J25,AK$3&lt;=$M25),1,"")</f>
        <v/>
      </c>
      <c r="AL25">
        <f>IF(AND($A25&lt;&gt;"",AL$3&gt;=$J25,AL$3&lt;=$M25),1,"")</f>
        <v/>
      </c>
      <c r="AM25">
        <f>IF(AND($A25&lt;&gt;"",AM$3&gt;=$J25,AM$3&lt;=$M25),1,"")</f>
        <v/>
      </c>
      <c r="AN25">
        <f>IF(AND($A25&lt;&gt;"",AN$3&gt;=$J25,AN$3&lt;=$M25),1,"")</f>
        <v/>
      </c>
      <c r="AO25">
        <f>IF(AND($A25&lt;&gt;"",AO$3&gt;=$J25,AO$3&lt;=$M25),1,"")</f>
        <v/>
      </c>
      <c r="AP25">
        <f>IF(AND($A25&lt;&gt;"",AP$3&gt;=$J25,AP$3&lt;=$M25),1,"")</f>
        <v/>
      </c>
      <c r="AQ25">
        <f>IF(AND($A25&lt;&gt;"",AQ$3&gt;=$J25,AQ$3&lt;=$M25),1,"")</f>
        <v/>
      </c>
      <c r="AR25">
        <f>IF(AND($A25&lt;&gt;"",AR$3&gt;=$J25,AR$3&lt;=$M25),1,"")</f>
        <v/>
      </c>
      <c r="AS25">
        <f>IF(AND($A25&lt;&gt;"",AS$3&gt;=$J25,AS$3&lt;=$M25),1,"")</f>
        <v/>
      </c>
      <c r="AT25">
        <f>IF(AND($A25&lt;&gt;"",AT$3&gt;=$J25,AT$3&lt;=$M25),1,"")</f>
        <v/>
      </c>
      <c r="AU25">
        <f>IF(AND($A25&lt;&gt;"",AU$3&gt;=$J25,AU$3&lt;=$M25),1,"")</f>
        <v/>
      </c>
      <c r="AV25">
        <f>IF(AND($A25&lt;&gt;"",AV$3&gt;=$J25,AV$3&lt;=$M25),1,"")</f>
        <v/>
      </c>
      <c r="AW25">
        <f>IF(AND($A25&lt;&gt;"",AW$3&gt;=$J25,AW$3&lt;=$M25),1,"")</f>
        <v/>
      </c>
      <c r="AX25">
        <f>IF(AND($A25&lt;&gt;"",AX$3&gt;=$J25,AX$3&lt;=$M25),1,"")</f>
        <v/>
      </c>
      <c r="AY25">
        <f>IF(AND($A25&lt;&gt;"",AY$3&gt;=$J25,AY$3&lt;=$M25),1,"")</f>
        <v/>
      </c>
      <c r="AZ25">
        <f>IF(AND($A25&lt;&gt;"",AZ$3&gt;=$J25,AZ$3&lt;=$M25),1,"")</f>
        <v/>
      </c>
      <c r="BA25">
        <f>IF(AND($A25&lt;&gt;"",BA$3&gt;=$J25,BA$3&lt;=$M25),1,"")</f>
        <v/>
      </c>
      <c r="BB25">
        <f>IF(AND($A25&lt;&gt;"",BB$3&gt;=$J25,BB$3&lt;=$M25),1,"")</f>
        <v/>
      </c>
      <c r="BC25">
        <f>IF(AND($A25&lt;&gt;"",BC$3&gt;=$J25,BC$3&lt;=$M25),1,"")</f>
        <v/>
      </c>
      <c r="BD25">
        <f>IF(AND($A25&lt;&gt;"",BD$3&gt;=$J25,BD$3&lt;=$M25),1,"")</f>
        <v/>
      </c>
      <c r="BE25">
        <f>IF(AND($A25&lt;&gt;"",BE$3&gt;=$J25,BE$3&lt;=$M25),1,"")</f>
        <v/>
      </c>
      <c r="BF25">
        <f>IF(AND($A25&lt;&gt;"",BF$3&gt;=$J25,BF$3&lt;=$M25),1,"")</f>
        <v/>
      </c>
      <c r="BG25">
        <f>IF(AND($A25&lt;&gt;"",BG$3&gt;=$J25,BG$3&lt;=$M25),1,"")</f>
        <v/>
      </c>
      <c r="BH25">
        <f>IF(AND($A25&lt;&gt;"",BH$3&gt;=$J25,BH$3&lt;=$M25),1,"")</f>
        <v/>
      </c>
      <c r="BI25">
        <f>IF(AND($A25&lt;&gt;"",BI$3&gt;=$J25,BI$3&lt;=$M25),1,"")</f>
        <v/>
      </c>
      <c r="BJ25">
        <f>IF(AND($A25&lt;&gt;"",BJ$3&gt;=$J25,BJ$3&lt;=$M25),1,"")</f>
        <v/>
      </c>
      <c r="BK25">
        <f>IF(AND($A25&lt;&gt;"",BK$3&gt;=$J25,BK$3&lt;=$M25),1,"")</f>
        <v/>
      </c>
      <c r="BL25">
        <f>IF(AND($A25&lt;&gt;"",BL$3&gt;=$J25,BL$3&lt;=$M25),1,"")</f>
        <v/>
      </c>
      <c r="BM25">
        <f>IF(AND($A25&lt;&gt;"",BM$3&gt;=$J25,BM$3&lt;=$M25),1,"")</f>
        <v/>
      </c>
      <c r="BN25">
        <f>IF(AND($A25&lt;&gt;"",BN$3&gt;=$J25,BN$3&lt;=$M25),1,"")</f>
        <v/>
      </c>
      <c r="BO25">
        <f>IF(AND($A25&lt;&gt;"",BO$3&gt;=$J25,BO$3&lt;=$M25),1,"")</f>
        <v/>
      </c>
      <c r="BP25">
        <f>IF(AND($A25&lt;&gt;"",BP$3&gt;=$J25,BP$3&lt;=$M25),1,"")</f>
        <v/>
      </c>
      <c r="BQ25">
        <f>IF(AND($A25&lt;&gt;"",BQ$3&gt;=$J25,BQ$3&lt;=$M25),1,"")</f>
        <v/>
      </c>
      <c r="BR25">
        <f>IF(AND($A25&lt;&gt;"",BR$3&gt;=$J25,BR$3&lt;=$M25),1,"")</f>
        <v/>
      </c>
      <c r="BS25">
        <f>IF(AND($A25&lt;&gt;"",BS$3&gt;=$J25,BS$3&lt;=$M25),1,"")</f>
        <v/>
      </c>
      <c r="BT25">
        <f>IF(AND($A25&lt;&gt;"",BT$3&gt;=$J25,BT$3&lt;=$M25),1,"")</f>
        <v/>
      </c>
      <c r="BU25">
        <f>IF(AND($A25&lt;&gt;"",BU$3&gt;=$J25,BU$3&lt;=$M25),1,"")</f>
        <v/>
      </c>
      <c r="BV25">
        <f>IF(AND($A25&lt;&gt;"",BV$3&gt;=$J25,BV$3&lt;=$M25),1,"")</f>
        <v/>
      </c>
    </row>
    <row r="26">
      <c r="A26">
        <f>IF(Job_Master_Ring!$A26="","",Job_Master_Ring!$A26)</f>
        <v/>
      </c>
      <c r="B26">
        <f>IF($A26="","",Job_Master_Ring!B26)</f>
        <v/>
      </c>
      <c r="C26">
        <f>IF($A26="","",Job_Master_Ring!C26)</f>
        <v/>
      </c>
      <c r="D26">
        <f>IF($A26="","",Job_Master_Ring!D26)</f>
        <v/>
      </c>
      <c r="E26">
        <f>IF($A26="","",IF($I26&lt;&gt;"",$I26,IFERROR(INDEX(Machine_List!$B$64:$B$71,MATCH(1,(Machine_List!$H$64:$H$71&lt;=IFERROR(VLOOKUP($B26,CHOOSE(MATCH($C26,Settings!$L$4:$L$10,0),OPR_BR1!$A$4:$K$18,OPR_BR2!$A$4:$K$18,OPR_CR2!$A$4:$K$18,OPR_CR3!$A$4:$K$18,OPR_CR4!$A$4:$K$18,OPR_RIM!$A$4:$K$18,OPR_BPR!$A$4:$K$18),10,0),0))*(Machine_List!$I$64:$I$71&gt;=IFERROR(VLOOKUP($B26,CHOOSE(MATCH($C26,Settings!$L$4:$L$10,0),OPR_BR1!$A$4:$K$18,OPR_BR2!$A$4:$K$18,OPR_CR2!$A$4:$K$18,OPR_CR3!$A$4:$K$18,OPR_CR4!$A$4:$K$18,OPR_RIM!$A$4:$K$18,OPR_BPR!$A$4:$K$18),11,0),9999)),0)),"NO COMPATIBLE MACHINE")))</f>
        <v/>
      </c>
      <c r="F26">
        <f>IF($E26="","",IFERROR(VLOOKUP($E26,Machine_List!$B:$G,6,0),""))</f>
        <v/>
      </c>
      <c r="G26" s="17">
        <f>IF($E26="","",IFERROR(VLOOKUP($E26,Machine_List!$B:$C,2,0),""))</f>
        <v/>
      </c>
      <c r="H26">
        <f>IF($E26="","",IFERROR(VLOOKUP($E26,Machine_List!$B:$D,3,0),""))</f>
        <v/>
      </c>
      <c r="J26" s="16">
        <f>IF($A26="","",IF($I26&lt;&gt;"",$I26,MAX(ENG_Plan!$M26,IFERROR(LOOKUP(2,1/($E$3:INDIRECT("E"&amp;(ROW()-1))=$E26),$M$3:INDIRECT("M"&amp;(ROW()-1))),ENG_Plan!$M26))))</f>
        <v/>
      </c>
      <c r="K26">
        <f>IF($A26="","",IFERROR(VLOOKUP(B26,CHOOSE(MATCH($C26,Settings!$L$4:$L$10,0),OPR_BR1!$A$4:$I$18,OPR_BR2!$A$4:$I$18,OPR_CR2!$A$4:$I$18,OPR_CR3!$A$4:$I$18,OPR_CR4!$A$4:$I$18,OPR_RIM!$A$4:$I$18,OPR_BPR!$A$4:$I$18),7,0),0))</f>
        <v/>
      </c>
      <c r="L26">
        <f>IF($A26="","",K26*D26)</f>
        <v/>
      </c>
      <c r="M26" s="16">
        <f>IF($A26="","",IF(AND(ISNUMBER(G26),G26&gt;=J26,G26&lt;=(J26+(L26/(IF(F26="Contract Workman",Settings!$K$5,Settings!$K$4))))),J26+(L26/(IF(F26="Contract Workman",Settings!$K$5,Settings!$K$4)))+(H26/(IF(F26="Contract Workman",Settings!$K$5,Settings!$K$4))),J26+(L26/(IF(F26="Contract Workman",Settings!$K$5,Settings!$K$4)))))</f>
        <v/>
      </c>
      <c r="N26">
        <f>IF($A26="","",IF(F26="Contract Workman",IF(AND(MOD(M26,1)&gt;=8/24,MOD(M26,1)&lt;20/24),"Shift S1","Shift S2"),IF(AND(MOD(M26,1)&gt;=7/24,MOD(M26,1)&lt;15/24),"Shift A",IF(AND(MOD(M26,1)&gt;=15/24,MOD(M26,1)&lt;23/24),"Shift B","Shift C"))))</f>
        <v/>
      </c>
      <c r="O26">
        <f>IF(B26="","",IF(IFERROR(ISNUMBER(SEARCH(TEXT(B26,"0"),VLOOKUP(E26,Machine_List!$B:$J,9,0))),FALSE),"✅ "&amp; E26,"❌ Sug: "&amp;IFERROR(INDEX(Machine_List!$B$64:$B$71,MATCH(1,(Machine_List!$H$64:$H$71&lt;=IFERROR(VLOOKUP($B26,OPR_BR1!$A$4:$K$18,10,0),0))*(Machine_List!$I$64:$I$71&gt;=IFERROR(VLOOKUP($B26,OPR_BR1!$A$4:$K$18,11,0),9999)),0)),"?")))</f>
        <v/>
      </c>
      <c r="P26">
        <f>IF(AND($A26&lt;&gt;"",P$3&gt;=$J26,P$3&lt;=$M26),1,"")</f>
        <v/>
      </c>
      <c r="Q26">
        <f>IF(AND($A26&lt;&gt;"",Q$3&gt;=$J26,Q$3&lt;=$M26),1,"")</f>
        <v/>
      </c>
      <c r="R26">
        <f>IF(AND($A26&lt;&gt;"",R$3&gt;=$J26,R$3&lt;=$M26),1,"")</f>
        <v/>
      </c>
      <c r="S26">
        <f>IF(AND($A26&lt;&gt;"",S$3&gt;=$J26,S$3&lt;=$M26),1,"")</f>
        <v/>
      </c>
      <c r="T26">
        <f>IF(AND($A26&lt;&gt;"",T$3&gt;=$J26,T$3&lt;=$M26),1,"")</f>
        <v/>
      </c>
      <c r="U26">
        <f>IF(AND($A26&lt;&gt;"",U$3&gt;=$J26,U$3&lt;=$M26),1,"")</f>
        <v/>
      </c>
      <c r="V26">
        <f>IF(AND($A26&lt;&gt;"",V$3&gt;=$J26,V$3&lt;=$M26),1,"")</f>
        <v/>
      </c>
      <c r="W26">
        <f>IF(AND($A26&lt;&gt;"",W$3&gt;=$J26,W$3&lt;=$M26),1,"")</f>
        <v/>
      </c>
      <c r="X26">
        <f>IF(AND($A26&lt;&gt;"",X$3&gt;=$J26,X$3&lt;=$M26),1,"")</f>
        <v/>
      </c>
      <c r="Y26">
        <f>IF(AND($A26&lt;&gt;"",Y$3&gt;=$J26,Y$3&lt;=$M26),1,"")</f>
        <v/>
      </c>
      <c r="Z26">
        <f>IF(AND($A26&lt;&gt;"",Z$3&gt;=$J26,Z$3&lt;=$M26),1,"")</f>
        <v/>
      </c>
      <c r="AA26">
        <f>IF(AND($A26&lt;&gt;"",AA$3&gt;=$J26,AA$3&lt;=$M26),1,"")</f>
        <v/>
      </c>
      <c r="AB26">
        <f>IF(AND($A26&lt;&gt;"",AB$3&gt;=$J26,AB$3&lt;=$M26),1,"")</f>
        <v/>
      </c>
      <c r="AC26">
        <f>IF(AND($A26&lt;&gt;"",AC$3&gt;=$J26,AC$3&lt;=$M26),1,"")</f>
        <v/>
      </c>
      <c r="AD26">
        <f>IF(AND($A26&lt;&gt;"",AD$3&gt;=$J26,AD$3&lt;=$M26),1,"")</f>
        <v/>
      </c>
      <c r="AE26">
        <f>IF(AND($A26&lt;&gt;"",AE$3&gt;=$J26,AE$3&lt;=$M26),1,"")</f>
        <v/>
      </c>
      <c r="AF26">
        <f>IF(AND($A26&lt;&gt;"",AF$3&gt;=$J26,AF$3&lt;=$M26),1,"")</f>
        <v/>
      </c>
      <c r="AG26">
        <f>IF(AND($A26&lt;&gt;"",AG$3&gt;=$J26,AG$3&lt;=$M26),1,"")</f>
        <v/>
      </c>
      <c r="AH26">
        <f>IF(AND($A26&lt;&gt;"",AH$3&gt;=$J26,AH$3&lt;=$M26),1,"")</f>
        <v/>
      </c>
      <c r="AI26">
        <f>IF(AND($A26&lt;&gt;"",AI$3&gt;=$J26,AI$3&lt;=$M26),1,"")</f>
        <v/>
      </c>
      <c r="AJ26">
        <f>IF(AND($A26&lt;&gt;"",AJ$3&gt;=$J26,AJ$3&lt;=$M26),1,"")</f>
        <v/>
      </c>
      <c r="AK26">
        <f>IF(AND($A26&lt;&gt;"",AK$3&gt;=$J26,AK$3&lt;=$M26),1,"")</f>
        <v/>
      </c>
      <c r="AL26">
        <f>IF(AND($A26&lt;&gt;"",AL$3&gt;=$J26,AL$3&lt;=$M26),1,"")</f>
        <v/>
      </c>
      <c r="AM26">
        <f>IF(AND($A26&lt;&gt;"",AM$3&gt;=$J26,AM$3&lt;=$M26),1,"")</f>
        <v/>
      </c>
      <c r="AN26">
        <f>IF(AND($A26&lt;&gt;"",AN$3&gt;=$J26,AN$3&lt;=$M26),1,"")</f>
        <v/>
      </c>
      <c r="AO26">
        <f>IF(AND($A26&lt;&gt;"",AO$3&gt;=$J26,AO$3&lt;=$M26),1,"")</f>
        <v/>
      </c>
      <c r="AP26">
        <f>IF(AND($A26&lt;&gt;"",AP$3&gt;=$J26,AP$3&lt;=$M26),1,"")</f>
        <v/>
      </c>
      <c r="AQ26">
        <f>IF(AND($A26&lt;&gt;"",AQ$3&gt;=$J26,AQ$3&lt;=$M26),1,"")</f>
        <v/>
      </c>
      <c r="AR26">
        <f>IF(AND($A26&lt;&gt;"",AR$3&gt;=$J26,AR$3&lt;=$M26),1,"")</f>
        <v/>
      </c>
      <c r="AS26">
        <f>IF(AND($A26&lt;&gt;"",AS$3&gt;=$J26,AS$3&lt;=$M26),1,"")</f>
        <v/>
      </c>
      <c r="AT26">
        <f>IF(AND($A26&lt;&gt;"",AT$3&gt;=$J26,AT$3&lt;=$M26),1,"")</f>
        <v/>
      </c>
      <c r="AU26">
        <f>IF(AND($A26&lt;&gt;"",AU$3&gt;=$J26,AU$3&lt;=$M26),1,"")</f>
        <v/>
      </c>
      <c r="AV26">
        <f>IF(AND($A26&lt;&gt;"",AV$3&gt;=$J26,AV$3&lt;=$M26),1,"")</f>
        <v/>
      </c>
      <c r="AW26">
        <f>IF(AND($A26&lt;&gt;"",AW$3&gt;=$J26,AW$3&lt;=$M26),1,"")</f>
        <v/>
      </c>
      <c r="AX26">
        <f>IF(AND($A26&lt;&gt;"",AX$3&gt;=$J26,AX$3&lt;=$M26),1,"")</f>
        <v/>
      </c>
      <c r="AY26">
        <f>IF(AND($A26&lt;&gt;"",AY$3&gt;=$J26,AY$3&lt;=$M26),1,"")</f>
        <v/>
      </c>
      <c r="AZ26">
        <f>IF(AND($A26&lt;&gt;"",AZ$3&gt;=$J26,AZ$3&lt;=$M26),1,"")</f>
        <v/>
      </c>
      <c r="BA26">
        <f>IF(AND($A26&lt;&gt;"",BA$3&gt;=$J26,BA$3&lt;=$M26),1,"")</f>
        <v/>
      </c>
      <c r="BB26">
        <f>IF(AND($A26&lt;&gt;"",BB$3&gt;=$J26,BB$3&lt;=$M26),1,"")</f>
        <v/>
      </c>
      <c r="BC26">
        <f>IF(AND($A26&lt;&gt;"",BC$3&gt;=$J26,BC$3&lt;=$M26),1,"")</f>
        <v/>
      </c>
      <c r="BD26">
        <f>IF(AND($A26&lt;&gt;"",BD$3&gt;=$J26,BD$3&lt;=$M26),1,"")</f>
        <v/>
      </c>
      <c r="BE26">
        <f>IF(AND($A26&lt;&gt;"",BE$3&gt;=$J26,BE$3&lt;=$M26),1,"")</f>
        <v/>
      </c>
      <c r="BF26">
        <f>IF(AND($A26&lt;&gt;"",BF$3&gt;=$J26,BF$3&lt;=$M26),1,"")</f>
        <v/>
      </c>
      <c r="BG26">
        <f>IF(AND($A26&lt;&gt;"",BG$3&gt;=$J26,BG$3&lt;=$M26),1,"")</f>
        <v/>
      </c>
      <c r="BH26">
        <f>IF(AND($A26&lt;&gt;"",BH$3&gt;=$J26,BH$3&lt;=$M26),1,"")</f>
        <v/>
      </c>
      <c r="BI26">
        <f>IF(AND($A26&lt;&gt;"",BI$3&gt;=$J26,BI$3&lt;=$M26),1,"")</f>
        <v/>
      </c>
      <c r="BJ26">
        <f>IF(AND($A26&lt;&gt;"",BJ$3&gt;=$J26,BJ$3&lt;=$M26),1,"")</f>
        <v/>
      </c>
      <c r="BK26">
        <f>IF(AND($A26&lt;&gt;"",BK$3&gt;=$J26,BK$3&lt;=$M26),1,"")</f>
        <v/>
      </c>
      <c r="BL26">
        <f>IF(AND($A26&lt;&gt;"",BL$3&gt;=$J26,BL$3&lt;=$M26),1,"")</f>
        <v/>
      </c>
      <c r="BM26">
        <f>IF(AND($A26&lt;&gt;"",BM$3&gt;=$J26,BM$3&lt;=$M26),1,"")</f>
        <v/>
      </c>
      <c r="BN26">
        <f>IF(AND($A26&lt;&gt;"",BN$3&gt;=$J26,BN$3&lt;=$M26),1,"")</f>
        <v/>
      </c>
      <c r="BO26">
        <f>IF(AND($A26&lt;&gt;"",BO$3&gt;=$J26,BO$3&lt;=$M26),1,"")</f>
        <v/>
      </c>
      <c r="BP26">
        <f>IF(AND($A26&lt;&gt;"",BP$3&gt;=$J26,BP$3&lt;=$M26),1,"")</f>
        <v/>
      </c>
      <c r="BQ26">
        <f>IF(AND($A26&lt;&gt;"",BQ$3&gt;=$J26,BQ$3&lt;=$M26),1,"")</f>
        <v/>
      </c>
      <c r="BR26">
        <f>IF(AND($A26&lt;&gt;"",BR$3&gt;=$J26,BR$3&lt;=$M26),1,"")</f>
        <v/>
      </c>
      <c r="BS26">
        <f>IF(AND($A26&lt;&gt;"",BS$3&gt;=$J26,BS$3&lt;=$M26),1,"")</f>
        <v/>
      </c>
      <c r="BT26">
        <f>IF(AND($A26&lt;&gt;"",BT$3&gt;=$J26,BT$3&lt;=$M26),1,"")</f>
        <v/>
      </c>
      <c r="BU26">
        <f>IF(AND($A26&lt;&gt;"",BU$3&gt;=$J26,BU$3&lt;=$M26),1,"")</f>
        <v/>
      </c>
      <c r="BV26">
        <f>IF(AND($A26&lt;&gt;"",BV$3&gt;=$J26,BV$3&lt;=$M26),1,"")</f>
        <v/>
      </c>
    </row>
    <row r="27">
      <c r="A27">
        <f>IF(Job_Master_Ring!$A27="","",Job_Master_Ring!$A27)</f>
        <v/>
      </c>
      <c r="B27">
        <f>IF($A27="","",Job_Master_Ring!B27)</f>
        <v/>
      </c>
      <c r="C27">
        <f>IF($A27="","",Job_Master_Ring!C27)</f>
        <v/>
      </c>
      <c r="D27">
        <f>IF($A27="","",Job_Master_Ring!D27)</f>
        <v/>
      </c>
      <c r="E27">
        <f>IF($A27="","",IF($I27&lt;&gt;"",$I27,IFERROR(INDEX(Machine_List!$B$64:$B$71,MATCH(1,(Machine_List!$H$64:$H$71&lt;=IFERROR(VLOOKUP($B27,CHOOSE(MATCH($C27,Settings!$L$4:$L$10,0),OPR_BR1!$A$4:$K$18,OPR_BR2!$A$4:$K$18,OPR_CR2!$A$4:$K$18,OPR_CR3!$A$4:$K$18,OPR_CR4!$A$4:$K$18,OPR_RIM!$A$4:$K$18,OPR_BPR!$A$4:$K$18),10,0),0))*(Machine_List!$I$64:$I$71&gt;=IFERROR(VLOOKUP($B27,CHOOSE(MATCH($C27,Settings!$L$4:$L$10,0),OPR_BR1!$A$4:$K$18,OPR_BR2!$A$4:$K$18,OPR_CR2!$A$4:$K$18,OPR_CR3!$A$4:$K$18,OPR_CR4!$A$4:$K$18,OPR_RIM!$A$4:$K$18,OPR_BPR!$A$4:$K$18),11,0),9999)),0)),"NO COMPATIBLE MACHINE")))</f>
        <v/>
      </c>
      <c r="F27">
        <f>IF($E27="","",IFERROR(VLOOKUP($E27,Machine_List!$B:$G,6,0),""))</f>
        <v/>
      </c>
      <c r="G27" s="17">
        <f>IF($E27="","",IFERROR(VLOOKUP($E27,Machine_List!$B:$C,2,0),""))</f>
        <v/>
      </c>
      <c r="H27">
        <f>IF($E27="","",IFERROR(VLOOKUP($E27,Machine_List!$B:$D,3,0),""))</f>
        <v/>
      </c>
      <c r="J27" s="16">
        <f>IF($A27="","",IF($I27&lt;&gt;"",$I27,MAX(ENG_Plan!$M27,IFERROR(LOOKUP(2,1/($E$3:INDIRECT("E"&amp;(ROW()-1))=$E27),$M$3:INDIRECT("M"&amp;(ROW()-1))),ENG_Plan!$M27))))</f>
        <v/>
      </c>
      <c r="K27">
        <f>IF($A27="","",IFERROR(VLOOKUP(B27,CHOOSE(MATCH($C27,Settings!$L$4:$L$10,0),OPR_BR1!$A$4:$I$18,OPR_BR2!$A$4:$I$18,OPR_CR2!$A$4:$I$18,OPR_CR3!$A$4:$I$18,OPR_CR4!$A$4:$I$18,OPR_RIM!$A$4:$I$18,OPR_BPR!$A$4:$I$18),7,0),0))</f>
        <v/>
      </c>
      <c r="L27">
        <f>IF($A27="","",K27*D27)</f>
        <v/>
      </c>
      <c r="M27" s="16">
        <f>IF($A27="","",IF(AND(ISNUMBER(G27),G27&gt;=J27,G27&lt;=(J27+(L27/(IF(F27="Contract Workman",Settings!$K$5,Settings!$K$4))))),J27+(L27/(IF(F27="Contract Workman",Settings!$K$5,Settings!$K$4)))+(H27/(IF(F27="Contract Workman",Settings!$K$5,Settings!$K$4))),J27+(L27/(IF(F27="Contract Workman",Settings!$K$5,Settings!$K$4)))))</f>
        <v/>
      </c>
      <c r="N27">
        <f>IF($A27="","",IF(F27="Contract Workman",IF(AND(MOD(M27,1)&gt;=8/24,MOD(M27,1)&lt;20/24),"Shift S1","Shift S2"),IF(AND(MOD(M27,1)&gt;=7/24,MOD(M27,1)&lt;15/24),"Shift A",IF(AND(MOD(M27,1)&gt;=15/24,MOD(M27,1)&lt;23/24),"Shift B","Shift C"))))</f>
        <v/>
      </c>
      <c r="O27">
        <f>IF(B27="","",IF(IFERROR(ISNUMBER(SEARCH(TEXT(B27,"0"),VLOOKUP(E27,Machine_List!$B:$J,9,0))),FALSE),"✅ "&amp; E27,"❌ Sug: "&amp;IFERROR(INDEX(Machine_List!$B$64:$B$71,MATCH(1,(Machine_List!$H$64:$H$71&lt;=IFERROR(VLOOKUP($B27,OPR_BR1!$A$4:$K$18,10,0),0))*(Machine_List!$I$64:$I$71&gt;=IFERROR(VLOOKUP($B27,OPR_BR1!$A$4:$K$18,11,0),9999)),0)),"?")))</f>
        <v/>
      </c>
      <c r="P27">
        <f>IF(AND($A27&lt;&gt;"",P$3&gt;=$J27,P$3&lt;=$M27),1,"")</f>
        <v/>
      </c>
      <c r="Q27">
        <f>IF(AND($A27&lt;&gt;"",Q$3&gt;=$J27,Q$3&lt;=$M27),1,"")</f>
        <v/>
      </c>
      <c r="R27">
        <f>IF(AND($A27&lt;&gt;"",R$3&gt;=$J27,R$3&lt;=$M27),1,"")</f>
        <v/>
      </c>
      <c r="S27">
        <f>IF(AND($A27&lt;&gt;"",S$3&gt;=$J27,S$3&lt;=$M27),1,"")</f>
        <v/>
      </c>
      <c r="T27">
        <f>IF(AND($A27&lt;&gt;"",T$3&gt;=$J27,T$3&lt;=$M27),1,"")</f>
        <v/>
      </c>
      <c r="U27">
        <f>IF(AND($A27&lt;&gt;"",U$3&gt;=$J27,U$3&lt;=$M27),1,"")</f>
        <v/>
      </c>
      <c r="V27">
        <f>IF(AND($A27&lt;&gt;"",V$3&gt;=$J27,V$3&lt;=$M27),1,"")</f>
        <v/>
      </c>
      <c r="W27">
        <f>IF(AND($A27&lt;&gt;"",W$3&gt;=$J27,W$3&lt;=$M27),1,"")</f>
        <v/>
      </c>
      <c r="X27">
        <f>IF(AND($A27&lt;&gt;"",X$3&gt;=$J27,X$3&lt;=$M27),1,"")</f>
        <v/>
      </c>
      <c r="Y27">
        <f>IF(AND($A27&lt;&gt;"",Y$3&gt;=$J27,Y$3&lt;=$M27),1,"")</f>
        <v/>
      </c>
      <c r="Z27">
        <f>IF(AND($A27&lt;&gt;"",Z$3&gt;=$J27,Z$3&lt;=$M27),1,"")</f>
        <v/>
      </c>
      <c r="AA27">
        <f>IF(AND($A27&lt;&gt;"",AA$3&gt;=$J27,AA$3&lt;=$M27),1,"")</f>
        <v/>
      </c>
      <c r="AB27">
        <f>IF(AND($A27&lt;&gt;"",AB$3&gt;=$J27,AB$3&lt;=$M27),1,"")</f>
        <v/>
      </c>
      <c r="AC27">
        <f>IF(AND($A27&lt;&gt;"",AC$3&gt;=$J27,AC$3&lt;=$M27),1,"")</f>
        <v/>
      </c>
      <c r="AD27">
        <f>IF(AND($A27&lt;&gt;"",AD$3&gt;=$J27,AD$3&lt;=$M27),1,"")</f>
        <v/>
      </c>
      <c r="AE27">
        <f>IF(AND($A27&lt;&gt;"",AE$3&gt;=$J27,AE$3&lt;=$M27),1,"")</f>
        <v/>
      </c>
      <c r="AF27">
        <f>IF(AND($A27&lt;&gt;"",AF$3&gt;=$J27,AF$3&lt;=$M27),1,"")</f>
        <v/>
      </c>
      <c r="AG27">
        <f>IF(AND($A27&lt;&gt;"",AG$3&gt;=$J27,AG$3&lt;=$M27),1,"")</f>
        <v/>
      </c>
      <c r="AH27">
        <f>IF(AND($A27&lt;&gt;"",AH$3&gt;=$J27,AH$3&lt;=$M27),1,"")</f>
        <v/>
      </c>
      <c r="AI27">
        <f>IF(AND($A27&lt;&gt;"",AI$3&gt;=$J27,AI$3&lt;=$M27),1,"")</f>
        <v/>
      </c>
      <c r="AJ27">
        <f>IF(AND($A27&lt;&gt;"",AJ$3&gt;=$J27,AJ$3&lt;=$M27),1,"")</f>
        <v/>
      </c>
      <c r="AK27">
        <f>IF(AND($A27&lt;&gt;"",AK$3&gt;=$J27,AK$3&lt;=$M27),1,"")</f>
        <v/>
      </c>
      <c r="AL27">
        <f>IF(AND($A27&lt;&gt;"",AL$3&gt;=$J27,AL$3&lt;=$M27),1,"")</f>
        <v/>
      </c>
      <c r="AM27">
        <f>IF(AND($A27&lt;&gt;"",AM$3&gt;=$J27,AM$3&lt;=$M27),1,"")</f>
        <v/>
      </c>
      <c r="AN27">
        <f>IF(AND($A27&lt;&gt;"",AN$3&gt;=$J27,AN$3&lt;=$M27),1,"")</f>
        <v/>
      </c>
      <c r="AO27">
        <f>IF(AND($A27&lt;&gt;"",AO$3&gt;=$J27,AO$3&lt;=$M27),1,"")</f>
        <v/>
      </c>
      <c r="AP27">
        <f>IF(AND($A27&lt;&gt;"",AP$3&gt;=$J27,AP$3&lt;=$M27),1,"")</f>
        <v/>
      </c>
      <c r="AQ27">
        <f>IF(AND($A27&lt;&gt;"",AQ$3&gt;=$J27,AQ$3&lt;=$M27),1,"")</f>
        <v/>
      </c>
      <c r="AR27">
        <f>IF(AND($A27&lt;&gt;"",AR$3&gt;=$J27,AR$3&lt;=$M27),1,"")</f>
        <v/>
      </c>
      <c r="AS27">
        <f>IF(AND($A27&lt;&gt;"",AS$3&gt;=$J27,AS$3&lt;=$M27),1,"")</f>
        <v/>
      </c>
      <c r="AT27">
        <f>IF(AND($A27&lt;&gt;"",AT$3&gt;=$J27,AT$3&lt;=$M27),1,"")</f>
        <v/>
      </c>
      <c r="AU27">
        <f>IF(AND($A27&lt;&gt;"",AU$3&gt;=$J27,AU$3&lt;=$M27),1,"")</f>
        <v/>
      </c>
      <c r="AV27">
        <f>IF(AND($A27&lt;&gt;"",AV$3&gt;=$J27,AV$3&lt;=$M27),1,"")</f>
        <v/>
      </c>
      <c r="AW27">
        <f>IF(AND($A27&lt;&gt;"",AW$3&gt;=$J27,AW$3&lt;=$M27),1,"")</f>
        <v/>
      </c>
      <c r="AX27">
        <f>IF(AND($A27&lt;&gt;"",AX$3&gt;=$J27,AX$3&lt;=$M27),1,"")</f>
        <v/>
      </c>
      <c r="AY27">
        <f>IF(AND($A27&lt;&gt;"",AY$3&gt;=$J27,AY$3&lt;=$M27),1,"")</f>
        <v/>
      </c>
      <c r="AZ27">
        <f>IF(AND($A27&lt;&gt;"",AZ$3&gt;=$J27,AZ$3&lt;=$M27),1,"")</f>
        <v/>
      </c>
      <c r="BA27">
        <f>IF(AND($A27&lt;&gt;"",BA$3&gt;=$J27,BA$3&lt;=$M27),1,"")</f>
        <v/>
      </c>
      <c r="BB27">
        <f>IF(AND($A27&lt;&gt;"",BB$3&gt;=$J27,BB$3&lt;=$M27),1,"")</f>
        <v/>
      </c>
      <c r="BC27">
        <f>IF(AND($A27&lt;&gt;"",BC$3&gt;=$J27,BC$3&lt;=$M27),1,"")</f>
        <v/>
      </c>
      <c r="BD27">
        <f>IF(AND($A27&lt;&gt;"",BD$3&gt;=$J27,BD$3&lt;=$M27),1,"")</f>
        <v/>
      </c>
      <c r="BE27">
        <f>IF(AND($A27&lt;&gt;"",BE$3&gt;=$J27,BE$3&lt;=$M27),1,"")</f>
        <v/>
      </c>
      <c r="BF27">
        <f>IF(AND($A27&lt;&gt;"",BF$3&gt;=$J27,BF$3&lt;=$M27),1,"")</f>
        <v/>
      </c>
      <c r="BG27">
        <f>IF(AND($A27&lt;&gt;"",BG$3&gt;=$J27,BG$3&lt;=$M27),1,"")</f>
        <v/>
      </c>
      <c r="BH27">
        <f>IF(AND($A27&lt;&gt;"",BH$3&gt;=$J27,BH$3&lt;=$M27),1,"")</f>
        <v/>
      </c>
      <c r="BI27">
        <f>IF(AND($A27&lt;&gt;"",BI$3&gt;=$J27,BI$3&lt;=$M27),1,"")</f>
        <v/>
      </c>
      <c r="BJ27">
        <f>IF(AND($A27&lt;&gt;"",BJ$3&gt;=$J27,BJ$3&lt;=$M27),1,"")</f>
        <v/>
      </c>
      <c r="BK27">
        <f>IF(AND($A27&lt;&gt;"",BK$3&gt;=$J27,BK$3&lt;=$M27),1,"")</f>
        <v/>
      </c>
      <c r="BL27">
        <f>IF(AND($A27&lt;&gt;"",BL$3&gt;=$J27,BL$3&lt;=$M27),1,"")</f>
        <v/>
      </c>
      <c r="BM27">
        <f>IF(AND($A27&lt;&gt;"",BM$3&gt;=$J27,BM$3&lt;=$M27),1,"")</f>
        <v/>
      </c>
      <c r="BN27">
        <f>IF(AND($A27&lt;&gt;"",BN$3&gt;=$J27,BN$3&lt;=$M27),1,"")</f>
        <v/>
      </c>
      <c r="BO27">
        <f>IF(AND($A27&lt;&gt;"",BO$3&gt;=$J27,BO$3&lt;=$M27),1,"")</f>
        <v/>
      </c>
      <c r="BP27">
        <f>IF(AND($A27&lt;&gt;"",BP$3&gt;=$J27,BP$3&lt;=$M27),1,"")</f>
        <v/>
      </c>
      <c r="BQ27">
        <f>IF(AND($A27&lt;&gt;"",BQ$3&gt;=$J27,BQ$3&lt;=$M27),1,"")</f>
        <v/>
      </c>
      <c r="BR27">
        <f>IF(AND($A27&lt;&gt;"",BR$3&gt;=$J27,BR$3&lt;=$M27),1,"")</f>
        <v/>
      </c>
      <c r="BS27">
        <f>IF(AND($A27&lt;&gt;"",BS$3&gt;=$J27,BS$3&lt;=$M27),1,"")</f>
        <v/>
      </c>
      <c r="BT27">
        <f>IF(AND($A27&lt;&gt;"",BT$3&gt;=$J27,BT$3&lt;=$M27),1,"")</f>
        <v/>
      </c>
      <c r="BU27">
        <f>IF(AND($A27&lt;&gt;"",BU$3&gt;=$J27,BU$3&lt;=$M27),1,"")</f>
        <v/>
      </c>
      <c r="BV27">
        <f>IF(AND($A27&lt;&gt;"",BV$3&gt;=$J27,BV$3&lt;=$M27),1,"")</f>
        <v/>
      </c>
    </row>
    <row r="28">
      <c r="A28">
        <f>IF(Job_Master_Ring!$A28="","",Job_Master_Ring!$A28)</f>
        <v/>
      </c>
      <c r="B28">
        <f>IF($A28="","",Job_Master_Ring!B28)</f>
        <v/>
      </c>
      <c r="C28">
        <f>IF($A28="","",Job_Master_Ring!C28)</f>
        <v/>
      </c>
      <c r="D28">
        <f>IF($A28="","",Job_Master_Ring!D28)</f>
        <v/>
      </c>
      <c r="E28">
        <f>IF($A28="","",IF($I28&lt;&gt;"",$I28,IFERROR(INDEX(Machine_List!$B$64:$B$71,MATCH(1,(Machine_List!$H$64:$H$71&lt;=IFERROR(VLOOKUP($B28,CHOOSE(MATCH($C28,Settings!$L$4:$L$10,0),OPR_BR1!$A$4:$K$18,OPR_BR2!$A$4:$K$18,OPR_CR2!$A$4:$K$18,OPR_CR3!$A$4:$K$18,OPR_CR4!$A$4:$K$18,OPR_RIM!$A$4:$K$18,OPR_BPR!$A$4:$K$18),10,0),0))*(Machine_List!$I$64:$I$71&gt;=IFERROR(VLOOKUP($B28,CHOOSE(MATCH($C28,Settings!$L$4:$L$10,0),OPR_BR1!$A$4:$K$18,OPR_BR2!$A$4:$K$18,OPR_CR2!$A$4:$K$18,OPR_CR3!$A$4:$K$18,OPR_CR4!$A$4:$K$18,OPR_RIM!$A$4:$K$18,OPR_BPR!$A$4:$K$18),11,0),9999)),0)),"NO COMPATIBLE MACHINE")))</f>
        <v/>
      </c>
      <c r="F28">
        <f>IF($E28="","",IFERROR(VLOOKUP($E28,Machine_List!$B:$G,6,0),""))</f>
        <v/>
      </c>
      <c r="G28" s="17">
        <f>IF($E28="","",IFERROR(VLOOKUP($E28,Machine_List!$B:$C,2,0),""))</f>
        <v/>
      </c>
      <c r="H28">
        <f>IF($E28="","",IFERROR(VLOOKUP($E28,Machine_List!$B:$D,3,0),""))</f>
        <v/>
      </c>
      <c r="J28" s="16">
        <f>IF($A28="","",IF($I28&lt;&gt;"",$I28,MAX(ENG_Plan!$M28,IFERROR(LOOKUP(2,1/($E$3:INDIRECT("E"&amp;(ROW()-1))=$E28),$M$3:INDIRECT("M"&amp;(ROW()-1))),ENG_Plan!$M28))))</f>
        <v/>
      </c>
      <c r="K28">
        <f>IF($A28="","",IFERROR(VLOOKUP(B28,CHOOSE(MATCH($C28,Settings!$L$4:$L$10,0),OPR_BR1!$A$4:$I$18,OPR_BR2!$A$4:$I$18,OPR_CR2!$A$4:$I$18,OPR_CR3!$A$4:$I$18,OPR_CR4!$A$4:$I$18,OPR_RIM!$A$4:$I$18,OPR_BPR!$A$4:$I$18),7,0),0))</f>
        <v/>
      </c>
      <c r="L28">
        <f>IF($A28="","",K28*D28)</f>
        <v/>
      </c>
      <c r="M28" s="16">
        <f>IF($A28="","",IF(AND(ISNUMBER(G28),G28&gt;=J28,G28&lt;=(J28+(L28/(IF(F28="Contract Workman",Settings!$K$5,Settings!$K$4))))),J28+(L28/(IF(F28="Contract Workman",Settings!$K$5,Settings!$K$4)))+(H28/(IF(F28="Contract Workman",Settings!$K$5,Settings!$K$4))),J28+(L28/(IF(F28="Contract Workman",Settings!$K$5,Settings!$K$4)))))</f>
        <v/>
      </c>
      <c r="N28">
        <f>IF($A28="","",IF(F28="Contract Workman",IF(AND(MOD(M28,1)&gt;=8/24,MOD(M28,1)&lt;20/24),"Shift S1","Shift S2"),IF(AND(MOD(M28,1)&gt;=7/24,MOD(M28,1)&lt;15/24),"Shift A",IF(AND(MOD(M28,1)&gt;=15/24,MOD(M28,1)&lt;23/24),"Shift B","Shift C"))))</f>
        <v/>
      </c>
      <c r="O28">
        <f>IF(B28="","",IF(IFERROR(ISNUMBER(SEARCH(TEXT(B28,"0"),VLOOKUP(E28,Machine_List!$B:$J,9,0))),FALSE),"✅ "&amp; E28,"❌ Sug: "&amp;IFERROR(INDEX(Machine_List!$B$64:$B$71,MATCH(1,(Machine_List!$H$64:$H$71&lt;=IFERROR(VLOOKUP($B28,OPR_BR1!$A$4:$K$18,10,0),0))*(Machine_List!$I$64:$I$71&gt;=IFERROR(VLOOKUP($B28,OPR_BR1!$A$4:$K$18,11,0),9999)),0)),"?")))</f>
        <v/>
      </c>
      <c r="P28">
        <f>IF(AND($A28&lt;&gt;"",P$3&gt;=$J28,P$3&lt;=$M28),1,"")</f>
        <v/>
      </c>
      <c r="Q28">
        <f>IF(AND($A28&lt;&gt;"",Q$3&gt;=$J28,Q$3&lt;=$M28),1,"")</f>
        <v/>
      </c>
      <c r="R28">
        <f>IF(AND($A28&lt;&gt;"",R$3&gt;=$J28,R$3&lt;=$M28),1,"")</f>
        <v/>
      </c>
      <c r="S28">
        <f>IF(AND($A28&lt;&gt;"",S$3&gt;=$J28,S$3&lt;=$M28),1,"")</f>
        <v/>
      </c>
      <c r="T28">
        <f>IF(AND($A28&lt;&gt;"",T$3&gt;=$J28,T$3&lt;=$M28),1,"")</f>
        <v/>
      </c>
      <c r="U28">
        <f>IF(AND($A28&lt;&gt;"",U$3&gt;=$J28,U$3&lt;=$M28),1,"")</f>
        <v/>
      </c>
      <c r="V28">
        <f>IF(AND($A28&lt;&gt;"",V$3&gt;=$J28,V$3&lt;=$M28),1,"")</f>
        <v/>
      </c>
      <c r="W28">
        <f>IF(AND($A28&lt;&gt;"",W$3&gt;=$J28,W$3&lt;=$M28),1,"")</f>
        <v/>
      </c>
      <c r="X28">
        <f>IF(AND($A28&lt;&gt;"",X$3&gt;=$J28,X$3&lt;=$M28),1,"")</f>
        <v/>
      </c>
      <c r="Y28">
        <f>IF(AND($A28&lt;&gt;"",Y$3&gt;=$J28,Y$3&lt;=$M28),1,"")</f>
        <v/>
      </c>
      <c r="Z28">
        <f>IF(AND($A28&lt;&gt;"",Z$3&gt;=$J28,Z$3&lt;=$M28),1,"")</f>
        <v/>
      </c>
      <c r="AA28">
        <f>IF(AND($A28&lt;&gt;"",AA$3&gt;=$J28,AA$3&lt;=$M28),1,"")</f>
        <v/>
      </c>
      <c r="AB28">
        <f>IF(AND($A28&lt;&gt;"",AB$3&gt;=$J28,AB$3&lt;=$M28),1,"")</f>
        <v/>
      </c>
      <c r="AC28">
        <f>IF(AND($A28&lt;&gt;"",AC$3&gt;=$J28,AC$3&lt;=$M28),1,"")</f>
        <v/>
      </c>
      <c r="AD28">
        <f>IF(AND($A28&lt;&gt;"",AD$3&gt;=$J28,AD$3&lt;=$M28),1,"")</f>
        <v/>
      </c>
      <c r="AE28">
        <f>IF(AND($A28&lt;&gt;"",AE$3&gt;=$J28,AE$3&lt;=$M28),1,"")</f>
        <v/>
      </c>
      <c r="AF28">
        <f>IF(AND($A28&lt;&gt;"",AF$3&gt;=$J28,AF$3&lt;=$M28),1,"")</f>
        <v/>
      </c>
      <c r="AG28">
        <f>IF(AND($A28&lt;&gt;"",AG$3&gt;=$J28,AG$3&lt;=$M28),1,"")</f>
        <v/>
      </c>
      <c r="AH28">
        <f>IF(AND($A28&lt;&gt;"",AH$3&gt;=$J28,AH$3&lt;=$M28),1,"")</f>
        <v/>
      </c>
      <c r="AI28">
        <f>IF(AND($A28&lt;&gt;"",AI$3&gt;=$J28,AI$3&lt;=$M28),1,"")</f>
        <v/>
      </c>
      <c r="AJ28">
        <f>IF(AND($A28&lt;&gt;"",AJ$3&gt;=$J28,AJ$3&lt;=$M28),1,"")</f>
        <v/>
      </c>
      <c r="AK28">
        <f>IF(AND($A28&lt;&gt;"",AK$3&gt;=$J28,AK$3&lt;=$M28),1,"")</f>
        <v/>
      </c>
      <c r="AL28">
        <f>IF(AND($A28&lt;&gt;"",AL$3&gt;=$J28,AL$3&lt;=$M28),1,"")</f>
        <v/>
      </c>
      <c r="AM28">
        <f>IF(AND($A28&lt;&gt;"",AM$3&gt;=$J28,AM$3&lt;=$M28),1,"")</f>
        <v/>
      </c>
      <c r="AN28">
        <f>IF(AND($A28&lt;&gt;"",AN$3&gt;=$J28,AN$3&lt;=$M28),1,"")</f>
        <v/>
      </c>
      <c r="AO28">
        <f>IF(AND($A28&lt;&gt;"",AO$3&gt;=$J28,AO$3&lt;=$M28),1,"")</f>
        <v/>
      </c>
      <c r="AP28">
        <f>IF(AND($A28&lt;&gt;"",AP$3&gt;=$J28,AP$3&lt;=$M28),1,"")</f>
        <v/>
      </c>
      <c r="AQ28">
        <f>IF(AND($A28&lt;&gt;"",AQ$3&gt;=$J28,AQ$3&lt;=$M28),1,"")</f>
        <v/>
      </c>
      <c r="AR28">
        <f>IF(AND($A28&lt;&gt;"",AR$3&gt;=$J28,AR$3&lt;=$M28),1,"")</f>
        <v/>
      </c>
      <c r="AS28">
        <f>IF(AND($A28&lt;&gt;"",AS$3&gt;=$J28,AS$3&lt;=$M28),1,"")</f>
        <v/>
      </c>
      <c r="AT28">
        <f>IF(AND($A28&lt;&gt;"",AT$3&gt;=$J28,AT$3&lt;=$M28),1,"")</f>
        <v/>
      </c>
      <c r="AU28">
        <f>IF(AND($A28&lt;&gt;"",AU$3&gt;=$J28,AU$3&lt;=$M28),1,"")</f>
        <v/>
      </c>
      <c r="AV28">
        <f>IF(AND($A28&lt;&gt;"",AV$3&gt;=$J28,AV$3&lt;=$M28),1,"")</f>
        <v/>
      </c>
      <c r="AW28">
        <f>IF(AND($A28&lt;&gt;"",AW$3&gt;=$J28,AW$3&lt;=$M28),1,"")</f>
        <v/>
      </c>
      <c r="AX28">
        <f>IF(AND($A28&lt;&gt;"",AX$3&gt;=$J28,AX$3&lt;=$M28),1,"")</f>
        <v/>
      </c>
      <c r="AY28">
        <f>IF(AND($A28&lt;&gt;"",AY$3&gt;=$J28,AY$3&lt;=$M28),1,"")</f>
        <v/>
      </c>
      <c r="AZ28">
        <f>IF(AND($A28&lt;&gt;"",AZ$3&gt;=$J28,AZ$3&lt;=$M28),1,"")</f>
        <v/>
      </c>
      <c r="BA28">
        <f>IF(AND($A28&lt;&gt;"",BA$3&gt;=$J28,BA$3&lt;=$M28),1,"")</f>
        <v/>
      </c>
      <c r="BB28">
        <f>IF(AND($A28&lt;&gt;"",BB$3&gt;=$J28,BB$3&lt;=$M28),1,"")</f>
        <v/>
      </c>
      <c r="BC28">
        <f>IF(AND($A28&lt;&gt;"",BC$3&gt;=$J28,BC$3&lt;=$M28),1,"")</f>
        <v/>
      </c>
      <c r="BD28">
        <f>IF(AND($A28&lt;&gt;"",BD$3&gt;=$J28,BD$3&lt;=$M28),1,"")</f>
        <v/>
      </c>
      <c r="BE28">
        <f>IF(AND($A28&lt;&gt;"",BE$3&gt;=$J28,BE$3&lt;=$M28),1,"")</f>
        <v/>
      </c>
      <c r="BF28">
        <f>IF(AND($A28&lt;&gt;"",BF$3&gt;=$J28,BF$3&lt;=$M28),1,"")</f>
        <v/>
      </c>
      <c r="BG28">
        <f>IF(AND($A28&lt;&gt;"",BG$3&gt;=$J28,BG$3&lt;=$M28),1,"")</f>
        <v/>
      </c>
      <c r="BH28">
        <f>IF(AND($A28&lt;&gt;"",BH$3&gt;=$J28,BH$3&lt;=$M28),1,"")</f>
        <v/>
      </c>
      <c r="BI28">
        <f>IF(AND($A28&lt;&gt;"",BI$3&gt;=$J28,BI$3&lt;=$M28),1,"")</f>
        <v/>
      </c>
      <c r="BJ28">
        <f>IF(AND($A28&lt;&gt;"",BJ$3&gt;=$J28,BJ$3&lt;=$M28),1,"")</f>
        <v/>
      </c>
      <c r="BK28">
        <f>IF(AND($A28&lt;&gt;"",BK$3&gt;=$J28,BK$3&lt;=$M28),1,"")</f>
        <v/>
      </c>
      <c r="BL28">
        <f>IF(AND($A28&lt;&gt;"",BL$3&gt;=$J28,BL$3&lt;=$M28),1,"")</f>
        <v/>
      </c>
      <c r="BM28">
        <f>IF(AND($A28&lt;&gt;"",BM$3&gt;=$J28,BM$3&lt;=$M28),1,"")</f>
        <v/>
      </c>
      <c r="BN28">
        <f>IF(AND($A28&lt;&gt;"",BN$3&gt;=$J28,BN$3&lt;=$M28),1,"")</f>
        <v/>
      </c>
      <c r="BO28">
        <f>IF(AND($A28&lt;&gt;"",BO$3&gt;=$J28,BO$3&lt;=$M28),1,"")</f>
        <v/>
      </c>
      <c r="BP28">
        <f>IF(AND($A28&lt;&gt;"",BP$3&gt;=$J28,BP$3&lt;=$M28),1,"")</f>
        <v/>
      </c>
      <c r="BQ28">
        <f>IF(AND($A28&lt;&gt;"",BQ$3&gt;=$J28,BQ$3&lt;=$M28),1,"")</f>
        <v/>
      </c>
      <c r="BR28">
        <f>IF(AND($A28&lt;&gt;"",BR$3&gt;=$J28,BR$3&lt;=$M28),1,"")</f>
        <v/>
      </c>
      <c r="BS28">
        <f>IF(AND($A28&lt;&gt;"",BS$3&gt;=$J28,BS$3&lt;=$M28),1,"")</f>
        <v/>
      </c>
      <c r="BT28">
        <f>IF(AND($A28&lt;&gt;"",BT$3&gt;=$J28,BT$3&lt;=$M28),1,"")</f>
        <v/>
      </c>
      <c r="BU28">
        <f>IF(AND($A28&lt;&gt;"",BU$3&gt;=$J28,BU$3&lt;=$M28),1,"")</f>
        <v/>
      </c>
      <c r="BV28">
        <f>IF(AND($A28&lt;&gt;"",BV$3&gt;=$J28,BV$3&lt;=$M28),1,"")</f>
        <v/>
      </c>
    </row>
    <row r="29">
      <c r="A29">
        <f>IF(Job_Master_Ring!$A29="","",Job_Master_Ring!$A29)</f>
        <v/>
      </c>
      <c r="B29">
        <f>IF($A29="","",Job_Master_Ring!B29)</f>
        <v/>
      </c>
      <c r="C29">
        <f>IF($A29="","",Job_Master_Ring!C29)</f>
        <v/>
      </c>
      <c r="D29">
        <f>IF($A29="","",Job_Master_Ring!D29)</f>
        <v/>
      </c>
      <c r="E29">
        <f>IF($A29="","",IF($I29&lt;&gt;"",$I29,IFERROR(INDEX(Machine_List!$B$64:$B$71,MATCH(1,(Machine_List!$H$64:$H$71&lt;=IFERROR(VLOOKUP($B29,CHOOSE(MATCH($C29,Settings!$L$4:$L$10,0),OPR_BR1!$A$4:$K$18,OPR_BR2!$A$4:$K$18,OPR_CR2!$A$4:$K$18,OPR_CR3!$A$4:$K$18,OPR_CR4!$A$4:$K$18,OPR_RIM!$A$4:$K$18,OPR_BPR!$A$4:$K$18),10,0),0))*(Machine_List!$I$64:$I$71&gt;=IFERROR(VLOOKUP($B29,CHOOSE(MATCH($C29,Settings!$L$4:$L$10,0),OPR_BR1!$A$4:$K$18,OPR_BR2!$A$4:$K$18,OPR_CR2!$A$4:$K$18,OPR_CR3!$A$4:$K$18,OPR_CR4!$A$4:$K$18,OPR_RIM!$A$4:$K$18,OPR_BPR!$A$4:$K$18),11,0),9999)),0)),"NO COMPATIBLE MACHINE")))</f>
        <v/>
      </c>
      <c r="F29">
        <f>IF($E29="","",IFERROR(VLOOKUP($E29,Machine_List!$B:$G,6,0),""))</f>
        <v/>
      </c>
      <c r="G29" s="17">
        <f>IF($E29="","",IFERROR(VLOOKUP($E29,Machine_List!$B:$C,2,0),""))</f>
        <v/>
      </c>
      <c r="H29">
        <f>IF($E29="","",IFERROR(VLOOKUP($E29,Machine_List!$B:$D,3,0),""))</f>
        <v/>
      </c>
      <c r="J29" s="16">
        <f>IF($A29="","",IF($I29&lt;&gt;"",$I29,MAX(ENG_Plan!$M29,IFERROR(LOOKUP(2,1/($E$3:INDIRECT("E"&amp;(ROW()-1))=$E29),$M$3:INDIRECT("M"&amp;(ROW()-1))),ENG_Plan!$M29))))</f>
        <v/>
      </c>
      <c r="K29">
        <f>IF($A29="","",IFERROR(VLOOKUP(B29,CHOOSE(MATCH($C29,Settings!$L$4:$L$10,0),OPR_BR1!$A$4:$I$18,OPR_BR2!$A$4:$I$18,OPR_CR2!$A$4:$I$18,OPR_CR3!$A$4:$I$18,OPR_CR4!$A$4:$I$18,OPR_RIM!$A$4:$I$18,OPR_BPR!$A$4:$I$18),7,0),0))</f>
        <v/>
      </c>
      <c r="L29">
        <f>IF($A29="","",K29*D29)</f>
        <v/>
      </c>
      <c r="M29" s="16">
        <f>IF($A29="","",IF(AND(ISNUMBER(G29),G29&gt;=J29,G29&lt;=(J29+(L29/(IF(F29="Contract Workman",Settings!$K$5,Settings!$K$4))))),J29+(L29/(IF(F29="Contract Workman",Settings!$K$5,Settings!$K$4)))+(H29/(IF(F29="Contract Workman",Settings!$K$5,Settings!$K$4))),J29+(L29/(IF(F29="Contract Workman",Settings!$K$5,Settings!$K$4)))))</f>
        <v/>
      </c>
      <c r="N29">
        <f>IF($A29="","",IF(F29="Contract Workman",IF(AND(MOD(M29,1)&gt;=8/24,MOD(M29,1)&lt;20/24),"Shift S1","Shift S2"),IF(AND(MOD(M29,1)&gt;=7/24,MOD(M29,1)&lt;15/24),"Shift A",IF(AND(MOD(M29,1)&gt;=15/24,MOD(M29,1)&lt;23/24),"Shift B","Shift C"))))</f>
        <v/>
      </c>
      <c r="O29">
        <f>IF(B29="","",IF(IFERROR(ISNUMBER(SEARCH(TEXT(B29,"0"),VLOOKUP(E29,Machine_List!$B:$J,9,0))),FALSE),"✅ "&amp; E29,"❌ Sug: "&amp;IFERROR(INDEX(Machine_List!$B$64:$B$71,MATCH(1,(Machine_List!$H$64:$H$71&lt;=IFERROR(VLOOKUP($B29,OPR_BR1!$A$4:$K$18,10,0),0))*(Machine_List!$I$64:$I$71&gt;=IFERROR(VLOOKUP($B29,OPR_BR1!$A$4:$K$18,11,0),9999)),0)),"?")))</f>
        <v/>
      </c>
      <c r="P29">
        <f>IF(AND($A29&lt;&gt;"",P$3&gt;=$J29,P$3&lt;=$M29),1,"")</f>
        <v/>
      </c>
      <c r="Q29">
        <f>IF(AND($A29&lt;&gt;"",Q$3&gt;=$J29,Q$3&lt;=$M29),1,"")</f>
        <v/>
      </c>
      <c r="R29">
        <f>IF(AND($A29&lt;&gt;"",R$3&gt;=$J29,R$3&lt;=$M29),1,"")</f>
        <v/>
      </c>
      <c r="S29">
        <f>IF(AND($A29&lt;&gt;"",S$3&gt;=$J29,S$3&lt;=$M29),1,"")</f>
        <v/>
      </c>
      <c r="T29">
        <f>IF(AND($A29&lt;&gt;"",T$3&gt;=$J29,T$3&lt;=$M29),1,"")</f>
        <v/>
      </c>
      <c r="U29">
        <f>IF(AND($A29&lt;&gt;"",U$3&gt;=$J29,U$3&lt;=$M29),1,"")</f>
        <v/>
      </c>
      <c r="V29">
        <f>IF(AND($A29&lt;&gt;"",V$3&gt;=$J29,V$3&lt;=$M29),1,"")</f>
        <v/>
      </c>
      <c r="W29">
        <f>IF(AND($A29&lt;&gt;"",W$3&gt;=$J29,W$3&lt;=$M29),1,"")</f>
        <v/>
      </c>
      <c r="X29">
        <f>IF(AND($A29&lt;&gt;"",X$3&gt;=$J29,X$3&lt;=$M29),1,"")</f>
        <v/>
      </c>
      <c r="Y29">
        <f>IF(AND($A29&lt;&gt;"",Y$3&gt;=$J29,Y$3&lt;=$M29),1,"")</f>
        <v/>
      </c>
      <c r="Z29">
        <f>IF(AND($A29&lt;&gt;"",Z$3&gt;=$J29,Z$3&lt;=$M29),1,"")</f>
        <v/>
      </c>
      <c r="AA29">
        <f>IF(AND($A29&lt;&gt;"",AA$3&gt;=$J29,AA$3&lt;=$M29),1,"")</f>
        <v/>
      </c>
      <c r="AB29">
        <f>IF(AND($A29&lt;&gt;"",AB$3&gt;=$J29,AB$3&lt;=$M29),1,"")</f>
        <v/>
      </c>
      <c r="AC29">
        <f>IF(AND($A29&lt;&gt;"",AC$3&gt;=$J29,AC$3&lt;=$M29),1,"")</f>
        <v/>
      </c>
      <c r="AD29">
        <f>IF(AND($A29&lt;&gt;"",AD$3&gt;=$J29,AD$3&lt;=$M29),1,"")</f>
        <v/>
      </c>
      <c r="AE29">
        <f>IF(AND($A29&lt;&gt;"",AE$3&gt;=$J29,AE$3&lt;=$M29),1,"")</f>
        <v/>
      </c>
      <c r="AF29">
        <f>IF(AND($A29&lt;&gt;"",AF$3&gt;=$J29,AF$3&lt;=$M29),1,"")</f>
        <v/>
      </c>
      <c r="AG29">
        <f>IF(AND($A29&lt;&gt;"",AG$3&gt;=$J29,AG$3&lt;=$M29),1,"")</f>
        <v/>
      </c>
      <c r="AH29">
        <f>IF(AND($A29&lt;&gt;"",AH$3&gt;=$J29,AH$3&lt;=$M29),1,"")</f>
        <v/>
      </c>
      <c r="AI29">
        <f>IF(AND($A29&lt;&gt;"",AI$3&gt;=$J29,AI$3&lt;=$M29),1,"")</f>
        <v/>
      </c>
      <c r="AJ29">
        <f>IF(AND($A29&lt;&gt;"",AJ$3&gt;=$J29,AJ$3&lt;=$M29),1,"")</f>
        <v/>
      </c>
      <c r="AK29">
        <f>IF(AND($A29&lt;&gt;"",AK$3&gt;=$J29,AK$3&lt;=$M29),1,"")</f>
        <v/>
      </c>
      <c r="AL29">
        <f>IF(AND($A29&lt;&gt;"",AL$3&gt;=$J29,AL$3&lt;=$M29),1,"")</f>
        <v/>
      </c>
      <c r="AM29">
        <f>IF(AND($A29&lt;&gt;"",AM$3&gt;=$J29,AM$3&lt;=$M29),1,"")</f>
        <v/>
      </c>
      <c r="AN29">
        <f>IF(AND($A29&lt;&gt;"",AN$3&gt;=$J29,AN$3&lt;=$M29),1,"")</f>
        <v/>
      </c>
      <c r="AO29">
        <f>IF(AND($A29&lt;&gt;"",AO$3&gt;=$J29,AO$3&lt;=$M29),1,"")</f>
        <v/>
      </c>
      <c r="AP29">
        <f>IF(AND($A29&lt;&gt;"",AP$3&gt;=$J29,AP$3&lt;=$M29),1,"")</f>
        <v/>
      </c>
      <c r="AQ29">
        <f>IF(AND($A29&lt;&gt;"",AQ$3&gt;=$J29,AQ$3&lt;=$M29),1,"")</f>
        <v/>
      </c>
      <c r="AR29">
        <f>IF(AND($A29&lt;&gt;"",AR$3&gt;=$J29,AR$3&lt;=$M29),1,"")</f>
        <v/>
      </c>
      <c r="AS29">
        <f>IF(AND($A29&lt;&gt;"",AS$3&gt;=$J29,AS$3&lt;=$M29),1,"")</f>
        <v/>
      </c>
      <c r="AT29">
        <f>IF(AND($A29&lt;&gt;"",AT$3&gt;=$J29,AT$3&lt;=$M29),1,"")</f>
        <v/>
      </c>
      <c r="AU29">
        <f>IF(AND($A29&lt;&gt;"",AU$3&gt;=$J29,AU$3&lt;=$M29),1,"")</f>
        <v/>
      </c>
      <c r="AV29">
        <f>IF(AND($A29&lt;&gt;"",AV$3&gt;=$J29,AV$3&lt;=$M29),1,"")</f>
        <v/>
      </c>
      <c r="AW29">
        <f>IF(AND($A29&lt;&gt;"",AW$3&gt;=$J29,AW$3&lt;=$M29),1,"")</f>
        <v/>
      </c>
      <c r="AX29">
        <f>IF(AND($A29&lt;&gt;"",AX$3&gt;=$J29,AX$3&lt;=$M29),1,"")</f>
        <v/>
      </c>
      <c r="AY29">
        <f>IF(AND($A29&lt;&gt;"",AY$3&gt;=$J29,AY$3&lt;=$M29),1,"")</f>
        <v/>
      </c>
      <c r="AZ29">
        <f>IF(AND($A29&lt;&gt;"",AZ$3&gt;=$J29,AZ$3&lt;=$M29),1,"")</f>
        <v/>
      </c>
      <c r="BA29">
        <f>IF(AND($A29&lt;&gt;"",BA$3&gt;=$J29,BA$3&lt;=$M29),1,"")</f>
        <v/>
      </c>
      <c r="BB29">
        <f>IF(AND($A29&lt;&gt;"",BB$3&gt;=$J29,BB$3&lt;=$M29),1,"")</f>
        <v/>
      </c>
      <c r="BC29">
        <f>IF(AND($A29&lt;&gt;"",BC$3&gt;=$J29,BC$3&lt;=$M29),1,"")</f>
        <v/>
      </c>
      <c r="BD29">
        <f>IF(AND($A29&lt;&gt;"",BD$3&gt;=$J29,BD$3&lt;=$M29),1,"")</f>
        <v/>
      </c>
      <c r="BE29">
        <f>IF(AND($A29&lt;&gt;"",BE$3&gt;=$J29,BE$3&lt;=$M29),1,"")</f>
        <v/>
      </c>
      <c r="BF29">
        <f>IF(AND($A29&lt;&gt;"",BF$3&gt;=$J29,BF$3&lt;=$M29),1,"")</f>
        <v/>
      </c>
      <c r="BG29">
        <f>IF(AND($A29&lt;&gt;"",BG$3&gt;=$J29,BG$3&lt;=$M29),1,"")</f>
        <v/>
      </c>
      <c r="BH29">
        <f>IF(AND($A29&lt;&gt;"",BH$3&gt;=$J29,BH$3&lt;=$M29),1,"")</f>
        <v/>
      </c>
      <c r="BI29">
        <f>IF(AND($A29&lt;&gt;"",BI$3&gt;=$J29,BI$3&lt;=$M29),1,"")</f>
        <v/>
      </c>
      <c r="BJ29">
        <f>IF(AND($A29&lt;&gt;"",BJ$3&gt;=$J29,BJ$3&lt;=$M29),1,"")</f>
        <v/>
      </c>
      <c r="BK29">
        <f>IF(AND($A29&lt;&gt;"",BK$3&gt;=$J29,BK$3&lt;=$M29),1,"")</f>
        <v/>
      </c>
      <c r="BL29">
        <f>IF(AND($A29&lt;&gt;"",BL$3&gt;=$J29,BL$3&lt;=$M29),1,"")</f>
        <v/>
      </c>
      <c r="BM29">
        <f>IF(AND($A29&lt;&gt;"",BM$3&gt;=$J29,BM$3&lt;=$M29),1,"")</f>
        <v/>
      </c>
      <c r="BN29">
        <f>IF(AND($A29&lt;&gt;"",BN$3&gt;=$J29,BN$3&lt;=$M29),1,"")</f>
        <v/>
      </c>
      <c r="BO29">
        <f>IF(AND($A29&lt;&gt;"",BO$3&gt;=$J29,BO$3&lt;=$M29),1,"")</f>
        <v/>
      </c>
      <c r="BP29">
        <f>IF(AND($A29&lt;&gt;"",BP$3&gt;=$J29,BP$3&lt;=$M29),1,"")</f>
        <v/>
      </c>
      <c r="BQ29">
        <f>IF(AND($A29&lt;&gt;"",BQ$3&gt;=$J29,BQ$3&lt;=$M29),1,"")</f>
        <v/>
      </c>
      <c r="BR29">
        <f>IF(AND($A29&lt;&gt;"",BR$3&gt;=$J29,BR$3&lt;=$M29),1,"")</f>
        <v/>
      </c>
      <c r="BS29">
        <f>IF(AND($A29&lt;&gt;"",BS$3&gt;=$J29,BS$3&lt;=$M29),1,"")</f>
        <v/>
      </c>
      <c r="BT29">
        <f>IF(AND($A29&lt;&gt;"",BT$3&gt;=$J29,BT$3&lt;=$M29),1,"")</f>
        <v/>
      </c>
      <c r="BU29">
        <f>IF(AND($A29&lt;&gt;"",BU$3&gt;=$J29,BU$3&lt;=$M29),1,"")</f>
        <v/>
      </c>
      <c r="BV29">
        <f>IF(AND($A29&lt;&gt;"",BV$3&gt;=$J29,BV$3&lt;=$M29),1,"")</f>
        <v/>
      </c>
    </row>
    <row r="30">
      <c r="A30">
        <f>IF(Job_Master_Ring!$A30="","",Job_Master_Ring!$A30)</f>
        <v/>
      </c>
      <c r="B30">
        <f>IF($A30="","",Job_Master_Ring!B30)</f>
        <v/>
      </c>
      <c r="C30">
        <f>IF($A30="","",Job_Master_Ring!C30)</f>
        <v/>
      </c>
      <c r="D30">
        <f>IF($A30="","",Job_Master_Ring!D30)</f>
        <v/>
      </c>
      <c r="E30">
        <f>IF($A30="","",IF($I30&lt;&gt;"",$I30,IFERROR(INDEX(Machine_List!$B$64:$B$71,MATCH(1,(Machine_List!$H$64:$H$71&lt;=IFERROR(VLOOKUP($B30,CHOOSE(MATCH($C30,Settings!$L$4:$L$10,0),OPR_BR1!$A$4:$K$18,OPR_BR2!$A$4:$K$18,OPR_CR2!$A$4:$K$18,OPR_CR3!$A$4:$K$18,OPR_CR4!$A$4:$K$18,OPR_RIM!$A$4:$K$18,OPR_BPR!$A$4:$K$18),10,0),0))*(Machine_List!$I$64:$I$71&gt;=IFERROR(VLOOKUP($B30,CHOOSE(MATCH($C30,Settings!$L$4:$L$10,0),OPR_BR1!$A$4:$K$18,OPR_BR2!$A$4:$K$18,OPR_CR2!$A$4:$K$18,OPR_CR3!$A$4:$K$18,OPR_CR4!$A$4:$K$18,OPR_RIM!$A$4:$K$18,OPR_BPR!$A$4:$K$18),11,0),9999)),0)),"NO COMPATIBLE MACHINE")))</f>
        <v/>
      </c>
      <c r="F30">
        <f>IF($E30="","",IFERROR(VLOOKUP($E30,Machine_List!$B:$G,6,0),""))</f>
        <v/>
      </c>
      <c r="G30" s="17">
        <f>IF($E30="","",IFERROR(VLOOKUP($E30,Machine_List!$B:$C,2,0),""))</f>
        <v/>
      </c>
      <c r="H30">
        <f>IF($E30="","",IFERROR(VLOOKUP($E30,Machine_List!$B:$D,3,0),""))</f>
        <v/>
      </c>
      <c r="J30" s="16">
        <f>IF($A30="","",IF($I30&lt;&gt;"",$I30,MAX(ENG_Plan!$M30,IFERROR(LOOKUP(2,1/($E$3:INDIRECT("E"&amp;(ROW()-1))=$E30),$M$3:INDIRECT("M"&amp;(ROW()-1))),ENG_Plan!$M30))))</f>
        <v/>
      </c>
      <c r="K30">
        <f>IF($A30="","",IFERROR(VLOOKUP(B30,CHOOSE(MATCH($C30,Settings!$L$4:$L$10,0),OPR_BR1!$A$4:$I$18,OPR_BR2!$A$4:$I$18,OPR_CR2!$A$4:$I$18,OPR_CR3!$A$4:$I$18,OPR_CR4!$A$4:$I$18,OPR_RIM!$A$4:$I$18,OPR_BPR!$A$4:$I$18),7,0),0))</f>
        <v/>
      </c>
      <c r="L30">
        <f>IF($A30="","",K30*D30)</f>
        <v/>
      </c>
      <c r="M30" s="16">
        <f>IF($A30="","",IF(AND(ISNUMBER(G30),G30&gt;=J30,G30&lt;=(J30+(L30/(IF(F30="Contract Workman",Settings!$K$5,Settings!$K$4))))),J30+(L30/(IF(F30="Contract Workman",Settings!$K$5,Settings!$K$4)))+(H30/(IF(F30="Contract Workman",Settings!$K$5,Settings!$K$4))),J30+(L30/(IF(F30="Contract Workman",Settings!$K$5,Settings!$K$4)))))</f>
        <v/>
      </c>
      <c r="N30">
        <f>IF($A30="","",IF(F30="Contract Workman",IF(AND(MOD(M30,1)&gt;=8/24,MOD(M30,1)&lt;20/24),"Shift S1","Shift S2"),IF(AND(MOD(M30,1)&gt;=7/24,MOD(M30,1)&lt;15/24),"Shift A",IF(AND(MOD(M30,1)&gt;=15/24,MOD(M30,1)&lt;23/24),"Shift B","Shift C"))))</f>
        <v/>
      </c>
      <c r="O30">
        <f>IF(B30="","",IF(IFERROR(ISNUMBER(SEARCH(TEXT(B30,"0"),VLOOKUP(E30,Machine_List!$B:$J,9,0))),FALSE),"✅ "&amp; E30,"❌ Sug: "&amp;IFERROR(INDEX(Machine_List!$B$64:$B$71,MATCH(1,(Machine_List!$H$64:$H$71&lt;=IFERROR(VLOOKUP($B30,OPR_BR1!$A$4:$K$18,10,0),0))*(Machine_List!$I$64:$I$71&gt;=IFERROR(VLOOKUP($B30,OPR_BR1!$A$4:$K$18,11,0),9999)),0)),"?")))</f>
        <v/>
      </c>
      <c r="P30">
        <f>IF(AND($A30&lt;&gt;"",P$3&gt;=$J30,P$3&lt;=$M30),1,"")</f>
        <v/>
      </c>
      <c r="Q30">
        <f>IF(AND($A30&lt;&gt;"",Q$3&gt;=$J30,Q$3&lt;=$M30),1,"")</f>
        <v/>
      </c>
      <c r="R30">
        <f>IF(AND($A30&lt;&gt;"",R$3&gt;=$J30,R$3&lt;=$M30),1,"")</f>
        <v/>
      </c>
      <c r="S30">
        <f>IF(AND($A30&lt;&gt;"",S$3&gt;=$J30,S$3&lt;=$M30),1,"")</f>
        <v/>
      </c>
      <c r="T30">
        <f>IF(AND($A30&lt;&gt;"",T$3&gt;=$J30,T$3&lt;=$M30),1,"")</f>
        <v/>
      </c>
      <c r="U30">
        <f>IF(AND($A30&lt;&gt;"",U$3&gt;=$J30,U$3&lt;=$M30),1,"")</f>
        <v/>
      </c>
      <c r="V30">
        <f>IF(AND($A30&lt;&gt;"",V$3&gt;=$J30,V$3&lt;=$M30),1,"")</f>
        <v/>
      </c>
      <c r="W30">
        <f>IF(AND($A30&lt;&gt;"",W$3&gt;=$J30,W$3&lt;=$M30),1,"")</f>
        <v/>
      </c>
      <c r="X30">
        <f>IF(AND($A30&lt;&gt;"",X$3&gt;=$J30,X$3&lt;=$M30),1,"")</f>
        <v/>
      </c>
      <c r="Y30">
        <f>IF(AND($A30&lt;&gt;"",Y$3&gt;=$J30,Y$3&lt;=$M30),1,"")</f>
        <v/>
      </c>
      <c r="Z30">
        <f>IF(AND($A30&lt;&gt;"",Z$3&gt;=$J30,Z$3&lt;=$M30),1,"")</f>
        <v/>
      </c>
      <c r="AA30">
        <f>IF(AND($A30&lt;&gt;"",AA$3&gt;=$J30,AA$3&lt;=$M30),1,"")</f>
        <v/>
      </c>
      <c r="AB30">
        <f>IF(AND($A30&lt;&gt;"",AB$3&gt;=$J30,AB$3&lt;=$M30),1,"")</f>
        <v/>
      </c>
      <c r="AC30">
        <f>IF(AND($A30&lt;&gt;"",AC$3&gt;=$J30,AC$3&lt;=$M30),1,"")</f>
        <v/>
      </c>
      <c r="AD30">
        <f>IF(AND($A30&lt;&gt;"",AD$3&gt;=$J30,AD$3&lt;=$M30),1,"")</f>
        <v/>
      </c>
      <c r="AE30">
        <f>IF(AND($A30&lt;&gt;"",AE$3&gt;=$J30,AE$3&lt;=$M30),1,"")</f>
        <v/>
      </c>
      <c r="AF30">
        <f>IF(AND($A30&lt;&gt;"",AF$3&gt;=$J30,AF$3&lt;=$M30),1,"")</f>
        <v/>
      </c>
      <c r="AG30">
        <f>IF(AND($A30&lt;&gt;"",AG$3&gt;=$J30,AG$3&lt;=$M30),1,"")</f>
        <v/>
      </c>
      <c r="AH30">
        <f>IF(AND($A30&lt;&gt;"",AH$3&gt;=$J30,AH$3&lt;=$M30),1,"")</f>
        <v/>
      </c>
      <c r="AI30">
        <f>IF(AND($A30&lt;&gt;"",AI$3&gt;=$J30,AI$3&lt;=$M30),1,"")</f>
        <v/>
      </c>
      <c r="AJ30">
        <f>IF(AND($A30&lt;&gt;"",AJ$3&gt;=$J30,AJ$3&lt;=$M30),1,"")</f>
        <v/>
      </c>
      <c r="AK30">
        <f>IF(AND($A30&lt;&gt;"",AK$3&gt;=$J30,AK$3&lt;=$M30),1,"")</f>
        <v/>
      </c>
      <c r="AL30">
        <f>IF(AND($A30&lt;&gt;"",AL$3&gt;=$J30,AL$3&lt;=$M30),1,"")</f>
        <v/>
      </c>
      <c r="AM30">
        <f>IF(AND($A30&lt;&gt;"",AM$3&gt;=$J30,AM$3&lt;=$M30),1,"")</f>
        <v/>
      </c>
      <c r="AN30">
        <f>IF(AND($A30&lt;&gt;"",AN$3&gt;=$J30,AN$3&lt;=$M30),1,"")</f>
        <v/>
      </c>
      <c r="AO30">
        <f>IF(AND($A30&lt;&gt;"",AO$3&gt;=$J30,AO$3&lt;=$M30),1,"")</f>
        <v/>
      </c>
      <c r="AP30">
        <f>IF(AND($A30&lt;&gt;"",AP$3&gt;=$J30,AP$3&lt;=$M30),1,"")</f>
        <v/>
      </c>
      <c r="AQ30">
        <f>IF(AND($A30&lt;&gt;"",AQ$3&gt;=$J30,AQ$3&lt;=$M30),1,"")</f>
        <v/>
      </c>
      <c r="AR30">
        <f>IF(AND($A30&lt;&gt;"",AR$3&gt;=$J30,AR$3&lt;=$M30),1,"")</f>
        <v/>
      </c>
      <c r="AS30">
        <f>IF(AND($A30&lt;&gt;"",AS$3&gt;=$J30,AS$3&lt;=$M30),1,"")</f>
        <v/>
      </c>
      <c r="AT30">
        <f>IF(AND($A30&lt;&gt;"",AT$3&gt;=$J30,AT$3&lt;=$M30),1,"")</f>
        <v/>
      </c>
      <c r="AU30">
        <f>IF(AND($A30&lt;&gt;"",AU$3&gt;=$J30,AU$3&lt;=$M30),1,"")</f>
        <v/>
      </c>
      <c r="AV30">
        <f>IF(AND($A30&lt;&gt;"",AV$3&gt;=$J30,AV$3&lt;=$M30),1,"")</f>
        <v/>
      </c>
      <c r="AW30">
        <f>IF(AND($A30&lt;&gt;"",AW$3&gt;=$J30,AW$3&lt;=$M30),1,"")</f>
        <v/>
      </c>
      <c r="AX30">
        <f>IF(AND($A30&lt;&gt;"",AX$3&gt;=$J30,AX$3&lt;=$M30),1,"")</f>
        <v/>
      </c>
      <c r="AY30">
        <f>IF(AND($A30&lt;&gt;"",AY$3&gt;=$J30,AY$3&lt;=$M30),1,"")</f>
        <v/>
      </c>
      <c r="AZ30">
        <f>IF(AND($A30&lt;&gt;"",AZ$3&gt;=$J30,AZ$3&lt;=$M30),1,"")</f>
        <v/>
      </c>
      <c r="BA30">
        <f>IF(AND($A30&lt;&gt;"",BA$3&gt;=$J30,BA$3&lt;=$M30),1,"")</f>
        <v/>
      </c>
      <c r="BB30">
        <f>IF(AND($A30&lt;&gt;"",BB$3&gt;=$J30,BB$3&lt;=$M30),1,"")</f>
        <v/>
      </c>
      <c r="BC30">
        <f>IF(AND($A30&lt;&gt;"",BC$3&gt;=$J30,BC$3&lt;=$M30),1,"")</f>
        <v/>
      </c>
      <c r="BD30">
        <f>IF(AND($A30&lt;&gt;"",BD$3&gt;=$J30,BD$3&lt;=$M30),1,"")</f>
        <v/>
      </c>
      <c r="BE30">
        <f>IF(AND($A30&lt;&gt;"",BE$3&gt;=$J30,BE$3&lt;=$M30),1,"")</f>
        <v/>
      </c>
      <c r="BF30">
        <f>IF(AND($A30&lt;&gt;"",BF$3&gt;=$J30,BF$3&lt;=$M30),1,"")</f>
        <v/>
      </c>
      <c r="BG30">
        <f>IF(AND($A30&lt;&gt;"",BG$3&gt;=$J30,BG$3&lt;=$M30),1,"")</f>
        <v/>
      </c>
      <c r="BH30">
        <f>IF(AND($A30&lt;&gt;"",BH$3&gt;=$J30,BH$3&lt;=$M30),1,"")</f>
        <v/>
      </c>
      <c r="BI30">
        <f>IF(AND($A30&lt;&gt;"",BI$3&gt;=$J30,BI$3&lt;=$M30),1,"")</f>
        <v/>
      </c>
      <c r="BJ30">
        <f>IF(AND($A30&lt;&gt;"",BJ$3&gt;=$J30,BJ$3&lt;=$M30),1,"")</f>
        <v/>
      </c>
      <c r="BK30">
        <f>IF(AND($A30&lt;&gt;"",BK$3&gt;=$J30,BK$3&lt;=$M30),1,"")</f>
        <v/>
      </c>
      <c r="BL30">
        <f>IF(AND($A30&lt;&gt;"",BL$3&gt;=$J30,BL$3&lt;=$M30),1,"")</f>
        <v/>
      </c>
      <c r="BM30">
        <f>IF(AND($A30&lt;&gt;"",BM$3&gt;=$J30,BM$3&lt;=$M30),1,"")</f>
        <v/>
      </c>
      <c r="BN30">
        <f>IF(AND($A30&lt;&gt;"",BN$3&gt;=$J30,BN$3&lt;=$M30),1,"")</f>
        <v/>
      </c>
      <c r="BO30">
        <f>IF(AND($A30&lt;&gt;"",BO$3&gt;=$J30,BO$3&lt;=$M30),1,"")</f>
        <v/>
      </c>
      <c r="BP30">
        <f>IF(AND($A30&lt;&gt;"",BP$3&gt;=$J30,BP$3&lt;=$M30),1,"")</f>
        <v/>
      </c>
      <c r="BQ30">
        <f>IF(AND($A30&lt;&gt;"",BQ$3&gt;=$J30,BQ$3&lt;=$M30),1,"")</f>
        <v/>
      </c>
      <c r="BR30">
        <f>IF(AND($A30&lt;&gt;"",BR$3&gt;=$J30,BR$3&lt;=$M30),1,"")</f>
        <v/>
      </c>
      <c r="BS30">
        <f>IF(AND($A30&lt;&gt;"",BS$3&gt;=$J30,BS$3&lt;=$M30),1,"")</f>
        <v/>
      </c>
      <c r="BT30">
        <f>IF(AND($A30&lt;&gt;"",BT$3&gt;=$J30,BT$3&lt;=$M30),1,"")</f>
        <v/>
      </c>
      <c r="BU30">
        <f>IF(AND($A30&lt;&gt;"",BU$3&gt;=$J30,BU$3&lt;=$M30),1,"")</f>
        <v/>
      </c>
      <c r="BV30">
        <f>IF(AND($A30&lt;&gt;"",BV$3&gt;=$J30,BV$3&lt;=$M30),1,"")</f>
        <v/>
      </c>
    </row>
    <row r="31">
      <c r="A31">
        <f>IF(Job_Master_Ring!$A31="","",Job_Master_Ring!$A31)</f>
        <v/>
      </c>
      <c r="B31">
        <f>IF($A31="","",Job_Master_Ring!B31)</f>
        <v/>
      </c>
      <c r="C31">
        <f>IF($A31="","",Job_Master_Ring!C31)</f>
        <v/>
      </c>
      <c r="D31">
        <f>IF($A31="","",Job_Master_Ring!D31)</f>
        <v/>
      </c>
      <c r="E31">
        <f>IF($A31="","",IF($I31&lt;&gt;"",$I31,IFERROR(INDEX(Machine_List!$B$64:$B$71,MATCH(1,(Machine_List!$H$64:$H$71&lt;=IFERROR(VLOOKUP($B31,CHOOSE(MATCH($C31,Settings!$L$4:$L$10,0),OPR_BR1!$A$4:$K$18,OPR_BR2!$A$4:$K$18,OPR_CR2!$A$4:$K$18,OPR_CR3!$A$4:$K$18,OPR_CR4!$A$4:$K$18,OPR_RIM!$A$4:$K$18,OPR_BPR!$A$4:$K$18),10,0),0))*(Machine_List!$I$64:$I$71&gt;=IFERROR(VLOOKUP($B31,CHOOSE(MATCH($C31,Settings!$L$4:$L$10,0),OPR_BR1!$A$4:$K$18,OPR_BR2!$A$4:$K$18,OPR_CR2!$A$4:$K$18,OPR_CR3!$A$4:$K$18,OPR_CR4!$A$4:$K$18,OPR_RIM!$A$4:$K$18,OPR_BPR!$A$4:$K$18),11,0),9999)),0)),"NO COMPATIBLE MACHINE")))</f>
        <v/>
      </c>
      <c r="F31">
        <f>IF($E31="","",IFERROR(VLOOKUP($E31,Machine_List!$B:$G,6,0),""))</f>
        <v/>
      </c>
      <c r="G31" s="17">
        <f>IF($E31="","",IFERROR(VLOOKUP($E31,Machine_List!$B:$C,2,0),""))</f>
        <v/>
      </c>
      <c r="H31">
        <f>IF($E31="","",IFERROR(VLOOKUP($E31,Machine_List!$B:$D,3,0),""))</f>
        <v/>
      </c>
      <c r="J31" s="16">
        <f>IF($A31="","",IF($I31&lt;&gt;"",$I31,MAX(ENG_Plan!$M31,IFERROR(LOOKUP(2,1/($E$3:INDIRECT("E"&amp;(ROW()-1))=$E31),$M$3:INDIRECT("M"&amp;(ROW()-1))),ENG_Plan!$M31))))</f>
        <v/>
      </c>
      <c r="K31">
        <f>IF($A31="","",IFERROR(VLOOKUP(B31,CHOOSE(MATCH($C31,Settings!$L$4:$L$10,0),OPR_BR1!$A$4:$I$18,OPR_BR2!$A$4:$I$18,OPR_CR2!$A$4:$I$18,OPR_CR3!$A$4:$I$18,OPR_CR4!$A$4:$I$18,OPR_RIM!$A$4:$I$18,OPR_BPR!$A$4:$I$18),7,0),0))</f>
        <v/>
      </c>
      <c r="L31">
        <f>IF($A31="","",K31*D31)</f>
        <v/>
      </c>
      <c r="M31" s="16">
        <f>IF($A31="","",IF(AND(ISNUMBER(G31),G31&gt;=J31,G31&lt;=(J31+(L31/(IF(F31="Contract Workman",Settings!$K$5,Settings!$K$4))))),J31+(L31/(IF(F31="Contract Workman",Settings!$K$5,Settings!$K$4)))+(H31/(IF(F31="Contract Workman",Settings!$K$5,Settings!$K$4))),J31+(L31/(IF(F31="Contract Workman",Settings!$K$5,Settings!$K$4)))))</f>
        <v/>
      </c>
      <c r="N31">
        <f>IF($A31="","",IF(F31="Contract Workman",IF(AND(MOD(M31,1)&gt;=8/24,MOD(M31,1)&lt;20/24),"Shift S1","Shift S2"),IF(AND(MOD(M31,1)&gt;=7/24,MOD(M31,1)&lt;15/24),"Shift A",IF(AND(MOD(M31,1)&gt;=15/24,MOD(M31,1)&lt;23/24),"Shift B","Shift C"))))</f>
        <v/>
      </c>
      <c r="O31">
        <f>IF(B31="","",IF(IFERROR(ISNUMBER(SEARCH(TEXT(B31,"0"),VLOOKUP(E31,Machine_List!$B:$J,9,0))),FALSE),"✅ "&amp; E31,"❌ Sug: "&amp;IFERROR(INDEX(Machine_List!$B$64:$B$71,MATCH(1,(Machine_List!$H$64:$H$71&lt;=IFERROR(VLOOKUP($B31,OPR_BR1!$A$4:$K$18,10,0),0))*(Machine_List!$I$64:$I$71&gt;=IFERROR(VLOOKUP($B31,OPR_BR1!$A$4:$K$18,11,0),9999)),0)),"?")))</f>
        <v/>
      </c>
      <c r="P31">
        <f>IF(AND($A31&lt;&gt;"",P$3&gt;=$J31,P$3&lt;=$M31),1,"")</f>
        <v/>
      </c>
      <c r="Q31">
        <f>IF(AND($A31&lt;&gt;"",Q$3&gt;=$J31,Q$3&lt;=$M31),1,"")</f>
        <v/>
      </c>
      <c r="R31">
        <f>IF(AND($A31&lt;&gt;"",R$3&gt;=$J31,R$3&lt;=$M31),1,"")</f>
        <v/>
      </c>
      <c r="S31">
        <f>IF(AND($A31&lt;&gt;"",S$3&gt;=$J31,S$3&lt;=$M31),1,"")</f>
        <v/>
      </c>
      <c r="T31">
        <f>IF(AND($A31&lt;&gt;"",T$3&gt;=$J31,T$3&lt;=$M31),1,"")</f>
        <v/>
      </c>
      <c r="U31">
        <f>IF(AND($A31&lt;&gt;"",U$3&gt;=$J31,U$3&lt;=$M31),1,"")</f>
        <v/>
      </c>
      <c r="V31">
        <f>IF(AND($A31&lt;&gt;"",V$3&gt;=$J31,V$3&lt;=$M31),1,"")</f>
        <v/>
      </c>
      <c r="W31">
        <f>IF(AND($A31&lt;&gt;"",W$3&gt;=$J31,W$3&lt;=$M31),1,"")</f>
        <v/>
      </c>
      <c r="X31">
        <f>IF(AND($A31&lt;&gt;"",X$3&gt;=$J31,X$3&lt;=$M31),1,"")</f>
        <v/>
      </c>
      <c r="Y31">
        <f>IF(AND($A31&lt;&gt;"",Y$3&gt;=$J31,Y$3&lt;=$M31),1,"")</f>
        <v/>
      </c>
      <c r="Z31">
        <f>IF(AND($A31&lt;&gt;"",Z$3&gt;=$J31,Z$3&lt;=$M31),1,"")</f>
        <v/>
      </c>
      <c r="AA31">
        <f>IF(AND($A31&lt;&gt;"",AA$3&gt;=$J31,AA$3&lt;=$M31),1,"")</f>
        <v/>
      </c>
      <c r="AB31">
        <f>IF(AND($A31&lt;&gt;"",AB$3&gt;=$J31,AB$3&lt;=$M31),1,"")</f>
        <v/>
      </c>
      <c r="AC31">
        <f>IF(AND($A31&lt;&gt;"",AC$3&gt;=$J31,AC$3&lt;=$M31),1,"")</f>
        <v/>
      </c>
      <c r="AD31">
        <f>IF(AND($A31&lt;&gt;"",AD$3&gt;=$J31,AD$3&lt;=$M31),1,"")</f>
        <v/>
      </c>
      <c r="AE31">
        <f>IF(AND($A31&lt;&gt;"",AE$3&gt;=$J31,AE$3&lt;=$M31),1,"")</f>
        <v/>
      </c>
      <c r="AF31">
        <f>IF(AND($A31&lt;&gt;"",AF$3&gt;=$J31,AF$3&lt;=$M31),1,"")</f>
        <v/>
      </c>
      <c r="AG31">
        <f>IF(AND($A31&lt;&gt;"",AG$3&gt;=$J31,AG$3&lt;=$M31),1,"")</f>
        <v/>
      </c>
      <c r="AH31">
        <f>IF(AND($A31&lt;&gt;"",AH$3&gt;=$J31,AH$3&lt;=$M31),1,"")</f>
        <v/>
      </c>
      <c r="AI31">
        <f>IF(AND($A31&lt;&gt;"",AI$3&gt;=$J31,AI$3&lt;=$M31),1,"")</f>
        <v/>
      </c>
      <c r="AJ31">
        <f>IF(AND($A31&lt;&gt;"",AJ$3&gt;=$J31,AJ$3&lt;=$M31),1,"")</f>
        <v/>
      </c>
      <c r="AK31">
        <f>IF(AND($A31&lt;&gt;"",AK$3&gt;=$J31,AK$3&lt;=$M31),1,"")</f>
        <v/>
      </c>
      <c r="AL31">
        <f>IF(AND($A31&lt;&gt;"",AL$3&gt;=$J31,AL$3&lt;=$M31),1,"")</f>
        <v/>
      </c>
      <c r="AM31">
        <f>IF(AND($A31&lt;&gt;"",AM$3&gt;=$J31,AM$3&lt;=$M31),1,"")</f>
        <v/>
      </c>
      <c r="AN31">
        <f>IF(AND($A31&lt;&gt;"",AN$3&gt;=$J31,AN$3&lt;=$M31),1,"")</f>
        <v/>
      </c>
      <c r="AO31">
        <f>IF(AND($A31&lt;&gt;"",AO$3&gt;=$J31,AO$3&lt;=$M31),1,"")</f>
        <v/>
      </c>
      <c r="AP31">
        <f>IF(AND($A31&lt;&gt;"",AP$3&gt;=$J31,AP$3&lt;=$M31),1,"")</f>
        <v/>
      </c>
      <c r="AQ31">
        <f>IF(AND($A31&lt;&gt;"",AQ$3&gt;=$J31,AQ$3&lt;=$M31),1,"")</f>
        <v/>
      </c>
      <c r="AR31">
        <f>IF(AND($A31&lt;&gt;"",AR$3&gt;=$J31,AR$3&lt;=$M31),1,"")</f>
        <v/>
      </c>
      <c r="AS31">
        <f>IF(AND($A31&lt;&gt;"",AS$3&gt;=$J31,AS$3&lt;=$M31),1,"")</f>
        <v/>
      </c>
      <c r="AT31">
        <f>IF(AND($A31&lt;&gt;"",AT$3&gt;=$J31,AT$3&lt;=$M31),1,"")</f>
        <v/>
      </c>
      <c r="AU31">
        <f>IF(AND($A31&lt;&gt;"",AU$3&gt;=$J31,AU$3&lt;=$M31),1,"")</f>
        <v/>
      </c>
      <c r="AV31">
        <f>IF(AND($A31&lt;&gt;"",AV$3&gt;=$J31,AV$3&lt;=$M31),1,"")</f>
        <v/>
      </c>
      <c r="AW31">
        <f>IF(AND($A31&lt;&gt;"",AW$3&gt;=$J31,AW$3&lt;=$M31),1,"")</f>
        <v/>
      </c>
      <c r="AX31">
        <f>IF(AND($A31&lt;&gt;"",AX$3&gt;=$J31,AX$3&lt;=$M31),1,"")</f>
        <v/>
      </c>
      <c r="AY31">
        <f>IF(AND($A31&lt;&gt;"",AY$3&gt;=$J31,AY$3&lt;=$M31),1,"")</f>
        <v/>
      </c>
      <c r="AZ31">
        <f>IF(AND($A31&lt;&gt;"",AZ$3&gt;=$J31,AZ$3&lt;=$M31),1,"")</f>
        <v/>
      </c>
      <c r="BA31">
        <f>IF(AND($A31&lt;&gt;"",BA$3&gt;=$J31,BA$3&lt;=$M31),1,"")</f>
        <v/>
      </c>
      <c r="BB31">
        <f>IF(AND($A31&lt;&gt;"",BB$3&gt;=$J31,BB$3&lt;=$M31),1,"")</f>
        <v/>
      </c>
      <c r="BC31">
        <f>IF(AND($A31&lt;&gt;"",BC$3&gt;=$J31,BC$3&lt;=$M31),1,"")</f>
        <v/>
      </c>
      <c r="BD31">
        <f>IF(AND($A31&lt;&gt;"",BD$3&gt;=$J31,BD$3&lt;=$M31),1,"")</f>
        <v/>
      </c>
      <c r="BE31">
        <f>IF(AND($A31&lt;&gt;"",BE$3&gt;=$J31,BE$3&lt;=$M31),1,"")</f>
        <v/>
      </c>
      <c r="BF31">
        <f>IF(AND($A31&lt;&gt;"",BF$3&gt;=$J31,BF$3&lt;=$M31),1,"")</f>
        <v/>
      </c>
      <c r="BG31">
        <f>IF(AND($A31&lt;&gt;"",BG$3&gt;=$J31,BG$3&lt;=$M31),1,"")</f>
        <v/>
      </c>
      <c r="BH31">
        <f>IF(AND($A31&lt;&gt;"",BH$3&gt;=$J31,BH$3&lt;=$M31),1,"")</f>
        <v/>
      </c>
      <c r="BI31">
        <f>IF(AND($A31&lt;&gt;"",BI$3&gt;=$J31,BI$3&lt;=$M31),1,"")</f>
        <v/>
      </c>
      <c r="BJ31">
        <f>IF(AND($A31&lt;&gt;"",BJ$3&gt;=$J31,BJ$3&lt;=$M31),1,"")</f>
        <v/>
      </c>
      <c r="BK31">
        <f>IF(AND($A31&lt;&gt;"",BK$3&gt;=$J31,BK$3&lt;=$M31),1,"")</f>
        <v/>
      </c>
      <c r="BL31">
        <f>IF(AND($A31&lt;&gt;"",BL$3&gt;=$J31,BL$3&lt;=$M31),1,"")</f>
        <v/>
      </c>
      <c r="BM31">
        <f>IF(AND($A31&lt;&gt;"",BM$3&gt;=$J31,BM$3&lt;=$M31),1,"")</f>
        <v/>
      </c>
      <c r="BN31">
        <f>IF(AND($A31&lt;&gt;"",BN$3&gt;=$J31,BN$3&lt;=$M31),1,"")</f>
        <v/>
      </c>
      <c r="BO31">
        <f>IF(AND($A31&lt;&gt;"",BO$3&gt;=$J31,BO$3&lt;=$M31),1,"")</f>
        <v/>
      </c>
      <c r="BP31">
        <f>IF(AND($A31&lt;&gt;"",BP$3&gt;=$J31,BP$3&lt;=$M31),1,"")</f>
        <v/>
      </c>
      <c r="BQ31">
        <f>IF(AND($A31&lt;&gt;"",BQ$3&gt;=$J31,BQ$3&lt;=$M31),1,"")</f>
        <v/>
      </c>
      <c r="BR31">
        <f>IF(AND($A31&lt;&gt;"",BR$3&gt;=$J31,BR$3&lt;=$M31),1,"")</f>
        <v/>
      </c>
      <c r="BS31">
        <f>IF(AND($A31&lt;&gt;"",BS$3&gt;=$J31,BS$3&lt;=$M31),1,"")</f>
        <v/>
      </c>
      <c r="BT31">
        <f>IF(AND($A31&lt;&gt;"",BT$3&gt;=$J31,BT$3&lt;=$M31),1,"")</f>
        <v/>
      </c>
      <c r="BU31">
        <f>IF(AND($A31&lt;&gt;"",BU$3&gt;=$J31,BU$3&lt;=$M31),1,"")</f>
        <v/>
      </c>
      <c r="BV31">
        <f>IF(AND($A31&lt;&gt;"",BV$3&gt;=$J31,BV$3&lt;=$M31),1,"")</f>
        <v/>
      </c>
    </row>
    <row r="32">
      <c r="A32">
        <f>IF(Job_Master_Ring!$A32="","",Job_Master_Ring!$A32)</f>
        <v/>
      </c>
      <c r="B32">
        <f>IF($A32="","",Job_Master_Ring!B32)</f>
        <v/>
      </c>
      <c r="C32">
        <f>IF($A32="","",Job_Master_Ring!C32)</f>
        <v/>
      </c>
      <c r="D32">
        <f>IF($A32="","",Job_Master_Ring!D32)</f>
        <v/>
      </c>
      <c r="E32">
        <f>IF($A32="","",IF($I32&lt;&gt;"",$I32,IFERROR(INDEX(Machine_List!$B$64:$B$71,MATCH(1,(Machine_List!$H$64:$H$71&lt;=IFERROR(VLOOKUP($B32,CHOOSE(MATCH($C32,Settings!$L$4:$L$10,0),OPR_BR1!$A$4:$K$18,OPR_BR2!$A$4:$K$18,OPR_CR2!$A$4:$K$18,OPR_CR3!$A$4:$K$18,OPR_CR4!$A$4:$K$18,OPR_RIM!$A$4:$K$18,OPR_BPR!$A$4:$K$18),10,0),0))*(Machine_List!$I$64:$I$71&gt;=IFERROR(VLOOKUP($B32,CHOOSE(MATCH($C32,Settings!$L$4:$L$10,0),OPR_BR1!$A$4:$K$18,OPR_BR2!$A$4:$K$18,OPR_CR2!$A$4:$K$18,OPR_CR3!$A$4:$K$18,OPR_CR4!$A$4:$K$18,OPR_RIM!$A$4:$K$18,OPR_BPR!$A$4:$K$18),11,0),9999)),0)),"NO COMPATIBLE MACHINE")))</f>
        <v/>
      </c>
      <c r="F32">
        <f>IF($E32="","",IFERROR(VLOOKUP($E32,Machine_List!$B:$G,6,0),""))</f>
        <v/>
      </c>
      <c r="G32" s="17">
        <f>IF($E32="","",IFERROR(VLOOKUP($E32,Machine_List!$B:$C,2,0),""))</f>
        <v/>
      </c>
      <c r="H32">
        <f>IF($E32="","",IFERROR(VLOOKUP($E32,Machine_List!$B:$D,3,0),""))</f>
        <v/>
      </c>
      <c r="J32" s="16">
        <f>IF($A32="","",IF($I32&lt;&gt;"",$I32,MAX(ENG_Plan!$M32,IFERROR(LOOKUP(2,1/($E$3:INDIRECT("E"&amp;(ROW()-1))=$E32),$M$3:INDIRECT("M"&amp;(ROW()-1))),ENG_Plan!$M32))))</f>
        <v/>
      </c>
      <c r="K32">
        <f>IF($A32="","",IFERROR(VLOOKUP(B32,CHOOSE(MATCH($C32,Settings!$L$4:$L$10,0),OPR_BR1!$A$4:$I$18,OPR_BR2!$A$4:$I$18,OPR_CR2!$A$4:$I$18,OPR_CR3!$A$4:$I$18,OPR_CR4!$A$4:$I$18,OPR_RIM!$A$4:$I$18,OPR_BPR!$A$4:$I$18),7,0),0))</f>
        <v/>
      </c>
      <c r="L32">
        <f>IF($A32="","",K32*D32)</f>
        <v/>
      </c>
      <c r="M32" s="16">
        <f>IF($A32="","",IF(AND(ISNUMBER(G32),G32&gt;=J32,G32&lt;=(J32+(L32/(IF(F32="Contract Workman",Settings!$K$5,Settings!$K$4))))),J32+(L32/(IF(F32="Contract Workman",Settings!$K$5,Settings!$K$4)))+(H32/(IF(F32="Contract Workman",Settings!$K$5,Settings!$K$4))),J32+(L32/(IF(F32="Contract Workman",Settings!$K$5,Settings!$K$4)))))</f>
        <v/>
      </c>
      <c r="N32">
        <f>IF($A32="","",IF(F32="Contract Workman",IF(AND(MOD(M32,1)&gt;=8/24,MOD(M32,1)&lt;20/24),"Shift S1","Shift S2"),IF(AND(MOD(M32,1)&gt;=7/24,MOD(M32,1)&lt;15/24),"Shift A",IF(AND(MOD(M32,1)&gt;=15/24,MOD(M32,1)&lt;23/24),"Shift B","Shift C"))))</f>
        <v/>
      </c>
      <c r="O32">
        <f>IF(B32="","",IF(IFERROR(ISNUMBER(SEARCH(TEXT(B32,"0"),VLOOKUP(E32,Machine_List!$B:$J,9,0))),FALSE),"✅ "&amp; E32,"❌ Sug: "&amp;IFERROR(INDEX(Machine_List!$B$64:$B$71,MATCH(1,(Machine_List!$H$64:$H$71&lt;=IFERROR(VLOOKUP($B32,OPR_BR1!$A$4:$K$18,10,0),0))*(Machine_List!$I$64:$I$71&gt;=IFERROR(VLOOKUP($B32,OPR_BR1!$A$4:$K$18,11,0),9999)),0)),"?")))</f>
        <v/>
      </c>
      <c r="P32">
        <f>IF(AND($A32&lt;&gt;"",P$3&gt;=$J32,P$3&lt;=$M32),1,"")</f>
        <v/>
      </c>
      <c r="Q32">
        <f>IF(AND($A32&lt;&gt;"",Q$3&gt;=$J32,Q$3&lt;=$M32),1,"")</f>
        <v/>
      </c>
      <c r="R32">
        <f>IF(AND($A32&lt;&gt;"",R$3&gt;=$J32,R$3&lt;=$M32),1,"")</f>
        <v/>
      </c>
      <c r="S32">
        <f>IF(AND($A32&lt;&gt;"",S$3&gt;=$J32,S$3&lt;=$M32),1,"")</f>
        <v/>
      </c>
      <c r="T32">
        <f>IF(AND($A32&lt;&gt;"",T$3&gt;=$J32,T$3&lt;=$M32),1,"")</f>
        <v/>
      </c>
      <c r="U32">
        <f>IF(AND($A32&lt;&gt;"",U$3&gt;=$J32,U$3&lt;=$M32),1,"")</f>
        <v/>
      </c>
      <c r="V32">
        <f>IF(AND($A32&lt;&gt;"",V$3&gt;=$J32,V$3&lt;=$M32),1,"")</f>
        <v/>
      </c>
      <c r="W32">
        <f>IF(AND($A32&lt;&gt;"",W$3&gt;=$J32,W$3&lt;=$M32),1,"")</f>
        <v/>
      </c>
      <c r="X32">
        <f>IF(AND($A32&lt;&gt;"",X$3&gt;=$J32,X$3&lt;=$M32),1,"")</f>
        <v/>
      </c>
      <c r="Y32">
        <f>IF(AND($A32&lt;&gt;"",Y$3&gt;=$J32,Y$3&lt;=$M32),1,"")</f>
        <v/>
      </c>
      <c r="Z32">
        <f>IF(AND($A32&lt;&gt;"",Z$3&gt;=$J32,Z$3&lt;=$M32),1,"")</f>
        <v/>
      </c>
      <c r="AA32">
        <f>IF(AND($A32&lt;&gt;"",AA$3&gt;=$J32,AA$3&lt;=$M32),1,"")</f>
        <v/>
      </c>
      <c r="AB32">
        <f>IF(AND($A32&lt;&gt;"",AB$3&gt;=$J32,AB$3&lt;=$M32),1,"")</f>
        <v/>
      </c>
      <c r="AC32">
        <f>IF(AND($A32&lt;&gt;"",AC$3&gt;=$J32,AC$3&lt;=$M32),1,"")</f>
        <v/>
      </c>
      <c r="AD32">
        <f>IF(AND($A32&lt;&gt;"",AD$3&gt;=$J32,AD$3&lt;=$M32),1,"")</f>
        <v/>
      </c>
      <c r="AE32">
        <f>IF(AND($A32&lt;&gt;"",AE$3&gt;=$J32,AE$3&lt;=$M32),1,"")</f>
        <v/>
      </c>
      <c r="AF32">
        <f>IF(AND($A32&lt;&gt;"",AF$3&gt;=$J32,AF$3&lt;=$M32),1,"")</f>
        <v/>
      </c>
      <c r="AG32">
        <f>IF(AND($A32&lt;&gt;"",AG$3&gt;=$J32,AG$3&lt;=$M32),1,"")</f>
        <v/>
      </c>
      <c r="AH32">
        <f>IF(AND($A32&lt;&gt;"",AH$3&gt;=$J32,AH$3&lt;=$M32),1,"")</f>
        <v/>
      </c>
      <c r="AI32">
        <f>IF(AND($A32&lt;&gt;"",AI$3&gt;=$J32,AI$3&lt;=$M32),1,"")</f>
        <v/>
      </c>
      <c r="AJ32">
        <f>IF(AND($A32&lt;&gt;"",AJ$3&gt;=$J32,AJ$3&lt;=$M32),1,"")</f>
        <v/>
      </c>
      <c r="AK32">
        <f>IF(AND($A32&lt;&gt;"",AK$3&gt;=$J32,AK$3&lt;=$M32),1,"")</f>
        <v/>
      </c>
      <c r="AL32">
        <f>IF(AND($A32&lt;&gt;"",AL$3&gt;=$J32,AL$3&lt;=$M32),1,"")</f>
        <v/>
      </c>
      <c r="AM32">
        <f>IF(AND($A32&lt;&gt;"",AM$3&gt;=$J32,AM$3&lt;=$M32),1,"")</f>
        <v/>
      </c>
      <c r="AN32">
        <f>IF(AND($A32&lt;&gt;"",AN$3&gt;=$J32,AN$3&lt;=$M32),1,"")</f>
        <v/>
      </c>
      <c r="AO32">
        <f>IF(AND($A32&lt;&gt;"",AO$3&gt;=$J32,AO$3&lt;=$M32),1,"")</f>
        <v/>
      </c>
      <c r="AP32">
        <f>IF(AND($A32&lt;&gt;"",AP$3&gt;=$J32,AP$3&lt;=$M32),1,"")</f>
        <v/>
      </c>
      <c r="AQ32">
        <f>IF(AND($A32&lt;&gt;"",AQ$3&gt;=$J32,AQ$3&lt;=$M32),1,"")</f>
        <v/>
      </c>
      <c r="AR32">
        <f>IF(AND($A32&lt;&gt;"",AR$3&gt;=$J32,AR$3&lt;=$M32),1,"")</f>
        <v/>
      </c>
      <c r="AS32">
        <f>IF(AND($A32&lt;&gt;"",AS$3&gt;=$J32,AS$3&lt;=$M32),1,"")</f>
        <v/>
      </c>
      <c r="AT32">
        <f>IF(AND($A32&lt;&gt;"",AT$3&gt;=$J32,AT$3&lt;=$M32),1,"")</f>
        <v/>
      </c>
      <c r="AU32">
        <f>IF(AND($A32&lt;&gt;"",AU$3&gt;=$J32,AU$3&lt;=$M32),1,"")</f>
        <v/>
      </c>
      <c r="AV32">
        <f>IF(AND($A32&lt;&gt;"",AV$3&gt;=$J32,AV$3&lt;=$M32),1,"")</f>
        <v/>
      </c>
      <c r="AW32">
        <f>IF(AND($A32&lt;&gt;"",AW$3&gt;=$J32,AW$3&lt;=$M32),1,"")</f>
        <v/>
      </c>
      <c r="AX32">
        <f>IF(AND($A32&lt;&gt;"",AX$3&gt;=$J32,AX$3&lt;=$M32),1,"")</f>
        <v/>
      </c>
      <c r="AY32">
        <f>IF(AND($A32&lt;&gt;"",AY$3&gt;=$J32,AY$3&lt;=$M32),1,"")</f>
        <v/>
      </c>
      <c r="AZ32">
        <f>IF(AND($A32&lt;&gt;"",AZ$3&gt;=$J32,AZ$3&lt;=$M32),1,"")</f>
        <v/>
      </c>
      <c r="BA32">
        <f>IF(AND($A32&lt;&gt;"",BA$3&gt;=$J32,BA$3&lt;=$M32),1,"")</f>
        <v/>
      </c>
      <c r="BB32">
        <f>IF(AND($A32&lt;&gt;"",BB$3&gt;=$J32,BB$3&lt;=$M32),1,"")</f>
        <v/>
      </c>
      <c r="BC32">
        <f>IF(AND($A32&lt;&gt;"",BC$3&gt;=$J32,BC$3&lt;=$M32),1,"")</f>
        <v/>
      </c>
      <c r="BD32">
        <f>IF(AND($A32&lt;&gt;"",BD$3&gt;=$J32,BD$3&lt;=$M32),1,"")</f>
        <v/>
      </c>
      <c r="BE32">
        <f>IF(AND($A32&lt;&gt;"",BE$3&gt;=$J32,BE$3&lt;=$M32),1,"")</f>
        <v/>
      </c>
      <c r="BF32">
        <f>IF(AND($A32&lt;&gt;"",BF$3&gt;=$J32,BF$3&lt;=$M32),1,"")</f>
        <v/>
      </c>
      <c r="BG32">
        <f>IF(AND($A32&lt;&gt;"",BG$3&gt;=$J32,BG$3&lt;=$M32),1,"")</f>
        <v/>
      </c>
      <c r="BH32">
        <f>IF(AND($A32&lt;&gt;"",BH$3&gt;=$J32,BH$3&lt;=$M32),1,"")</f>
        <v/>
      </c>
      <c r="BI32">
        <f>IF(AND($A32&lt;&gt;"",BI$3&gt;=$J32,BI$3&lt;=$M32),1,"")</f>
        <v/>
      </c>
      <c r="BJ32">
        <f>IF(AND($A32&lt;&gt;"",BJ$3&gt;=$J32,BJ$3&lt;=$M32),1,"")</f>
        <v/>
      </c>
      <c r="BK32">
        <f>IF(AND($A32&lt;&gt;"",BK$3&gt;=$J32,BK$3&lt;=$M32),1,"")</f>
        <v/>
      </c>
      <c r="BL32">
        <f>IF(AND($A32&lt;&gt;"",BL$3&gt;=$J32,BL$3&lt;=$M32),1,"")</f>
        <v/>
      </c>
      <c r="BM32">
        <f>IF(AND($A32&lt;&gt;"",BM$3&gt;=$J32,BM$3&lt;=$M32),1,"")</f>
        <v/>
      </c>
      <c r="BN32">
        <f>IF(AND($A32&lt;&gt;"",BN$3&gt;=$J32,BN$3&lt;=$M32),1,"")</f>
        <v/>
      </c>
      <c r="BO32">
        <f>IF(AND($A32&lt;&gt;"",BO$3&gt;=$J32,BO$3&lt;=$M32),1,"")</f>
        <v/>
      </c>
      <c r="BP32">
        <f>IF(AND($A32&lt;&gt;"",BP$3&gt;=$J32,BP$3&lt;=$M32),1,"")</f>
        <v/>
      </c>
      <c r="BQ32">
        <f>IF(AND($A32&lt;&gt;"",BQ$3&gt;=$J32,BQ$3&lt;=$M32),1,"")</f>
        <v/>
      </c>
      <c r="BR32">
        <f>IF(AND($A32&lt;&gt;"",BR$3&gt;=$J32,BR$3&lt;=$M32),1,"")</f>
        <v/>
      </c>
      <c r="BS32">
        <f>IF(AND($A32&lt;&gt;"",BS$3&gt;=$J32,BS$3&lt;=$M32),1,"")</f>
        <v/>
      </c>
      <c r="BT32">
        <f>IF(AND($A32&lt;&gt;"",BT$3&gt;=$J32,BT$3&lt;=$M32),1,"")</f>
        <v/>
      </c>
      <c r="BU32">
        <f>IF(AND($A32&lt;&gt;"",BU$3&gt;=$J32,BU$3&lt;=$M32),1,"")</f>
        <v/>
      </c>
      <c r="BV32">
        <f>IF(AND($A32&lt;&gt;"",BV$3&gt;=$J32,BV$3&lt;=$M32),1,"")</f>
        <v/>
      </c>
    </row>
    <row r="33">
      <c r="A33">
        <f>IF(Job_Master_Ring!$A33="","",Job_Master_Ring!$A33)</f>
        <v/>
      </c>
      <c r="B33">
        <f>IF($A33="","",Job_Master_Ring!B33)</f>
        <v/>
      </c>
      <c r="C33">
        <f>IF($A33="","",Job_Master_Ring!C33)</f>
        <v/>
      </c>
      <c r="D33">
        <f>IF($A33="","",Job_Master_Ring!D33)</f>
        <v/>
      </c>
      <c r="E33">
        <f>IF($A33="","",IF($I33&lt;&gt;"",$I33,IFERROR(INDEX(Machine_List!$B$64:$B$71,MATCH(1,(Machine_List!$H$64:$H$71&lt;=IFERROR(VLOOKUP($B33,CHOOSE(MATCH($C33,Settings!$L$4:$L$10,0),OPR_BR1!$A$4:$K$18,OPR_BR2!$A$4:$K$18,OPR_CR2!$A$4:$K$18,OPR_CR3!$A$4:$K$18,OPR_CR4!$A$4:$K$18,OPR_RIM!$A$4:$K$18,OPR_BPR!$A$4:$K$18),10,0),0))*(Machine_List!$I$64:$I$71&gt;=IFERROR(VLOOKUP($B33,CHOOSE(MATCH($C33,Settings!$L$4:$L$10,0),OPR_BR1!$A$4:$K$18,OPR_BR2!$A$4:$K$18,OPR_CR2!$A$4:$K$18,OPR_CR3!$A$4:$K$18,OPR_CR4!$A$4:$K$18,OPR_RIM!$A$4:$K$18,OPR_BPR!$A$4:$K$18),11,0),9999)),0)),"NO COMPATIBLE MACHINE")))</f>
        <v/>
      </c>
      <c r="F33">
        <f>IF($E33="","",IFERROR(VLOOKUP($E33,Machine_List!$B:$G,6,0),""))</f>
        <v/>
      </c>
      <c r="G33" s="17">
        <f>IF($E33="","",IFERROR(VLOOKUP($E33,Machine_List!$B:$C,2,0),""))</f>
        <v/>
      </c>
      <c r="H33">
        <f>IF($E33="","",IFERROR(VLOOKUP($E33,Machine_List!$B:$D,3,0),""))</f>
        <v/>
      </c>
      <c r="J33" s="16">
        <f>IF($A33="","",IF($I33&lt;&gt;"",$I33,MAX(ENG_Plan!$M33,IFERROR(LOOKUP(2,1/($E$3:INDIRECT("E"&amp;(ROW()-1))=$E33),$M$3:INDIRECT("M"&amp;(ROW()-1))),ENG_Plan!$M33))))</f>
        <v/>
      </c>
      <c r="K33">
        <f>IF($A33="","",IFERROR(VLOOKUP(B33,CHOOSE(MATCH($C33,Settings!$L$4:$L$10,0),OPR_BR1!$A$4:$I$18,OPR_BR2!$A$4:$I$18,OPR_CR2!$A$4:$I$18,OPR_CR3!$A$4:$I$18,OPR_CR4!$A$4:$I$18,OPR_RIM!$A$4:$I$18,OPR_BPR!$A$4:$I$18),7,0),0))</f>
        <v/>
      </c>
      <c r="L33">
        <f>IF($A33="","",K33*D33)</f>
        <v/>
      </c>
      <c r="M33" s="16">
        <f>IF($A33="","",IF(AND(ISNUMBER(G33),G33&gt;=J33,G33&lt;=(J33+(L33/(IF(F33="Contract Workman",Settings!$K$5,Settings!$K$4))))),J33+(L33/(IF(F33="Contract Workman",Settings!$K$5,Settings!$K$4)))+(H33/(IF(F33="Contract Workman",Settings!$K$5,Settings!$K$4))),J33+(L33/(IF(F33="Contract Workman",Settings!$K$5,Settings!$K$4)))))</f>
        <v/>
      </c>
      <c r="N33">
        <f>IF($A33="","",IF(F33="Contract Workman",IF(AND(MOD(M33,1)&gt;=8/24,MOD(M33,1)&lt;20/24),"Shift S1","Shift S2"),IF(AND(MOD(M33,1)&gt;=7/24,MOD(M33,1)&lt;15/24),"Shift A",IF(AND(MOD(M33,1)&gt;=15/24,MOD(M33,1)&lt;23/24),"Shift B","Shift C"))))</f>
        <v/>
      </c>
      <c r="O33">
        <f>IF(B33="","",IF(IFERROR(ISNUMBER(SEARCH(TEXT(B33,"0"),VLOOKUP(E33,Machine_List!$B:$J,9,0))),FALSE),"✅ "&amp; E33,"❌ Sug: "&amp;IFERROR(INDEX(Machine_List!$B$64:$B$71,MATCH(1,(Machine_List!$H$64:$H$71&lt;=IFERROR(VLOOKUP($B33,OPR_BR1!$A$4:$K$18,10,0),0))*(Machine_List!$I$64:$I$71&gt;=IFERROR(VLOOKUP($B33,OPR_BR1!$A$4:$K$18,11,0),9999)),0)),"?")))</f>
        <v/>
      </c>
      <c r="P33">
        <f>IF(AND($A33&lt;&gt;"",P$3&gt;=$J33,P$3&lt;=$M33),1,"")</f>
        <v/>
      </c>
      <c r="Q33">
        <f>IF(AND($A33&lt;&gt;"",Q$3&gt;=$J33,Q$3&lt;=$M33),1,"")</f>
        <v/>
      </c>
      <c r="R33">
        <f>IF(AND($A33&lt;&gt;"",R$3&gt;=$J33,R$3&lt;=$M33),1,"")</f>
        <v/>
      </c>
      <c r="S33">
        <f>IF(AND($A33&lt;&gt;"",S$3&gt;=$J33,S$3&lt;=$M33),1,"")</f>
        <v/>
      </c>
      <c r="T33">
        <f>IF(AND($A33&lt;&gt;"",T$3&gt;=$J33,T$3&lt;=$M33),1,"")</f>
        <v/>
      </c>
      <c r="U33">
        <f>IF(AND($A33&lt;&gt;"",U$3&gt;=$J33,U$3&lt;=$M33),1,"")</f>
        <v/>
      </c>
      <c r="V33">
        <f>IF(AND($A33&lt;&gt;"",V$3&gt;=$J33,V$3&lt;=$M33),1,"")</f>
        <v/>
      </c>
      <c r="W33">
        <f>IF(AND($A33&lt;&gt;"",W$3&gt;=$J33,W$3&lt;=$M33),1,"")</f>
        <v/>
      </c>
      <c r="X33">
        <f>IF(AND($A33&lt;&gt;"",X$3&gt;=$J33,X$3&lt;=$M33),1,"")</f>
        <v/>
      </c>
      <c r="Y33">
        <f>IF(AND($A33&lt;&gt;"",Y$3&gt;=$J33,Y$3&lt;=$M33),1,"")</f>
        <v/>
      </c>
      <c r="Z33">
        <f>IF(AND($A33&lt;&gt;"",Z$3&gt;=$J33,Z$3&lt;=$M33),1,"")</f>
        <v/>
      </c>
      <c r="AA33">
        <f>IF(AND($A33&lt;&gt;"",AA$3&gt;=$J33,AA$3&lt;=$M33),1,"")</f>
        <v/>
      </c>
      <c r="AB33">
        <f>IF(AND($A33&lt;&gt;"",AB$3&gt;=$J33,AB$3&lt;=$M33),1,"")</f>
        <v/>
      </c>
      <c r="AC33">
        <f>IF(AND($A33&lt;&gt;"",AC$3&gt;=$J33,AC$3&lt;=$M33),1,"")</f>
        <v/>
      </c>
      <c r="AD33">
        <f>IF(AND($A33&lt;&gt;"",AD$3&gt;=$J33,AD$3&lt;=$M33),1,"")</f>
        <v/>
      </c>
      <c r="AE33">
        <f>IF(AND($A33&lt;&gt;"",AE$3&gt;=$J33,AE$3&lt;=$M33),1,"")</f>
        <v/>
      </c>
      <c r="AF33">
        <f>IF(AND($A33&lt;&gt;"",AF$3&gt;=$J33,AF$3&lt;=$M33),1,"")</f>
        <v/>
      </c>
      <c r="AG33">
        <f>IF(AND($A33&lt;&gt;"",AG$3&gt;=$J33,AG$3&lt;=$M33),1,"")</f>
        <v/>
      </c>
      <c r="AH33">
        <f>IF(AND($A33&lt;&gt;"",AH$3&gt;=$J33,AH$3&lt;=$M33),1,"")</f>
        <v/>
      </c>
      <c r="AI33">
        <f>IF(AND($A33&lt;&gt;"",AI$3&gt;=$J33,AI$3&lt;=$M33),1,"")</f>
        <v/>
      </c>
      <c r="AJ33">
        <f>IF(AND($A33&lt;&gt;"",AJ$3&gt;=$J33,AJ$3&lt;=$M33),1,"")</f>
        <v/>
      </c>
      <c r="AK33">
        <f>IF(AND($A33&lt;&gt;"",AK$3&gt;=$J33,AK$3&lt;=$M33),1,"")</f>
        <v/>
      </c>
      <c r="AL33">
        <f>IF(AND($A33&lt;&gt;"",AL$3&gt;=$J33,AL$3&lt;=$M33),1,"")</f>
        <v/>
      </c>
      <c r="AM33">
        <f>IF(AND($A33&lt;&gt;"",AM$3&gt;=$J33,AM$3&lt;=$M33),1,"")</f>
        <v/>
      </c>
      <c r="AN33">
        <f>IF(AND($A33&lt;&gt;"",AN$3&gt;=$J33,AN$3&lt;=$M33),1,"")</f>
        <v/>
      </c>
      <c r="AO33">
        <f>IF(AND($A33&lt;&gt;"",AO$3&gt;=$J33,AO$3&lt;=$M33),1,"")</f>
        <v/>
      </c>
      <c r="AP33">
        <f>IF(AND($A33&lt;&gt;"",AP$3&gt;=$J33,AP$3&lt;=$M33),1,"")</f>
        <v/>
      </c>
      <c r="AQ33">
        <f>IF(AND($A33&lt;&gt;"",AQ$3&gt;=$J33,AQ$3&lt;=$M33),1,"")</f>
        <v/>
      </c>
      <c r="AR33">
        <f>IF(AND($A33&lt;&gt;"",AR$3&gt;=$J33,AR$3&lt;=$M33),1,"")</f>
        <v/>
      </c>
      <c r="AS33">
        <f>IF(AND($A33&lt;&gt;"",AS$3&gt;=$J33,AS$3&lt;=$M33),1,"")</f>
        <v/>
      </c>
      <c r="AT33">
        <f>IF(AND($A33&lt;&gt;"",AT$3&gt;=$J33,AT$3&lt;=$M33),1,"")</f>
        <v/>
      </c>
      <c r="AU33">
        <f>IF(AND($A33&lt;&gt;"",AU$3&gt;=$J33,AU$3&lt;=$M33),1,"")</f>
        <v/>
      </c>
      <c r="AV33">
        <f>IF(AND($A33&lt;&gt;"",AV$3&gt;=$J33,AV$3&lt;=$M33),1,"")</f>
        <v/>
      </c>
      <c r="AW33">
        <f>IF(AND($A33&lt;&gt;"",AW$3&gt;=$J33,AW$3&lt;=$M33),1,"")</f>
        <v/>
      </c>
      <c r="AX33">
        <f>IF(AND($A33&lt;&gt;"",AX$3&gt;=$J33,AX$3&lt;=$M33),1,"")</f>
        <v/>
      </c>
      <c r="AY33">
        <f>IF(AND($A33&lt;&gt;"",AY$3&gt;=$J33,AY$3&lt;=$M33),1,"")</f>
        <v/>
      </c>
      <c r="AZ33">
        <f>IF(AND($A33&lt;&gt;"",AZ$3&gt;=$J33,AZ$3&lt;=$M33),1,"")</f>
        <v/>
      </c>
      <c r="BA33">
        <f>IF(AND($A33&lt;&gt;"",BA$3&gt;=$J33,BA$3&lt;=$M33),1,"")</f>
        <v/>
      </c>
      <c r="BB33">
        <f>IF(AND($A33&lt;&gt;"",BB$3&gt;=$J33,BB$3&lt;=$M33),1,"")</f>
        <v/>
      </c>
      <c r="BC33">
        <f>IF(AND($A33&lt;&gt;"",BC$3&gt;=$J33,BC$3&lt;=$M33),1,"")</f>
        <v/>
      </c>
      <c r="BD33">
        <f>IF(AND($A33&lt;&gt;"",BD$3&gt;=$J33,BD$3&lt;=$M33),1,"")</f>
        <v/>
      </c>
      <c r="BE33">
        <f>IF(AND($A33&lt;&gt;"",BE$3&gt;=$J33,BE$3&lt;=$M33),1,"")</f>
        <v/>
      </c>
      <c r="BF33">
        <f>IF(AND($A33&lt;&gt;"",BF$3&gt;=$J33,BF$3&lt;=$M33),1,"")</f>
        <v/>
      </c>
      <c r="BG33">
        <f>IF(AND($A33&lt;&gt;"",BG$3&gt;=$J33,BG$3&lt;=$M33),1,"")</f>
        <v/>
      </c>
      <c r="BH33">
        <f>IF(AND($A33&lt;&gt;"",BH$3&gt;=$J33,BH$3&lt;=$M33),1,"")</f>
        <v/>
      </c>
      <c r="BI33">
        <f>IF(AND($A33&lt;&gt;"",BI$3&gt;=$J33,BI$3&lt;=$M33),1,"")</f>
        <v/>
      </c>
      <c r="BJ33">
        <f>IF(AND($A33&lt;&gt;"",BJ$3&gt;=$J33,BJ$3&lt;=$M33),1,"")</f>
        <v/>
      </c>
      <c r="BK33">
        <f>IF(AND($A33&lt;&gt;"",BK$3&gt;=$J33,BK$3&lt;=$M33),1,"")</f>
        <v/>
      </c>
      <c r="BL33">
        <f>IF(AND($A33&lt;&gt;"",BL$3&gt;=$J33,BL$3&lt;=$M33),1,"")</f>
        <v/>
      </c>
      <c r="BM33">
        <f>IF(AND($A33&lt;&gt;"",BM$3&gt;=$J33,BM$3&lt;=$M33),1,"")</f>
        <v/>
      </c>
      <c r="BN33">
        <f>IF(AND($A33&lt;&gt;"",BN$3&gt;=$J33,BN$3&lt;=$M33),1,"")</f>
        <v/>
      </c>
      <c r="BO33">
        <f>IF(AND($A33&lt;&gt;"",BO$3&gt;=$J33,BO$3&lt;=$M33),1,"")</f>
        <v/>
      </c>
      <c r="BP33">
        <f>IF(AND($A33&lt;&gt;"",BP$3&gt;=$J33,BP$3&lt;=$M33),1,"")</f>
        <v/>
      </c>
      <c r="BQ33">
        <f>IF(AND($A33&lt;&gt;"",BQ$3&gt;=$J33,BQ$3&lt;=$M33),1,"")</f>
        <v/>
      </c>
      <c r="BR33">
        <f>IF(AND($A33&lt;&gt;"",BR$3&gt;=$J33,BR$3&lt;=$M33),1,"")</f>
        <v/>
      </c>
      <c r="BS33">
        <f>IF(AND($A33&lt;&gt;"",BS$3&gt;=$J33,BS$3&lt;=$M33),1,"")</f>
        <v/>
      </c>
      <c r="BT33">
        <f>IF(AND($A33&lt;&gt;"",BT$3&gt;=$J33,BT$3&lt;=$M33),1,"")</f>
        <v/>
      </c>
      <c r="BU33">
        <f>IF(AND($A33&lt;&gt;"",BU$3&gt;=$J33,BU$3&lt;=$M33),1,"")</f>
        <v/>
      </c>
      <c r="BV33">
        <f>IF(AND($A33&lt;&gt;"",BV$3&gt;=$J33,BV$3&lt;=$M33),1,"")</f>
        <v/>
      </c>
    </row>
    <row r="34">
      <c r="A34">
        <f>IF(Job_Master_Ring!$A34="","",Job_Master_Ring!$A34)</f>
        <v/>
      </c>
      <c r="B34">
        <f>IF($A34="","",Job_Master_Ring!B34)</f>
        <v/>
      </c>
      <c r="C34">
        <f>IF($A34="","",Job_Master_Ring!C34)</f>
        <v/>
      </c>
      <c r="D34">
        <f>IF($A34="","",Job_Master_Ring!D34)</f>
        <v/>
      </c>
      <c r="E34">
        <f>IF($A34="","",IF($I34&lt;&gt;"",$I34,IFERROR(INDEX(Machine_List!$B$64:$B$71,MATCH(1,(Machine_List!$H$64:$H$71&lt;=IFERROR(VLOOKUP($B34,CHOOSE(MATCH($C34,Settings!$L$4:$L$10,0),OPR_BR1!$A$4:$K$18,OPR_BR2!$A$4:$K$18,OPR_CR2!$A$4:$K$18,OPR_CR3!$A$4:$K$18,OPR_CR4!$A$4:$K$18,OPR_RIM!$A$4:$K$18,OPR_BPR!$A$4:$K$18),10,0),0))*(Machine_List!$I$64:$I$71&gt;=IFERROR(VLOOKUP($B34,CHOOSE(MATCH($C34,Settings!$L$4:$L$10,0),OPR_BR1!$A$4:$K$18,OPR_BR2!$A$4:$K$18,OPR_CR2!$A$4:$K$18,OPR_CR3!$A$4:$K$18,OPR_CR4!$A$4:$K$18,OPR_RIM!$A$4:$K$18,OPR_BPR!$A$4:$K$18),11,0),9999)),0)),"NO COMPATIBLE MACHINE")))</f>
        <v/>
      </c>
      <c r="F34">
        <f>IF($E34="","",IFERROR(VLOOKUP($E34,Machine_List!$B:$G,6,0),""))</f>
        <v/>
      </c>
      <c r="G34" s="17">
        <f>IF($E34="","",IFERROR(VLOOKUP($E34,Machine_List!$B:$C,2,0),""))</f>
        <v/>
      </c>
      <c r="H34">
        <f>IF($E34="","",IFERROR(VLOOKUP($E34,Machine_List!$B:$D,3,0),""))</f>
        <v/>
      </c>
      <c r="J34" s="16">
        <f>IF($A34="","",IF($I34&lt;&gt;"",$I34,MAX(ENG_Plan!$M34,IFERROR(LOOKUP(2,1/($E$3:INDIRECT("E"&amp;(ROW()-1))=$E34),$M$3:INDIRECT("M"&amp;(ROW()-1))),ENG_Plan!$M34))))</f>
        <v/>
      </c>
      <c r="K34">
        <f>IF($A34="","",IFERROR(VLOOKUP(B34,CHOOSE(MATCH($C34,Settings!$L$4:$L$10,0),OPR_BR1!$A$4:$I$18,OPR_BR2!$A$4:$I$18,OPR_CR2!$A$4:$I$18,OPR_CR3!$A$4:$I$18,OPR_CR4!$A$4:$I$18,OPR_RIM!$A$4:$I$18,OPR_BPR!$A$4:$I$18),7,0),0))</f>
        <v/>
      </c>
      <c r="L34">
        <f>IF($A34="","",K34*D34)</f>
        <v/>
      </c>
      <c r="M34" s="16">
        <f>IF($A34="","",IF(AND(ISNUMBER(G34),G34&gt;=J34,G34&lt;=(J34+(L34/(IF(F34="Contract Workman",Settings!$K$5,Settings!$K$4))))),J34+(L34/(IF(F34="Contract Workman",Settings!$K$5,Settings!$K$4)))+(H34/(IF(F34="Contract Workman",Settings!$K$5,Settings!$K$4))),J34+(L34/(IF(F34="Contract Workman",Settings!$K$5,Settings!$K$4)))))</f>
        <v/>
      </c>
      <c r="N34">
        <f>IF($A34="","",IF(F34="Contract Workman",IF(AND(MOD(M34,1)&gt;=8/24,MOD(M34,1)&lt;20/24),"Shift S1","Shift S2"),IF(AND(MOD(M34,1)&gt;=7/24,MOD(M34,1)&lt;15/24),"Shift A",IF(AND(MOD(M34,1)&gt;=15/24,MOD(M34,1)&lt;23/24),"Shift B","Shift C"))))</f>
        <v/>
      </c>
      <c r="O34">
        <f>IF(B34="","",IF(IFERROR(ISNUMBER(SEARCH(TEXT(B34,"0"),VLOOKUP(E34,Machine_List!$B:$J,9,0))),FALSE),"✅ "&amp; E34,"❌ Sug: "&amp;IFERROR(INDEX(Machine_List!$B$64:$B$71,MATCH(1,(Machine_List!$H$64:$H$71&lt;=IFERROR(VLOOKUP($B34,OPR_BR1!$A$4:$K$18,10,0),0))*(Machine_List!$I$64:$I$71&gt;=IFERROR(VLOOKUP($B34,OPR_BR1!$A$4:$K$18,11,0),9999)),0)),"?")))</f>
        <v/>
      </c>
      <c r="P34">
        <f>IF(AND($A34&lt;&gt;"",P$3&gt;=$J34,P$3&lt;=$M34),1,"")</f>
        <v/>
      </c>
      <c r="Q34">
        <f>IF(AND($A34&lt;&gt;"",Q$3&gt;=$J34,Q$3&lt;=$M34),1,"")</f>
        <v/>
      </c>
      <c r="R34">
        <f>IF(AND($A34&lt;&gt;"",R$3&gt;=$J34,R$3&lt;=$M34),1,"")</f>
        <v/>
      </c>
      <c r="S34">
        <f>IF(AND($A34&lt;&gt;"",S$3&gt;=$J34,S$3&lt;=$M34),1,"")</f>
        <v/>
      </c>
      <c r="T34">
        <f>IF(AND($A34&lt;&gt;"",T$3&gt;=$J34,T$3&lt;=$M34),1,"")</f>
        <v/>
      </c>
      <c r="U34">
        <f>IF(AND($A34&lt;&gt;"",U$3&gt;=$J34,U$3&lt;=$M34),1,"")</f>
        <v/>
      </c>
      <c r="V34">
        <f>IF(AND($A34&lt;&gt;"",V$3&gt;=$J34,V$3&lt;=$M34),1,"")</f>
        <v/>
      </c>
      <c r="W34">
        <f>IF(AND($A34&lt;&gt;"",W$3&gt;=$J34,W$3&lt;=$M34),1,"")</f>
        <v/>
      </c>
      <c r="X34">
        <f>IF(AND($A34&lt;&gt;"",X$3&gt;=$J34,X$3&lt;=$M34),1,"")</f>
        <v/>
      </c>
      <c r="Y34">
        <f>IF(AND($A34&lt;&gt;"",Y$3&gt;=$J34,Y$3&lt;=$M34),1,"")</f>
        <v/>
      </c>
      <c r="Z34">
        <f>IF(AND($A34&lt;&gt;"",Z$3&gt;=$J34,Z$3&lt;=$M34),1,"")</f>
        <v/>
      </c>
      <c r="AA34">
        <f>IF(AND($A34&lt;&gt;"",AA$3&gt;=$J34,AA$3&lt;=$M34),1,"")</f>
        <v/>
      </c>
      <c r="AB34">
        <f>IF(AND($A34&lt;&gt;"",AB$3&gt;=$J34,AB$3&lt;=$M34),1,"")</f>
        <v/>
      </c>
      <c r="AC34">
        <f>IF(AND($A34&lt;&gt;"",AC$3&gt;=$J34,AC$3&lt;=$M34),1,"")</f>
        <v/>
      </c>
      <c r="AD34">
        <f>IF(AND($A34&lt;&gt;"",AD$3&gt;=$J34,AD$3&lt;=$M34),1,"")</f>
        <v/>
      </c>
      <c r="AE34">
        <f>IF(AND($A34&lt;&gt;"",AE$3&gt;=$J34,AE$3&lt;=$M34),1,"")</f>
        <v/>
      </c>
      <c r="AF34">
        <f>IF(AND($A34&lt;&gt;"",AF$3&gt;=$J34,AF$3&lt;=$M34),1,"")</f>
        <v/>
      </c>
      <c r="AG34">
        <f>IF(AND($A34&lt;&gt;"",AG$3&gt;=$J34,AG$3&lt;=$M34),1,"")</f>
        <v/>
      </c>
      <c r="AH34">
        <f>IF(AND($A34&lt;&gt;"",AH$3&gt;=$J34,AH$3&lt;=$M34),1,"")</f>
        <v/>
      </c>
      <c r="AI34">
        <f>IF(AND($A34&lt;&gt;"",AI$3&gt;=$J34,AI$3&lt;=$M34),1,"")</f>
        <v/>
      </c>
      <c r="AJ34">
        <f>IF(AND($A34&lt;&gt;"",AJ$3&gt;=$J34,AJ$3&lt;=$M34),1,"")</f>
        <v/>
      </c>
      <c r="AK34">
        <f>IF(AND($A34&lt;&gt;"",AK$3&gt;=$J34,AK$3&lt;=$M34),1,"")</f>
        <v/>
      </c>
      <c r="AL34">
        <f>IF(AND($A34&lt;&gt;"",AL$3&gt;=$J34,AL$3&lt;=$M34),1,"")</f>
        <v/>
      </c>
      <c r="AM34">
        <f>IF(AND($A34&lt;&gt;"",AM$3&gt;=$J34,AM$3&lt;=$M34),1,"")</f>
        <v/>
      </c>
      <c r="AN34">
        <f>IF(AND($A34&lt;&gt;"",AN$3&gt;=$J34,AN$3&lt;=$M34),1,"")</f>
        <v/>
      </c>
      <c r="AO34">
        <f>IF(AND($A34&lt;&gt;"",AO$3&gt;=$J34,AO$3&lt;=$M34),1,"")</f>
        <v/>
      </c>
      <c r="AP34">
        <f>IF(AND($A34&lt;&gt;"",AP$3&gt;=$J34,AP$3&lt;=$M34),1,"")</f>
        <v/>
      </c>
      <c r="AQ34">
        <f>IF(AND($A34&lt;&gt;"",AQ$3&gt;=$J34,AQ$3&lt;=$M34),1,"")</f>
        <v/>
      </c>
      <c r="AR34">
        <f>IF(AND($A34&lt;&gt;"",AR$3&gt;=$J34,AR$3&lt;=$M34),1,"")</f>
        <v/>
      </c>
      <c r="AS34">
        <f>IF(AND($A34&lt;&gt;"",AS$3&gt;=$J34,AS$3&lt;=$M34),1,"")</f>
        <v/>
      </c>
      <c r="AT34">
        <f>IF(AND($A34&lt;&gt;"",AT$3&gt;=$J34,AT$3&lt;=$M34),1,"")</f>
        <v/>
      </c>
      <c r="AU34">
        <f>IF(AND($A34&lt;&gt;"",AU$3&gt;=$J34,AU$3&lt;=$M34),1,"")</f>
        <v/>
      </c>
      <c r="AV34">
        <f>IF(AND($A34&lt;&gt;"",AV$3&gt;=$J34,AV$3&lt;=$M34),1,"")</f>
        <v/>
      </c>
      <c r="AW34">
        <f>IF(AND($A34&lt;&gt;"",AW$3&gt;=$J34,AW$3&lt;=$M34),1,"")</f>
        <v/>
      </c>
      <c r="AX34">
        <f>IF(AND($A34&lt;&gt;"",AX$3&gt;=$J34,AX$3&lt;=$M34),1,"")</f>
        <v/>
      </c>
      <c r="AY34">
        <f>IF(AND($A34&lt;&gt;"",AY$3&gt;=$J34,AY$3&lt;=$M34),1,"")</f>
        <v/>
      </c>
      <c r="AZ34">
        <f>IF(AND($A34&lt;&gt;"",AZ$3&gt;=$J34,AZ$3&lt;=$M34),1,"")</f>
        <v/>
      </c>
      <c r="BA34">
        <f>IF(AND($A34&lt;&gt;"",BA$3&gt;=$J34,BA$3&lt;=$M34),1,"")</f>
        <v/>
      </c>
      <c r="BB34">
        <f>IF(AND($A34&lt;&gt;"",BB$3&gt;=$J34,BB$3&lt;=$M34),1,"")</f>
        <v/>
      </c>
      <c r="BC34">
        <f>IF(AND($A34&lt;&gt;"",BC$3&gt;=$J34,BC$3&lt;=$M34),1,"")</f>
        <v/>
      </c>
      <c r="BD34">
        <f>IF(AND($A34&lt;&gt;"",BD$3&gt;=$J34,BD$3&lt;=$M34),1,"")</f>
        <v/>
      </c>
      <c r="BE34">
        <f>IF(AND($A34&lt;&gt;"",BE$3&gt;=$J34,BE$3&lt;=$M34),1,"")</f>
        <v/>
      </c>
      <c r="BF34">
        <f>IF(AND($A34&lt;&gt;"",BF$3&gt;=$J34,BF$3&lt;=$M34),1,"")</f>
        <v/>
      </c>
      <c r="BG34">
        <f>IF(AND($A34&lt;&gt;"",BG$3&gt;=$J34,BG$3&lt;=$M34),1,"")</f>
        <v/>
      </c>
      <c r="BH34">
        <f>IF(AND($A34&lt;&gt;"",BH$3&gt;=$J34,BH$3&lt;=$M34),1,"")</f>
        <v/>
      </c>
      <c r="BI34">
        <f>IF(AND($A34&lt;&gt;"",BI$3&gt;=$J34,BI$3&lt;=$M34),1,"")</f>
        <v/>
      </c>
      <c r="BJ34">
        <f>IF(AND($A34&lt;&gt;"",BJ$3&gt;=$J34,BJ$3&lt;=$M34),1,"")</f>
        <v/>
      </c>
      <c r="BK34">
        <f>IF(AND($A34&lt;&gt;"",BK$3&gt;=$J34,BK$3&lt;=$M34),1,"")</f>
        <v/>
      </c>
      <c r="BL34">
        <f>IF(AND($A34&lt;&gt;"",BL$3&gt;=$J34,BL$3&lt;=$M34),1,"")</f>
        <v/>
      </c>
      <c r="BM34">
        <f>IF(AND($A34&lt;&gt;"",BM$3&gt;=$J34,BM$3&lt;=$M34),1,"")</f>
        <v/>
      </c>
      <c r="BN34">
        <f>IF(AND($A34&lt;&gt;"",BN$3&gt;=$J34,BN$3&lt;=$M34),1,"")</f>
        <v/>
      </c>
      <c r="BO34">
        <f>IF(AND($A34&lt;&gt;"",BO$3&gt;=$J34,BO$3&lt;=$M34),1,"")</f>
        <v/>
      </c>
      <c r="BP34">
        <f>IF(AND($A34&lt;&gt;"",BP$3&gt;=$J34,BP$3&lt;=$M34),1,"")</f>
        <v/>
      </c>
      <c r="BQ34">
        <f>IF(AND($A34&lt;&gt;"",BQ$3&gt;=$J34,BQ$3&lt;=$M34),1,"")</f>
        <v/>
      </c>
      <c r="BR34">
        <f>IF(AND($A34&lt;&gt;"",BR$3&gt;=$J34,BR$3&lt;=$M34),1,"")</f>
        <v/>
      </c>
      <c r="BS34">
        <f>IF(AND($A34&lt;&gt;"",BS$3&gt;=$J34,BS$3&lt;=$M34),1,"")</f>
        <v/>
      </c>
      <c r="BT34">
        <f>IF(AND($A34&lt;&gt;"",BT$3&gt;=$J34,BT$3&lt;=$M34),1,"")</f>
        <v/>
      </c>
      <c r="BU34">
        <f>IF(AND($A34&lt;&gt;"",BU$3&gt;=$J34,BU$3&lt;=$M34),1,"")</f>
        <v/>
      </c>
      <c r="BV34">
        <f>IF(AND($A34&lt;&gt;"",BV$3&gt;=$J34,BV$3&lt;=$M34),1,"")</f>
        <v/>
      </c>
    </row>
    <row r="35">
      <c r="A35">
        <f>IF(Job_Master_Ring!$A35="","",Job_Master_Ring!$A35)</f>
        <v/>
      </c>
      <c r="B35">
        <f>IF($A35="","",Job_Master_Ring!B35)</f>
        <v/>
      </c>
      <c r="C35">
        <f>IF($A35="","",Job_Master_Ring!C35)</f>
        <v/>
      </c>
      <c r="D35">
        <f>IF($A35="","",Job_Master_Ring!D35)</f>
        <v/>
      </c>
      <c r="E35">
        <f>IF($A35="","",IF($I35&lt;&gt;"",$I35,IFERROR(INDEX(Machine_List!$B$64:$B$71,MATCH(1,(Machine_List!$H$64:$H$71&lt;=IFERROR(VLOOKUP($B35,CHOOSE(MATCH($C35,Settings!$L$4:$L$10,0),OPR_BR1!$A$4:$K$18,OPR_BR2!$A$4:$K$18,OPR_CR2!$A$4:$K$18,OPR_CR3!$A$4:$K$18,OPR_CR4!$A$4:$K$18,OPR_RIM!$A$4:$K$18,OPR_BPR!$A$4:$K$18),10,0),0))*(Machine_List!$I$64:$I$71&gt;=IFERROR(VLOOKUP($B35,CHOOSE(MATCH($C35,Settings!$L$4:$L$10,0),OPR_BR1!$A$4:$K$18,OPR_BR2!$A$4:$K$18,OPR_CR2!$A$4:$K$18,OPR_CR3!$A$4:$K$18,OPR_CR4!$A$4:$K$18,OPR_RIM!$A$4:$K$18,OPR_BPR!$A$4:$K$18),11,0),9999)),0)),"NO COMPATIBLE MACHINE")))</f>
        <v/>
      </c>
      <c r="F35">
        <f>IF($E35="","",IFERROR(VLOOKUP($E35,Machine_List!$B:$G,6,0),""))</f>
        <v/>
      </c>
      <c r="G35" s="17">
        <f>IF($E35="","",IFERROR(VLOOKUP($E35,Machine_List!$B:$C,2,0),""))</f>
        <v/>
      </c>
      <c r="H35">
        <f>IF($E35="","",IFERROR(VLOOKUP($E35,Machine_List!$B:$D,3,0),""))</f>
        <v/>
      </c>
      <c r="J35" s="16">
        <f>IF($A35="","",IF($I35&lt;&gt;"",$I35,MAX(ENG_Plan!$M35,IFERROR(LOOKUP(2,1/($E$3:INDIRECT("E"&amp;(ROW()-1))=$E35),$M$3:INDIRECT("M"&amp;(ROW()-1))),ENG_Plan!$M35))))</f>
        <v/>
      </c>
      <c r="K35">
        <f>IF($A35="","",IFERROR(VLOOKUP(B35,CHOOSE(MATCH($C35,Settings!$L$4:$L$10,0),OPR_BR1!$A$4:$I$18,OPR_BR2!$A$4:$I$18,OPR_CR2!$A$4:$I$18,OPR_CR3!$A$4:$I$18,OPR_CR4!$A$4:$I$18,OPR_RIM!$A$4:$I$18,OPR_BPR!$A$4:$I$18),7,0),0))</f>
        <v/>
      </c>
      <c r="L35">
        <f>IF($A35="","",K35*D35)</f>
        <v/>
      </c>
      <c r="M35" s="16">
        <f>IF($A35="","",IF(AND(ISNUMBER(G35),G35&gt;=J35,G35&lt;=(J35+(L35/(IF(F35="Contract Workman",Settings!$K$5,Settings!$K$4))))),J35+(L35/(IF(F35="Contract Workman",Settings!$K$5,Settings!$K$4)))+(H35/(IF(F35="Contract Workman",Settings!$K$5,Settings!$K$4))),J35+(L35/(IF(F35="Contract Workman",Settings!$K$5,Settings!$K$4)))))</f>
        <v/>
      </c>
      <c r="N35">
        <f>IF($A35="","",IF(F35="Contract Workman",IF(AND(MOD(M35,1)&gt;=8/24,MOD(M35,1)&lt;20/24),"Shift S1","Shift S2"),IF(AND(MOD(M35,1)&gt;=7/24,MOD(M35,1)&lt;15/24),"Shift A",IF(AND(MOD(M35,1)&gt;=15/24,MOD(M35,1)&lt;23/24),"Shift B","Shift C"))))</f>
        <v/>
      </c>
      <c r="O35">
        <f>IF(B35="","",IF(IFERROR(ISNUMBER(SEARCH(TEXT(B35,"0"),VLOOKUP(E35,Machine_List!$B:$J,9,0))),FALSE),"✅ "&amp; E35,"❌ Sug: "&amp;IFERROR(INDEX(Machine_List!$B$64:$B$71,MATCH(1,(Machine_List!$H$64:$H$71&lt;=IFERROR(VLOOKUP($B35,OPR_BR1!$A$4:$K$18,10,0),0))*(Machine_List!$I$64:$I$71&gt;=IFERROR(VLOOKUP($B35,OPR_BR1!$A$4:$K$18,11,0),9999)),0)),"?")))</f>
        <v/>
      </c>
      <c r="P35">
        <f>IF(AND($A35&lt;&gt;"",P$3&gt;=$J35,P$3&lt;=$M35),1,"")</f>
        <v/>
      </c>
      <c r="Q35">
        <f>IF(AND($A35&lt;&gt;"",Q$3&gt;=$J35,Q$3&lt;=$M35),1,"")</f>
        <v/>
      </c>
      <c r="R35">
        <f>IF(AND($A35&lt;&gt;"",R$3&gt;=$J35,R$3&lt;=$M35),1,"")</f>
        <v/>
      </c>
      <c r="S35">
        <f>IF(AND($A35&lt;&gt;"",S$3&gt;=$J35,S$3&lt;=$M35),1,"")</f>
        <v/>
      </c>
      <c r="T35">
        <f>IF(AND($A35&lt;&gt;"",T$3&gt;=$J35,T$3&lt;=$M35),1,"")</f>
        <v/>
      </c>
      <c r="U35">
        <f>IF(AND($A35&lt;&gt;"",U$3&gt;=$J35,U$3&lt;=$M35),1,"")</f>
        <v/>
      </c>
      <c r="V35">
        <f>IF(AND($A35&lt;&gt;"",V$3&gt;=$J35,V$3&lt;=$M35),1,"")</f>
        <v/>
      </c>
      <c r="W35">
        <f>IF(AND($A35&lt;&gt;"",W$3&gt;=$J35,W$3&lt;=$M35),1,"")</f>
        <v/>
      </c>
      <c r="X35">
        <f>IF(AND($A35&lt;&gt;"",X$3&gt;=$J35,X$3&lt;=$M35),1,"")</f>
        <v/>
      </c>
      <c r="Y35">
        <f>IF(AND($A35&lt;&gt;"",Y$3&gt;=$J35,Y$3&lt;=$M35),1,"")</f>
        <v/>
      </c>
      <c r="Z35">
        <f>IF(AND($A35&lt;&gt;"",Z$3&gt;=$J35,Z$3&lt;=$M35),1,"")</f>
        <v/>
      </c>
      <c r="AA35">
        <f>IF(AND($A35&lt;&gt;"",AA$3&gt;=$J35,AA$3&lt;=$M35),1,"")</f>
        <v/>
      </c>
      <c r="AB35">
        <f>IF(AND($A35&lt;&gt;"",AB$3&gt;=$J35,AB$3&lt;=$M35),1,"")</f>
        <v/>
      </c>
      <c r="AC35">
        <f>IF(AND($A35&lt;&gt;"",AC$3&gt;=$J35,AC$3&lt;=$M35),1,"")</f>
        <v/>
      </c>
      <c r="AD35">
        <f>IF(AND($A35&lt;&gt;"",AD$3&gt;=$J35,AD$3&lt;=$M35),1,"")</f>
        <v/>
      </c>
      <c r="AE35">
        <f>IF(AND($A35&lt;&gt;"",AE$3&gt;=$J35,AE$3&lt;=$M35),1,"")</f>
        <v/>
      </c>
      <c r="AF35">
        <f>IF(AND($A35&lt;&gt;"",AF$3&gt;=$J35,AF$3&lt;=$M35),1,"")</f>
        <v/>
      </c>
      <c r="AG35">
        <f>IF(AND($A35&lt;&gt;"",AG$3&gt;=$J35,AG$3&lt;=$M35),1,"")</f>
        <v/>
      </c>
      <c r="AH35">
        <f>IF(AND($A35&lt;&gt;"",AH$3&gt;=$J35,AH$3&lt;=$M35),1,"")</f>
        <v/>
      </c>
      <c r="AI35">
        <f>IF(AND($A35&lt;&gt;"",AI$3&gt;=$J35,AI$3&lt;=$M35),1,"")</f>
        <v/>
      </c>
      <c r="AJ35">
        <f>IF(AND($A35&lt;&gt;"",AJ$3&gt;=$J35,AJ$3&lt;=$M35),1,"")</f>
        <v/>
      </c>
      <c r="AK35">
        <f>IF(AND($A35&lt;&gt;"",AK$3&gt;=$J35,AK$3&lt;=$M35),1,"")</f>
        <v/>
      </c>
      <c r="AL35">
        <f>IF(AND($A35&lt;&gt;"",AL$3&gt;=$J35,AL$3&lt;=$M35),1,"")</f>
        <v/>
      </c>
      <c r="AM35">
        <f>IF(AND($A35&lt;&gt;"",AM$3&gt;=$J35,AM$3&lt;=$M35),1,"")</f>
        <v/>
      </c>
      <c r="AN35">
        <f>IF(AND($A35&lt;&gt;"",AN$3&gt;=$J35,AN$3&lt;=$M35),1,"")</f>
        <v/>
      </c>
      <c r="AO35">
        <f>IF(AND($A35&lt;&gt;"",AO$3&gt;=$J35,AO$3&lt;=$M35),1,"")</f>
        <v/>
      </c>
      <c r="AP35">
        <f>IF(AND($A35&lt;&gt;"",AP$3&gt;=$J35,AP$3&lt;=$M35),1,"")</f>
        <v/>
      </c>
      <c r="AQ35">
        <f>IF(AND($A35&lt;&gt;"",AQ$3&gt;=$J35,AQ$3&lt;=$M35),1,"")</f>
        <v/>
      </c>
      <c r="AR35">
        <f>IF(AND($A35&lt;&gt;"",AR$3&gt;=$J35,AR$3&lt;=$M35),1,"")</f>
        <v/>
      </c>
      <c r="AS35">
        <f>IF(AND($A35&lt;&gt;"",AS$3&gt;=$J35,AS$3&lt;=$M35),1,"")</f>
        <v/>
      </c>
      <c r="AT35">
        <f>IF(AND($A35&lt;&gt;"",AT$3&gt;=$J35,AT$3&lt;=$M35),1,"")</f>
        <v/>
      </c>
      <c r="AU35">
        <f>IF(AND($A35&lt;&gt;"",AU$3&gt;=$J35,AU$3&lt;=$M35),1,"")</f>
        <v/>
      </c>
      <c r="AV35">
        <f>IF(AND($A35&lt;&gt;"",AV$3&gt;=$J35,AV$3&lt;=$M35),1,"")</f>
        <v/>
      </c>
      <c r="AW35">
        <f>IF(AND($A35&lt;&gt;"",AW$3&gt;=$J35,AW$3&lt;=$M35),1,"")</f>
        <v/>
      </c>
      <c r="AX35">
        <f>IF(AND($A35&lt;&gt;"",AX$3&gt;=$J35,AX$3&lt;=$M35),1,"")</f>
        <v/>
      </c>
      <c r="AY35">
        <f>IF(AND($A35&lt;&gt;"",AY$3&gt;=$J35,AY$3&lt;=$M35),1,"")</f>
        <v/>
      </c>
      <c r="AZ35">
        <f>IF(AND($A35&lt;&gt;"",AZ$3&gt;=$J35,AZ$3&lt;=$M35),1,"")</f>
        <v/>
      </c>
      <c r="BA35">
        <f>IF(AND($A35&lt;&gt;"",BA$3&gt;=$J35,BA$3&lt;=$M35),1,"")</f>
        <v/>
      </c>
      <c r="BB35">
        <f>IF(AND($A35&lt;&gt;"",BB$3&gt;=$J35,BB$3&lt;=$M35),1,"")</f>
        <v/>
      </c>
      <c r="BC35">
        <f>IF(AND($A35&lt;&gt;"",BC$3&gt;=$J35,BC$3&lt;=$M35),1,"")</f>
        <v/>
      </c>
      <c r="BD35">
        <f>IF(AND($A35&lt;&gt;"",BD$3&gt;=$J35,BD$3&lt;=$M35),1,"")</f>
        <v/>
      </c>
      <c r="BE35">
        <f>IF(AND($A35&lt;&gt;"",BE$3&gt;=$J35,BE$3&lt;=$M35),1,"")</f>
        <v/>
      </c>
      <c r="BF35">
        <f>IF(AND($A35&lt;&gt;"",BF$3&gt;=$J35,BF$3&lt;=$M35),1,"")</f>
        <v/>
      </c>
      <c r="BG35">
        <f>IF(AND($A35&lt;&gt;"",BG$3&gt;=$J35,BG$3&lt;=$M35),1,"")</f>
        <v/>
      </c>
      <c r="BH35">
        <f>IF(AND($A35&lt;&gt;"",BH$3&gt;=$J35,BH$3&lt;=$M35),1,"")</f>
        <v/>
      </c>
      <c r="BI35">
        <f>IF(AND($A35&lt;&gt;"",BI$3&gt;=$J35,BI$3&lt;=$M35),1,"")</f>
        <v/>
      </c>
      <c r="BJ35">
        <f>IF(AND($A35&lt;&gt;"",BJ$3&gt;=$J35,BJ$3&lt;=$M35),1,"")</f>
        <v/>
      </c>
      <c r="BK35">
        <f>IF(AND($A35&lt;&gt;"",BK$3&gt;=$J35,BK$3&lt;=$M35),1,"")</f>
        <v/>
      </c>
      <c r="BL35">
        <f>IF(AND($A35&lt;&gt;"",BL$3&gt;=$J35,BL$3&lt;=$M35),1,"")</f>
        <v/>
      </c>
      <c r="BM35">
        <f>IF(AND($A35&lt;&gt;"",BM$3&gt;=$J35,BM$3&lt;=$M35),1,"")</f>
        <v/>
      </c>
      <c r="BN35">
        <f>IF(AND($A35&lt;&gt;"",BN$3&gt;=$J35,BN$3&lt;=$M35),1,"")</f>
        <v/>
      </c>
      <c r="BO35">
        <f>IF(AND($A35&lt;&gt;"",BO$3&gt;=$J35,BO$3&lt;=$M35),1,"")</f>
        <v/>
      </c>
      <c r="BP35">
        <f>IF(AND($A35&lt;&gt;"",BP$3&gt;=$J35,BP$3&lt;=$M35),1,"")</f>
        <v/>
      </c>
      <c r="BQ35">
        <f>IF(AND($A35&lt;&gt;"",BQ$3&gt;=$J35,BQ$3&lt;=$M35),1,"")</f>
        <v/>
      </c>
      <c r="BR35">
        <f>IF(AND($A35&lt;&gt;"",BR$3&gt;=$J35,BR$3&lt;=$M35),1,"")</f>
        <v/>
      </c>
      <c r="BS35">
        <f>IF(AND($A35&lt;&gt;"",BS$3&gt;=$J35,BS$3&lt;=$M35),1,"")</f>
        <v/>
      </c>
      <c r="BT35">
        <f>IF(AND($A35&lt;&gt;"",BT$3&gt;=$J35,BT$3&lt;=$M35),1,"")</f>
        <v/>
      </c>
      <c r="BU35">
        <f>IF(AND($A35&lt;&gt;"",BU$3&gt;=$J35,BU$3&lt;=$M35),1,"")</f>
        <v/>
      </c>
      <c r="BV35">
        <f>IF(AND($A35&lt;&gt;"",BV$3&gt;=$J35,BV$3&lt;=$M35),1,"")</f>
        <v/>
      </c>
    </row>
    <row r="36">
      <c r="A36">
        <f>IF(Job_Master_Ring!$A36="","",Job_Master_Ring!$A36)</f>
        <v/>
      </c>
      <c r="B36">
        <f>IF($A36="","",Job_Master_Ring!B36)</f>
        <v/>
      </c>
      <c r="C36">
        <f>IF($A36="","",Job_Master_Ring!C36)</f>
        <v/>
      </c>
      <c r="D36">
        <f>IF($A36="","",Job_Master_Ring!D36)</f>
        <v/>
      </c>
      <c r="E36">
        <f>IF($A36="","",IF($I36&lt;&gt;"",$I36,IFERROR(INDEX(Machine_List!$B$64:$B$71,MATCH(1,(Machine_List!$H$64:$H$71&lt;=IFERROR(VLOOKUP($B36,CHOOSE(MATCH($C36,Settings!$L$4:$L$10,0),OPR_BR1!$A$4:$K$18,OPR_BR2!$A$4:$K$18,OPR_CR2!$A$4:$K$18,OPR_CR3!$A$4:$K$18,OPR_CR4!$A$4:$K$18,OPR_RIM!$A$4:$K$18,OPR_BPR!$A$4:$K$18),10,0),0))*(Machine_List!$I$64:$I$71&gt;=IFERROR(VLOOKUP($B36,CHOOSE(MATCH($C36,Settings!$L$4:$L$10,0),OPR_BR1!$A$4:$K$18,OPR_BR2!$A$4:$K$18,OPR_CR2!$A$4:$K$18,OPR_CR3!$A$4:$K$18,OPR_CR4!$A$4:$K$18,OPR_RIM!$A$4:$K$18,OPR_BPR!$A$4:$K$18),11,0),9999)),0)),"NO COMPATIBLE MACHINE")))</f>
        <v/>
      </c>
      <c r="F36">
        <f>IF($E36="","",IFERROR(VLOOKUP($E36,Machine_List!$B:$G,6,0),""))</f>
        <v/>
      </c>
      <c r="G36" s="17">
        <f>IF($E36="","",IFERROR(VLOOKUP($E36,Machine_List!$B:$C,2,0),""))</f>
        <v/>
      </c>
      <c r="H36">
        <f>IF($E36="","",IFERROR(VLOOKUP($E36,Machine_List!$B:$D,3,0),""))</f>
        <v/>
      </c>
      <c r="J36" s="16">
        <f>IF($A36="","",IF($I36&lt;&gt;"",$I36,MAX(ENG_Plan!$M36,IFERROR(LOOKUP(2,1/($E$3:INDIRECT("E"&amp;(ROW()-1))=$E36),$M$3:INDIRECT("M"&amp;(ROW()-1))),ENG_Plan!$M36))))</f>
        <v/>
      </c>
      <c r="K36">
        <f>IF($A36="","",IFERROR(VLOOKUP(B36,CHOOSE(MATCH($C36,Settings!$L$4:$L$10,0),OPR_BR1!$A$4:$I$18,OPR_BR2!$A$4:$I$18,OPR_CR2!$A$4:$I$18,OPR_CR3!$A$4:$I$18,OPR_CR4!$A$4:$I$18,OPR_RIM!$A$4:$I$18,OPR_BPR!$A$4:$I$18),7,0),0))</f>
        <v/>
      </c>
      <c r="L36">
        <f>IF($A36="","",K36*D36)</f>
        <v/>
      </c>
      <c r="M36" s="16">
        <f>IF($A36="","",IF(AND(ISNUMBER(G36),G36&gt;=J36,G36&lt;=(J36+(L36/(IF(F36="Contract Workman",Settings!$K$5,Settings!$K$4))))),J36+(L36/(IF(F36="Contract Workman",Settings!$K$5,Settings!$K$4)))+(H36/(IF(F36="Contract Workman",Settings!$K$5,Settings!$K$4))),J36+(L36/(IF(F36="Contract Workman",Settings!$K$5,Settings!$K$4)))))</f>
        <v/>
      </c>
      <c r="N36">
        <f>IF($A36="","",IF(F36="Contract Workman",IF(AND(MOD(M36,1)&gt;=8/24,MOD(M36,1)&lt;20/24),"Shift S1","Shift S2"),IF(AND(MOD(M36,1)&gt;=7/24,MOD(M36,1)&lt;15/24),"Shift A",IF(AND(MOD(M36,1)&gt;=15/24,MOD(M36,1)&lt;23/24),"Shift B","Shift C"))))</f>
        <v/>
      </c>
      <c r="O36">
        <f>IF(B36="","",IF(IFERROR(ISNUMBER(SEARCH(TEXT(B36,"0"),VLOOKUP(E36,Machine_List!$B:$J,9,0))),FALSE),"✅ "&amp; E36,"❌ Sug: "&amp;IFERROR(INDEX(Machine_List!$B$64:$B$71,MATCH(1,(Machine_List!$H$64:$H$71&lt;=IFERROR(VLOOKUP($B36,OPR_BR1!$A$4:$K$18,10,0),0))*(Machine_List!$I$64:$I$71&gt;=IFERROR(VLOOKUP($B36,OPR_BR1!$A$4:$K$18,11,0),9999)),0)),"?")))</f>
        <v/>
      </c>
      <c r="P36">
        <f>IF(AND($A36&lt;&gt;"",P$3&gt;=$J36,P$3&lt;=$M36),1,"")</f>
        <v/>
      </c>
      <c r="Q36">
        <f>IF(AND($A36&lt;&gt;"",Q$3&gt;=$J36,Q$3&lt;=$M36),1,"")</f>
        <v/>
      </c>
      <c r="R36">
        <f>IF(AND($A36&lt;&gt;"",R$3&gt;=$J36,R$3&lt;=$M36),1,"")</f>
        <v/>
      </c>
      <c r="S36">
        <f>IF(AND($A36&lt;&gt;"",S$3&gt;=$J36,S$3&lt;=$M36),1,"")</f>
        <v/>
      </c>
      <c r="T36">
        <f>IF(AND($A36&lt;&gt;"",T$3&gt;=$J36,T$3&lt;=$M36),1,"")</f>
        <v/>
      </c>
      <c r="U36">
        <f>IF(AND($A36&lt;&gt;"",U$3&gt;=$J36,U$3&lt;=$M36),1,"")</f>
        <v/>
      </c>
      <c r="V36">
        <f>IF(AND($A36&lt;&gt;"",V$3&gt;=$J36,V$3&lt;=$M36),1,"")</f>
        <v/>
      </c>
      <c r="W36">
        <f>IF(AND($A36&lt;&gt;"",W$3&gt;=$J36,W$3&lt;=$M36),1,"")</f>
        <v/>
      </c>
      <c r="X36">
        <f>IF(AND($A36&lt;&gt;"",X$3&gt;=$J36,X$3&lt;=$M36),1,"")</f>
        <v/>
      </c>
      <c r="Y36">
        <f>IF(AND($A36&lt;&gt;"",Y$3&gt;=$J36,Y$3&lt;=$M36),1,"")</f>
        <v/>
      </c>
      <c r="Z36">
        <f>IF(AND($A36&lt;&gt;"",Z$3&gt;=$J36,Z$3&lt;=$M36),1,"")</f>
        <v/>
      </c>
      <c r="AA36">
        <f>IF(AND($A36&lt;&gt;"",AA$3&gt;=$J36,AA$3&lt;=$M36),1,"")</f>
        <v/>
      </c>
      <c r="AB36">
        <f>IF(AND($A36&lt;&gt;"",AB$3&gt;=$J36,AB$3&lt;=$M36),1,"")</f>
        <v/>
      </c>
      <c r="AC36">
        <f>IF(AND($A36&lt;&gt;"",AC$3&gt;=$J36,AC$3&lt;=$M36),1,"")</f>
        <v/>
      </c>
      <c r="AD36">
        <f>IF(AND($A36&lt;&gt;"",AD$3&gt;=$J36,AD$3&lt;=$M36),1,"")</f>
        <v/>
      </c>
      <c r="AE36">
        <f>IF(AND($A36&lt;&gt;"",AE$3&gt;=$J36,AE$3&lt;=$M36),1,"")</f>
        <v/>
      </c>
      <c r="AF36">
        <f>IF(AND($A36&lt;&gt;"",AF$3&gt;=$J36,AF$3&lt;=$M36),1,"")</f>
        <v/>
      </c>
      <c r="AG36">
        <f>IF(AND($A36&lt;&gt;"",AG$3&gt;=$J36,AG$3&lt;=$M36),1,"")</f>
        <v/>
      </c>
      <c r="AH36">
        <f>IF(AND($A36&lt;&gt;"",AH$3&gt;=$J36,AH$3&lt;=$M36),1,"")</f>
        <v/>
      </c>
      <c r="AI36">
        <f>IF(AND($A36&lt;&gt;"",AI$3&gt;=$J36,AI$3&lt;=$M36),1,"")</f>
        <v/>
      </c>
      <c r="AJ36">
        <f>IF(AND($A36&lt;&gt;"",AJ$3&gt;=$J36,AJ$3&lt;=$M36),1,"")</f>
        <v/>
      </c>
      <c r="AK36">
        <f>IF(AND($A36&lt;&gt;"",AK$3&gt;=$J36,AK$3&lt;=$M36),1,"")</f>
        <v/>
      </c>
      <c r="AL36">
        <f>IF(AND($A36&lt;&gt;"",AL$3&gt;=$J36,AL$3&lt;=$M36),1,"")</f>
        <v/>
      </c>
      <c r="AM36">
        <f>IF(AND($A36&lt;&gt;"",AM$3&gt;=$J36,AM$3&lt;=$M36),1,"")</f>
        <v/>
      </c>
      <c r="AN36">
        <f>IF(AND($A36&lt;&gt;"",AN$3&gt;=$J36,AN$3&lt;=$M36),1,"")</f>
        <v/>
      </c>
      <c r="AO36">
        <f>IF(AND($A36&lt;&gt;"",AO$3&gt;=$J36,AO$3&lt;=$M36),1,"")</f>
        <v/>
      </c>
      <c r="AP36">
        <f>IF(AND($A36&lt;&gt;"",AP$3&gt;=$J36,AP$3&lt;=$M36),1,"")</f>
        <v/>
      </c>
      <c r="AQ36">
        <f>IF(AND($A36&lt;&gt;"",AQ$3&gt;=$J36,AQ$3&lt;=$M36),1,"")</f>
        <v/>
      </c>
      <c r="AR36">
        <f>IF(AND($A36&lt;&gt;"",AR$3&gt;=$J36,AR$3&lt;=$M36),1,"")</f>
        <v/>
      </c>
      <c r="AS36">
        <f>IF(AND($A36&lt;&gt;"",AS$3&gt;=$J36,AS$3&lt;=$M36),1,"")</f>
        <v/>
      </c>
      <c r="AT36">
        <f>IF(AND($A36&lt;&gt;"",AT$3&gt;=$J36,AT$3&lt;=$M36),1,"")</f>
        <v/>
      </c>
      <c r="AU36">
        <f>IF(AND($A36&lt;&gt;"",AU$3&gt;=$J36,AU$3&lt;=$M36),1,"")</f>
        <v/>
      </c>
      <c r="AV36">
        <f>IF(AND($A36&lt;&gt;"",AV$3&gt;=$J36,AV$3&lt;=$M36),1,"")</f>
        <v/>
      </c>
      <c r="AW36">
        <f>IF(AND($A36&lt;&gt;"",AW$3&gt;=$J36,AW$3&lt;=$M36),1,"")</f>
        <v/>
      </c>
      <c r="AX36">
        <f>IF(AND($A36&lt;&gt;"",AX$3&gt;=$J36,AX$3&lt;=$M36),1,"")</f>
        <v/>
      </c>
      <c r="AY36">
        <f>IF(AND($A36&lt;&gt;"",AY$3&gt;=$J36,AY$3&lt;=$M36),1,"")</f>
        <v/>
      </c>
      <c r="AZ36">
        <f>IF(AND($A36&lt;&gt;"",AZ$3&gt;=$J36,AZ$3&lt;=$M36),1,"")</f>
        <v/>
      </c>
      <c r="BA36">
        <f>IF(AND($A36&lt;&gt;"",BA$3&gt;=$J36,BA$3&lt;=$M36),1,"")</f>
        <v/>
      </c>
      <c r="BB36">
        <f>IF(AND($A36&lt;&gt;"",BB$3&gt;=$J36,BB$3&lt;=$M36),1,"")</f>
        <v/>
      </c>
      <c r="BC36">
        <f>IF(AND($A36&lt;&gt;"",BC$3&gt;=$J36,BC$3&lt;=$M36),1,"")</f>
        <v/>
      </c>
      <c r="BD36">
        <f>IF(AND($A36&lt;&gt;"",BD$3&gt;=$J36,BD$3&lt;=$M36),1,"")</f>
        <v/>
      </c>
      <c r="BE36">
        <f>IF(AND($A36&lt;&gt;"",BE$3&gt;=$J36,BE$3&lt;=$M36),1,"")</f>
        <v/>
      </c>
      <c r="BF36">
        <f>IF(AND($A36&lt;&gt;"",BF$3&gt;=$J36,BF$3&lt;=$M36),1,"")</f>
        <v/>
      </c>
      <c r="BG36">
        <f>IF(AND($A36&lt;&gt;"",BG$3&gt;=$J36,BG$3&lt;=$M36),1,"")</f>
        <v/>
      </c>
      <c r="BH36">
        <f>IF(AND($A36&lt;&gt;"",BH$3&gt;=$J36,BH$3&lt;=$M36),1,"")</f>
        <v/>
      </c>
      <c r="BI36">
        <f>IF(AND($A36&lt;&gt;"",BI$3&gt;=$J36,BI$3&lt;=$M36),1,"")</f>
        <v/>
      </c>
      <c r="BJ36">
        <f>IF(AND($A36&lt;&gt;"",BJ$3&gt;=$J36,BJ$3&lt;=$M36),1,"")</f>
        <v/>
      </c>
      <c r="BK36">
        <f>IF(AND($A36&lt;&gt;"",BK$3&gt;=$J36,BK$3&lt;=$M36),1,"")</f>
        <v/>
      </c>
      <c r="BL36">
        <f>IF(AND($A36&lt;&gt;"",BL$3&gt;=$J36,BL$3&lt;=$M36),1,"")</f>
        <v/>
      </c>
      <c r="BM36">
        <f>IF(AND($A36&lt;&gt;"",BM$3&gt;=$J36,BM$3&lt;=$M36),1,"")</f>
        <v/>
      </c>
      <c r="BN36">
        <f>IF(AND($A36&lt;&gt;"",BN$3&gt;=$J36,BN$3&lt;=$M36),1,"")</f>
        <v/>
      </c>
      <c r="BO36">
        <f>IF(AND($A36&lt;&gt;"",BO$3&gt;=$J36,BO$3&lt;=$M36),1,"")</f>
        <v/>
      </c>
      <c r="BP36">
        <f>IF(AND($A36&lt;&gt;"",BP$3&gt;=$J36,BP$3&lt;=$M36),1,"")</f>
        <v/>
      </c>
      <c r="BQ36">
        <f>IF(AND($A36&lt;&gt;"",BQ$3&gt;=$J36,BQ$3&lt;=$M36),1,"")</f>
        <v/>
      </c>
      <c r="BR36">
        <f>IF(AND($A36&lt;&gt;"",BR$3&gt;=$J36,BR$3&lt;=$M36),1,"")</f>
        <v/>
      </c>
      <c r="BS36">
        <f>IF(AND($A36&lt;&gt;"",BS$3&gt;=$J36,BS$3&lt;=$M36),1,"")</f>
        <v/>
      </c>
      <c r="BT36">
        <f>IF(AND($A36&lt;&gt;"",BT$3&gt;=$J36,BT$3&lt;=$M36),1,"")</f>
        <v/>
      </c>
      <c r="BU36">
        <f>IF(AND($A36&lt;&gt;"",BU$3&gt;=$J36,BU$3&lt;=$M36),1,"")</f>
        <v/>
      </c>
      <c r="BV36">
        <f>IF(AND($A36&lt;&gt;"",BV$3&gt;=$J36,BV$3&lt;=$M36),1,"")</f>
        <v/>
      </c>
    </row>
    <row r="37">
      <c r="A37">
        <f>IF(Job_Master_Ring!$A37="","",Job_Master_Ring!$A37)</f>
        <v/>
      </c>
      <c r="B37">
        <f>IF($A37="","",Job_Master_Ring!B37)</f>
        <v/>
      </c>
      <c r="C37">
        <f>IF($A37="","",Job_Master_Ring!C37)</f>
        <v/>
      </c>
      <c r="D37">
        <f>IF($A37="","",Job_Master_Ring!D37)</f>
        <v/>
      </c>
      <c r="E37">
        <f>IF($A37="","",IF($I37&lt;&gt;"",$I37,IFERROR(INDEX(Machine_List!$B$64:$B$71,MATCH(1,(Machine_List!$H$64:$H$71&lt;=IFERROR(VLOOKUP($B37,CHOOSE(MATCH($C37,Settings!$L$4:$L$10,0),OPR_BR1!$A$4:$K$18,OPR_BR2!$A$4:$K$18,OPR_CR2!$A$4:$K$18,OPR_CR3!$A$4:$K$18,OPR_CR4!$A$4:$K$18,OPR_RIM!$A$4:$K$18,OPR_BPR!$A$4:$K$18),10,0),0))*(Machine_List!$I$64:$I$71&gt;=IFERROR(VLOOKUP($B37,CHOOSE(MATCH($C37,Settings!$L$4:$L$10,0),OPR_BR1!$A$4:$K$18,OPR_BR2!$A$4:$K$18,OPR_CR2!$A$4:$K$18,OPR_CR3!$A$4:$K$18,OPR_CR4!$A$4:$K$18,OPR_RIM!$A$4:$K$18,OPR_BPR!$A$4:$K$18),11,0),9999)),0)),"NO COMPATIBLE MACHINE")))</f>
        <v/>
      </c>
      <c r="F37">
        <f>IF($E37="","",IFERROR(VLOOKUP($E37,Machine_List!$B:$G,6,0),""))</f>
        <v/>
      </c>
      <c r="G37" s="17">
        <f>IF($E37="","",IFERROR(VLOOKUP($E37,Machine_List!$B:$C,2,0),""))</f>
        <v/>
      </c>
      <c r="H37">
        <f>IF($E37="","",IFERROR(VLOOKUP($E37,Machine_List!$B:$D,3,0),""))</f>
        <v/>
      </c>
      <c r="J37" s="16">
        <f>IF($A37="","",IF($I37&lt;&gt;"",$I37,MAX(ENG_Plan!$M37,IFERROR(LOOKUP(2,1/($E$3:INDIRECT("E"&amp;(ROW()-1))=$E37),$M$3:INDIRECT("M"&amp;(ROW()-1))),ENG_Plan!$M37))))</f>
        <v/>
      </c>
      <c r="K37">
        <f>IF($A37="","",IFERROR(VLOOKUP(B37,CHOOSE(MATCH($C37,Settings!$L$4:$L$10,0),OPR_BR1!$A$4:$I$18,OPR_BR2!$A$4:$I$18,OPR_CR2!$A$4:$I$18,OPR_CR3!$A$4:$I$18,OPR_CR4!$A$4:$I$18,OPR_RIM!$A$4:$I$18,OPR_BPR!$A$4:$I$18),7,0),0))</f>
        <v/>
      </c>
      <c r="L37">
        <f>IF($A37="","",K37*D37)</f>
        <v/>
      </c>
      <c r="M37" s="16">
        <f>IF($A37="","",IF(AND(ISNUMBER(G37),G37&gt;=J37,G37&lt;=(J37+(L37/(IF(F37="Contract Workman",Settings!$K$5,Settings!$K$4))))),J37+(L37/(IF(F37="Contract Workman",Settings!$K$5,Settings!$K$4)))+(H37/(IF(F37="Contract Workman",Settings!$K$5,Settings!$K$4))),J37+(L37/(IF(F37="Contract Workman",Settings!$K$5,Settings!$K$4)))))</f>
        <v/>
      </c>
      <c r="N37">
        <f>IF($A37="","",IF(F37="Contract Workman",IF(AND(MOD(M37,1)&gt;=8/24,MOD(M37,1)&lt;20/24),"Shift S1","Shift S2"),IF(AND(MOD(M37,1)&gt;=7/24,MOD(M37,1)&lt;15/24),"Shift A",IF(AND(MOD(M37,1)&gt;=15/24,MOD(M37,1)&lt;23/24),"Shift B","Shift C"))))</f>
        <v/>
      </c>
      <c r="O37">
        <f>IF(B37="","",IF(IFERROR(ISNUMBER(SEARCH(TEXT(B37,"0"),VLOOKUP(E37,Machine_List!$B:$J,9,0))),FALSE),"✅ "&amp; E37,"❌ Sug: "&amp;IFERROR(INDEX(Machine_List!$B$64:$B$71,MATCH(1,(Machine_List!$H$64:$H$71&lt;=IFERROR(VLOOKUP($B37,OPR_BR1!$A$4:$K$18,10,0),0))*(Machine_List!$I$64:$I$71&gt;=IFERROR(VLOOKUP($B37,OPR_BR1!$A$4:$K$18,11,0),9999)),0)),"?")))</f>
        <v/>
      </c>
      <c r="P37">
        <f>IF(AND($A37&lt;&gt;"",P$3&gt;=$J37,P$3&lt;=$M37),1,"")</f>
        <v/>
      </c>
      <c r="Q37">
        <f>IF(AND($A37&lt;&gt;"",Q$3&gt;=$J37,Q$3&lt;=$M37),1,"")</f>
        <v/>
      </c>
      <c r="R37">
        <f>IF(AND($A37&lt;&gt;"",R$3&gt;=$J37,R$3&lt;=$M37),1,"")</f>
        <v/>
      </c>
      <c r="S37">
        <f>IF(AND($A37&lt;&gt;"",S$3&gt;=$J37,S$3&lt;=$M37),1,"")</f>
        <v/>
      </c>
      <c r="T37">
        <f>IF(AND($A37&lt;&gt;"",T$3&gt;=$J37,T$3&lt;=$M37),1,"")</f>
        <v/>
      </c>
      <c r="U37">
        <f>IF(AND($A37&lt;&gt;"",U$3&gt;=$J37,U$3&lt;=$M37),1,"")</f>
        <v/>
      </c>
      <c r="V37">
        <f>IF(AND($A37&lt;&gt;"",V$3&gt;=$J37,V$3&lt;=$M37),1,"")</f>
        <v/>
      </c>
      <c r="W37">
        <f>IF(AND($A37&lt;&gt;"",W$3&gt;=$J37,W$3&lt;=$M37),1,"")</f>
        <v/>
      </c>
      <c r="X37">
        <f>IF(AND($A37&lt;&gt;"",X$3&gt;=$J37,X$3&lt;=$M37),1,"")</f>
        <v/>
      </c>
      <c r="Y37">
        <f>IF(AND($A37&lt;&gt;"",Y$3&gt;=$J37,Y$3&lt;=$M37),1,"")</f>
        <v/>
      </c>
      <c r="Z37">
        <f>IF(AND($A37&lt;&gt;"",Z$3&gt;=$J37,Z$3&lt;=$M37),1,"")</f>
        <v/>
      </c>
      <c r="AA37">
        <f>IF(AND($A37&lt;&gt;"",AA$3&gt;=$J37,AA$3&lt;=$M37),1,"")</f>
        <v/>
      </c>
      <c r="AB37">
        <f>IF(AND($A37&lt;&gt;"",AB$3&gt;=$J37,AB$3&lt;=$M37),1,"")</f>
        <v/>
      </c>
      <c r="AC37">
        <f>IF(AND($A37&lt;&gt;"",AC$3&gt;=$J37,AC$3&lt;=$M37),1,"")</f>
        <v/>
      </c>
      <c r="AD37">
        <f>IF(AND($A37&lt;&gt;"",AD$3&gt;=$J37,AD$3&lt;=$M37),1,"")</f>
        <v/>
      </c>
      <c r="AE37">
        <f>IF(AND($A37&lt;&gt;"",AE$3&gt;=$J37,AE$3&lt;=$M37),1,"")</f>
        <v/>
      </c>
      <c r="AF37">
        <f>IF(AND($A37&lt;&gt;"",AF$3&gt;=$J37,AF$3&lt;=$M37),1,"")</f>
        <v/>
      </c>
      <c r="AG37">
        <f>IF(AND($A37&lt;&gt;"",AG$3&gt;=$J37,AG$3&lt;=$M37),1,"")</f>
        <v/>
      </c>
      <c r="AH37">
        <f>IF(AND($A37&lt;&gt;"",AH$3&gt;=$J37,AH$3&lt;=$M37),1,"")</f>
        <v/>
      </c>
      <c r="AI37">
        <f>IF(AND($A37&lt;&gt;"",AI$3&gt;=$J37,AI$3&lt;=$M37),1,"")</f>
        <v/>
      </c>
      <c r="AJ37">
        <f>IF(AND($A37&lt;&gt;"",AJ$3&gt;=$J37,AJ$3&lt;=$M37),1,"")</f>
        <v/>
      </c>
      <c r="AK37">
        <f>IF(AND($A37&lt;&gt;"",AK$3&gt;=$J37,AK$3&lt;=$M37),1,"")</f>
        <v/>
      </c>
      <c r="AL37">
        <f>IF(AND($A37&lt;&gt;"",AL$3&gt;=$J37,AL$3&lt;=$M37),1,"")</f>
        <v/>
      </c>
      <c r="AM37">
        <f>IF(AND($A37&lt;&gt;"",AM$3&gt;=$J37,AM$3&lt;=$M37),1,"")</f>
        <v/>
      </c>
      <c r="AN37">
        <f>IF(AND($A37&lt;&gt;"",AN$3&gt;=$J37,AN$3&lt;=$M37),1,"")</f>
        <v/>
      </c>
      <c r="AO37">
        <f>IF(AND($A37&lt;&gt;"",AO$3&gt;=$J37,AO$3&lt;=$M37),1,"")</f>
        <v/>
      </c>
      <c r="AP37">
        <f>IF(AND($A37&lt;&gt;"",AP$3&gt;=$J37,AP$3&lt;=$M37),1,"")</f>
        <v/>
      </c>
      <c r="AQ37">
        <f>IF(AND($A37&lt;&gt;"",AQ$3&gt;=$J37,AQ$3&lt;=$M37),1,"")</f>
        <v/>
      </c>
      <c r="AR37">
        <f>IF(AND($A37&lt;&gt;"",AR$3&gt;=$J37,AR$3&lt;=$M37),1,"")</f>
        <v/>
      </c>
      <c r="AS37">
        <f>IF(AND($A37&lt;&gt;"",AS$3&gt;=$J37,AS$3&lt;=$M37),1,"")</f>
        <v/>
      </c>
      <c r="AT37">
        <f>IF(AND($A37&lt;&gt;"",AT$3&gt;=$J37,AT$3&lt;=$M37),1,"")</f>
        <v/>
      </c>
      <c r="AU37">
        <f>IF(AND($A37&lt;&gt;"",AU$3&gt;=$J37,AU$3&lt;=$M37),1,"")</f>
        <v/>
      </c>
      <c r="AV37">
        <f>IF(AND($A37&lt;&gt;"",AV$3&gt;=$J37,AV$3&lt;=$M37),1,"")</f>
        <v/>
      </c>
      <c r="AW37">
        <f>IF(AND($A37&lt;&gt;"",AW$3&gt;=$J37,AW$3&lt;=$M37),1,"")</f>
        <v/>
      </c>
      <c r="AX37">
        <f>IF(AND($A37&lt;&gt;"",AX$3&gt;=$J37,AX$3&lt;=$M37),1,"")</f>
        <v/>
      </c>
      <c r="AY37">
        <f>IF(AND($A37&lt;&gt;"",AY$3&gt;=$J37,AY$3&lt;=$M37),1,"")</f>
        <v/>
      </c>
      <c r="AZ37">
        <f>IF(AND($A37&lt;&gt;"",AZ$3&gt;=$J37,AZ$3&lt;=$M37),1,"")</f>
        <v/>
      </c>
      <c r="BA37">
        <f>IF(AND($A37&lt;&gt;"",BA$3&gt;=$J37,BA$3&lt;=$M37),1,"")</f>
        <v/>
      </c>
      <c r="BB37">
        <f>IF(AND($A37&lt;&gt;"",BB$3&gt;=$J37,BB$3&lt;=$M37),1,"")</f>
        <v/>
      </c>
      <c r="BC37">
        <f>IF(AND($A37&lt;&gt;"",BC$3&gt;=$J37,BC$3&lt;=$M37),1,"")</f>
        <v/>
      </c>
      <c r="BD37">
        <f>IF(AND($A37&lt;&gt;"",BD$3&gt;=$J37,BD$3&lt;=$M37),1,"")</f>
        <v/>
      </c>
      <c r="BE37">
        <f>IF(AND($A37&lt;&gt;"",BE$3&gt;=$J37,BE$3&lt;=$M37),1,"")</f>
        <v/>
      </c>
      <c r="BF37">
        <f>IF(AND($A37&lt;&gt;"",BF$3&gt;=$J37,BF$3&lt;=$M37),1,"")</f>
        <v/>
      </c>
      <c r="BG37">
        <f>IF(AND($A37&lt;&gt;"",BG$3&gt;=$J37,BG$3&lt;=$M37),1,"")</f>
        <v/>
      </c>
      <c r="BH37">
        <f>IF(AND($A37&lt;&gt;"",BH$3&gt;=$J37,BH$3&lt;=$M37),1,"")</f>
        <v/>
      </c>
      <c r="BI37">
        <f>IF(AND($A37&lt;&gt;"",BI$3&gt;=$J37,BI$3&lt;=$M37),1,"")</f>
        <v/>
      </c>
      <c r="BJ37">
        <f>IF(AND($A37&lt;&gt;"",BJ$3&gt;=$J37,BJ$3&lt;=$M37),1,"")</f>
        <v/>
      </c>
      <c r="BK37">
        <f>IF(AND($A37&lt;&gt;"",BK$3&gt;=$J37,BK$3&lt;=$M37),1,"")</f>
        <v/>
      </c>
      <c r="BL37">
        <f>IF(AND($A37&lt;&gt;"",BL$3&gt;=$J37,BL$3&lt;=$M37),1,"")</f>
        <v/>
      </c>
      <c r="BM37">
        <f>IF(AND($A37&lt;&gt;"",BM$3&gt;=$J37,BM$3&lt;=$M37),1,"")</f>
        <v/>
      </c>
      <c r="BN37">
        <f>IF(AND($A37&lt;&gt;"",BN$3&gt;=$J37,BN$3&lt;=$M37),1,"")</f>
        <v/>
      </c>
      <c r="BO37">
        <f>IF(AND($A37&lt;&gt;"",BO$3&gt;=$J37,BO$3&lt;=$M37),1,"")</f>
        <v/>
      </c>
      <c r="BP37">
        <f>IF(AND($A37&lt;&gt;"",BP$3&gt;=$J37,BP$3&lt;=$M37),1,"")</f>
        <v/>
      </c>
      <c r="BQ37">
        <f>IF(AND($A37&lt;&gt;"",BQ$3&gt;=$J37,BQ$3&lt;=$M37),1,"")</f>
        <v/>
      </c>
      <c r="BR37">
        <f>IF(AND($A37&lt;&gt;"",BR$3&gt;=$J37,BR$3&lt;=$M37),1,"")</f>
        <v/>
      </c>
      <c r="BS37">
        <f>IF(AND($A37&lt;&gt;"",BS$3&gt;=$J37,BS$3&lt;=$M37),1,"")</f>
        <v/>
      </c>
      <c r="BT37">
        <f>IF(AND($A37&lt;&gt;"",BT$3&gt;=$J37,BT$3&lt;=$M37),1,"")</f>
        <v/>
      </c>
      <c r="BU37">
        <f>IF(AND($A37&lt;&gt;"",BU$3&gt;=$J37,BU$3&lt;=$M37),1,"")</f>
        <v/>
      </c>
      <c r="BV37">
        <f>IF(AND($A37&lt;&gt;"",BV$3&gt;=$J37,BV$3&lt;=$M37),1,"")</f>
        <v/>
      </c>
    </row>
    <row r="38">
      <c r="A38">
        <f>IF(Job_Master_Ring!$A38="","",Job_Master_Ring!$A38)</f>
        <v/>
      </c>
      <c r="B38">
        <f>IF($A38="","",Job_Master_Ring!B38)</f>
        <v/>
      </c>
      <c r="C38">
        <f>IF($A38="","",Job_Master_Ring!C38)</f>
        <v/>
      </c>
      <c r="D38">
        <f>IF($A38="","",Job_Master_Ring!D38)</f>
        <v/>
      </c>
      <c r="E38">
        <f>IF($A38="","",IF($I38&lt;&gt;"",$I38,IFERROR(INDEX(Machine_List!$B$64:$B$71,MATCH(1,(Machine_List!$H$64:$H$71&lt;=IFERROR(VLOOKUP($B38,CHOOSE(MATCH($C38,Settings!$L$4:$L$10,0),OPR_BR1!$A$4:$K$18,OPR_BR2!$A$4:$K$18,OPR_CR2!$A$4:$K$18,OPR_CR3!$A$4:$K$18,OPR_CR4!$A$4:$K$18,OPR_RIM!$A$4:$K$18,OPR_BPR!$A$4:$K$18),10,0),0))*(Machine_List!$I$64:$I$71&gt;=IFERROR(VLOOKUP($B38,CHOOSE(MATCH($C38,Settings!$L$4:$L$10,0),OPR_BR1!$A$4:$K$18,OPR_BR2!$A$4:$K$18,OPR_CR2!$A$4:$K$18,OPR_CR3!$A$4:$K$18,OPR_CR4!$A$4:$K$18,OPR_RIM!$A$4:$K$18,OPR_BPR!$A$4:$K$18),11,0),9999)),0)),"NO COMPATIBLE MACHINE")))</f>
        <v/>
      </c>
      <c r="F38">
        <f>IF($E38="","",IFERROR(VLOOKUP($E38,Machine_List!$B:$G,6,0),""))</f>
        <v/>
      </c>
      <c r="G38" s="17">
        <f>IF($E38="","",IFERROR(VLOOKUP($E38,Machine_List!$B:$C,2,0),""))</f>
        <v/>
      </c>
      <c r="H38">
        <f>IF($E38="","",IFERROR(VLOOKUP($E38,Machine_List!$B:$D,3,0),""))</f>
        <v/>
      </c>
      <c r="J38" s="16">
        <f>IF($A38="","",IF($I38&lt;&gt;"",$I38,MAX(ENG_Plan!$M38,IFERROR(LOOKUP(2,1/($E$3:INDIRECT("E"&amp;(ROW()-1))=$E38),$M$3:INDIRECT("M"&amp;(ROW()-1))),ENG_Plan!$M38))))</f>
        <v/>
      </c>
      <c r="K38">
        <f>IF($A38="","",IFERROR(VLOOKUP(B38,CHOOSE(MATCH($C38,Settings!$L$4:$L$10,0),OPR_BR1!$A$4:$I$18,OPR_BR2!$A$4:$I$18,OPR_CR2!$A$4:$I$18,OPR_CR3!$A$4:$I$18,OPR_CR4!$A$4:$I$18,OPR_RIM!$A$4:$I$18,OPR_BPR!$A$4:$I$18),7,0),0))</f>
        <v/>
      </c>
      <c r="L38">
        <f>IF($A38="","",K38*D38)</f>
        <v/>
      </c>
      <c r="M38" s="16">
        <f>IF($A38="","",IF(AND(ISNUMBER(G38),G38&gt;=J38,G38&lt;=(J38+(L38/(IF(F38="Contract Workman",Settings!$K$5,Settings!$K$4))))),J38+(L38/(IF(F38="Contract Workman",Settings!$K$5,Settings!$K$4)))+(H38/(IF(F38="Contract Workman",Settings!$K$5,Settings!$K$4))),J38+(L38/(IF(F38="Contract Workman",Settings!$K$5,Settings!$K$4)))))</f>
        <v/>
      </c>
      <c r="N38">
        <f>IF($A38="","",IF(F38="Contract Workman",IF(AND(MOD(M38,1)&gt;=8/24,MOD(M38,1)&lt;20/24),"Shift S1","Shift S2"),IF(AND(MOD(M38,1)&gt;=7/24,MOD(M38,1)&lt;15/24),"Shift A",IF(AND(MOD(M38,1)&gt;=15/24,MOD(M38,1)&lt;23/24),"Shift B","Shift C"))))</f>
        <v/>
      </c>
      <c r="O38">
        <f>IF(B38="","",IF(IFERROR(ISNUMBER(SEARCH(TEXT(B38,"0"),VLOOKUP(E38,Machine_List!$B:$J,9,0))),FALSE),"✅ "&amp; E38,"❌ Sug: "&amp;IFERROR(INDEX(Machine_List!$B$64:$B$71,MATCH(1,(Machine_List!$H$64:$H$71&lt;=IFERROR(VLOOKUP($B38,OPR_BR1!$A$4:$K$18,10,0),0))*(Machine_List!$I$64:$I$71&gt;=IFERROR(VLOOKUP($B38,OPR_BR1!$A$4:$K$18,11,0),9999)),0)),"?")))</f>
        <v/>
      </c>
      <c r="P38">
        <f>IF(AND($A38&lt;&gt;"",P$3&gt;=$J38,P$3&lt;=$M38),1,"")</f>
        <v/>
      </c>
      <c r="Q38">
        <f>IF(AND($A38&lt;&gt;"",Q$3&gt;=$J38,Q$3&lt;=$M38),1,"")</f>
        <v/>
      </c>
      <c r="R38">
        <f>IF(AND($A38&lt;&gt;"",R$3&gt;=$J38,R$3&lt;=$M38),1,"")</f>
        <v/>
      </c>
      <c r="S38">
        <f>IF(AND($A38&lt;&gt;"",S$3&gt;=$J38,S$3&lt;=$M38),1,"")</f>
        <v/>
      </c>
      <c r="T38">
        <f>IF(AND($A38&lt;&gt;"",T$3&gt;=$J38,T$3&lt;=$M38),1,"")</f>
        <v/>
      </c>
      <c r="U38">
        <f>IF(AND($A38&lt;&gt;"",U$3&gt;=$J38,U$3&lt;=$M38),1,"")</f>
        <v/>
      </c>
      <c r="V38">
        <f>IF(AND($A38&lt;&gt;"",V$3&gt;=$J38,V$3&lt;=$M38),1,"")</f>
        <v/>
      </c>
      <c r="W38">
        <f>IF(AND($A38&lt;&gt;"",W$3&gt;=$J38,W$3&lt;=$M38),1,"")</f>
        <v/>
      </c>
      <c r="X38">
        <f>IF(AND($A38&lt;&gt;"",X$3&gt;=$J38,X$3&lt;=$M38),1,"")</f>
        <v/>
      </c>
      <c r="Y38">
        <f>IF(AND($A38&lt;&gt;"",Y$3&gt;=$J38,Y$3&lt;=$M38),1,"")</f>
        <v/>
      </c>
      <c r="Z38">
        <f>IF(AND($A38&lt;&gt;"",Z$3&gt;=$J38,Z$3&lt;=$M38),1,"")</f>
        <v/>
      </c>
      <c r="AA38">
        <f>IF(AND($A38&lt;&gt;"",AA$3&gt;=$J38,AA$3&lt;=$M38),1,"")</f>
        <v/>
      </c>
      <c r="AB38">
        <f>IF(AND($A38&lt;&gt;"",AB$3&gt;=$J38,AB$3&lt;=$M38),1,"")</f>
        <v/>
      </c>
      <c r="AC38">
        <f>IF(AND($A38&lt;&gt;"",AC$3&gt;=$J38,AC$3&lt;=$M38),1,"")</f>
        <v/>
      </c>
      <c r="AD38">
        <f>IF(AND($A38&lt;&gt;"",AD$3&gt;=$J38,AD$3&lt;=$M38),1,"")</f>
        <v/>
      </c>
      <c r="AE38">
        <f>IF(AND($A38&lt;&gt;"",AE$3&gt;=$J38,AE$3&lt;=$M38),1,"")</f>
        <v/>
      </c>
      <c r="AF38">
        <f>IF(AND($A38&lt;&gt;"",AF$3&gt;=$J38,AF$3&lt;=$M38),1,"")</f>
        <v/>
      </c>
      <c r="AG38">
        <f>IF(AND($A38&lt;&gt;"",AG$3&gt;=$J38,AG$3&lt;=$M38),1,"")</f>
        <v/>
      </c>
      <c r="AH38">
        <f>IF(AND($A38&lt;&gt;"",AH$3&gt;=$J38,AH$3&lt;=$M38),1,"")</f>
        <v/>
      </c>
      <c r="AI38">
        <f>IF(AND($A38&lt;&gt;"",AI$3&gt;=$J38,AI$3&lt;=$M38),1,"")</f>
        <v/>
      </c>
      <c r="AJ38">
        <f>IF(AND($A38&lt;&gt;"",AJ$3&gt;=$J38,AJ$3&lt;=$M38),1,"")</f>
        <v/>
      </c>
      <c r="AK38">
        <f>IF(AND($A38&lt;&gt;"",AK$3&gt;=$J38,AK$3&lt;=$M38),1,"")</f>
        <v/>
      </c>
      <c r="AL38">
        <f>IF(AND($A38&lt;&gt;"",AL$3&gt;=$J38,AL$3&lt;=$M38),1,"")</f>
        <v/>
      </c>
      <c r="AM38">
        <f>IF(AND($A38&lt;&gt;"",AM$3&gt;=$J38,AM$3&lt;=$M38),1,"")</f>
        <v/>
      </c>
      <c r="AN38">
        <f>IF(AND($A38&lt;&gt;"",AN$3&gt;=$J38,AN$3&lt;=$M38),1,"")</f>
        <v/>
      </c>
      <c r="AO38">
        <f>IF(AND($A38&lt;&gt;"",AO$3&gt;=$J38,AO$3&lt;=$M38),1,"")</f>
        <v/>
      </c>
      <c r="AP38">
        <f>IF(AND($A38&lt;&gt;"",AP$3&gt;=$J38,AP$3&lt;=$M38),1,"")</f>
        <v/>
      </c>
      <c r="AQ38">
        <f>IF(AND($A38&lt;&gt;"",AQ$3&gt;=$J38,AQ$3&lt;=$M38),1,"")</f>
        <v/>
      </c>
      <c r="AR38">
        <f>IF(AND($A38&lt;&gt;"",AR$3&gt;=$J38,AR$3&lt;=$M38),1,"")</f>
        <v/>
      </c>
      <c r="AS38">
        <f>IF(AND($A38&lt;&gt;"",AS$3&gt;=$J38,AS$3&lt;=$M38),1,"")</f>
        <v/>
      </c>
      <c r="AT38">
        <f>IF(AND($A38&lt;&gt;"",AT$3&gt;=$J38,AT$3&lt;=$M38),1,"")</f>
        <v/>
      </c>
      <c r="AU38">
        <f>IF(AND($A38&lt;&gt;"",AU$3&gt;=$J38,AU$3&lt;=$M38),1,"")</f>
        <v/>
      </c>
      <c r="AV38">
        <f>IF(AND($A38&lt;&gt;"",AV$3&gt;=$J38,AV$3&lt;=$M38),1,"")</f>
        <v/>
      </c>
      <c r="AW38">
        <f>IF(AND($A38&lt;&gt;"",AW$3&gt;=$J38,AW$3&lt;=$M38),1,"")</f>
        <v/>
      </c>
      <c r="AX38">
        <f>IF(AND($A38&lt;&gt;"",AX$3&gt;=$J38,AX$3&lt;=$M38),1,"")</f>
        <v/>
      </c>
      <c r="AY38">
        <f>IF(AND($A38&lt;&gt;"",AY$3&gt;=$J38,AY$3&lt;=$M38),1,"")</f>
        <v/>
      </c>
      <c r="AZ38">
        <f>IF(AND($A38&lt;&gt;"",AZ$3&gt;=$J38,AZ$3&lt;=$M38),1,"")</f>
        <v/>
      </c>
      <c r="BA38">
        <f>IF(AND($A38&lt;&gt;"",BA$3&gt;=$J38,BA$3&lt;=$M38),1,"")</f>
        <v/>
      </c>
      <c r="BB38">
        <f>IF(AND($A38&lt;&gt;"",BB$3&gt;=$J38,BB$3&lt;=$M38),1,"")</f>
        <v/>
      </c>
      <c r="BC38">
        <f>IF(AND($A38&lt;&gt;"",BC$3&gt;=$J38,BC$3&lt;=$M38),1,"")</f>
        <v/>
      </c>
      <c r="BD38">
        <f>IF(AND($A38&lt;&gt;"",BD$3&gt;=$J38,BD$3&lt;=$M38),1,"")</f>
        <v/>
      </c>
      <c r="BE38">
        <f>IF(AND($A38&lt;&gt;"",BE$3&gt;=$J38,BE$3&lt;=$M38),1,"")</f>
        <v/>
      </c>
      <c r="BF38">
        <f>IF(AND($A38&lt;&gt;"",BF$3&gt;=$J38,BF$3&lt;=$M38),1,"")</f>
        <v/>
      </c>
      <c r="BG38">
        <f>IF(AND($A38&lt;&gt;"",BG$3&gt;=$J38,BG$3&lt;=$M38),1,"")</f>
        <v/>
      </c>
      <c r="BH38">
        <f>IF(AND($A38&lt;&gt;"",BH$3&gt;=$J38,BH$3&lt;=$M38),1,"")</f>
        <v/>
      </c>
      <c r="BI38">
        <f>IF(AND($A38&lt;&gt;"",BI$3&gt;=$J38,BI$3&lt;=$M38),1,"")</f>
        <v/>
      </c>
      <c r="BJ38">
        <f>IF(AND($A38&lt;&gt;"",BJ$3&gt;=$J38,BJ$3&lt;=$M38),1,"")</f>
        <v/>
      </c>
      <c r="BK38">
        <f>IF(AND($A38&lt;&gt;"",BK$3&gt;=$J38,BK$3&lt;=$M38),1,"")</f>
        <v/>
      </c>
      <c r="BL38">
        <f>IF(AND($A38&lt;&gt;"",BL$3&gt;=$J38,BL$3&lt;=$M38),1,"")</f>
        <v/>
      </c>
      <c r="BM38">
        <f>IF(AND($A38&lt;&gt;"",BM$3&gt;=$J38,BM$3&lt;=$M38),1,"")</f>
        <v/>
      </c>
      <c r="BN38">
        <f>IF(AND($A38&lt;&gt;"",BN$3&gt;=$J38,BN$3&lt;=$M38),1,"")</f>
        <v/>
      </c>
      <c r="BO38">
        <f>IF(AND($A38&lt;&gt;"",BO$3&gt;=$J38,BO$3&lt;=$M38),1,"")</f>
        <v/>
      </c>
      <c r="BP38">
        <f>IF(AND($A38&lt;&gt;"",BP$3&gt;=$J38,BP$3&lt;=$M38),1,"")</f>
        <v/>
      </c>
      <c r="BQ38">
        <f>IF(AND($A38&lt;&gt;"",BQ$3&gt;=$J38,BQ$3&lt;=$M38),1,"")</f>
        <v/>
      </c>
      <c r="BR38">
        <f>IF(AND($A38&lt;&gt;"",BR$3&gt;=$J38,BR$3&lt;=$M38),1,"")</f>
        <v/>
      </c>
      <c r="BS38">
        <f>IF(AND($A38&lt;&gt;"",BS$3&gt;=$J38,BS$3&lt;=$M38),1,"")</f>
        <v/>
      </c>
      <c r="BT38">
        <f>IF(AND($A38&lt;&gt;"",BT$3&gt;=$J38,BT$3&lt;=$M38),1,"")</f>
        <v/>
      </c>
      <c r="BU38">
        <f>IF(AND($A38&lt;&gt;"",BU$3&gt;=$J38,BU$3&lt;=$M38),1,"")</f>
        <v/>
      </c>
      <c r="BV38">
        <f>IF(AND($A38&lt;&gt;"",BV$3&gt;=$J38,BV$3&lt;=$M38),1,"")</f>
        <v/>
      </c>
    </row>
    <row r="39">
      <c r="A39">
        <f>IF(Job_Master_Ring!$A39="","",Job_Master_Ring!$A39)</f>
        <v/>
      </c>
      <c r="B39">
        <f>IF($A39="","",Job_Master_Ring!B39)</f>
        <v/>
      </c>
      <c r="C39">
        <f>IF($A39="","",Job_Master_Ring!C39)</f>
        <v/>
      </c>
      <c r="D39">
        <f>IF($A39="","",Job_Master_Ring!D39)</f>
        <v/>
      </c>
      <c r="E39">
        <f>IF($A39="","",IF($I39&lt;&gt;"",$I39,IFERROR(INDEX(Machine_List!$B$64:$B$71,MATCH(1,(Machine_List!$H$64:$H$71&lt;=IFERROR(VLOOKUP($B39,CHOOSE(MATCH($C39,Settings!$L$4:$L$10,0),OPR_BR1!$A$4:$K$18,OPR_BR2!$A$4:$K$18,OPR_CR2!$A$4:$K$18,OPR_CR3!$A$4:$K$18,OPR_CR4!$A$4:$K$18,OPR_RIM!$A$4:$K$18,OPR_BPR!$A$4:$K$18),10,0),0))*(Machine_List!$I$64:$I$71&gt;=IFERROR(VLOOKUP($B39,CHOOSE(MATCH($C39,Settings!$L$4:$L$10,0),OPR_BR1!$A$4:$K$18,OPR_BR2!$A$4:$K$18,OPR_CR2!$A$4:$K$18,OPR_CR3!$A$4:$K$18,OPR_CR4!$A$4:$K$18,OPR_RIM!$A$4:$K$18,OPR_BPR!$A$4:$K$18),11,0),9999)),0)),"NO COMPATIBLE MACHINE")))</f>
        <v/>
      </c>
      <c r="F39">
        <f>IF($E39="","",IFERROR(VLOOKUP($E39,Machine_List!$B:$G,6,0),""))</f>
        <v/>
      </c>
      <c r="G39" s="17">
        <f>IF($E39="","",IFERROR(VLOOKUP($E39,Machine_List!$B:$C,2,0),""))</f>
        <v/>
      </c>
      <c r="H39">
        <f>IF($E39="","",IFERROR(VLOOKUP($E39,Machine_List!$B:$D,3,0),""))</f>
        <v/>
      </c>
      <c r="J39" s="16">
        <f>IF($A39="","",IF($I39&lt;&gt;"",$I39,MAX(ENG_Plan!$M39,IFERROR(LOOKUP(2,1/($E$3:INDIRECT("E"&amp;(ROW()-1))=$E39),$M$3:INDIRECT("M"&amp;(ROW()-1))),ENG_Plan!$M39))))</f>
        <v/>
      </c>
      <c r="K39">
        <f>IF($A39="","",IFERROR(VLOOKUP(B39,CHOOSE(MATCH($C39,Settings!$L$4:$L$10,0),OPR_BR1!$A$4:$I$18,OPR_BR2!$A$4:$I$18,OPR_CR2!$A$4:$I$18,OPR_CR3!$A$4:$I$18,OPR_CR4!$A$4:$I$18,OPR_RIM!$A$4:$I$18,OPR_BPR!$A$4:$I$18),7,0),0))</f>
        <v/>
      </c>
      <c r="L39">
        <f>IF($A39="","",K39*D39)</f>
        <v/>
      </c>
      <c r="M39" s="16">
        <f>IF($A39="","",IF(AND(ISNUMBER(G39),G39&gt;=J39,G39&lt;=(J39+(L39/(IF(F39="Contract Workman",Settings!$K$5,Settings!$K$4))))),J39+(L39/(IF(F39="Contract Workman",Settings!$K$5,Settings!$K$4)))+(H39/(IF(F39="Contract Workman",Settings!$K$5,Settings!$K$4))),J39+(L39/(IF(F39="Contract Workman",Settings!$K$5,Settings!$K$4)))))</f>
        <v/>
      </c>
      <c r="N39">
        <f>IF($A39="","",IF(F39="Contract Workman",IF(AND(MOD(M39,1)&gt;=8/24,MOD(M39,1)&lt;20/24),"Shift S1","Shift S2"),IF(AND(MOD(M39,1)&gt;=7/24,MOD(M39,1)&lt;15/24),"Shift A",IF(AND(MOD(M39,1)&gt;=15/24,MOD(M39,1)&lt;23/24),"Shift B","Shift C"))))</f>
        <v/>
      </c>
      <c r="O39">
        <f>IF(B39="","",IF(IFERROR(ISNUMBER(SEARCH(TEXT(B39,"0"),VLOOKUP(E39,Machine_List!$B:$J,9,0))),FALSE),"✅ "&amp; E39,"❌ Sug: "&amp;IFERROR(INDEX(Machine_List!$B$64:$B$71,MATCH(1,(Machine_List!$H$64:$H$71&lt;=IFERROR(VLOOKUP($B39,OPR_BR1!$A$4:$K$18,10,0),0))*(Machine_List!$I$64:$I$71&gt;=IFERROR(VLOOKUP($B39,OPR_BR1!$A$4:$K$18,11,0),9999)),0)),"?")))</f>
        <v/>
      </c>
      <c r="P39">
        <f>IF(AND($A39&lt;&gt;"",P$3&gt;=$J39,P$3&lt;=$M39),1,"")</f>
        <v/>
      </c>
      <c r="Q39">
        <f>IF(AND($A39&lt;&gt;"",Q$3&gt;=$J39,Q$3&lt;=$M39),1,"")</f>
        <v/>
      </c>
      <c r="R39">
        <f>IF(AND($A39&lt;&gt;"",R$3&gt;=$J39,R$3&lt;=$M39),1,"")</f>
        <v/>
      </c>
      <c r="S39">
        <f>IF(AND($A39&lt;&gt;"",S$3&gt;=$J39,S$3&lt;=$M39),1,"")</f>
        <v/>
      </c>
      <c r="T39">
        <f>IF(AND($A39&lt;&gt;"",T$3&gt;=$J39,T$3&lt;=$M39),1,"")</f>
        <v/>
      </c>
      <c r="U39">
        <f>IF(AND($A39&lt;&gt;"",U$3&gt;=$J39,U$3&lt;=$M39),1,"")</f>
        <v/>
      </c>
      <c r="V39">
        <f>IF(AND($A39&lt;&gt;"",V$3&gt;=$J39,V$3&lt;=$M39),1,"")</f>
        <v/>
      </c>
      <c r="W39">
        <f>IF(AND($A39&lt;&gt;"",W$3&gt;=$J39,W$3&lt;=$M39),1,"")</f>
        <v/>
      </c>
      <c r="X39">
        <f>IF(AND($A39&lt;&gt;"",X$3&gt;=$J39,X$3&lt;=$M39),1,"")</f>
        <v/>
      </c>
      <c r="Y39">
        <f>IF(AND($A39&lt;&gt;"",Y$3&gt;=$J39,Y$3&lt;=$M39),1,"")</f>
        <v/>
      </c>
      <c r="Z39">
        <f>IF(AND($A39&lt;&gt;"",Z$3&gt;=$J39,Z$3&lt;=$M39),1,"")</f>
        <v/>
      </c>
      <c r="AA39">
        <f>IF(AND($A39&lt;&gt;"",AA$3&gt;=$J39,AA$3&lt;=$M39),1,"")</f>
        <v/>
      </c>
      <c r="AB39">
        <f>IF(AND($A39&lt;&gt;"",AB$3&gt;=$J39,AB$3&lt;=$M39),1,"")</f>
        <v/>
      </c>
      <c r="AC39">
        <f>IF(AND($A39&lt;&gt;"",AC$3&gt;=$J39,AC$3&lt;=$M39),1,"")</f>
        <v/>
      </c>
      <c r="AD39">
        <f>IF(AND($A39&lt;&gt;"",AD$3&gt;=$J39,AD$3&lt;=$M39),1,"")</f>
        <v/>
      </c>
      <c r="AE39">
        <f>IF(AND($A39&lt;&gt;"",AE$3&gt;=$J39,AE$3&lt;=$M39),1,"")</f>
        <v/>
      </c>
      <c r="AF39">
        <f>IF(AND($A39&lt;&gt;"",AF$3&gt;=$J39,AF$3&lt;=$M39),1,"")</f>
        <v/>
      </c>
      <c r="AG39">
        <f>IF(AND($A39&lt;&gt;"",AG$3&gt;=$J39,AG$3&lt;=$M39),1,"")</f>
        <v/>
      </c>
      <c r="AH39">
        <f>IF(AND($A39&lt;&gt;"",AH$3&gt;=$J39,AH$3&lt;=$M39),1,"")</f>
        <v/>
      </c>
      <c r="AI39">
        <f>IF(AND($A39&lt;&gt;"",AI$3&gt;=$J39,AI$3&lt;=$M39),1,"")</f>
        <v/>
      </c>
      <c r="AJ39">
        <f>IF(AND($A39&lt;&gt;"",AJ$3&gt;=$J39,AJ$3&lt;=$M39),1,"")</f>
        <v/>
      </c>
      <c r="AK39">
        <f>IF(AND($A39&lt;&gt;"",AK$3&gt;=$J39,AK$3&lt;=$M39),1,"")</f>
        <v/>
      </c>
      <c r="AL39">
        <f>IF(AND($A39&lt;&gt;"",AL$3&gt;=$J39,AL$3&lt;=$M39),1,"")</f>
        <v/>
      </c>
      <c r="AM39">
        <f>IF(AND($A39&lt;&gt;"",AM$3&gt;=$J39,AM$3&lt;=$M39),1,"")</f>
        <v/>
      </c>
      <c r="AN39">
        <f>IF(AND($A39&lt;&gt;"",AN$3&gt;=$J39,AN$3&lt;=$M39),1,"")</f>
        <v/>
      </c>
      <c r="AO39">
        <f>IF(AND($A39&lt;&gt;"",AO$3&gt;=$J39,AO$3&lt;=$M39),1,"")</f>
        <v/>
      </c>
      <c r="AP39">
        <f>IF(AND($A39&lt;&gt;"",AP$3&gt;=$J39,AP$3&lt;=$M39),1,"")</f>
        <v/>
      </c>
      <c r="AQ39">
        <f>IF(AND($A39&lt;&gt;"",AQ$3&gt;=$J39,AQ$3&lt;=$M39),1,"")</f>
        <v/>
      </c>
      <c r="AR39">
        <f>IF(AND($A39&lt;&gt;"",AR$3&gt;=$J39,AR$3&lt;=$M39),1,"")</f>
        <v/>
      </c>
      <c r="AS39">
        <f>IF(AND($A39&lt;&gt;"",AS$3&gt;=$J39,AS$3&lt;=$M39),1,"")</f>
        <v/>
      </c>
      <c r="AT39">
        <f>IF(AND($A39&lt;&gt;"",AT$3&gt;=$J39,AT$3&lt;=$M39),1,"")</f>
        <v/>
      </c>
      <c r="AU39">
        <f>IF(AND($A39&lt;&gt;"",AU$3&gt;=$J39,AU$3&lt;=$M39),1,"")</f>
        <v/>
      </c>
      <c r="AV39">
        <f>IF(AND($A39&lt;&gt;"",AV$3&gt;=$J39,AV$3&lt;=$M39),1,"")</f>
        <v/>
      </c>
      <c r="AW39">
        <f>IF(AND($A39&lt;&gt;"",AW$3&gt;=$J39,AW$3&lt;=$M39),1,"")</f>
        <v/>
      </c>
      <c r="AX39">
        <f>IF(AND($A39&lt;&gt;"",AX$3&gt;=$J39,AX$3&lt;=$M39),1,"")</f>
        <v/>
      </c>
      <c r="AY39">
        <f>IF(AND($A39&lt;&gt;"",AY$3&gt;=$J39,AY$3&lt;=$M39),1,"")</f>
        <v/>
      </c>
      <c r="AZ39">
        <f>IF(AND($A39&lt;&gt;"",AZ$3&gt;=$J39,AZ$3&lt;=$M39),1,"")</f>
        <v/>
      </c>
      <c r="BA39">
        <f>IF(AND($A39&lt;&gt;"",BA$3&gt;=$J39,BA$3&lt;=$M39),1,"")</f>
        <v/>
      </c>
      <c r="BB39">
        <f>IF(AND($A39&lt;&gt;"",BB$3&gt;=$J39,BB$3&lt;=$M39),1,"")</f>
        <v/>
      </c>
      <c r="BC39">
        <f>IF(AND($A39&lt;&gt;"",BC$3&gt;=$J39,BC$3&lt;=$M39),1,"")</f>
        <v/>
      </c>
      <c r="BD39">
        <f>IF(AND($A39&lt;&gt;"",BD$3&gt;=$J39,BD$3&lt;=$M39),1,"")</f>
        <v/>
      </c>
      <c r="BE39">
        <f>IF(AND($A39&lt;&gt;"",BE$3&gt;=$J39,BE$3&lt;=$M39),1,"")</f>
        <v/>
      </c>
      <c r="BF39">
        <f>IF(AND($A39&lt;&gt;"",BF$3&gt;=$J39,BF$3&lt;=$M39),1,"")</f>
        <v/>
      </c>
      <c r="BG39">
        <f>IF(AND($A39&lt;&gt;"",BG$3&gt;=$J39,BG$3&lt;=$M39),1,"")</f>
        <v/>
      </c>
      <c r="BH39">
        <f>IF(AND($A39&lt;&gt;"",BH$3&gt;=$J39,BH$3&lt;=$M39),1,"")</f>
        <v/>
      </c>
      <c r="BI39">
        <f>IF(AND($A39&lt;&gt;"",BI$3&gt;=$J39,BI$3&lt;=$M39),1,"")</f>
        <v/>
      </c>
      <c r="BJ39">
        <f>IF(AND($A39&lt;&gt;"",BJ$3&gt;=$J39,BJ$3&lt;=$M39),1,"")</f>
        <v/>
      </c>
      <c r="BK39">
        <f>IF(AND($A39&lt;&gt;"",BK$3&gt;=$J39,BK$3&lt;=$M39),1,"")</f>
        <v/>
      </c>
      <c r="BL39">
        <f>IF(AND($A39&lt;&gt;"",BL$3&gt;=$J39,BL$3&lt;=$M39),1,"")</f>
        <v/>
      </c>
      <c r="BM39">
        <f>IF(AND($A39&lt;&gt;"",BM$3&gt;=$J39,BM$3&lt;=$M39),1,"")</f>
        <v/>
      </c>
      <c r="BN39">
        <f>IF(AND($A39&lt;&gt;"",BN$3&gt;=$J39,BN$3&lt;=$M39),1,"")</f>
        <v/>
      </c>
      <c r="BO39">
        <f>IF(AND($A39&lt;&gt;"",BO$3&gt;=$J39,BO$3&lt;=$M39),1,"")</f>
        <v/>
      </c>
      <c r="BP39">
        <f>IF(AND($A39&lt;&gt;"",BP$3&gt;=$J39,BP$3&lt;=$M39),1,"")</f>
        <v/>
      </c>
      <c r="BQ39">
        <f>IF(AND($A39&lt;&gt;"",BQ$3&gt;=$J39,BQ$3&lt;=$M39),1,"")</f>
        <v/>
      </c>
      <c r="BR39">
        <f>IF(AND($A39&lt;&gt;"",BR$3&gt;=$J39,BR$3&lt;=$M39),1,"")</f>
        <v/>
      </c>
      <c r="BS39">
        <f>IF(AND($A39&lt;&gt;"",BS$3&gt;=$J39,BS$3&lt;=$M39),1,"")</f>
        <v/>
      </c>
      <c r="BT39">
        <f>IF(AND($A39&lt;&gt;"",BT$3&gt;=$J39,BT$3&lt;=$M39),1,"")</f>
        <v/>
      </c>
      <c r="BU39">
        <f>IF(AND($A39&lt;&gt;"",BU$3&gt;=$J39,BU$3&lt;=$M39),1,"")</f>
        <v/>
      </c>
      <c r="BV39">
        <f>IF(AND($A39&lt;&gt;"",BV$3&gt;=$J39,BV$3&lt;=$M39),1,"")</f>
        <v/>
      </c>
    </row>
    <row r="40">
      <c r="A40">
        <f>IF(Job_Master_Ring!$A40="","",Job_Master_Ring!$A40)</f>
        <v/>
      </c>
      <c r="B40">
        <f>IF($A40="","",Job_Master_Ring!B40)</f>
        <v/>
      </c>
      <c r="C40">
        <f>IF($A40="","",Job_Master_Ring!C40)</f>
        <v/>
      </c>
      <c r="D40">
        <f>IF($A40="","",Job_Master_Ring!D40)</f>
        <v/>
      </c>
      <c r="E40">
        <f>IF($A40="","",IF($I40&lt;&gt;"",$I40,IFERROR(INDEX(Machine_List!$B$64:$B$71,MATCH(1,(Machine_List!$H$64:$H$71&lt;=IFERROR(VLOOKUP($B40,CHOOSE(MATCH($C40,Settings!$L$4:$L$10,0),OPR_BR1!$A$4:$K$18,OPR_BR2!$A$4:$K$18,OPR_CR2!$A$4:$K$18,OPR_CR3!$A$4:$K$18,OPR_CR4!$A$4:$K$18,OPR_RIM!$A$4:$K$18,OPR_BPR!$A$4:$K$18),10,0),0))*(Machine_List!$I$64:$I$71&gt;=IFERROR(VLOOKUP($B40,CHOOSE(MATCH($C40,Settings!$L$4:$L$10,0),OPR_BR1!$A$4:$K$18,OPR_BR2!$A$4:$K$18,OPR_CR2!$A$4:$K$18,OPR_CR3!$A$4:$K$18,OPR_CR4!$A$4:$K$18,OPR_RIM!$A$4:$K$18,OPR_BPR!$A$4:$K$18),11,0),9999)),0)),"NO COMPATIBLE MACHINE")))</f>
        <v/>
      </c>
      <c r="F40">
        <f>IF($E40="","",IFERROR(VLOOKUP($E40,Machine_List!$B:$G,6,0),""))</f>
        <v/>
      </c>
      <c r="G40" s="17">
        <f>IF($E40="","",IFERROR(VLOOKUP($E40,Machine_List!$B:$C,2,0),""))</f>
        <v/>
      </c>
      <c r="H40">
        <f>IF($E40="","",IFERROR(VLOOKUP($E40,Machine_List!$B:$D,3,0),""))</f>
        <v/>
      </c>
      <c r="J40" s="16">
        <f>IF($A40="","",IF($I40&lt;&gt;"",$I40,MAX(ENG_Plan!$M40,IFERROR(LOOKUP(2,1/($E$3:INDIRECT("E"&amp;(ROW()-1))=$E40),$M$3:INDIRECT("M"&amp;(ROW()-1))),ENG_Plan!$M40))))</f>
        <v/>
      </c>
      <c r="K40">
        <f>IF($A40="","",IFERROR(VLOOKUP(B40,CHOOSE(MATCH($C40,Settings!$L$4:$L$10,0),OPR_BR1!$A$4:$I$18,OPR_BR2!$A$4:$I$18,OPR_CR2!$A$4:$I$18,OPR_CR3!$A$4:$I$18,OPR_CR4!$A$4:$I$18,OPR_RIM!$A$4:$I$18,OPR_BPR!$A$4:$I$18),7,0),0))</f>
        <v/>
      </c>
      <c r="L40">
        <f>IF($A40="","",K40*D40)</f>
        <v/>
      </c>
      <c r="M40" s="16">
        <f>IF($A40="","",IF(AND(ISNUMBER(G40),G40&gt;=J40,G40&lt;=(J40+(L40/(IF(F40="Contract Workman",Settings!$K$5,Settings!$K$4))))),J40+(L40/(IF(F40="Contract Workman",Settings!$K$5,Settings!$K$4)))+(H40/(IF(F40="Contract Workman",Settings!$K$5,Settings!$K$4))),J40+(L40/(IF(F40="Contract Workman",Settings!$K$5,Settings!$K$4)))))</f>
        <v/>
      </c>
      <c r="N40">
        <f>IF($A40="","",IF(F40="Contract Workman",IF(AND(MOD(M40,1)&gt;=8/24,MOD(M40,1)&lt;20/24),"Shift S1","Shift S2"),IF(AND(MOD(M40,1)&gt;=7/24,MOD(M40,1)&lt;15/24),"Shift A",IF(AND(MOD(M40,1)&gt;=15/24,MOD(M40,1)&lt;23/24),"Shift B","Shift C"))))</f>
        <v/>
      </c>
      <c r="O40">
        <f>IF(B40="","",IF(IFERROR(ISNUMBER(SEARCH(TEXT(B40,"0"),VLOOKUP(E40,Machine_List!$B:$J,9,0))),FALSE),"✅ "&amp; E40,"❌ Sug: "&amp;IFERROR(INDEX(Machine_List!$B$64:$B$71,MATCH(1,(Machine_List!$H$64:$H$71&lt;=IFERROR(VLOOKUP($B40,OPR_BR1!$A$4:$K$18,10,0),0))*(Machine_List!$I$64:$I$71&gt;=IFERROR(VLOOKUP($B40,OPR_BR1!$A$4:$K$18,11,0),9999)),0)),"?")))</f>
        <v/>
      </c>
      <c r="P40">
        <f>IF(AND($A40&lt;&gt;"",P$3&gt;=$J40,P$3&lt;=$M40),1,"")</f>
        <v/>
      </c>
      <c r="Q40">
        <f>IF(AND($A40&lt;&gt;"",Q$3&gt;=$J40,Q$3&lt;=$M40),1,"")</f>
        <v/>
      </c>
      <c r="R40">
        <f>IF(AND($A40&lt;&gt;"",R$3&gt;=$J40,R$3&lt;=$M40),1,"")</f>
        <v/>
      </c>
      <c r="S40">
        <f>IF(AND($A40&lt;&gt;"",S$3&gt;=$J40,S$3&lt;=$M40),1,"")</f>
        <v/>
      </c>
      <c r="T40">
        <f>IF(AND($A40&lt;&gt;"",T$3&gt;=$J40,T$3&lt;=$M40),1,"")</f>
        <v/>
      </c>
      <c r="U40">
        <f>IF(AND($A40&lt;&gt;"",U$3&gt;=$J40,U$3&lt;=$M40),1,"")</f>
        <v/>
      </c>
      <c r="V40">
        <f>IF(AND($A40&lt;&gt;"",V$3&gt;=$J40,V$3&lt;=$M40),1,"")</f>
        <v/>
      </c>
      <c r="W40">
        <f>IF(AND($A40&lt;&gt;"",W$3&gt;=$J40,W$3&lt;=$M40),1,"")</f>
        <v/>
      </c>
      <c r="X40">
        <f>IF(AND($A40&lt;&gt;"",X$3&gt;=$J40,X$3&lt;=$M40),1,"")</f>
        <v/>
      </c>
      <c r="Y40">
        <f>IF(AND($A40&lt;&gt;"",Y$3&gt;=$J40,Y$3&lt;=$M40),1,"")</f>
        <v/>
      </c>
      <c r="Z40">
        <f>IF(AND($A40&lt;&gt;"",Z$3&gt;=$J40,Z$3&lt;=$M40),1,"")</f>
        <v/>
      </c>
      <c r="AA40">
        <f>IF(AND($A40&lt;&gt;"",AA$3&gt;=$J40,AA$3&lt;=$M40),1,"")</f>
        <v/>
      </c>
      <c r="AB40">
        <f>IF(AND($A40&lt;&gt;"",AB$3&gt;=$J40,AB$3&lt;=$M40),1,"")</f>
        <v/>
      </c>
      <c r="AC40">
        <f>IF(AND($A40&lt;&gt;"",AC$3&gt;=$J40,AC$3&lt;=$M40),1,"")</f>
        <v/>
      </c>
      <c r="AD40">
        <f>IF(AND($A40&lt;&gt;"",AD$3&gt;=$J40,AD$3&lt;=$M40),1,"")</f>
        <v/>
      </c>
      <c r="AE40">
        <f>IF(AND($A40&lt;&gt;"",AE$3&gt;=$J40,AE$3&lt;=$M40),1,"")</f>
        <v/>
      </c>
      <c r="AF40">
        <f>IF(AND($A40&lt;&gt;"",AF$3&gt;=$J40,AF$3&lt;=$M40),1,"")</f>
        <v/>
      </c>
      <c r="AG40">
        <f>IF(AND($A40&lt;&gt;"",AG$3&gt;=$J40,AG$3&lt;=$M40),1,"")</f>
        <v/>
      </c>
      <c r="AH40">
        <f>IF(AND($A40&lt;&gt;"",AH$3&gt;=$J40,AH$3&lt;=$M40),1,"")</f>
        <v/>
      </c>
      <c r="AI40">
        <f>IF(AND($A40&lt;&gt;"",AI$3&gt;=$J40,AI$3&lt;=$M40),1,"")</f>
        <v/>
      </c>
      <c r="AJ40">
        <f>IF(AND($A40&lt;&gt;"",AJ$3&gt;=$J40,AJ$3&lt;=$M40),1,"")</f>
        <v/>
      </c>
      <c r="AK40">
        <f>IF(AND($A40&lt;&gt;"",AK$3&gt;=$J40,AK$3&lt;=$M40),1,"")</f>
        <v/>
      </c>
      <c r="AL40">
        <f>IF(AND($A40&lt;&gt;"",AL$3&gt;=$J40,AL$3&lt;=$M40),1,"")</f>
        <v/>
      </c>
      <c r="AM40">
        <f>IF(AND($A40&lt;&gt;"",AM$3&gt;=$J40,AM$3&lt;=$M40),1,"")</f>
        <v/>
      </c>
      <c r="AN40">
        <f>IF(AND($A40&lt;&gt;"",AN$3&gt;=$J40,AN$3&lt;=$M40),1,"")</f>
        <v/>
      </c>
      <c r="AO40">
        <f>IF(AND($A40&lt;&gt;"",AO$3&gt;=$J40,AO$3&lt;=$M40),1,"")</f>
        <v/>
      </c>
      <c r="AP40">
        <f>IF(AND($A40&lt;&gt;"",AP$3&gt;=$J40,AP$3&lt;=$M40),1,"")</f>
        <v/>
      </c>
      <c r="AQ40">
        <f>IF(AND($A40&lt;&gt;"",AQ$3&gt;=$J40,AQ$3&lt;=$M40),1,"")</f>
        <v/>
      </c>
      <c r="AR40">
        <f>IF(AND($A40&lt;&gt;"",AR$3&gt;=$J40,AR$3&lt;=$M40),1,"")</f>
        <v/>
      </c>
      <c r="AS40">
        <f>IF(AND($A40&lt;&gt;"",AS$3&gt;=$J40,AS$3&lt;=$M40),1,"")</f>
        <v/>
      </c>
      <c r="AT40">
        <f>IF(AND($A40&lt;&gt;"",AT$3&gt;=$J40,AT$3&lt;=$M40),1,"")</f>
        <v/>
      </c>
      <c r="AU40">
        <f>IF(AND($A40&lt;&gt;"",AU$3&gt;=$J40,AU$3&lt;=$M40),1,"")</f>
        <v/>
      </c>
      <c r="AV40">
        <f>IF(AND($A40&lt;&gt;"",AV$3&gt;=$J40,AV$3&lt;=$M40),1,"")</f>
        <v/>
      </c>
      <c r="AW40">
        <f>IF(AND($A40&lt;&gt;"",AW$3&gt;=$J40,AW$3&lt;=$M40),1,"")</f>
        <v/>
      </c>
      <c r="AX40">
        <f>IF(AND($A40&lt;&gt;"",AX$3&gt;=$J40,AX$3&lt;=$M40),1,"")</f>
        <v/>
      </c>
      <c r="AY40">
        <f>IF(AND($A40&lt;&gt;"",AY$3&gt;=$J40,AY$3&lt;=$M40),1,"")</f>
        <v/>
      </c>
      <c r="AZ40">
        <f>IF(AND($A40&lt;&gt;"",AZ$3&gt;=$J40,AZ$3&lt;=$M40),1,"")</f>
        <v/>
      </c>
      <c r="BA40">
        <f>IF(AND($A40&lt;&gt;"",BA$3&gt;=$J40,BA$3&lt;=$M40),1,"")</f>
        <v/>
      </c>
      <c r="BB40">
        <f>IF(AND($A40&lt;&gt;"",BB$3&gt;=$J40,BB$3&lt;=$M40),1,"")</f>
        <v/>
      </c>
      <c r="BC40">
        <f>IF(AND($A40&lt;&gt;"",BC$3&gt;=$J40,BC$3&lt;=$M40),1,"")</f>
        <v/>
      </c>
      <c r="BD40">
        <f>IF(AND($A40&lt;&gt;"",BD$3&gt;=$J40,BD$3&lt;=$M40),1,"")</f>
        <v/>
      </c>
      <c r="BE40">
        <f>IF(AND($A40&lt;&gt;"",BE$3&gt;=$J40,BE$3&lt;=$M40),1,"")</f>
        <v/>
      </c>
      <c r="BF40">
        <f>IF(AND($A40&lt;&gt;"",BF$3&gt;=$J40,BF$3&lt;=$M40),1,"")</f>
        <v/>
      </c>
      <c r="BG40">
        <f>IF(AND($A40&lt;&gt;"",BG$3&gt;=$J40,BG$3&lt;=$M40),1,"")</f>
        <v/>
      </c>
      <c r="BH40">
        <f>IF(AND($A40&lt;&gt;"",BH$3&gt;=$J40,BH$3&lt;=$M40),1,"")</f>
        <v/>
      </c>
      <c r="BI40">
        <f>IF(AND($A40&lt;&gt;"",BI$3&gt;=$J40,BI$3&lt;=$M40),1,"")</f>
        <v/>
      </c>
      <c r="BJ40">
        <f>IF(AND($A40&lt;&gt;"",BJ$3&gt;=$J40,BJ$3&lt;=$M40),1,"")</f>
        <v/>
      </c>
      <c r="BK40">
        <f>IF(AND($A40&lt;&gt;"",BK$3&gt;=$J40,BK$3&lt;=$M40),1,"")</f>
        <v/>
      </c>
      <c r="BL40">
        <f>IF(AND($A40&lt;&gt;"",BL$3&gt;=$J40,BL$3&lt;=$M40),1,"")</f>
        <v/>
      </c>
      <c r="BM40">
        <f>IF(AND($A40&lt;&gt;"",BM$3&gt;=$J40,BM$3&lt;=$M40),1,"")</f>
        <v/>
      </c>
      <c r="BN40">
        <f>IF(AND($A40&lt;&gt;"",BN$3&gt;=$J40,BN$3&lt;=$M40),1,"")</f>
        <v/>
      </c>
      <c r="BO40">
        <f>IF(AND($A40&lt;&gt;"",BO$3&gt;=$J40,BO$3&lt;=$M40),1,"")</f>
        <v/>
      </c>
      <c r="BP40">
        <f>IF(AND($A40&lt;&gt;"",BP$3&gt;=$J40,BP$3&lt;=$M40),1,"")</f>
        <v/>
      </c>
      <c r="BQ40">
        <f>IF(AND($A40&lt;&gt;"",BQ$3&gt;=$J40,BQ$3&lt;=$M40),1,"")</f>
        <v/>
      </c>
      <c r="BR40">
        <f>IF(AND($A40&lt;&gt;"",BR$3&gt;=$J40,BR$3&lt;=$M40),1,"")</f>
        <v/>
      </c>
      <c r="BS40">
        <f>IF(AND($A40&lt;&gt;"",BS$3&gt;=$J40,BS$3&lt;=$M40),1,"")</f>
        <v/>
      </c>
      <c r="BT40">
        <f>IF(AND($A40&lt;&gt;"",BT$3&gt;=$J40,BT$3&lt;=$M40),1,"")</f>
        <v/>
      </c>
      <c r="BU40">
        <f>IF(AND($A40&lt;&gt;"",BU$3&gt;=$J40,BU$3&lt;=$M40),1,"")</f>
        <v/>
      </c>
      <c r="BV40">
        <f>IF(AND($A40&lt;&gt;"",BV$3&gt;=$J40,BV$3&lt;=$M40),1,"")</f>
        <v/>
      </c>
    </row>
    <row r="41">
      <c r="A41">
        <f>IF(Job_Master_Ring!$A41="","",Job_Master_Ring!$A41)</f>
        <v/>
      </c>
      <c r="B41">
        <f>IF($A41="","",Job_Master_Ring!B41)</f>
        <v/>
      </c>
      <c r="C41">
        <f>IF($A41="","",Job_Master_Ring!C41)</f>
        <v/>
      </c>
      <c r="D41">
        <f>IF($A41="","",Job_Master_Ring!D41)</f>
        <v/>
      </c>
      <c r="E41">
        <f>IF($A41="","",IF($I41&lt;&gt;"",$I41,IFERROR(INDEX(Machine_List!$B$64:$B$71,MATCH(1,(Machine_List!$H$64:$H$71&lt;=IFERROR(VLOOKUP($B41,CHOOSE(MATCH($C41,Settings!$L$4:$L$10,0),OPR_BR1!$A$4:$K$18,OPR_BR2!$A$4:$K$18,OPR_CR2!$A$4:$K$18,OPR_CR3!$A$4:$K$18,OPR_CR4!$A$4:$K$18,OPR_RIM!$A$4:$K$18,OPR_BPR!$A$4:$K$18),10,0),0))*(Machine_List!$I$64:$I$71&gt;=IFERROR(VLOOKUP($B41,CHOOSE(MATCH($C41,Settings!$L$4:$L$10,0),OPR_BR1!$A$4:$K$18,OPR_BR2!$A$4:$K$18,OPR_CR2!$A$4:$K$18,OPR_CR3!$A$4:$K$18,OPR_CR4!$A$4:$K$18,OPR_RIM!$A$4:$K$18,OPR_BPR!$A$4:$K$18),11,0),9999)),0)),"NO COMPATIBLE MACHINE")))</f>
        <v/>
      </c>
      <c r="F41">
        <f>IF($E41="","",IFERROR(VLOOKUP($E41,Machine_List!$B:$G,6,0),""))</f>
        <v/>
      </c>
      <c r="G41" s="17">
        <f>IF($E41="","",IFERROR(VLOOKUP($E41,Machine_List!$B:$C,2,0),""))</f>
        <v/>
      </c>
      <c r="H41">
        <f>IF($E41="","",IFERROR(VLOOKUP($E41,Machine_List!$B:$D,3,0),""))</f>
        <v/>
      </c>
      <c r="J41" s="16">
        <f>IF($A41="","",IF($I41&lt;&gt;"",$I41,MAX(ENG_Plan!$M41,IFERROR(LOOKUP(2,1/($E$3:INDIRECT("E"&amp;(ROW()-1))=$E41),$M$3:INDIRECT("M"&amp;(ROW()-1))),ENG_Plan!$M41))))</f>
        <v/>
      </c>
      <c r="K41">
        <f>IF($A41="","",IFERROR(VLOOKUP(B41,CHOOSE(MATCH($C41,Settings!$L$4:$L$10,0),OPR_BR1!$A$4:$I$18,OPR_BR2!$A$4:$I$18,OPR_CR2!$A$4:$I$18,OPR_CR3!$A$4:$I$18,OPR_CR4!$A$4:$I$18,OPR_RIM!$A$4:$I$18,OPR_BPR!$A$4:$I$18),7,0),0))</f>
        <v/>
      </c>
      <c r="L41">
        <f>IF($A41="","",K41*D41)</f>
        <v/>
      </c>
      <c r="M41" s="16">
        <f>IF($A41="","",IF(AND(ISNUMBER(G41),G41&gt;=J41,G41&lt;=(J41+(L41/(IF(F41="Contract Workman",Settings!$K$5,Settings!$K$4))))),J41+(L41/(IF(F41="Contract Workman",Settings!$K$5,Settings!$K$4)))+(H41/(IF(F41="Contract Workman",Settings!$K$5,Settings!$K$4))),J41+(L41/(IF(F41="Contract Workman",Settings!$K$5,Settings!$K$4)))))</f>
        <v/>
      </c>
      <c r="N41">
        <f>IF($A41="","",IF(F41="Contract Workman",IF(AND(MOD(M41,1)&gt;=8/24,MOD(M41,1)&lt;20/24),"Shift S1","Shift S2"),IF(AND(MOD(M41,1)&gt;=7/24,MOD(M41,1)&lt;15/24),"Shift A",IF(AND(MOD(M41,1)&gt;=15/24,MOD(M41,1)&lt;23/24),"Shift B","Shift C"))))</f>
        <v/>
      </c>
      <c r="O41">
        <f>IF(B41="","",IF(IFERROR(ISNUMBER(SEARCH(TEXT(B41,"0"),VLOOKUP(E41,Machine_List!$B:$J,9,0))),FALSE),"✅ "&amp; E41,"❌ Sug: "&amp;IFERROR(INDEX(Machine_List!$B$64:$B$71,MATCH(1,(Machine_List!$H$64:$H$71&lt;=IFERROR(VLOOKUP($B41,OPR_BR1!$A$4:$K$18,10,0),0))*(Machine_List!$I$64:$I$71&gt;=IFERROR(VLOOKUP($B41,OPR_BR1!$A$4:$K$18,11,0),9999)),0)),"?")))</f>
        <v/>
      </c>
      <c r="P41">
        <f>IF(AND($A41&lt;&gt;"",P$3&gt;=$J41,P$3&lt;=$M41),1,"")</f>
        <v/>
      </c>
      <c r="Q41">
        <f>IF(AND($A41&lt;&gt;"",Q$3&gt;=$J41,Q$3&lt;=$M41),1,"")</f>
        <v/>
      </c>
      <c r="R41">
        <f>IF(AND($A41&lt;&gt;"",R$3&gt;=$J41,R$3&lt;=$M41),1,"")</f>
        <v/>
      </c>
      <c r="S41">
        <f>IF(AND($A41&lt;&gt;"",S$3&gt;=$J41,S$3&lt;=$M41),1,"")</f>
        <v/>
      </c>
      <c r="T41">
        <f>IF(AND($A41&lt;&gt;"",T$3&gt;=$J41,T$3&lt;=$M41),1,"")</f>
        <v/>
      </c>
      <c r="U41">
        <f>IF(AND($A41&lt;&gt;"",U$3&gt;=$J41,U$3&lt;=$M41),1,"")</f>
        <v/>
      </c>
      <c r="V41">
        <f>IF(AND($A41&lt;&gt;"",V$3&gt;=$J41,V$3&lt;=$M41),1,"")</f>
        <v/>
      </c>
      <c r="W41">
        <f>IF(AND($A41&lt;&gt;"",W$3&gt;=$J41,W$3&lt;=$M41),1,"")</f>
        <v/>
      </c>
      <c r="X41">
        <f>IF(AND($A41&lt;&gt;"",X$3&gt;=$J41,X$3&lt;=$M41),1,"")</f>
        <v/>
      </c>
      <c r="Y41">
        <f>IF(AND($A41&lt;&gt;"",Y$3&gt;=$J41,Y$3&lt;=$M41),1,"")</f>
        <v/>
      </c>
      <c r="Z41">
        <f>IF(AND($A41&lt;&gt;"",Z$3&gt;=$J41,Z$3&lt;=$M41),1,"")</f>
        <v/>
      </c>
      <c r="AA41">
        <f>IF(AND($A41&lt;&gt;"",AA$3&gt;=$J41,AA$3&lt;=$M41),1,"")</f>
        <v/>
      </c>
      <c r="AB41">
        <f>IF(AND($A41&lt;&gt;"",AB$3&gt;=$J41,AB$3&lt;=$M41),1,"")</f>
        <v/>
      </c>
      <c r="AC41">
        <f>IF(AND($A41&lt;&gt;"",AC$3&gt;=$J41,AC$3&lt;=$M41),1,"")</f>
        <v/>
      </c>
      <c r="AD41">
        <f>IF(AND($A41&lt;&gt;"",AD$3&gt;=$J41,AD$3&lt;=$M41),1,"")</f>
        <v/>
      </c>
      <c r="AE41">
        <f>IF(AND($A41&lt;&gt;"",AE$3&gt;=$J41,AE$3&lt;=$M41),1,"")</f>
        <v/>
      </c>
      <c r="AF41">
        <f>IF(AND($A41&lt;&gt;"",AF$3&gt;=$J41,AF$3&lt;=$M41),1,"")</f>
        <v/>
      </c>
      <c r="AG41">
        <f>IF(AND($A41&lt;&gt;"",AG$3&gt;=$J41,AG$3&lt;=$M41),1,"")</f>
        <v/>
      </c>
      <c r="AH41">
        <f>IF(AND($A41&lt;&gt;"",AH$3&gt;=$J41,AH$3&lt;=$M41),1,"")</f>
        <v/>
      </c>
      <c r="AI41">
        <f>IF(AND($A41&lt;&gt;"",AI$3&gt;=$J41,AI$3&lt;=$M41),1,"")</f>
        <v/>
      </c>
      <c r="AJ41">
        <f>IF(AND($A41&lt;&gt;"",AJ$3&gt;=$J41,AJ$3&lt;=$M41),1,"")</f>
        <v/>
      </c>
      <c r="AK41">
        <f>IF(AND($A41&lt;&gt;"",AK$3&gt;=$J41,AK$3&lt;=$M41),1,"")</f>
        <v/>
      </c>
      <c r="AL41">
        <f>IF(AND($A41&lt;&gt;"",AL$3&gt;=$J41,AL$3&lt;=$M41),1,"")</f>
        <v/>
      </c>
      <c r="AM41">
        <f>IF(AND($A41&lt;&gt;"",AM$3&gt;=$J41,AM$3&lt;=$M41),1,"")</f>
        <v/>
      </c>
      <c r="AN41">
        <f>IF(AND($A41&lt;&gt;"",AN$3&gt;=$J41,AN$3&lt;=$M41),1,"")</f>
        <v/>
      </c>
      <c r="AO41">
        <f>IF(AND($A41&lt;&gt;"",AO$3&gt;=$J41,AO$3&lt;=$M41),1,"")</f>
        <v/>
      </c>
      <c r="AP41">
        <f>IF(AND($A41&lt;&gt;"",AP$3&gt;=$J41,AP$3&lt;=$M41),1,"")</f>
        <v/>
      </c>
      <c r="AQ41">
        <f>IF(AND($A41&lt;&gt;"",AQ$3&gt;=$J41,AQ$3&lt;=$M41),1,"")</f>
        <v/>
      </c>
      <c r="AR41">
        <f>IF(AND($A41&lt;&gt;"",AR$3&gt;=$J41,AR$3&lt;=$M41),1,"")</f>
        <v/>
      </c>
      <c r="AS41">
        <f>IF(AND($A41&lt;&gt;"",AS$3&gt;=$J41,AS$3&lt;=$M41),1,"")</f>
        <v/>
      </c>
      <c r="AT41">
        <f>IF(AND($A41&lt;&gt;"",AT$3&gt;=$J41,AT$3&lt;=$M41),1,"")</f>
        <v/>
      </c>
      <c r="AU41">
        <f>IF(AND($A41&lt;&gt;"",AU$3&gt;=$J41,AU$3&lt;=$M41),1,"")</f>
        <v/>
      </c>
      <c r="AV41">
        <f>IF(AND($A41&lt;&gt;"",AV$3&gt;=$J41,AV$3&lt;=$M41),1,"")</f>
        <v/>
      </c>
      <c r="AW41">
        <f>IF(AND($A41&lt;&gt;"",AW$3&gt;=$J41,AW$3&lt;=$M41),1,"")</f>
        <v/>
      </c>
      <c r="AX41">
        <f>IF(AND($A41&lt;&gt;"",AX$3&gt;=$J41,AX$3&lt;=$M41),1,"")</f>
        <v/>
      </c>
      <c r="AY41">
        <f>IF(AND($A41&lt;&gt;"",AY$3&gt;=$J41,AY$3&lt;=$M41),1,"")</f>
        <v/>
      </c>
      <c r="AZ41">
        <f>IF(AND($A41&lt;&gt;"",AZ$3&gt;=$J41,AZ$3&lt;=$M41),1,"")</f>
        <v/>
      </c>
      <c r="BA41">
        <f>IF(AND($A41&lt;&gt;"",BA$3&gt;=$J41,BA$3&lt;=$M41),1,"")</f>
        <v/>
      </c>
      <c r="BB41">
        <f>IF(AND($A41&lt;&gt;"",BB$3&gt;=$J41,BB$3&lt;=$M41),1,"")</f>
        <v/>
      </c>
      <c r="BC41">
        <f>IF(AND($A41&lt;&gt;"",BC$3&gt;=$J41,BC$3&lt;=$M41),1,"")</f>
        <v/>
      </c>
      <c r="BD41">
        <f>IF(AND($A41&lt;&gt;"",BD$3&gt;=$J41,BD$3&lt;=$M41),1,"")</f>
        <v/>
      </c>
      <c r="BE41">
        <f>IF(AND($A41&lt;&gt;"",BE$3&gt;=$J41,BE$3&lt;=$M41),1,"")</f>
        <v/>
      </c>
      <c r="BF41">
        <f>IF(AND($A41&lt;&gt;"",BF$3&gt;=$J41,BF$3&lt;=$M41),1,"")</f>
        <v/>
      </c>
      <c r="BG41">
        <f>IF(AND($A41&lt;&gt;"",BG$3&gt;=$J41,BG$3&lt;=$M41),1,"")</f>
        <v/>
      </c>
      <c r="BH41">
        <f>IF(AND($A41&lt;&gt;"",BH$3&gt;=$J41,BH$3&lt;=$M41),1,"")</f>
        <v/>
      </c>
      <c r="BI41">
        <f>IF(AND($A41&lt;&gt;"",BI$3&gt;=$J41,BI$3&lt;=$M41),1,"")</f>
        <v/>
      </c>
      <c r="BJ41">
        <f>IF(AND($A41&lt;&gt;"",BJ$3&gt;=$J41,BJ$3&lt;=$M41),1,"")</f>
        <v/>
      </c>
      <c r="BK41">
        <f>IF(AND($A41&lt;&gt;"",BK$3&gt;=$J41,BK$3&lt;=$M41),1,"")</f>
        <v/>
      </c>
      <c r="BL41">
        <f>IF(AND($A41&lt;&gt;"",BL$3&gt;=$J41,BL$3&lt;=$M41),1,"")</f>
        <v/>
      </c>
      <c r="BM41">
        <f>IF(AND($A41&lt;&gt;"",BM$3&gt;=$J41,BM$3&lt;=$M41),1,"")</f>
        <v/>
      </c>
      <c r="BN41">
        <f>IF(AND($A41&lt;&gt;"",BN$3&gt;=$J41,BN$3&lt;=$M41),1,"")</f>
        <v/>
      </c>
      <c r="BO41">
        <f>IF(AND($A41&lt;&gt;"",BO$3&gt;=$J41,BO$3&lt;=$M41),1,"")</f>
        <v/>
      </c>
      <c r="BP41">
        <f>IF(AND($A41&lt;&gt;"",BP$3&gt;=$J41,BP$3&lt;=$M41),1,"")</f>
        <v/>
      </c>
      <c r="BQ41">
        <f>IF(AND($A41&lt;&gt;"",BQ$3&gt;=$J41,BQ$3&lt;=$M41),1,"")</f>
        <v/>
      </c>
      <c r="BR41">
        <f>IF(AND($A41&lt;&gt;"",BR$3&gt;=$J41,BR$3&lt;=$M41),1,"")</f>
        <v/>
      </c>
      <c r="BS41">
        <f>IF(AND($A41&lt;&gt;"",BS$3&gt;=$J41,BS$3&lt;=$M41),1,"")</f>
        <v/>
      </c>
      <c r="BT41">
        <f>IF(AND($A41&lt;&gt;"",BT$3&gt;=$J41,BT$3&lt;=$M41),1,"")</f>
        <v/>
      </c>
      <c r="BU41">
        <f>IF(AND($A41&lt;&gt;"",BU$3&gt;=$J41,BU$3&lt;=$M41),1,"")</f>
        <v/>
      </c>
      <c r="BV41">
        <f>IF(AND($A41&lt;&gt;"",BV$3&gt;=$J41,BV$3&lt;=$M41),1,"")</f>
        <v/>
      </c>
    </row>
    <row r="42">
      <c r="A42">
        <f>IF(Job_Master_Ring!$A42="","",Job_Master_Ring!$A42)</f>
        <v/>
      </c>
      <c r="B42">
        <f>IF($A42="","",Job_Master_Ring!B42)</f>
        <v/>
      </c>
      <c r="C42">
        <f>IF($A42="","",Job_Master_Ring!C42)</f>
        <v/>
      </c>
      <c r="D42">
        <f>IF($A42="","",Job_Master_Ring!D42)</f>
        <v/>
      </c>
      <c r="E42">
        <f>IF($A42="","",IF($I42&lt;&gt;"",$I42,IFERROR(INDEX(Machine_List!$B$64:$B$71,MATCH(1,(Machine_List!$H$64:$H$71&lt;=IFERROR(VLOOKUP($B42,CHOOSE(MATCH($C42,Settings!$L$4:$L$10,0),OPR_BR1!$A$4:$K$18,OPR_BR2!$A$4:$K$18,OPR_CR2!$A$4:$K$18,OPR_CR3!$A$4:$K$18,OPR_CR4!$A$4:$K$18,OPR_RIM!$A$4:$K$18,OPR_BPR!$A$4:$K$18),10,0),0))*(Machine_List!$I$64:$I$71&gt;=IFERROR(VLOOKUP($B42,CHOOSE(MATCH($C42,Settings!$L$4:$L$10,0),OPR_BR1!$A$4:$K$18,OPR_BR2!$A$4:$K$18,OPR_CR2!$A$4:$K$18,OPR_CR3!$A$4:$K$18,OPR_CR4!$A$4:$K$18,OPR_RIM!$A$4:$K$18,OPR_BPR!$A$4:$K$18),11,0),9999)),0)),"NO COMPATIBLE MACHINE")))</f>
        <v/>
      </c>
      <c r="F42">
        <f>IF($E42="","",IFERROR(VLOOKUP($E42,Machine_List!$B:$G,6,0),""))</f>
        <v/>
      </c>
      <c r="G42" s="17">
        <f>IF($E42="","",IFERROR(VLOOKUP($E42,Machine_List!$B:$C,2,0),""))</f>
        <v/>
      </c>
      <c r="H42">
        <f>IF($E42="","",IFERROR(VLOOKUP($E42,Machine_List!$B:$D,3,0),""))</f>
        <v/>
      </c>
      <c r="J42" s="16">
        <f>IF($A42="","",IF($I42&lt;&gt;"",$I42,MAX(ENG_Plan!$M42,IFERROR(LOOKUP(2,1/($E$3:INDIRECT("E"&amp;(ROW()-1))=$E42),$M$3:INDIRECT("M"&amp;(ROW()-1))),ENG_Plan!$M42))))</f>
        <v/>
      </c>
      <c r="K42">
        <f>IF($A42="","",IFERROR(VLOOKUP(B42,CHOOSE(MATCH($C42,Settings!$L$4:$L$10,0),OPR_BR1!$A$4:$I$18,OPR_BR2!$A$4:$I$18,OPR_CR2!$A$4:$I$18,OPR_CR3!$A$4:$I$18,OPR_CR4!$A$4:$I$18,OPR_RIM!$A$4:$I$18,OPR_BPR!$A$4:$I$18),7,0),0))</f>
        <v/>
      </c>
      <c r="L42">
        <f>IF($A42="","",K42*D42)</f>
        <v/>
      </c>
      <c r="M42" s="16">
        <f>IF($A42="","",IF(AND(ISNUMBER(G42),G42&gt;=J42,G42&lt;=(J42+(L42/(IF(F42="Contract Workman",Settings!$K$5,Settings!$K$4))))),J42+(L42/(IF(F42="Contract Workman",Settings!$K$5,Settings!$K$4)))+(H42/(IF(F42="Contract Workman",Settings!$K$5,Settings!$K$4))),J42+(L42/(IF(F42="Contract Workman",Settings!$K$5,Settings!$K$4)))))</f>
        <v/>
      </c>
      <c r="N42">
        <f>IF($A42="","",IF(F42="Contract Workman",IF(AND(MOD(M42,1)&gt;=8/24,MOD(M42,1)&lt;20/24),"Shift S1","Shift S2"),IF(AND(MOD(M42,1)&gt;=7/24,MOD(M42,1)&lt;15/24),"Shift A",IF(AND(MOD(M42,1)&gt;=15/24,MOD(M42,1)&lt;23/24),"Shift B","Shift C"))))</f>
        <v/>
      </c>
      <c r="O42">
        <f>IF(B42="","",IF(IFERROR(ISNUMBER(SEARCH(TEXT(B42,"0"),VLOOKUP(E42,Machine_List!$B:$J,9,0))),FALSE),"✅ "&amp; E42,"❌ Sug: "&amp;IFERROR(INDEX(Machine_List!$B$64:$B$71,MATCH(1,(Machine_List!$H$64:$H$71&lt;=IFERROR(VLOOKUP($B42,OPR_BR1!$A$4:$K$18,10,0),0))*(Machine_List!$I$64:$I$71&gt;=IFERROR(VLOOKUP($B42,OPR_BR1!$A$4:$K$18,11,0),9999)),0)),"?")))</f>
        <v/>
      </c>
      <c r="P42">
        <f>IF(AND($A42&lt;&gt;"",P$3&gt;=$J42,P$3&lt;=$M42),1,"")</f>
        <v/>
      </c>
      <c r="Q42">
        <f>IF(AND($A42&lt;&gt;"",Q$3&gt;=$J42,Q$3&lt;=$M42),1,"")</f>
        <v/>
      </c>
      <c r="R42">
        <f>IF(AND($A42&lt;&gt;"",R$3&gt;=$J42,R$3&lt;=$M42),1,"")</f>
        <v/>
      </c>
      <c r="S42">
        <f>IF(AND($A42&lt;&gt;"",S$3&gt;=$J42,S$3&lt;=$M42),1,"")</f>
        <v/>
      </c>
      <c r="T42">
        <f>IF(AND($A42&lt;&gt;"",T$3&gt;=$J42,T$3&lt;=$M42),1,"")</f>
        <v/>
      </c>
      <c r="U42">
        <f>IF(AND($A42&lt;&gt;"",U$3&gt;=$J42,U$3&lt;=$M42),1,"")</f>
        <v/>
      </c>
      <c r="V42">
        <f>IF(AND($A42&lt;&gt;"",V$3&gt;=$J42,V$3&lt;=$M42),1,"")</f>
        <v/>
      </c>
      <c r="W42">
        <f>IF(AND($A42&lt;&gt;"",W$3&gt;=$J42,W$3&lt;=$M42),1,"")</f>
        <v/>
      </c>
      <c r="X42">
        <f>IF(AND($A42&lt;&gt;"",X$3&gt;=$J42,X$3&lt;=$M42),1,"")</f>
        <v/>
      </c>
      <c r="Y42">
        <f>IF(AND($A42&lt;&gt;"",Y$3&gt;=$J42,Y$3&lt;=$M42),1,"")</f>
        <v/>
      </c>
      <c r="Z42">
        <f>IF(AND($A42&lt;&gt;"",Z$3&gt;=$J42,Z$3&lt;=$M42),1,"")</f>
        <v/>
      </c>
      <c r="AA42">
        <f>IF(AND($A42&lt;&gt;"",AA$3&gt;=$J42,AA$3&lt;=$M42),1,"")</f>
        <v/>
      </c>
      <c r="AB42">
        <f>IF(AND($A42&lt;&gt;"",AB$3&gt;=$J42,AB$3&lt;=$M42),1,"")</f>
        <v/>
      </c>
      <c r="AC42">
        <f>IF(AND($A42&lt;&gt;"",AC$3&gt;=$J42,AC$3&lt;=$M42),1,"")</f>
        <v/>
      </c>
      <c r="AD42">
        <f>IF(AND($A42&lt;&gt;"",AD$3&gt;=$J42,AD$3&lt;=$M42),1,"")</f>
        <v/>
      </c>
      <c r="AE42">
        <f>IF(AND($A42&lt;&gt;"",AE$3&gt;=$J42,AE$3&lt;=$M42),1,"")</f>
        <v/>
      </c>
      <c r="AF42">
        <f>IF(AND($A42&lt;&gt;"",AF$3&gt;=$J42,AF$3&lt;=$M42),1,"")</f>
        <v/>
      </c>
      <c r="AG42">
        <f>IF(AND($A42&lt;&gt;"",AG$3&gt;=$J42,AG$3&lt;=$M42),1,"")</f>
        <v/>
      </c>
      <c r="AH42">
        <f>IF(AND($A42&lt;&gt;"",AH$3&gt;=$J42,AH$3&lt;=$M42),1,"")</f>
        <v/>
      </c>
      <c r="AI42">
        <f>IF(AND($A42&lt;&gt;"",AI$3&gt;=$J42,AI$3&lt;=$M42),1,"")</f>
        <v/>
      </c>
      <c r="AJ42">
        <f>IF(AND($A42&lt;&gt;"",AJ$3&gt;=$J42,AJ$3&lt;=$M42),1,"")</f>
        <v/>
      </c>
      <c r="AK42">
        <f>IF(AND($A42&lt;&gt;"",AK$3&gt;=$J42,AK$3&lt;=$M42),1,"")</f>
        <v/>
      </c>
      <c r="AL42">
        <f>IF(AND($A42&lt;&gt;"",AL$3&gt;=$J42,AL$3&lt;=$M42),1,"")</f>
        <v/>
      </c>
      <c r="AM42">
        <f>IF(AND($A42&lt;&gt;"",AM$3&gt;=$J42,AM$3&lt;=$M42),1,"")</f>
        <v/>
      </c>
      <c r="AN42">
        <f>IF(AND($A42&lt;&gt;"",AN$3&gt;=$J42,AN$3&lt;=$M42),1,"")</f>
        <v/>
      </c>
      <c r="AO42">
        <f>IF(AND($A42&lt;&gt;"",AO$3&gt;=$J42,AO$3&lt;=$M42),1,"")</f>
        <v/>
      </c>
      <c r="AP42">
        <f>IF(AND($A42&lt;&gt;"",AP$3&gt;=$J42,AP$3&lt;=$M42),1,"")</f>
        <v/>
      </c>
      <c r="AQ42">
        <f>IF(AND($A42&lt;&gt;"",AQ$3&gt;=$J42,AQ$3&lt;=$M42),1,"")</f>
        <v/>
      </c>
      <c r="AR42">
        <f>IF(AND($A42&lt;&gt;"",AR$3&gt;=$J42,AR$3&lt;=$M42),1,"")</f>
        <v/>
      </c>
      <c r="AS42">
        <f>IF(AND($A42&lt;&gt;"",AS$3&gt;=$J42,AS$3&lt;=$M42),1,"")</f>
        <v/>
      </c>
      <c r="AT42">
        <f>IF(AND($A42&lt;&gt;"",AT$3&gt;=$J42,AT$3&lt;=$M42),1,"")</f>
        <v/>
      </c>
      <c r="AU42">
        <f>IF(AND($A42&lt;&gt;"",AU$3&gt;=$J42,AU$3&lt;=$M42),1,"")</f>
        <v/>
      </c>
      <c r="AV42">
        <f>IF(AND($A42&lt;&gt;"",AV$3&gt;=$J42,AV$3&lt;=$M42),1,"")</f>
        <v/>
      </c>
      <c r="AW42">
        <f>IF(AND($A42&lt;&gt;"",AW$3&gt;=$J42,AW$3&lt;=$M42),1,"")</f>
        <v/>
      </c>
      <c r="AX42">
        <f>IF(AND($A42&lt;&gt;"",AX$3&gt;=$J42,AX$3&lt;=$M42),1,"")</f>
        <v/>
      </c>
      <c r="AY42">
        <f>IF(AND($A42&lt;&gt;"",AY$3&gt;=$J42,AY$3&lt;=$M42),1,"")</f>
        <v/>
      </c>
      <c r="AZ42">
        <f>IF(AND($A42&lt;&gt;"",AZ$3&gt;=$J42,AZ$3&lt;=$M42),1,"")</f>
        <v/>
      </c>
      <c r="BA42">
        <f>IF(AND($A42&lt;&gt;"",BA$3&gt;=$J42,BA$3&lt;=$M42),1,"")</f>
        <v/>
      </c>
      <c r="BB42">
        <f>IF(AND($A42&lt;&gt;"",BB$3&gt;=$J42,BB$3&lt;=$M42),1,"")</f>
        <v/>
      </c>
      <c r="BC42">
        <f>IF(AND($A42&lt;&gt;"",BC$3&gt;=$J42,BC$3&lt;=$M42),1,"")</f>
        <v/>
      </c>
      <c r="BD42">
        <f>IF(AND($A42&lt;&gt;"",BD$3&gt;=$J42,BD$3&lt;=$M42),1,"")</f>
        <v/>
      </c>
      <c r="BE42">
        <f>IF(AND($A42&lt;&gt;"",BE$3&gt;=$J42,BE$3&lt;=$M42),1,"")</f>
        <v/>
      </c>
      <c r="BF42">
        <f>IF(AND($A42&lt;&gt;"",BF$3&gt;=$J42,BF$3&lt;=$M42),1,"")</f>
        <v/>
      </c>
      <c r="BG42">
        <f>IF(AND($A42&lt;&gt;"",BG$3&gt;=$J42,BG$3&lt;=$M42),1,"")</f>
        <v/>
      </c>
      <c r="BH42">
        <f>IF(AND($A42&lt;&gt;"",BH$3&gt;=$J42,BH$3&lt;=$M42),1,"")</f>
        <v/>
      </c>
      <c r="BI42">
        <f>IF(AND($A42&lt;&gt;"",BI$3&gt;=$J42,BI$3&lt;=$M42),1,"")</f>
        <v/>
      </c>
      <c r="BJ42">
        <f>IF(AND($A42&lt;&gt;"",BJ$3&gt;=$J42,BJ$3&lt;=$M42),1,"")</f>
        <v/>
      </c>
      <c r="BK42">
        <f>IF(AND($A42&lt;&gt;"",BK$3&gt;=$J42,BK$3&lt;=$M42),1,"")</f>
        <v/>
      </c>
      <c r="BL42">
        <f>IF(AND($A42&lt;&gt;"",BL$3&gt;=$J42,BL$3&lt;=$M42),1,"")</f>
        <v/>
      </c>
      <c r="BM42">
        <f>IF(AND($A42&lt;&gt;"",BM$3&gt;=$J42,BM$3&lt;=$M42),1,"")</f>
        <v/>
      </c>
      <c r="BN42">
        <f>IF(AND($A42&lt;&gt;"",BN$3&gt;=$J42,BN$3&lt;=$M42),1,"")</f>
        <v/>
      </c>
      <c r="BO42">
        <f>IF(AND($A42&lt;&gt;"",BO$3&gt;=$J42,BO$3&lt;=$M42),1,"")</f>
        <v/>
      </c>
      <c r="BP42">
        <f>IF(AND($A42&lt;&gt;"",BP$3&gt;=$J42,BP$3&lt;=$M42),1,"")</f>
        <v/>
      </c>
      <c r="BQ42">
        <f>IF(AND($A42&lt;&gt;"",BQ$3&gt;=$J42,BQ$3&lt;=$M42),1,"")</f>
        <v/>
      </c>
      <c r="BR42">
        <f>IF(AND($A42&lt;&gt;"",BR$3&gt;=$J42,BR$3&lt;=$M42),1,"")</f>
        <v/>
      </c>
      <c r="BS42">
        <f>IF(AND($A42&lt;&gt;"",BS$3&gt;=$J42,BS$3&lt;=$M42),1,"")</f>
        <v/>
      </c>
      <c r="BT42">
        <f>IF(AND($A42&lt;&gt;"",BT$3&gt;=$J42,BT$3&lt;=$M42),1,"")</f>
        <v/>
      </c>
      <c r="BU42">
        <f>IF(AND($A42&lt;&gt;"",BU$3&gt;=$J42,BU$3&lt;=$M42),1,"")</f>
        <v/>
      </c>
      <c r="BV42">
        <f>IF(AND($A42&lt;&gt;"",BV$3&gt;=$J42,BV$3&lt;=$M42),1,"")</f>
        <v/>
      </c>
    </row>
    <row r="43">
      <c r="A43">
        <f>IF(Job_Master_Ring!$A43="","",Job_Master_Ring!$A43)</f>
        <v/>
      </c>
      <c r="B43">
        <f>IF($A43="","",Job_Master_Ring!B43)</f>
        <v/>
      </c>
      <c r="C43">
        <f>IF($A43="","",Job_Master_Ring!C43)</f>
        <v/>
      </c>
      <c r="D43">
        <f>IF($A43="","",Job_Master_Ring!D43)</f>
        <v/>
      </c>
      <c r="E43">
        <f>IF($A43="","",IF($I43&lt;&gt;"",$I43,IFERROR(INDEX(Machine_List!$B$64:$B$71,MATCH(1,(Machine_List!$H$64:$H$71&lt;=IFERROR(VLOOKUP($B43,CHOOSE(MATCH($C43,Settings!$L$4:$L$10,0),OPR_BR1!$A$4:$K$18,OPR_BR2!$A$4:$K$18,OPR_CR2!$A$4:$K$18,OPR_CR3!$A$4:$K$18,OPR_CR4!$A$4:$K$18,OPR_RIM!$A$4:$K$18,OPR_BPR!$A$4:$K$18),10,0),0))*(Machine_List!$I$64:$I$71&gt;=IFERROR(VLOOKUP($B43,CHOOSE(MATCH($C43,Settings!$L$4:$L$10,0),OPR_BR1!$A$4:$K$18,OPR_BR2!$A$4:$K$18,OPR_CR2!$A$4:$K$18,OPR_CR3!$A$4:$K$18,OPR_CR4!$A$4:$K$18,OPR_RIM!$A$4:$K$18,OPR_BPR!$A$4:$K$18),11,0),9999)),0)),"NO COMPATIBLE MACHINE")))</f>
        <v/>
      </c>
      <c r="F43">
        <f>IF($E43="","",IFERROR(VLOOKUP($E43,Machine_List!$B:$G,6,0),""))</f>
        <v/>
      </c>
      <c r="G43" s="17">
        <f>IF($E43="","",IFERROR(VLOOKUP($E43,Machine_List!$B:$C,2,0),""))</f>
        <v/>
      </c>
      <c r="H43">
        <f>IF($E43="","",IFERROR(VLOOKUP($E43,Machine_List!$B:$D,3,0),""))</f>
        <v/>
      </c>
      <c r="J43" s="16">
        <f>IF($A43="","",IF($I43&lt;&gt;"",$I43,MAX(ENG_Plan!$M43,IFERROR(LOOKUP(2,1/($E$3:INDIRECT("E"&amp;(ROW()-1))=$E43),$M$3:INDIRECT("M"&amp;(ROW()-1))),ENG_Plan!$M43))))</f>
        <v/>
      </c>
      <c r="K43">
        <f>IF($A43="","",IFERROR(VLOOKUP(B43,CHOOSE(MATCH($C43,Settings!$L$4:$L$10,0),OPR_BR1!$A$4:$I$18,OPR_BR2!$A$4:$I$18,OPR_CR2!$A$4:$I$18,OPR_CR3!$A$4:$I$18,OPR_CR4!$A$4:$I$18,OPR_RIM!$A$4:$I$18,OPR_BPR!$A$4:$I$18),7,0),0))</f>
        <v/>
      </c>
      <c r="L43">
        <f>IF($A43="","",K43*D43)</f>
        <v/>
      </c>
      <c r="M43" s="16">
        <f>IF($A43="","",IF(AND(ISNUMBER(G43),G43&gt;=J43,G43&lt;=(J43+(L43/(IF(F43="Contract Workman",Settings!$K$5,Settings!$K$4))))),J43+(L43/(IF(F43="Contract Workman",Settings!$K$5,Settings!$K$4)))+(H43/(IF(F43="Contract Workman",Settings!$K$5,Settings!$K$4))),J43+(L43/(IF(F43="Contract Workman",Settings!$K$5,Settings!$K$4)))))</f>
        <v/>
      </c>
      <c r="N43">
        <f>IF($A43="","",IF(F43="Contract Workman",IF(AND(MOD(M43,1)&gt;=8/24,MOD(M43,1)&lt;20/24),"Shift S1","Shift S2"),IF(AND(MOD(M43,1)&gt;=7/24,MOD(M43,1)&lt;15/24),"Shift A",IF(AND(MOD(M43,1)&gt;=15/24,MOD(M43,1)&lt;23/24),"Shift B","Shift C"))))</f>
        <v/>
      </c>
      <c r="O43">
        <f>IF(B43="","",IF(IFERROR(ISNUMBER(SEARCH(TEXT(B43,"0"),VLOOKUP(E43,Machine_List!$B:$J,9,0))),FALSE),"✅ "&amp; E43,"❌ Sug: "&amp;IFERROR(INDEX(Machine_List!$B$64:$B$71,MATCH(1,(Machine_List!$H$64:$H$71&lt;=IFERROR(VLOOKUP($B43,OPR_BR1!$A$4:$K$18,10,0),0))*(Machine_List!$I$64:$I$71&gt;=IFERROR(VLOOKUP($B43,OPR_BR1!$A$4:$K$18,11,0),9999)),0)),"?")))</f>
        <v/>
      </c>
      <c r="P43">
        <f>IF(AND($A43&lt;&gt;"",P$3&gt;=$J43,P$3&lt;=$M43),1,"")</f>
        <v/>
      </c>
      <c r="Q43">
        <f>IF(AND($A43&lt;&gt;"",Q$3&gt;=$J43,Q$3&lt;=$M43),1,"")</f>
        <v/>
      </c>
      <c r="R43">
        <f>IF(AND($A43&lt;&gt;"",R$3&gt;=$J43,R$3&lt;=$M43),1,"")</f>
        <v/>
      </c>
      <c r="S43">
        <f>IF(AND($A43&lt;&gt;"",S$3&gt;=$J43,S$3&lt;=$M43),1,"")</f>
        <v/>
      </c>
      <c r="T43">
        <f>IF(AND($A43&lt;&gt;"",T$3&gt;=$J43,T$3&lt;=$M43),1,"")</f>
        <v/>
      </c>
      <c r="U43">
        <f>IF(AND($A43&lt;&gt;"",U$3&gt;=$J43,U$3&lt;=$M43),1,"")</f>
        <v/>
      </c>
      <c r="V43">
        <f>IF(AND($A43&lt;&gt;"",V$3&gt;=$J43,V$3&lt;=$M43),1,"")</f>
        <v/>
      </c>
      <c r="W43">
        <f>IF(AND($A43&lt;&gt;"",W$3&gt;=$J43,W$3&lt;=$M43),1,"")</f>
        <v/>
      </c>
      <c r="X43">
        <f>IF(AND($A43&lt;&gt;"",X$3&gt;=$J43,X$3&lt;=$M43),1,"")</f>
        <v/>
      </c>
      <c r="Y43">
        <f>IF(AND($A43&lt;&gt;"",Y$3&gt;=$J43,Y$3&lt;=$M43),1,"")</f>
        <v/>
      </c>
      <c r="Z43">
        <f>IF(AND($A43&lt;&gt;"",Z$3&gt;=$J43,Z$3&lt;=$M43),1,"")</f>
        <v/>
      </c>
      <c r="AA43">
        <f>IF(AND($A43&lt;&gt;"",AA$3&gt;=$J43,AA$3&lt;=$M43),1,"")</f>
        <v/>
      </c>
      <c r="AB43">
        <f>IF(AND($A43&lt;&gt;"",AB$3&gt;=$J43,AB$3&lt;=$M43),1,"")</f>
        <v/>
      </c>
      <c r="AC43">
        <f>IF(AND($A43&lt;&gt;"",AC$3&gt;=$J43,AC$3&lt;=$M43),1,"")</f>
        <v/>
      </c>
      <c r="AD43">
        <f>IF(AND($A43&lt;&gt;"",AD$3&gt;=$J43,AD$3&lt;=$M43),1,"")</f>
        <v/>
      </c>
      <c r="AE43">
        <f>IF(AND($A43&lt;&gt;"",AE$3&gt;=$J43,AE$3&lt;=$M43),1,"")</f>
        <v/>
      </c>
      <c r="AF43">
        <f>IF(AND($A43&lt;&gt;"",AF$3&gt;=$J43,AF$3&lt;=$M43),1,"")</f>
        <v/>
      </c>
      <c r="AG43">
        <f>IF(AND($A43&lt;&gt;"",AG$3&gt;=$J43,AG$3&lt;=$M43),1,"")</f>
        <v/>
      </c>
      <c r="AH43">
        <f>IF(AND($A43&lt;&gt;"",AH$3&gt;=$J43,AH$3&lt;=$M43),1,"")</f>
        <v/>
      </c>
      <c r="AI43">
        <f>IF(AND($A43&lt;&gt;"",AI$3&gt;=$J43,AI$3&lt;=$M43),1,"")</f>
        <v/>
      </c>
      <c r="AJ43">
        <f>IF(AND($A43&lt;&gt;"",AJ$3&gt;=$J43,AJ$3&lt;=$M43),1,"")</f>
        <v/>
      </c>
      <c r="AK43">
        <f>IF(AND($A43&lt;&gt;"",AK$3&gt;=$J43,AK$3&lt;=$M43),1,"")</f>
        <v/>
      </c>
      <c r="AL43">
        <f>IF(AND($A43&lt;&gt;"",AL$3&gt;=$J43,AL$3&lt;=$M43),1,"")</f>
        <v/>
      </c>
      <c r="AM43">
        <f>IF(AND($A43&lt;&gt;"",AM$3&gt;=$J43,AM$3&lt;=$M43),1,"")</f>
        <v/>
      </c>
      <c r="AN43">
        <f>IF(AND($A43&lt;&gt;"",AN$3&gt;=$J43,AN$3&lt;=$M43),1,"")</f>
        <v/>
      </c>
      <c r="AO43">
        <f>IF(AND($A43&lt;&gt;"",AO$3&gt;=$J43,AO$3&lt;=$M43),1,"")</f>
        <v/>
      </c>
      <c r="AP43">
        <f>IF(AND($A43&lt;&gt;"",AP$3&gt;=$J43,AP$3&lt;=$M43),1,"")</f>
        <v/>
      </c>
      <c r="AQ43">
        <f>IF(AND($A43&lt;&gt;"",AQ$3&gt;=$J43,AQ$3&lt;=$M43),1,"")</f>
        <v/>
      </c>
      <c r="AR43">
        <f>IF(AND($A43&lt;&gt;"",AR$3&gt;=$J43,AR$3&lt;=$M43),1,"")</f>
        <v/>
      </c>
      <c r="AS43">
        <f>IF(AND($A43&lt;&gt;"",AS$3&gt;=$J43,AS$3&lt;=$M43),1,"")</f>
        <v/>
      </c>
      <c r="AT43">
        <f>IF(AND($A43&lt;&gt;"",AT$3&gt;=$J43,AT$3&lt;=$M43),1,"")</f>
        <v/>
      </c>
      <c r="AU43">
        <f>IF(AND($A43&lt;&gt;"",AU$3&gt;=$J43,AU$3&lt;=$M43),1,"")</f>
        <v/>
      </c>
      <c r="AV43">
        <f>IF(AND($A43&lt;&gt;"",AV$3&gt;=$J43,AV$3&lt;=$M43),1,"")</f>
        <v/>
      </c>
      <c r="AW43">
        <f>IF(AND($A43&lt;&gt;"",AW$3&gt;=$J43,AW$3&lt;=$M43),1,"")</f>
        <v/>
      </c>
      <c r="AX43">
        <f>IF(AND($A43&lt;&gt;"",AX$3&gt;=$J43,AX$3&lt;=$M43),1,"")</f>
        <v/>
      </c>
      <c r="AY43">
        <f>IF(AND($A43&lt;&gt;"",AY$3&gt;=$J43,AY$3&lt;=$M43),1,"")</f>
        <v/>
      </c>
      <c r="AZ43">
        <f>IF(AND($A43&lt;&gt;"",AZ$3&gt;=$J43,AZ$3&lt;=$M43),1,"")</f>
        <v/>
      </c>
      <c r="BA43">
        <f>IF(AND($A43&lt;&gt;"",BA$3&gt;=$J43,BA$3&lt;=$M43),1,"")</f>
        <v/>
      </c>
      <c r="BB43">
        <f>IF(AND($A43&lt;&gt;"",BB$3&gt;=$J43,BB$3&lt;=$M43),1,"")</f>
        <v/>
      </c>
      <c r="BC43">
        <f>IF(AND($A43&lt;&gt;"",BC$3&gt;=$J43,BC$3&lt;=$M43),1,"")</f>
        <v/>
      </c>
      <c r="BD43">
        <f>IF(AND($A43&lt;&gt;"",BD$3&gt;=$J43,BD$3&lt;=$M43),1,"")</f>
        <v/>
      </c>
      <c r="BE43">
        <f>IF(AND($A43&lt;&gt;"",BE$3&gt;=$J43,BE$3&lt;=$M43),1,"")</f>
        <v/>
      </c>
      <c r="BF43">
        <f>IF(AND($A43&lt;&gt;"",BF$3&gt;=$J43,BF$3&lt;=$M43),1,"")</f>
        <v/>
      </c>
      <c r="BG43">
        <f>IF(AND($A43&lt;&gt;"",BG$3&gt;=$J43,BG$3&lt;=$M43),1,"")</f>
        <v/>
      </c>
      <c r="BH43">
        <f>IF(AND($A43&lt;&gt;"",BH$3&gt;=$J43,BH$3&lt;=$M43),1,"")</f>
        <v/>
      </c>
      <c r="BI43">
        <f>IF(AND($A43&lt;&gt;"",BI$3&gt;=$J43,BI$3&lt;=$M43),1,"")</f>
        <v/>
      </c>
      <c r="BJ43">
        <f>IF(AND($A43&lt;&gt;"",BJ$3&gt;=$J43,BJ$3&lt;=$M43),1,"")</f>
        <v/>
      </c>
      <c r="BK43">
        <f>IF(AND($A43&lt;&gt;"",BK$3&gt;=$J43,BK$3&lt;=$M43),1,"")</f>
        <v/>
      </c>
      <c r="BL43">
        <f>IF(AND($A43&lt;&gt;"",BL$3&gt;=$J43,BL$3&lt;=$M43),1,"")</f>
        <v/>
      </c>
      <c r="BM43">
        <f>IF(AND($A43&lt;&gt;"",BM$3&gt;=$J43,BM$3&lt;=$M43),1,"")</f>
        <v/>
      </c>
      <c r="BN43">
        <f>IF(AND($A43&lt;&gt;"",BN$3&gt;=$J43,BN$3&lt;=$M43),1,"")</f>
        <v/>
      </c>
      <c r="BO43">
        <f>IF(AND($A43&lt;&gt;"",BO$3&gt;=$J43,BO$3&lt;=$M43),1,"")</f>
        <v/>
      </c>
      <c r="BP43">
        <f>IF(AND($A43&lt;&gt;"",BP$3&gt;=$J43,BP$3&lt;=$M43),1,"")</f>
        <v/>
      </c>
      <c r="BQ43">
        <f>IF(AND($A43&lt;&gt;"",BQ$3&gt;=$J43,BQ$3&lt;=$M43),1,"")</f>
        <v/>
      </c>
      <c r="BR43">
        <f>IF(AND($A43&lt;&gt;"",BR$3&gt;=$J43,BR$3&lt;=$M43),1,"")</f>
        <v/>
      </c>
      <c r="BS43">
        <f>IF(AND($A43&lt;&gt;"",BS$3&gt;=$J43,BS$3&lt;=$M43),1,"")</f>
        <v/>
      </c>
      <c r="BT43">
        <f>IF(AND($A43&lt;&gt;"",BT$3&gt;=$J43,BT$3&lt;=$M43),1,"")</f>
        <v/>
      </c>
      <c r="BU43">
        <f>IF(AND($A43&lt;&gt;"",BU$3&gt;=$J43,BU$3&lt;=$M43),1,"")</f>
        <v/>
      </c>
      <c r="BV43">
        <f>IF(AND($A43&lt;&gt;"",BV$3&gt;=$J43,BV$3&lt;=$M43),1,"")</f>
        <v/>
      </c>
    </row>
    <row r="44">
      <c r="A44">
        <f>IF(Job_Master_Ring!$A44="","",Job_Master_Ring!$A44)</f>
        <v/>
      </c>
      <c r="B44">
        <f>IF($A44="","",Job_Master_Ring!B44)</f>
        <v/>
      </c>
      <c r="C44">
        <f>IF($A44="","",Job_Master_Ring!C44)</f>
        <v/>
      </c>
      <c r="D44">
        <f>IF($A44="","",Job_Master_Ring!D44)</f>
        <v/>
      </c>
      <c r="E44">
        <f>IF($A44="","",IF($I44&lt;&gt;"",$I44,IFERROR(INDEX(Machine_List!$B$64:$B$71,MATCH(1,(Machine_List!$H$64:$H$71&lt;=IFERROR(VLOOKUP($B44,CHOOSE(MATCH($C44,Settings!$L$4:$L$10,0),OPR_BR1!$A$4:$K$18,OPR_BR2!$A$4:$K$18,OPR_CR2!$A$4:$K$18,OPR_CR3!$A$4:$K$18,OPR_CR4!$A$4:$K$18,OPR_RIM!$A$4:$K$18,OPR_BPR!$A$4:$K$18),10,0),0))*(Machine_List!$I$64:$I$71&gt;=IFERROR(VLOOKUP($B44,CHOOSE(MATCH($C44,Settings!$L$4:$L$10,0),OPR_BR1!$A$4:$K$18,OPR_BR2!$A$4:$K$18,OPR_CR2!$A$4:$K$18,OPR_CR3!$A$4:$K$18,OPR_CR4!$A$4:$K$18,OPR_RIM!$A$4:$K$18,OPR_BPR!$A$4:$K$18),11,0),9999)),0)),"NO COMPATIBLE MACHINE")))</f>
        <v/>
      </c>
      <c r="F44">
        <f>IF($E44="","",IFERROR(VLOOKUP($E44,Machine_List!$B:$G,6,0),""))</f>
        <v/>
      </c>
      <c r="G44" s="17">
        <f>IF($E44="","",IFERROR(VLOOKUP($E44,Machine_List!$B:$C,2,0),""))</f>
        <v/>
      </c>
      <c r="H44">
        <f>IF($E44="","",IFERROR(VLOOKUP($E44,Machine_List!$B:$D,3,0),""))</f>
        <v/>
      </c>
      <c r="J44" s="16">
        <f>IF($A44="","",IF($I44&lt;&gt;"",$I44,MAX(ENG_Plan!$M44,IFERROR(LOOKUP(2,1/($E$3:INDIRECT("E"&amp;(ROW()-1))=$E44),$M$3:INDIRECT("M"&amp;(ROW()-1))),ENG_Plan!$M44))))</f>
        <v/>
      </c>
      <c r="K44">
        <f>IF($A44="","",IFERROR(VLOOKUP(B44,CHOOSE(MATCH($C44,Settings!$L$4:$L$10,0),OPR_BR1!$A$4:$I$18,OPR_BR2!$A$4:$I$18,OPR_CR2!$A$4:$I$18,OPR_CR3!$A$4:$I$18,OPR_CR4!$A$4:$I$18,OPR_RIM!$A$4:$I$18,OPR_BPR!$A$4:$I$18),7,0),0))</f>
        <v/>
      </c>
      <c r="L44">
        <f>IF($A44="","",K44*D44)</f>
        <v/>
      </c>
      <c r="M44" s="16">
        <f>IF($A44="","",IF(AND(ISNUMBER(G44),G44&gt;=J44,G44&lt;=(J44+(L44/(IF(F44="Contract Workman",Settings!$K$5,Settings!$K$4))))),J44+(L44/(IF(F44="Contract Workman",Settings!$K$5,Settings!$K$4)))+(H44/(IF(F44="Contract Workman",Settings!$K$5,Settings!$K$4))),J44+(L44/(IF(F44="Contract Workman",Settings!$K$5,Settings!$K$4)))))</f>
        <v/>
      </c>
      <c r="N44">
        <f>IF($A44="","",IF(F44="Contract Workman",IF(AND(MOD(M44,1)&gt;=8/24,MOD(M44,1)&lt;20/24),"Shift S1","Shift S2"),IF(AND(MOD(M44,1)&gt;=7/24,MOD(M44,1)&lt;15/24),"Shift A",IF(AND(MOD(M44,1)&gt;=15/24,MOD(M44,1)&lt;23/24),"Shift B","Shift C"))))</f>
        <v/>
      </c>
      <c r="O44">
        <f>IF(B44="","",IF(IFERROR(ISNUMBER(SEARCH(TEXT(B44,"0"),VLOOKUP(E44,Machine_List!$B:$J,9,0))),FALSE),"✅ "&amp; E44,"❌ Sug: "&amp;IFERROR(INDEX(Machine_List!$B$64:$B$71,MATCH(1,(Machine_List!$H$64:$H$71&lt;=IFERROR(VLOOKUP($B44,OPR_BR1!$A$4:$K$18,10,0),0))*(Machine_List!$I$64:$I$71&gt;=IFERROR(VLOOKUP($B44,OPR_BR1!$A$4:$K$18,11,0),9999)),0)),"?")))</f>
        <v/>
      </c>
      <c r="P44">
        <f>IF(AND($A44&lt;&gt;"",P$3&gt;=$J44,P$3&lt;=$M44),1,"")</f>
        <v/>
      </c>
      <c r="Q44">
        <f>IF(AND($A44&lt;&gt;"",Q$3&gt;=$J44,Q$3&lt;=$M44),1,"")</f>
        <v/>
      </c>
      <c r="R44">
        <f>IF(AND($A44&lt;&gt;"",R$3&gt;=$J44,R$3&lt;=$M44),1,"")</f>
        <v/>
      </c>
      <c r="S44">
        <f>IF(AND($A44&lt;&gt;"",S$3&gt;=$J44,S$3&lt;=$M44),1,"")</f>
        <v/>
      </c>
      <c r="T44">
        <f>IF(AND($A44&lt;&gt;"",T$3&gt;=$J44,T$3&lt;=$M44),1,"")</f>
        <v/>
      </c>
      <c r="U44">
        <f>IF(AND($A44&lt;&gt;"",U$3&gt;=$J44,U$3&lt;=$M44),1,"")</f>
        <v/>
      </c>
      <c r="V44">
        <f>IF(AND($A44&lt;&gt;"",V$3&gt;=$J44,V$3&lt;=$M44),1,"")</f>
        <v/>
      </c>
      <c r="W44">
        <f>IF(AND($A44&lt;&gt;"",W$3&gt;=$J44,W$3&lt;=$M44),1,"")</f>
        <v/>
      </c>
      <c r="X44">
        <f>IF(AND($A44&lt;&gt;"",X$3&gt;=$J44,X$3&lt;=$M44),1,"")</f>
        <v/>
      </c>
      <c r="Y44">
        <f>IF(AND($A44&lt;&gt;"",Y$3&gt;=$J44,Y$3&lt;=$M44),1,"")</f>
        <v/>
      </c>
      <c r="Z44">
        <f>IF(AND($A44&lt;&gt;"",Z$3&gt;=$J44,Z$3&lt;=$M44),1,"")</f>
        <v/>
      </c>
      <c r="AA44">
        <f>IF(AND($A44&lt;&gt;"",AA$3&gt;=$J44,AA$3&lt;=$M44),1,"")</f>
        <v/>
      </c>
      <c r="AB44">
        <f>IF(AND($A44&lt;&gt;"",AB$3&gt;=$J44,AB$3&lt;=$M44),1,"")</f>
        <v/>
      </c>
      <c r="AC44">
        <f>IF(AND($A44&lt;&gt;"",AC$3&gt;=$J44,AC$3&lt;=$M44),1,"")</f>
        <v/>
      </c>
      <c r="AD44">
        <f>IF(AND($A44&lt;&gt;"",AD$3&gt;=$J44,AD$3&lt;=$M44),1,"")</f>
        <v/>
      </c>
      <c r="AE44">
        <f>IF(AND($A44&lt;&gt;"",AE$3&gt;=$J44,AE$3&lt;=$M44),1,"")</f>
        <v/>
      </c>
      <c r="AF44">
        <f>IF(AND($A44&lt;&gt;"",AF$3&gt;=$J44,AF$3&lt;=$M44),1,"")</f>
        <v/>
      </c>
      <c r="AG44">
        <f>IF(AND($A44&lt;&gt;"",AG$3&gt;=$J44,AG$3&lt;=$M44),1,"")</f>
        <v/>
      </c>
      <c r="AH44">
        <f>IF(AND($A44&lt;&gt;"",AH$3&gt;=$J44,AH$3&lt;=$M44),1,"")</f>
        <v/>
      </c>
      <c r="AI44">
        <f>IF(AND($A44&lt;&gt;"",AI$3&gt;=$J44,AI$3&lt;=$M44),1,"")</f>
        <v/>
      </c>
      <c r="AJ44">
        <f>IF(AND($A44&lt;&gt;"",AJ$3&gt;=$J44,AJ$3&lt;=$M44),1,"")</f>
        <v/>
      </c>
      <c r="AK44">
        <f>IF(AND($A44&lt;&gt;"",AK$3&gt;=$J44,AK$3&lt;=$M44),1,"")</f>
        <v/>
      </c>
      <c r="AL44">
        <f>IF(AND($A44&lt;&gt;"",AL$3&gt;=$J44,AL$3&lt;=$M44),1,"")</f>
        <v/>
      </c>
      <c r="AM44">
        <f>IF(AND($A44&lt;&gt;"",AM$3&gt;=$J44,AM$3&lt;=$M44),1,"")</f>
        <v/>
      </c>
      <c r="AN44">
        <f>IF(AND($A44&lt;&gt;"",AN$3&gt;=$J44,AN$3&lt;=$M44),1,"")</f>
        <v/>
      </c>
      <c r="AO44">
        <f>IF(AND($A44&lt;&gt;"",AO$3&gt;=$J44,AO$3&lt;=$M44),1,"")</f>
        <v/>
      </c>
      <c r="AP44">
        <f>IF(AND($A44&lt;&gt;"",AP$3&gt;=$J44,AP$3&lt;=$M44),1,"")</f>
        <v/>
      </c>
      <c r="AQ44">
        <f>IF(AND($A44&lt;&gt;"",AQ$3&gt;=$J44,AQ$3&lt;=$M44),1,"")</f>
        <v/>
      </c>
      <c r="AR44">
        <f>IF(AND($A44&lt;&gt;"",AR$3&gt;=$J44,AR$3&lt;=$M44),1,"")</f>
        <v/>
      </c>
      <c r="AS44">
        <f>IF(AND($A44&lt;&gt;"",AS$3&gt;=$J44,AS$3&lt;=$M44),1,"")</f>
        <v/>
      </c>
      <c r="AT44">
        <f>IF(AND($A44&lt;&gt;"",AT$3&gt;=$J44,AT$3&lt;=$M44),1,"")</f>
        <v/>
      </c>
      <c r="AU44">
        <f>IF(AND($A44&lt;&gt;"",AU$3&gt;=$J44,AU$3&lt;=$M44),1,"")</f>
        <v/>
      </c>
      <c r="AV44">
        <f>IF(AND($A44&lt;&gt;"",AV$3&gt;=$J44,AV$3&lt;=$M44),1,"")</f>
        <v/>
      </c>
      <c r="AW44">
        <f>IF(AND($A44&lt;&gt;"",AW$3&gt;=$J44,AW$3&lt;=$M44),1,"")</f>
        <v/>
      </c>
      <c r="AX44">
        <f>IF(AND($A44&lt;&gt;"",AX$3&gt;=$J44,AX$3&lt;=$M44),1,"")</f>
        <v/>
      </c>
      <c r="AY44">
        <f>IF(AND($A44&lt;&gt;"",AY$3&gt;=$J44,AY$3&lt;=$M44),1,"")</f>
        <v/>
      </c>
      <c r="AZ44">
        <f>IF(AND($A44&lt;&gt;"",AZ$3&gt;=$J44,AZ$3&lt;=$M44),1,"")</f>
        <v/>
      </c>
      <c r="BA44">
        <f>IF(AND($A44&lt;&gt;"",BA$3&gt;=$J44,BA$3&lt;=$M44),1,"")</f>
        <v/>
      </c>
      <c r="BB44">
        <f>IF(AND($A44&lt;&gt;"",BB$3&gt;=$J44,BB$3&lt;=$M44),1,"")</f>
        <v/>
      </c>
      <c r="BC44">
        <f>IF(AND($A44&lt;&gt;"",BC$3&gt;=$J44,BC$3&lt;=$M44),1,"")</f>
        <v/>
      </c>
      <c r="BD44">
        <f>IF(AND($A44&lt;&gt;"",BD$3&gt;=$J44,BD$3&lt;=$M44),1,"")</f>
        <v/>
      </c>
      <c r="BE44">
        <f>IF(AND($A44&lt;&gt;"",BE$3&gt;=$J44,BE$3&lt;=$M44),1,"")</f>
        <v/>
      </c>
      <c r="BF44">
        <f>IF(AND($A44&lt;&gt;"",BF$3&gt;=$J44,BF$3&lt;=$M44),1,"")</f>
        <v/>
      </c>
      <c r="BG44">
        <f>IF(AND($A44&lt;&gt;"",BG$3&gt;=$J44,BG$3&lt;=$M44),1,"")</f>
        <v/>
      </c>
      <c r="BH44">
        <f>IF(AND($A44&lt;&gt;"",BH$3&gt;=$J44,BH$3&lt;=$M44),1,"")</f>
        <v/>
      </c>
      <c r="BI44">
        <f>IF(AND($A44&lt;&gt;"",BI$3&gt;=$J44,BI$3&lt;=$M44),1,"")</f>
        <v/>
      </c>
      <c r="BJ44">
        <f>IF(AND($A44&lt;&gt;"",BJ$3&gt;=$J44,BJ$3&lt;=$M44),1,"")</f>
        <v/>
      </c>
      <c r="BK44">
        <f>IF(AND($A44&lt;&gt;"",BK$3&gt;=$J44,BK$3&lt;=$M44),1,"")</f>
        <v/>
      </c>
      <c r="BL44">
        <f>IF(AND($A44&lt;&gt;"",BL$3&gt;=$J44,BL$3&lt;=$M44),1,"")</f>
        <v/>
      </c>
      <c r="BM44">
        <f>IF(AND($A44&lt;&gt;"",BM$3&gt;=$J44,BM$3&lt;=$M44),1,"")</f>
        <v/>
      </c>
      <c r="BN44">
        <f>IF(AND($A44&lt;&gt;"",BN$3&gt;=$J44,BN$3&lt;=$M44),1,"")</f>
        <v/>
      </c>
      <c r="BO44">
        <f>IF(AND($A44&lt;&gt;"",BO$3&gt;=$J44,BO$3&lt;=$M44),1,"")</f>
        <v/>
      </c>
      <c r="BP44">
        <f>IF(AND($A44&lt;&gt;"",BP$3&gt;=$J44,BP$3&lt;=$M44),1,"")</f>
        <v/>
      </c>
      <c r="BQ44">
        <f>IF(AND($A44&lt;&gt;"",BQ$3&gt;=$J44,BQ$3&lt;=$M44),1,"")</f>
        <v/>
      </c>
      <c r="BR44">
        <f>IF(AND($A44&lt;&gt;"",BR$3&gt;=$J44,BR$3&lt;=$M44),1,"")</f>
        <v/>
      </c>
      <c r="BS44">
        <f>IF(AND($A44&lt;&gt;"",BS$3&gt;=$J44,BS$3&lt;=$M44),1,"")</f>
        <v/>
      </c>
      <c r="BT44">
        <f>IF(AND($A44&lt;&gt;"",BT$3&gt;=$J44,BT$3&lt;=$M44),1,"")</f>
        <v/>
      </c>
      <c r="BU44">
        <f>IF(AND($A44&lt;&gt;"",BU$3&gt;=$J44,BU$3&lt;=$M44),1,"")</f>
        <v/>
      </c>
      <c r="BV44">
        <f>IF(AND($A44&lt;&gt;"",BV$3&gt;=$J44,BV$3&lt;=$M44),1,"")</f>
        <v/>
      </c>
    </row>
    <row r="45">
      <c r="A45">
        <f>IF(Job_Master_Ring!$A45="","",Job_Master_Ring!$A45)</f>
        <v/>
      </c>
      <c r="B45">
        <f>IF($A45="","",Job_Master_Ring!B45)</f>
        <v/>
      </c>
      <c r="C45">
        <f>IF($A45="","",Job_Master_Ring!C45)</f>
        <v/>
      </c>
      <c r="D45">
        <f>IF($A45="","",Job_Master_Ring!D45)</f>
        <v/>
      </c>
      <c r="E45">
        <f>IF($A45="","",IF($I45&lt;&gt;"",$I45,IFERROR(INDEX(Machine_List!$B$64:$B$71,MATCH(1,(Machine_List!$H$64:$H$71&lt;=IFERROR(VLOOKUP($B45,CHOOSE(MATCH($C45,Settings!$L$4:$L$10,0),OPR_BR1!$A$4:$K$18,OPR_BR2!$A$4:$K$18,OPR_CR2!$A$4:$K$18,OPR_CR3!$A$4:$K$18,OPR_CR4!$A$4:$K$18,OPR_RIM!$A$4:$K$18,OPR_BPR!$A$4:$K$18),10,0),0))*(Machine_List!$I$64:$I$71&gt;=IFERROR(VLOOKUP($B45,CHOOSE(MATCH($C45,Settings!$L$4:$L$10,0),OPR_BR1!$A$4:$K$18,OPR_BR2!$A$4:$K$18,OPR_CR2!$A$4:$K$18,OPR_CR3!$A$4:$K$18,OPR_CR4!$A$4:$K$18,OPR_RIM!$A$4:$K$18,OPR_BPR!$A$4:$K$18),11,0),9999)),0)),"NO COMPATIBLE MACHINE")))</f>
        <v/>
      </c>
      <c r="F45">
        <f>IF($E45="","",IFERROR(VLOOKUP($E45,Machine_List!$B:$G,6,0),""))</f>
        <v/>
      </c>
      <c r="G45" s="17">
        <f>IF($E45="","",IFERROR(VLOOKUP($E45,Machine_List!$B:$C,2,0),""))</f>
        <v/>
      </c>
      <c r="H45">
        <f>IF($E45="","",IFERROR(VLOOKUP($E45,Machine_List!$B:$D,3,0),""))</f>
        <v/>
      </c>
      <c r="J45" s="16">
        <f>IF($A45="","",IF($I45&lt;&gt;"",$I45,MAX(ENG_Plan!$M45,IFERROR(LOOKUP(2,1/($E$3:INDIRECT("E"&amp;(ROW()-1))=$E45),$M$3:INDIRECT("M"&amp;(ROW()-1))),ENG_Plan!$M45))))</f>
        <v/>
      </c>
      <c r="K45">
        <f>IF($A45="","",IFERROR(VLOOKUP(B45,CHOOSE(MATCH($C45,Settings!$L$4:$L$10,0),OPR_BR1!$A$4:$I$18,OPR_BR2!$A$4:$I$18,OPR_CR2!$A$4:$I$18,OPR_CR3!$A$4:$I$18,OPR_CR4!$A$4:$I$18,OPR_RIM!$A$4:$I$18,OPR_BPR!$A$4:$I$18),7,0),0))</f>
        <v/>
      </c>
      <c r="L45">
        <f>IF($A45="","",K45*D45)</f>
        <v/>
      </c>
      <c r="M45" s="16">
        <f>IF($A45="","",IF(AND(ISNUMBER(G45),G45&gt;=J45,G45&lt;=(J45+(L45/(IF(F45="Contract Workman",Settings!$K$5,Settings!$K$4))))),J45+(L45/(IF(F45="Contract Workman",Settings!$K$5,Settings!$K$4)))+(H45/(IF(F45="Contract Workman",Settings!$K$5,Settings!$K$4))),J45+(L45/(IF(F45="Contract Workman",Settings!$K$5,Settings!$K$4)))))</f>
        <v/>
      </c>
      <c r="N45">
        <f>IF($A45="","",IF(F45="Contract Workman",IF(AND(MOD(M45,1)&gt;=8/24,MOD(M45,1)&lt;20/24),"Shift S1","Shift S2"),IF(AND(MOD(M45,1)&gt;=7/24,MOD(M45,1)&lt;15/24),"Shift A",IF(AND(MOD(M45,1)&gt;=15/24,MOD(M45,1)&lt;23/24),"Shift B","Shift C"))))</f>
        <v/>
      </c>
      <c r="O45">
        <f>IF(B45="","",IF(IFERROR(ISNUMBER(SEARCH(TEXT(B45,"0"),VLOOKUP(E45,Machine_List!$B:$J,9,0))),FALSE),"✅ "&amp; E45,"❌ Sug: "&amp;IFERROR(INDEX(Machine_List!$B$64:$B$71,MATCH(1,(Machine_List!$H$64:$H$71&lt;=IFERROR(VLOOKUP($B45,OPR_BR1!$A$4:$K$18,10,0),0))*(Machine_List!$I$64:$I$71&gt;=IFERROR(VLOOKUP($B45,OPR_BR1!$A$4:$K$18,11,0),9999)),0)),"?")))</f>
        <v/>
      </c>
      <c r="P45">
        <f>IF(AND($A45&lt;&gt;"",P$3&gt;=$J45,P$3&lt;=$M45),1,"")</f>
        <v/>
      </c>
      <c r="Q45">
        <f>IF(AND($A45&lt;&gt;"",Q$3&gt;=$J45,Q$3&lt;=$M45),1,"")</f>
        <v/>
      </c>
      <c r="R45">
        <f>IF(AND($A45&lt;&gt;"",R$3&gt;=$J45,R$3&lt;=$M45),1,"")</f>
        <v/>
      </c>
      <c r="S45">
        <f>IF(AND($A45&lt;&gt;"",S$3&gt;=$J45,S$3&lt;=$M45),1,"")</f>
        <v/>
      </c>
      <c r="T45">
        <f>IF(AND($A45&lt;&gt;"",T$3&gt;=$J45,T$3&lt;=$M45),1,"")</f>
        <v/>
      </c>
      <c r="U45">
        <f>IF(AND($A45&lt;&gt;"",U$3&gt;=$J45,U$3&lt;=$M45),1,"")</f>
        <v/>
      </c>
      <c r="V45">
        <f>IF(AND($A45&lt;&gt;"",V$3&gt;=$J45,V$3&lt;=$M45),1,"")</f>
        <v/>
      </c>
      <c r="W45">
        <f>IF(AND($A45&lt;&gt;"",W$3&gt;=$J45,W$3&lt;=$M45),1,"")</f>
        <v/>
      </c>
      <c r="X45">
        <f>IF(AND($A45&lt;&gt;"",X$3&gt;=$J45,X$3&lt;=$M45),1,"")</f>
        <v/>
      </c>
      <c r="Y45">
        <f>IF(AND($A45&lt;&gt;"",Y$3&gt;=$J45,Y$3&lt;=$M45),1,"")</f>
        <v/>
      </c>
      <c r="Z45">
        <f>IF(AND($A45&lt;&gt;"",Z$3&gt;=$J45,Z$3&lt;=$M45),1,"")</f>
        <v/>
      </c>
      <c r="AA45">
        <f>IF(AND($A45&lt;&gt;"",AA$3&gt;=$J45,AA$3&lt;=$M45),1,"")</f>
        <v/>
      </c>
      <c r="AB45">
        <f>IF(AND($A45&lt;&gt;"",AB$3&gt;=$J45,AB$3&lt;=$M45),1,"")</f>
        <v/>
      </c>
      <c r="AC45">
        <f>IF(AND($A45&lt;&gt;"",AC$3&gt;=$J45,AC$3&lt;=$M45),1,"")</f>
        <v/>
      </c>
      <c r="AD45">
        <f>IF(AND($A45&lt;&gt;"",AD$3&gt;=$J45,AD$3&lt;=$M45),1,"")</f>
        <v/>
      </c>
      <c r="AE45">
        <f>IF(AND($A45&lt;&gt;"",AE$3&gt;=$J45,AE$3&lt;=$M45),1,"")</f>
        <v/>
      </c>
      <c r="AF45">
        <f>IF(AND($A45&lt;&gt;"",AF$3&gt;=$J45,AF$3&lt;=$M45),1,"")</f>
        <v/>
      </c>
      <c r="AG45">
        <f>IF(AND($A45&lt;&gt;"",AG$3&gt;=$J45,AG$3&lt;=$M45),1,"")</f>
        <v/>
      </c>
      <c r="AH45">
        <f>IF(AND($A45&lt;&gt;"",AH$3&gt;=$J45,AH$3&lt;=$M45),1,"")</f>
        <v/>
      </c>
      <c r="AI45">
        <f>IF(AND($A45&lt;&gt;"",AI$3&gt;=$J45,AI$3&lt;=$M45),1,"")</f>
        <v/>
      </c>
      <c r="AJ45">
        <f>IF(AND($A45&lt;&gt;"",AJ$3&gt;=$J45,AJ$3&lt;=$M45),1,"")</f>
        <v/>
      </c>
      <c r="AK45">
        <f>IF(AND($A45&lt;&gt;"",AK$3&gt;=$J45,AK$3&lt;=$M45),1,"")</f>
        <v/>
      </c>
      <c r="AL45">
        <f>IF(AND($A45&lt;&gt;"",AL$3&gt;=$J45,AL$3&lt;=$M45),1,"")</f>
        <v/>
      </c>
      <c r="AM45">
        <f>IF(AND($A45&lt;&gt;"",AM$3&gt;=$J45,AM$3&lt;=$M45),1,"")</f>
        <v/>
      </c>
      <c r="AN45">
        <f>IF(AND($A45&lt;&gt;"",AN$3&gt;=$J45,AN$3&lt;=$M45),1,"")</f>
        <v/>
      </c>
      <c r="AO45">
        <f>IF(AND($A45&lt;&gt;"",AO$3&gt;=$J45,AO$3&lt;=$M45),1,"")</f>
        <v/>
      </c>
      <c r="AP45">
        <f>IF(AND($A45&lt;&gt;"",AP$3&gt;=$J45,AP$3&lt;=$M45),1,"")</f>
        <v/>
      </c>
      <c r="AQ45">
        <f>IF(AND($A45&lt;&gt;"",AQ$3&gt;=$J45,AQ$3&lt;=$M45),1,"")</f>
        <v/>
      </c>
      <c r="AR45">
        <f>IF(AND($A45&lt;&gt;"",AR$3&gt;=$J45,AR$3&lt;=$M45),1,"")</f>
        <v/>
      </c>
      <c r="AS45">
        <f>IF(AND($A45&lt;&gt;"",AS$3&gt;=$J45,AS$3&lt;=$M45),1,"")</f>
        <v/>
      </c>
      <c r="AT45">
        <f>IF(AND($A45&lt;&gt;"",AT$3&gt;=$J45,AT$3&lt;=$M45),1,"")</f>
        <v/>
      </c>
      <c r="AU45">
        <f>IF(AND($A45&lt;&gt;"",AU$3&gt;=$J45,AU$3&lt;=$M45),1,"")</f>
        <v/>
      </c>
      <c r="AV45">
        <f>IF(AND($A45&lt;&gt;"",AV$3&gt;=$J45,AV$3&lt;=$M45),1,"")</f>
        <v/>
      </c>
      <c r="AW45">
        <f>IF(AND($A45&lt;&gt;"",AW$3&gt;=$J45,AW$3&lt;=$M45),1,"")</f>
        <v/>
      </c>
      <c r="AX45">
        <f>IF(AND($A45&lt;&gt;"",AX$3&gt;=$J45,AX$3&lt;=$M45),1,"")</f>
        <v/>
      </c>
      <c r="AY45">
        <f>IF(AND($A45&lt;&gt;"",AY$3&gt;=$J45,AY$3&lt;=$M45),1,"")</f>
        <v/>
      </c>
      <c r="AZ45">
        <f>IF(AND($A45&lt;&gt;"",AZ$3&gt;=$J45,AZ$3&lt;=$M45),1,"")</f>
        <v/>
      </c>
      <c r="BA45">
        <f>IF(AND($A45&lt;&gt;"",BA$3&gt;=$J45,BA$3&lt;=$M45),1,"")</f>
        <v/>
      </c>
      <c r="BB45">
        <f>IF(AND($A45&lt;&gt;"",BB$3&gt;=$J45,BB$3&lt;=$M45),1,"")</f>
        <v/>
      </c>
      <c r="BC45">
        <f>IF(AND($A45&lt;&gt;"",BC$3&gt;=$J45,BC$3&lt;=$M45),1,"")</f>
        <v/>
      </c>
      <c r="BD45">
        <f>IF(AND($A45&lt;&gt;"",BD$3&gt;=$J45,BD$3&lt;=$M45),1,"")</f>
        <v/>
      </c>
      <c r="BE45">
        <f>IF(AND($A45&lt;&gt;"",BE$3&gt;=$J45,BE$3&lt;=$M45),1,"")</f>
        <v/>
      </c>
      <c r="BF45">
        <f>IF(AND($A45&lt;&gt;"",BF$3&gt;=$J45,BF$3&lt;=$M45),1,"")</f>
        <v/>
      </c>
      <c r="BG45">
        <f>IF(AND($A45&lt;&gt;"",BG$3&gt;=$J45,BG$3&lt;=$M45),1,"")</f>
        <v/>
      </c>
      <c r="BH45">
        <f>IF(AND($A45&lt;&gt;"",BH$3&gt;=$J45,BH$3&lt;=$M45),1,"")</f>
        <v/>
      </c>
      <c r="BI45">
        <f>IF(AND($A45&lt;&gt;"",BI$3&gt;=$J45,BI$3&lt;=$M45),1,"")</f>
        <v/>
      </c>
      <c r="BJ45">
        <f>IF(AND($A45&lt;&gt;"",BJ$3&gt;=$J45,BJ$3&lt;=$M45),1,"")</f>
        <v/>
      </c>
      <c r="BK45">
        <f>IF(AND($A45&lt;&gt;"",BK$3&gt;=$J45,BK$3&lt;=$M45),1,"")</f>
        <v/>
      </c>
      <c r="BL45">
        <f>IF(AND($A45&lt;&gt;"",BL$3&gt;=$J45,BL$3&lt;=$M45),1,"")</f>
        <v/>
      </c>
      <c r="BM45">
        <f>IF(AND($A45&lt;&gt;"",BM$3&gt;=$J45,BM$3&lt;=$M45),1,"")</f>
        <v/>
      </c>
      <c r="BN45">
        <f>IF(AND($A45&lt;&gt;"",BN$3&gt;=$J45,BN$3&lt;=$M45),1,"")</f>
        <v/>
      </c>
      <c r="BO45">
        <f>IF(AND($A45&lt;&gt;"",BO$3&gt;=$J45,BO$3&lt;=$M45),1,"")</f>
        <v/>
      </c>
      <c r="BP45">
        <f>IF(AND($A45&lt;&gt;"",BP$3&gt;=$J45,BP$3&lt;=$M45),1,"")</f>
        <v/>
      </c>
      <c r="BQ45">
        <f>IF(AND($A45&lt;&gt;"",BQ$3&gt;=$J45,BQ$3&lt;=$M45),1,"")</f>
        <v/>
      </c>
      <c r="BR45">
        <f>IF(AND($A45&lt;&gt;"",BR$3&gt;=$J45,BR$3&lt;=$M45),1,"")</f>
        <v/>
      </c>
      <c r="BS45">
        <f>IF(AND($A45&lt;&gt;"",BS$3&gt;=$J45,BS$3&lt;=$M45),1,"")</f>
        <v/>
      </c>
      <c r="BT45">
        <f>IF(AND($A45&lt;&gt;"",BT$3&gt;=$J45,BT$3&lt;=$M45),1,"")</f>
        <v/>
      </c>
      <c r="BU45">
        <f>IF(AND($A45&lt;&gt;"",BU$3&gt;=$J45,BU$3&lt;=$M45),1,"")</f>
        <v/>
      </c>
      <c r="BV45">
        <f>IF(AND($A45&lt;&gt;"",BV$3&gt;=$J45,BV$3&lt;=$M45),1,"")</f>
        <v/>
      </c>
    </row>
    <row r="46">
      <c r="A46">
        <f>IF(Job_Master_Ring!$A46="","",Job_Master_Ring!$A46)</f>
        <v/>
      </c>
      <c r="B46">
        <f>IF($A46="","",Job_Master_Ring!B46)</f>
        <v/>
      </c>
      <c r="C46">
        <f>IF($A46="","",Job_Master_Ring!C46)</f>
        <v/>
      </c>
      <c r="D46">
        <f>IF($A46="","",Job_Master_Ring!D46)</f>
        <v/>
      </c>
      <c r="E46">
        <f>IF($A46="","",IF($I46&lt;&gt;"",$I46,IFERROR(INDEX(Machine_List!$B$64:$B$71,MATCH(1,(Machine_List!$H$64:$H$71&lt;=IFERROR(VLOOKUP($B46,CHOOSE(MATCH($C46,Settings!$L$4:$L$10,0),OPR_BR1!$A$4:$K$18,OPR_BR2!$A$4:$K$18,OPR_CR2!$A$4:$K$18,OPR_CR3!$A$4:$K$18,OPR_CR4!$A$4:$K$18,OPR_RIM!$A$4:$K$18,OPR_BPR!$A$4:$K$18),10,0),0))*(Machine_List!$I$64:$I$71&gt;=IFERROR(VLOOKUP($B46,CHOOSE(MATCH($C46,Settings!$L$4:$L$10,0),OPR_BR1!$A$4:$K$18,OPR_BR2!$A$4:$K$18,OPR_CR2!$A$4:$K$18,OPR_CR3!$A$4:$K$18,OPR_CR4!$A$4:$K$18,OPR_RIM!$A$4:$K$18,OPR_BPR!$A$4:$K$18),11,0),9999)),0)),"NO COMPATIBLE MACHINE")))</f>
        <v/>
      </c>
      <c r="F46">
        <f>IF($E46="","",IFERROR(VLOOKUP($E46,Machine_List!$B:$G,6,0),""))</f>
        <v/>
      </c>
      <c r="G46" s="17">
        <f>IF($E46="","",IFERROR(VLOOKUP($E46,Machine_List!$B:$C,2,0),""))</f>
        <v/>
      </c>
      <c r="H46">
        <f>IF($E46="","",IFERROR(VLOOKUP($E46,Machine_List!$B:$D,3,0),""))</f>
        <v/>
      </c>
      <c r="J46" s="16">
        <f>IF($A46="","",IF($I46&lt;&gt;"",$I46,MAX(ENG_Plan!$M46,IFERROR(LOOKUP(2,1/($E$3:INDIRECT("E"&amp;(ROW()-1))=$E46),$M$3:INDIRECT("M"&amp;(ROW()-1))),ENG_Plan!$M46))))</f>
        <v/>
      </c>
      <c r="K46">
        <f>IF($A46="","",IFERROR(VLOOKUP(B46,CHOOSE(MATCH($C46,Settings!$L$4:$L$10,0),OPR_BR1!$A$4:$I$18,OPR_BR2!$A$4:$I$18,OPR_CR2!$A$4:$I$18,OPR_CR3!$A$4:$I$18,OPR_CR4!$A$4:$I$18,OPR_RIM!$A$4:$I$18,OPR_BPR!$A$4:$I$18),7,0),0))</f>
        <v/>
      </c>
      <c r="L46">
        <f>IF($A46="","",K46*D46)</f>
        <v/>
      </c>
      <c r="M46" s="16">
        <f>IF($A46="","",IF(AND(ISNUMBER(G46),G46&gt;=J46,G46&lt;=(J46+(L46/(IF(F46="Contract Workman",Settings!$K$5,Settings!$K$4))))),J46+(L46/(IF(F46="Contract Workman",Settings!$K$5,Settings!$K$4)))+(H46/(IF(F46="Contract Workman",Settings!$K$5,Settings!$K$4))),J46+(L46/(IF(F46="Contract Workman",Settings!$K$5,Settings!$K$4)))))</f>
        <v/>
      </c>
      <c r="N46">
        <f>IF($A46="","",IF(F46="Contract Workman",IF(AND(MOD(M46,1)&gt;=8/24,MOD(M46,1)&lt;20/24),"Shift S1","Shift S2"),IF(AND(MOD(M46,1)&gt;=7/24,MOD(M46,1)&lt;15/24),"Shift A",IF(AND(MOD(M46,1)&gt;=15/24,MOD(M46,1)&lt;23/24),"Shift B","Shift C"))))</f>
        <v/>
      </c>
      <c r="O46">
        <f>IF(B46="","",IF(IFERROR(ISNUMBER(SEARCH(TEXT(B46,"0"),VLOOKUP(E46,Machine_List!$B:$J,9,0))),FALSE),"✅ "&amp; E46,"❌ Sug: "&amp;IFERROR(INDEX(Machine_List!$B$64:$B$71,MATCH(1,(Machine_List!$H$64:$H$71&lt;=IFERROR(VLOOKUP($B46,OPR_BR1!$A$4:$K$18,10,0),0))*(Machine_List!$I$64:$I$71&gt;=IFERROR(VLOOKUP($B46,OPR_BR1!$A$4:$K$18,11,0),9999)),0)),"?")))</f>
        <v/>
      </c>
      <c r="P46">
        <f>IF(AND($A46&lt;&gt;"",P$3&gt;=$J46,P$3&lt;=$M46),1,"")</f>
        <v/>
      </c>
      <c r="Q46">
        <f>IF(AND($A46&lt;&gt;"",Q$3&gt;=$J46,Q$3&lt;=$M46),1,"")</f>
        <v/>
      </c>
      <c r="R46">
        <f>IF(AND($A46&lt;&gt;"",R$3&gt;=$J46,R$3&lt;=$M46),1,"")</f>
        <v/>
      </c>
      <c r="S46">
        <f>IF(AND($A46&lt;&gt;"",S$3&gt;=$J46,S$3&lt;=$M46),1,"")</f>
        <v/>
      </c>
      <c r="T46">
        <f>IF(AND($A46&lt;&gt;"",T$3&gt;=$J46,T$3&lt;=$M46),1,"")</f>
        <v/>
      </c>
      <c r="U46">
        <f>IF(AND($A46&lt;&gt;"",U$3&gt;=$J46,U$3&lt;=$M46),1,"")</f>
        <v/>
      </c>
      <c r="V46">
        <f>IF(AND($A46&lt;&gt;"",V$3&gt;=$J46,V$3&lt;=$M46),1,"")</f>
        <v/>
      </c>
      <c r="W46">
        <f>IF(AND($A46&lt;&gt;"",W$3&gt;=$J46,W$3&lt;=$M46),1,"")</f>
        <v/>
      </c>
      <c r="X46">
        <f>IF(AND($A46&lt;&gt;"",X$3&gt;=$J46,X$3&lt;=$M46),1,"")</f>
        <v/>
      </c>
      <c r="Y46">
        <f>IF(AND($A46&lt;&gt;"",Y$3&gt;=$J46,Y$3&lt;=$M46),1,"")</f>
        <v/>
      </c>
      <c r="Z46">
        <f>IF(AND($A46&lt;&gt;"",Z$3&gt;=$J46,Z$3&lt;=$M46),1,"")</f>
        <v/>
      </c>
      <c r="AA46">
        <f>IF(AND($A46&lt;&gt;"",AA$3&gt;=$J46,AA$3&lt;=$M46),1,"")</f>
        <v/>
      </c>
      <c r="AB46">
        <f>IF(AND($A46&lt;&gt;"",AB$3&gt;=$J46,AB$3&lt;=$M46),1,"")</f>
        <v/>
      </c>
      <c r="AC46">
        <f>IF(AND($A46&lt;&gt;"",AC$3&gt;=$J46,AC$3&lt;=$M46),1,"")</f>
        <v/>
      </c>
      <c r="AD46">
        <f>IF(AND($A46&lt;&gt;"",AD$3&gt;=$J46,AD$3&lt;=$M46),1,"")</f>
        <v/>
      </c>
      <c r="AE46">
        <f>IF(AND($A46&lt;&gt;"",AE$3&gt;=$J46,AE$3&lt;=$M46),1,"")</f>
        <v/>
      </c>
      <c r="AF46">
        <f>IF(AND($A46&lt;&gt;"",AF$3&gt;=$J46,AF$3&lt;=$M46),1,"")</f>
        <v/>
      </c>
      <c r="AG46">
        <f>IF(AND($A46&lt;&gt;"",AG$3&gt;=$J46,AG$3&lt;=$M46),1,"")</f>
        <v/>
      </c>
      <c r="AH46">
        <f>IF(AND($A46&lt;&gt;"",AH$3&gt;=$J46,AH$3&lt;=$M46),1,"")</f>
        <v/>
      </c>
      <c r="AI46">
        <f>IF(AND($A46&lt;&gt;"",AI$3&gt;=$J46,AI$3&lt;=$M46),1,"")</f>
        <v/>
      </c>
      <c r="AJ46">
        <f>IF(AND($A46&lt;&gt;"",AJ$3&gt;=$J46,AJ$3&lt;=$M46),1,"")</f>
        <v/>
      </c>
      <c r="AK46">
        <f>IF(AND($A46&lt;&gt;"",AK$3&gt;=$J46,AK$3&lt;=$M46),1,"")</f>
        <v/>
      </c>
      <c r="AL46">
        <f>IF(AND($A46&lt;&gt;"",AL$3&gt;=$J46,AL$3&lt;=$M46),1,"")</f>
        <v/>
      </c>
      <c r="AM46">
        <f>IF(AND($A46&lt;&gt;"",AM$3&gt;=$J46,AM$3&lt;=$M46),1,"")</f>
        <v/>
      </c>
      <c r="AN46">
        <f>IF(AND($A46&lt;&gt;"",AN$3&gt;=$J46,AN$3&lt;=$M46),1,"")</f>
        <v/>
      </c>
      <c r="AO46">
        <f>IF(AND($A46&lt;&gt;"",AO$3&gt;=$J46,AO$3&lt;=$M46),1,"")</f>
        <v/>
      </c>
      <c r="AP46">
        <f>IF(AND($A46&lt;&gt;"",AP$3&gt;=$J46,AP$3&lt;=$M46),1,"")</f>
        <v/>
      </c>
      <c r="AQ46">
        <f>IF(AND($A46&lt;&gt;"",AQ$3&gt;=$J46,AQ$3&lt;=$M46),1,"")</f>
        <v/>
      </c>
      <c r="AR46">
        <f>IF(AND($A46&lt;&gt;"",AR$3&gt;=$J46,AR$3&lt;=$M46),1,"")</f>
        <v/>
      </c>
      <c r="AS46">
        <f>IF(AND($A46&lt;&gt;"",AS$3&gt;=$J46,AS$3&lt;=$M46),1,"")</f>
        <v/>
      </c>
      <c r="AT46">
        <f>IF(AND($A46&lt;&gt;"",AT$3&gt;=$J46,AT$3&lt;=$M46),1,"")</f>
        <v/>
      </c>
      <c r="AU46">
        <f>IF(AND($A46&lt;&gt;"",AU$3&gt;=$J46,AU$3&lt;=$M46),1,"")</f>
        <v/>
      </c>
      <c r="AV46">
        <f>IF(AND($A46&lt;&gt;"",AV$3&gt;=$J46,AV$3&lt;=$M46),1,"")</f>
        <v/>
      </c>
      <c r="AW46">
        <f>IF(AND($A46&lt;&gt;"",AW$3&gt;=$J46,AW$3&lt;=$M46),1,"")</f>
        <v/>
      </c>
      <c r="AX46">
        <f>IF(AND($A46&lt;&gt;"",AX$3&gt;=$J46,AX$3&lt;=$M46),1,"")</f>
        <v/>
      </c>
      <c r="AY46">
        <f>IF(AND($A46&lt;&gt;"",AY$3&gt;=$J46,AY$3&lt;=$M46),1,"")</f>
        <v/>
      </c>
      <c r="AZ46">
        <f>IF(AND($A46&lt;&gt;"",AZ$3&gt;=$J46,AZ$3&lt;=$M46),1,"")</f>
        <v/>
      </c>
      <c r="BA46">
        <f>IF(AND($A46&lt;&gt;"",BA$3&gt;=$J46,BA$3&lt;=$M46),1,"")</f>
        <v/>
      </c>
      <c r="BB46">
        <f>IF(AND($A46&lt;&gt;"",BB$3&gt;=$J46,BB$3&lt;=$M46),1,"")</f>
        <v/>
      </c>
      <c r="BC46">
        <f>IF(AND($A46&lt;&gt;"",BC$3&gt;=$J46,BC$3&lt;=$M46),1,"")</f>
        <v/>
      </c>
      <c r="BD46">
        <f>IF(AND($A46&lt;&gt;"",BD$3&gt;=$J46,BD$3&lt;=$M46),1,"")</f>
        <v/>
      </c>
      <c r="BE46">
        <f>IF(AND($A46&lt;&gt;"",BE$3&gt;=$J46,BE$3&lt;=$M46),1,"")</f>
        <v/>
      </c>
      <c r="BF46">
        <f>IF(AND($A46&lt;&gt;"",BF$3&gt;=$J46,BF$3&lt;=$M46),1,"")</f>
        <v/>
      </c>
      <c r="BG46">
        <f>IF(AND($A46&lt;&gt;"",BG$3&gt;=$J46,BG$3&lt;=$M46),1,"")</f>
        <v/>
      </c>
      <c r="BH46">
        <f>IF(AND($A46&lt;&gt;"",BH$3&gt;=$J46,BH$3&lt;=$M46),1,"")</f>
        <v/>
      </c>
      <c r="BI46">
        <f>IF(AND($A46&lt;&gt;"",BI$3&gt;=$J46,BI$3&lt;=$M46),1,"")</f>
        <v/>
      </c>
      <c r="BJ46">
        <f>IF(AND($A46&lt;&gt;"",BJ$3&gt;=$J46,BJ$3&lt;=$M46),1,"")</f>
        <v/>
      </c>
      <c r="BK46">
        <f>IF(AND($A46&lt;&gt;"",BK$3&gt;=$J46,BK$3&lt;=$M46),1,"")</f>
        <v/>
      </c>
      <c r="BL46">
        <f>IF(AND($A46&lt;&gt;"",BL$3&gt;=$J46,BL$3&lt;=$M46),1,"")</f>
        <v/>
      </c>
      <c r="BM46">
        <f>IF(AND($A46&lt;&gt;"",BM$3&gt;=$J46,BM$3&lt;=$M46),1,"")</f>
        <v/>
      </c>
      <c r="BN46">
        <f>IF(AND($A46&lt;&gt;"",BN$3&gt;=$J46,BN$3&lt;=$M46),1,"")</f>
        <v/>
      </c>
      <c r="BO46">
        <f>IF(AND($A46&lt;&gt;"",BO$3&gt;=$J46,BO$3&lt;=$M46),1,"")</f>
        <v/>
      </c>
      <c r="BP46">
        <f>IF(AND($A46&lt;&gt;"",BP$3&gt;=$J46,BP$3&lt;=$M46),1,"")</f>
        <v/>
      </c>
      <c r="BQ46">
        <f>IF(AND($A46&lt;&gt;"",BQ$3&gt;=$J46,BQ$3&lt;=$M46),1,"")</f>
        <v/>
      </c>
      <c r="BR46">
        <f>IF(AND($A46&lt;&gt;"",BR$3&gt;=$J46,BR$3&lt;=$M46),1,"")</f>
        <v/>
      </c>
      <c r="BS46">
        <f>IF(AND($A46&lt;&gt;"",BS$3&gt;=$J46,BS$3&lt;=$M46),1,"")</f>
        <v/>
      </c>
      <c r="BT46">
        <f>IF(AND($A46&lt;&gt;"",BT$3&gt;=$J46,BT$3&lt;=$M46),1,"")</f>
        <v/>
      </c>
      <c r="BU46">
        <f>IF(AND($A46&lt;&gt;"",BU$3&gt;=$J46,BU$3&lt;=$M46),1,"")</f>
        <v/>
      </c>
      <c r="BV46">
        <f>IF(AND($A46&lt;&gt;"",BV$3&gt;=$J46,BV$3&lt;=$M46),1,"")</f>
        <v/>
      </c>
    </row>
    <row r="47">
      <c r="A47">
        <f>IF(Job_Master_Ring!$A47="","",Job_Master_Ring!$A47)</f>
        <v/>
      </c>
      <c r="B47">
        <f>IF($A47="","",Job_Master_Ring!B47)</f>
        <v/>
      </c>
      <c r="C47">
        <f>IF($A47="","",Job_Master_Ring!C47)</f>
        <v/>
      </c>
      <c r="D47">
        <f>IF($A47="","",Job_Master_Ring!D47)</f>
        <v/>
      </c>
      <c r="E47">
        <f>IF($A47="","",IF($I47&lt;&gt;"",$I47,IFERROR(INDEX(Machine_List!$B$64:$B$71,MATCH(1,(Machine_List!$H$64:$H$71&lt;=IFERROR(VLOOKUP($B47,CHOOSE(MATCH($C47,Settings!$L$4:$L$10,0),OPR_BR1!$A$4:$K$18,OPR_BR2!$A$4:$K$18,OPR_CR2!$A$4:$K$18,OPR_CR3!$A$4:$K$18,OPR_CR4!$A$4:$K$18,OPR_RIM!$A$4:$K$18,OPR_BPR!$A$4:$K$18),10,0),0))*(Machine_List!$I$64:$I$71&gt;=IFERROR(VLOOKUP($B47,CHOOSE(MATCH($C47,Settings!$L$4:$L$10,0),OPR_BR1!$A$4:$K$18,OPR_BR2!$A$4:$K$18,OPR_CR2!$A$4:$K$18,OPR_CR3!$A$4:$K$18,OPR_CR4!$A$4:$K$18,OPR_RIM!$A$4:$K$18,OPR_BPR!$A$4:$K$18),11,0),9999)),0)),"NO COMPATIBLE MACHINE")))</f>
        <v/>
      </c>
      <c r="F47">
        <f>IF($E47="","",IFERROR(VLOOKUP($E47,Machine_List!$B:$G,6,0),""))</f>
        <v/>
      </c>
      <c r="G47" s="17">
        <f>IF($E47="","",IFERROR(VLOOKUP($E47,Machine_List!$B:$C,2,0),""))</f>
        <v/>
      </c>
      <c r="H47">
        <f>IF($E47="","",IFERROR(VLOOKUP($E47,Machine_List!$B:$D,3,0),""))</f>
        <v/>
      </c>
      <c r="J47" s="16">
        <f>IF($A47="","",IF($I47&lt;&gt;"",$I47,MAX(ENG_Plan!$M47,IFERROR(LOOKUP(2,1/($E$3:INDIRECT("E"&amp;(ROW()-1))=$E47),$M$3:INDIRECT("M"&amp;(ROW()-1))),ENG_Plan!$M47))))</f>
        <v/>
      </c>
      <c r="K47">
        <f>IF($A47="","",IFERROR(VLOOKUP(B47,CHOOSE(MATCH($C47,Settings!$L$4:$L$10,0),OPR_BR1!$A$4:$I$18,OPR_BR2!$A$4:$I$18,OPR_CR2!$A$4:$I$18,OPR_CR3!$A$4:$I$18,OPR_CR4!$A$4:$I$18,OPR_RIM!$A$4:$I$18,OPR_BPR!$A$4:$I$18),7,0),0))</f>
        <v/>
      </c>
      <c r="L47">
        <f>IF($A47="","",K47*D47)</f>
        <v/>
      </c>
      <c r="M47" s="16">
        <f>IF($A47="","",IF(AND(ISNUMBER(G47),G47&gt;=J47,G47&lt;=(J47+(L47/(IF(F47="Contract Workman",Settings!$K$5,Settings!$K$4))))),J47+(L47/(IF(F47="Contract Workman",Settings!$K$5,Settings!$K$4)))+(H47/(IF(F47="Contract Workman",Settings!$K$5,Settings!$K$4))),J47+(L47/(IF(F47="Contract Workman",Settings!$K$5,Settings!$K$4)))))</f>
        <v/>
      </c>
      <c r="N47">
        <f>IF($A47="","",IF(F47="Contract Workman",IF(AND(MOD(M47,1)&gt;=8/24,MOD(M47,1)&lt;20/24),"Shift S1","Shift S2"),IF(AND(MOD(M47,1)&gt;=7/24,MOD(M47,1)&lt;15/24),"Shift A",IF(AND(MOD(M47,1)&gt;=15/24,MOD(M47,1)&lt;23/24),"Shift B","Shift C"))))</f>
        <v/>
      </c>
      <c r="O47">
        <f>IF(B47="","",IF(IFERROR(ISNUMBER(SEARCH(TEXT(B47,"0"),VLOOKUP(E47,Machine_List!$B:$J,9,0))),FALSE),"✅ "&amp; E47,"❌ Sug: "&amp;IFERROR(INDEX(Machine_List!$B$64:$B$71,MATCH(1,(Machine_List!$H$64:$H$71&lt;=IFERROR(VLOOKUP($B47,OPR_BR1!$A$4:$K$18,10,0),0))*(Machine_List!$I$64:$I$71&gt;=IFERROR(VLOOKUP($B47,OPR_BR1!$A$4:$K$18,11,0),9999)),0)),"?")))</f>
        <v/>
      </c>
      <c r="P47">
        <f>IF(AND($A47&lt;&gt;"",P$3&gt;=$J47,P$3&lt;=$M47),1,"")</f>
        <v/>
      </c>
      <c r="Q47">
        <f>IF(AND($A47&lt;&gt;"",Q$3&gt;=$J47,Q$3&lt;=$M47),1,"")</f>
        <v/>
      </c>
      <c r="R47">
        <f>IF(AND($A47&lt;&gt;"",R$3&gt;=$J47,R$3&lt;=$M47),1,"")</f>
        <v/>
      </c>
      <c r="S47">
        <f>IF(AND($A47&lt;&gt;"",S$3&gt;=$J47,S$3&lt;=$M47),1,"")</f>
        <v/>
      </c>
      <c r="T47">
        <f>IF(AND($A47&lt;&gt;"",T$3&gt;=$J47,T$3&lt;=$M47),1,"")</f>
        <v/>
      </c>
      <c r="U47">
        <f>IF(AND($A47&lt;&gt;"",U$3&gt;=$J47,U$3&lt;=$M47),1,"")</f>
        <v/>
      </c>
      <c r="V47">
        <f>IF(AND($A47&lt;&gt;"",V$3&gt;=$J47,V$3&lt;=$M47),1,"")</f>
        <v/>
      </c>
      <c r="W47">
        <f>IF(AND($A47&lt;&gt;"",W$3&gt;=$J47,W$3&lt;=$M47),1,"")</f>
        <v/>
      </c>
      <c r="X47">
        <f>IF(AND($A47&lt;&gt;"",X$3&gt;=$J47,X$3&lt;=$M47),1,"")</f>
        <v/>
      </c>
      <c r="Y47">
        <f>IF(AND($A47&lt;&gt;"",Y$3&gt;=$J47,Y$3&lt;=$M47),1,"")</f>
        <v/>
      </c>
      <c r="Z47">
        <f>IF(AND($A47&lt;&gt;"",Z$3&gt;=$J47,Z$3&lt;=$M47),1,"")</f>
        <v/>
      </c>
      <c r="AA47">
        <f>IF(AND($A47&lt;&gt;"",AA$3&gt;=$J47,AA$3&lt;=$M47),1,"")</f>
        <v/>
      </c>
      <c r="AB47">
        <f>IF(AND($A47&lt;&gt;"",AB$3&gt;=$J47,AB$3&lt;=$M47),1,"")</f>
        <v/>
      </c>
      <c r="AC47">
        <f>IF(AND($A47&lt;&gt;"",AC$3&gt;=$J47,AC$3&lt;=$M47),1,"")</f>
        <v/>
      </c>
      <c r="AD47">
        <f>IF(AND($A47&lt;&gt;"",AD$3&gt;=$J47,AD$3&lt;=$M47),1,"")</f>
        <v/>
      </c>
      <c r="AE47">
        <f>IF(AND($A47&lt;&gt;"",AE$3&gt;=$J47,AE$3&lt;=$M47),1,"")</f>
        <v/>
      </c>
      <c r="AF47">
        <f>IF(AND($A47&lt;&gt;"",AF$3&gt;=$J47,AF$3&lt;=$M47),1,"")</f>
        <v/>
      </c>
      <c r="AG47">
        <f>IF(AND($A47&lt;&gt;"",AG$3&gt;=$J47,AG$3&lt;=$M47),1,"")</f>
        <v/>
      </c>
      <c r="AH47">
        <f>IF(AND($A47&lt;&gt;"",AH$3&gt;=$J47,AH$3&lt;=$M47),1,"")</f>
        <v/>
      </c>
      <c r="AI47">
        <f>IF(AND($A47&lt;&gt;"",AI$3&gt;=$J47,AI$3&lt;=$M47),1,"")</f>
        <v/>
      </c>
      <c r="AJ47">
        <f>IF(AND($A47&lt;&gt;"",AJ$3&gt;=$J47,AJ$3&lt;=$M47),1,"")</f>
        <v/>
      </c>
      <c r="AK47">
        <f>IF(AND($A47&lt;&gt;"",AK$3&gt;=$J47,AK$3&lt;=$M47),1,"")</f>
        <v/>
      </c>
      <c r="AL47">
        <f>IF(AND($A47&lt;&gt;"",AL$3&gt;=$J47,AL$3&lt;=$M47),1,"")</f>
        <v/>
      </c>
      <c r="AM47">
        <f>IF(AND($A47&lt;&gt;"",AM$3&gt;=$J47,AM$3&lt;=$M47),1,"")</f>
        <v/>
      </c>
      <c r="AN47">
        <f>IF(AND($A47&lt;&gt;"",AN$3&gt;=$J47,AN$3&lt;=$M47),1,"")</f>
        <v/>
      </c>
      <c r="AO47">
        <f>IF(AND($A47&lt;&gt;"",AO$3&gt;=$J47,AO$3&lt;=$M47),1,"")</f>
        <v/>
      </c>
      <c r="AP47">
        <f>IF(AND($A47&lt;&gt;"",AP$3&gt;=$J47,AP$3&lt;=$M47),1,"")</f>
        <v/>
      </c>
      <c r="AQ47">
        <f>IF(AND($A47&lt;&gt;"",AQ$3&gt;=$J47,AQ$3&lt;=$M47),1,"")</f>
        <v/>
      </c>
      <c r="AR47">
        <f>IF(AND($A47&lt;&gt;"",AR$3&gt;=$J47,AR$3&lt;=$M47),1,"")</f>
        <v/>
      </c>
      <c r="AS47">
        <f>IF(AND($A47&lt;&gt;"",AS$3&gt;=$J47,AS$3&lt;=$M47),1,"")</f>
        <v/>
      </c>
      <c r="AT47">
        <f>IF(AND($A47&lt;&gt;"",AT$3&gt;=$J47,AT$3&lt;=$M47),1,"")</f>
        <v/>
      </c>
      <c r="AU47">
        <f>IF(AND($A47&lt;&gt;"",AU$3&gt;=$J47,AU$3&lt;=$M47),1,"")</f>
        <v/>
      </c>
      <c r="AV47">
        <f>IF(AND($A47&lt;&gt;"",AV$3&gt;=$J47,AV$3&lt;=$M47),1,"")</f>
        <v/>
      </c>
      <c r="AW47">
        <f>IF(AND($A47&lt;&gt;"",AW$3&gt;=$J47,AW$3&lt;=$M47),1,"")</f>
        <v/>
      </c>
      <c r="AX47">
        <f>IF(AND($A47&lt;&gt;"",AX$3&gt;=$J47,AX$3&lt;=$M47),1,"")</f>
        <v/>
      </c>
      <c r="AY47">
        <f>IF(AND($A47&lt;&gt;"",AY$3&gt;=$J47,AY$3&lt;=$M47),1,"")</f>
        <v/>
      </c>
      <c r="AZ47">
        <f>IF(AND($A47&lt;&gt;"",AZ$3&gt;=$J47,AZ$3&lt;=$M47),1,"")</f>
        <v/>
      </c>
      <c r="BA47">
        <f>IF(AND($A47&lt;&gt;"",BA$3&gt;=$J47,BA$3&lt;=$M47),1,"")</f>
        <v/>
      </c>
      <c r="BB47">
        <f>IF(AND($A47&lt;&gt;"",BB$3&gt;=$J47,BB$3&lt;=$M47),1,"")</f>
        <v/>
      </c>
      <c r="BC47">
        <f>IF(AND($A47&lt;&gt;"",BC$3&gt;=$J47,BC$3&lt;=$M47),1,"")</f>
        <v/>
      </c>
      <c r="BD47">
        <f>IF(AND($A47&lt;&gt;"",BD$3&gt;=$J47,BD$3&lt;=$M47),1,"")</f>
        <v/>
      </c>
      <c r="BE47">
        <f>IF(AND($A47&lt;&gt;"",BE$3&gt;=$J47,BE$3&lt;=$M47),1,"")</f>
        <v/>
      </c>
      <c r="BF47">
        <f>IF(AND($A47&lt;&gt;"",BF$3&gt;=$J47,BF$3&lt;=$M47),1,"")</f>
        <v/>
      </c>
      <c r="BG47">
        <f>IF(AND($A47&lt;&gt;"",BG$3&gt;=$J47,BG$3&lt;=$M47),1,"")</f>
        <v/>
      </c>
      <c r="BH47">
        <f>IF(AND($A47&lt;&gt;"",BH$3&gt;=$J47,BH$3&lt;=$M47),1,"")</f>
        <v/>
      </c>
      <c r="BI47">
        <f>IF(AND($A47&lt;&gt;"",BI$3&gt;=$J47,BI$3&lt;=$M47),1,"")</f>
        <v/>
      </c>
      <c r="BJ47">
        <f>IF(AND($A47&lt;&gt;"",BJ$3&gt;=$J47,BJ$3&lt;=$M47),1,"")</f>
        <v/>
      </c>
      <c r="BK47">
        <f>IF(AND($A47&lt;&gt;"",BK$3&gt;=$J47,BK$3&lt;=$M47),1,"")</f>
        <v/>
      </c>
      <c r="BL47">
        <f>IF(AND($A47&lt;&gt;"",BL$3&gt;=$J47,BL$3&lt;=$M47),1,"")</f>
        <v/>
      </c>
      <c r="BM47">
        <f>IF(AND($A47&lt;&gt;"",BM$3&gt;=$J47,BM$3&lt;=$M47),1,"")</f>
        <v/>
      </c>
      <c r="BN47">
        <f>IF(AND($A47&lt;&gt;"",BN$3&gt;=$J47,BN$3&lt;=$M47),1,"")</f>
        <v/>
      </c>
      <c r="BO47">
        <f>IF(AND($A47&lt;&gt;"",BO$3&gt;=$J47,BO$3&lt;=$M47),1,"")</f>
        <v/>
      </c>
      <c r="BP47">
        <f>IF(AND($A47&lt;&gt;"",BP$3&gt;=$J47,BP$3&lt;=$M47),1,"")</f>
        <v/>
      </c>
      <c r="BQ47">
        <f>IF(AND($A47&lt;&gt;"",BQ$3&gt;=$J47,BQ$3&lt;=$M47),1,"")</f>
        <v/>
      </c>
      <c r="BR47">
        <f>IF(AND($A47&lt;&gt;"",BR$3&gt;=$J47,BR$3&lt;=$M47),1,"")</f>
        <v/>
      </c>
      <c r="BS47">
        <f>IF(AND($A47&lt;&gt;"",BS$3&gt;=$J47,BS$3&lt;=$M47),1,"")</f>
        <v/>
      </c>
      <c r="BT47">
        <f>IF(AND($A47&lt;&gt;"",BT$3&gt;=$J47,BT$3&lt;=$M47),1,"")</f>
        <v/>
      </c>
      <c r="BU47">
        <f>IF(AND($A47&lt;&gt;"",BU$3&gt;=$J47,BU$3&lt;=$M47),1,"")</f>
        <v/>
      </c>
      <c r="BV47">
        <f>IF(AND($A47&lt;&gt;"",BV$3&gt;=$J47,BV$3&lt;=$M47),1,"")</f>
        <v/>
      </c>
    </row>
    <row r="48">
      <c r="A48">
        <f>IF(Job_Master_Ring!$A48="","",Job_Master_Ring!$A48)</f>
        <v/>
      </c>
      <c r="B48">
        <f>IF($A48="","",Job_Master_Ring!B48)</f>
        <v/>
      </c>
      <c r="C48">
        <f>IF($A48="","",Job_Master_Ring!C48)</f>
        <v/>
      </c>
      <c r="D48">
        <f>IF($A48="","",Job_Master_Ring!D48)</f>
        <v/>
      </c>
      <c r="E48">
        <f>IF($A48="","",IF($I48&lt;&gt;"",$I48,IFERROR(INDEX(Machine_List!$B$64:$B$71,MATCH(1,(Machine_List!$H$64:$H$71&lt;=IFERROR(VLOOKUP($B48,CHOOSE(MATCH($C48,Settings!$L$4:$L$10,0),OPR_BR1!$A$4:$K$18,OPR_BR2!$A$4:$K$18,OPR_CR2!$A$4:$K$18,OPR_CR3!$A$4:$K$18,OPR_CR4!$A$4:$K$18,OPR_RIM!$A$4:$K$18,OPR_BPR!$A$4:$K$18),10,0),0))*(Machine_List!$I$64:$I$71&gt;=IFERROR(VLOOKUP($B48,CHOOSE(MATCH($C48,Settings!$L$4:$L$10,0),OPR_BR1!$A$4:$K$18,OPR_BR2!$A$4:$K$18,OPR_CR2!$A$4:$K$18,OPR_CR3!$A$4:$K$18,OPR_CR4!$A$4:$K$18,OPR_RIM!$A$4:$K$18,OPR_BPR!$A$4:$K$18),11,0),9999)),0)),"NO COMPATIBLE MACHINE")))</f>
        <v/>
      </c>
      <c r="F48">
        <f>IF($E48="","",IFERROR(VLOOKUP($E48,Machine_List!$B:$G,6,0),""))</f>
        <v/>
      </c>
      <c r="G48" s="17">
        <f>IF($E48="","",IFERROR(VLOOKUP($E48,Machine_List!$B:$C,2,0),""))</f>
        <v/>
      </c>
      <c r="H48">
        <f>IF($E48="","",IFERROR(VLOOKUP($E48,Machine_List!$B:$D,3,0),""))</f>
        <v/>
      </c>
      <c r="J48" s="16">
        <f>IF($A48="","",IF($I48&lt;&gt;"",$I48,MAX(ENG_Plan!$M48,IFERROR(LOOKUP(2,1/($E$3:INDIRECT("E"&amp;(ROW()-1))=$E48),$M$3:INDIRECT("M"&amp;(ROW()-1))),ENG_Plan!$M48))))</f>
        <v/>
      </c>
      <c r="K48">
        <f>IF($A48="","",IFERROR(VLOOKUP(B48,CHOOSE(MATCH($C48,Settings!$L$4:$L$10,0),OPR_BR1!$A$4:$I$18,OPR_BR2!$A$4:$I$18,OPR_CR2!$A$4:$I$18,OPR_CR3!$A$4:$I$18,OPR_CR4!$A$4:$I$18,OPR_RIM!$A$4:$I$18,OPR_BPR!$A$4:$I$18),7,0),0))</f>
        <v/>
      </c>
      <c r="L48">
        <f>IF($A48="","",K48*D48)</f>
        <v/>
      </c>
      <c r="M48" s="16">
        <f>IF($A48="","",IF(AND(ISNUMBER(G48),G48&gt;=J48,G48&lt;=(J48+(L48/(IF(F48="Contract Workman",Settings!$K$5,Settings!$K$4))))),J48+(L48/(IF(F48="Contract Workman",Settings!$K$5,Settings!$K$4)))+(H48/(IF(F48="Contract Workman",Settings!$K$5,Settings!$K$4))),J48+(L48/(IF(F48="Contract Workman",Settings!$K$5,Settings!$K$4)))))</f>
        <v/>
      </c>
      <c r="N48">
        <f>IF($A48="","",IF(F48="Contract Workman",IF(AND(MOD(M48,1)&gt;=8/24,MOD(M48,1)&lt;20/24),"Shift S1","Shift S2"),IF(AND(MOD(M48,1)&gt;=7/24,MOD(M48,1)&lt;15/24),"Shift A",IF(AND(MOD(M48,1)&gt;=15/24,MOD(M48,1)&lt;23/24),"Shift B","Shift C"))))</f>
        <v/>
      </c>
      <c r="O48">
        <f>IF(B48="","",IF(IFERROR(ISNUMBER(SEARCH(TEXT(B48,"0"),VLOOKUP(E48,Machine_List!$B:$J,9,0))),FALSE),"✅ "&amp; E48,"❌ Sug: "&amp;IFERROR(INDEX(Machine_List!$B$64:$B$71,MATCH(1,(Machine_List!$H$64:$H$71&lt;=IFERROR(VLOOKUP($B48,OPR_BR1!$A$4:$K$18,10,0),0))*(Machine_List!$I$64:$I$71&gt;=IFERROR(VLOOKUP($B48,OPR_BR1!$A$4:$K$18,11,0),9999)),0)),"?")))</f>
        <v/>
      </c>
      <c r="P48">
        <f>IF(AND($A48&lt;&gt;"",P$3&gt;=$J48,P$3&lt;=$M48),1,"")</f>
        <v/>
      </c>
      <c r="Q48">
        <f>IF(AND($A48&lt;&gt;"",Q$3&gt;=$J48,Q$3&lt;=$M48),1,"")</f>
        <v/>
      </c>
      <c r="R48">
        <f>IF(AND($A48&lt;&gt;"",R$3&gt;=$J48,R$3&lt;=$M48),1,"")</f>
        <v/>
      </c>
      <c r="S48">
        <f>IF(AND($A48&lt;&gt;"",S$3&gt;=$J48,S$3&lt;=$M48),1,"")</f>
        <v/>
      </c>
      <c r="T48">
        <f>IF(AND($A48&lt;&gt;"",T$3&gt;=$J48,T$3&lt;=$M48),1,"")</f>
        <v/>
      </c>
      <c r="U48">
        <f>IF(AND($A48&lt;&gt;"",U$3&gt;=$J48,U$3&lt;=$M48),1,"")</f>
        <v/>
      </c>
      <c r="V48">
        <f>IF(AND($A48&lt;&gt;"",V$3&gt;=$J48,V$3&lt;=$M48),1,"")</f>
        <v/>
      </c>
      <c r="W48">
        <f>IF(AND($A48&lt;&gt;"",W$3&gt;=$J48,W$3&lt;=$M48),1,"")</f>
        <v/>
      </c>
      <c r="X48">
        <f>IF(AND($A48&lt;&gt;"",X$3&gt;=$J48,X$3&lt;=$M48),1,"")</f>
        <v/>
      </c>
      <c r="Y48">
        <f>IF(AND($A48&lt;&gt;"",Y$3&gt;=$J48,Y$3&lt;=$M48),1,"")</f>
        <v/>
      </c>
      <c r="Z48">
        <f>IF(AND($A48&lt;&gt;"",Z$3&gt;=$J48,Z$3&lt;=$M48),1,"")</f>
        <v/>
      </c>
      <c r="AA48">
        <f>IF(AND($A48&lt;&gt;"",AA$3&gt;=$J48,AA$3&lt;=$M48),1,"")</f>
        <v/>
      </c>
      <c r="AB48">
        <f>IF(AND($A48&lt;&gt;"",AB$3&gt;=$J48,AB$3&lt;=$M48),1,"")</f>
        <v/>
      </c>
      <c r="AC48">
        <f>IF(AND($A48&lt;&gt;"",AC$3&gt;=$J48,AC$3&lt;=$M48),1,"")</f>
        <v/>
      </c>
      <c r="AD48">
        <f>IF(AND($A48&lt;&gt;"",AD$3&gt;=$J48,AD$3&lt;=$M48),1,"")</f>
        <v/>
      </c>
      <c r="AE48">
        <f>IF(AND($A48&lt;&gt;"",AE$3&gt;=$J48,AE$3&lt;=$M48),1,"")</f>
        <v/>
      </c>
      <c r="AF48">
        <f>IF(AND($A48&lt;&gt;"",AF$3&gt;=$J48,AF$3&lt;=$M48),1,"")</f>
        <v/>
      </c>
      <c r="AG48">
        <f>IF(AND($A48&lt;&gt;"",AG$3&gt;=$J48,AG$3&lt;=$M48),1,"")</f>
        <v/>
      </c>
      <c r="AH48">
        <f>IF(AND($A48&lt;&gt;"",AH$3&gt;=$J48,AH$3&lt;=$M48),1,"")</f>
        <v/>
      </c>
      <c r="AI48">
        <f>IF(AND($A48&lt;&gt;"",AI$3&gt;=$J48,AI$3&lt;=$M48),1,"")</f>
        <v/>
      </c>
      <c r="AJ48">
        <f>IF(AND($A48&lt;&gt;"",AJ$3&gt;=$J48,AJ$3&lt;=$M48),1,"")</f>
        <v/>
      </c>
      <c r="AK48">
        <f>IF(AND($A48&lt;&gt;"",AK$3&gt;=$J48,AK$3&lt;=$M48),1,"")</f>
        <v/>
      </c>
      <c r="AL48">
        <f>IF(AND($A48&lt;&gt;"",AL$3&gt;=$J48,AL$3&lt;=$M48),1,"")</f>
        <v/>
      </c>
      <c r="AM48">
        <f>IF(AND($A48&lt;&gt;"",AM$3&gt;=$J48,AM$3&lt;=$M48),1,"")</f>
        <v/>
      </c>
      <c r="AN48">
        <f>IF(AND($A48&lt;&gt;"",AN$3&gt;=$J48,AN$3&lt;=$M48),1,"")</f>
        <v/>
      </c>
      <c r="AO48">
        <f>IF(AND($A48&lt;&gt;"",AO$3&gt;=$J48,AO$3&lt;=$M48),1,"")</f>
        <v/>
      </c>
      <c r="AP48">
        <f>IF(AND($A48&lt;&gt;"",AP$3&gt;=$J48,AP$3&lt;=$M48),1,"")</f>
        <v/>
      </c>
      <c r="AQ48">
        <f>IF(AND($A48&lt;&gt;"",AQ$3&gt;=$J48,AQ$3&lt;=$M48),1,"")</f>
        <v/>
      </c>
      <c r="AR48">
        <f>IF(AND($A48&lt;&gt;"",AR$3&gt;=$J48,AR$3&lt;=$M48),1,"")</f>
        <v/>
      </c>
      <c r="AS48">
        <f>IF(AND($A48&lt;&gt;"",AS$3&gt;=$J48,AS$3&lt;=$M48),1,"")</f>
        <v/>
      </c>
      <c r="AT48">
        <f>IF(AND($A48&lt;&gt;"",AT$3&gt;=$J48,AT$3&lt;=$M48),1,"")</f>
        <v/>
      </c>
      <c r="AU48">
        <f>IF(AND($A48&lt;&gt;"",AU$3&gt;=$J48,AU$3&lt;=$M48),1,"")</f>
        <v/>
      </c>
      <c r="AV48">
        <f>IF(AND($A48&lt;&gt;"",AV$3&gt;=$J48,AV$3&lt;=$M48),1,"")</f>
        <v/>
      </c>
      <c r="AW48">
        <f>IF(AND($A48&lt;&gt;"",AW$3&gt;=$J48,AW$3&lt;=$M48),1,"")</f>
        <v/>
      </c>
      <c r="AX48">
        <f>IF(AND($A48&lt;&gt;"",AX$3&gt;=$J48,AX$3&lt;=$M48),1,"")</f>
        <v/>
      </c>
      <c r="AY48">
        <f>IF(AND($A48&lt;&gt;"",AY$3&gt;=$J48,AY$3&lt;=$M48),1,"")</f>
        <v/>
      </c>
      <c r="AZ48">
        <f>IF(AND($A48&lt;&gt;"",AZ$3&gt;=$J48,AZ$3&lt;=$M48),1,"")</f>
        <v/>
      </c>
      <c r="BA48">
        <f>IF(AND($A48&lt;&gt;"",BA$3&gt;=$J48,BA$3&lt;=$M48),1,"")</f>
        <v/>
      </c>
      <c r="BB48">
        <f>IF(AND($A48&lt;&gt;"",BB$3&gt;=$J48,BB$3&lt;=$M48),1,"")</f>
        <v/>
      </c>
      <c r="BC48">
        <f>IF(AND($A48&lt;&gt;"",BC$3&gt;=$J48,BC$3&lt;=$M48),1,"")</f>
        <v/>
      </c>
      <c r="BD48">
        <f>IF(AND($A48&lt;&gt;"",BD$3&gt;=$J48,BD$3&lt;=$M48),1,"")</f>
        <v/>
      </c>
      <c r="BE48">
        <f>IF(AND($A48&lt;&gt;"",BE$3&gt;=$J48,BE$3&lt;=$M48),1,"")</f>
        <v/>
      </c>
      <c r="BF48">
        <f>IF(AND($A48&lt;&gt;"",BF$3&gt;=$J48,BF$3&lt;=$M48),1,"")</f>
        <v/>
      </c>
      <c r="BG48">
        <f>IF(AND($A48&lt;&gt;"",BG$3&gt;=$J48,BG$3&lt;=$M48),1,"")</f>
        <v/>
      </c>
      <c r="BH48">
        <f>IF(AND($A48&lt;&gt;"",BH$3&gt;=$J48,BH$3&lt;=$M48),1,"")</f>
        <v/>
      </c>
      <c r="BI48">
        <f>IF(AND($A48&lt;&gt;"",BI$3&gt;=$J48,BI$3&lt;=$M48),1,"")</f>
        <v/>
      </c>
      <c r="BJ48">
        <f>IF(AND($A48&lt;&gt;"",BJ$3&gt;=$J48,BJ$3&lt;=$M48),1,"")</f>
        <v/>
      </c>
      <c r="BK48">
        <f>IF(AND($A48&lt;&gt;"",BK$3&gt;=$J48,BK$3&lt;=$M48),1,"")</f>
        <v/>
      </c>
      <c r="BL48">
        <f>IF(AND($A48&lt;&gt;"",BL$3&gt;=$J48,BL$3&lt;=$M48),1,"")</f>
        <v/>
      </c>
      <c r="BM48">
        <f>IF(AND($A48&lt;&gt;"",BM$3&gt;=$J48,BM$3&lt;=$M48),1,"")</f>
        <v/>
      </c>
      <c r="BN48">
        <f>IF(AND($A48&lt;&gt;"",BN$3&gt;=$J48,BN$3&lt;=$M48),1,"")</f>
        <v/>
      </c>
      <c r="BO48">
        <f>IF(AND($A48&lt;&gt;"",BO$3&gt;=$J48,BO$3&lt;=$M48),1,"")</f>
        <v/>
      </c>
      <c r="BP48">
        <f>IF(AND($A48&lt;&gt;"",BP$3&gt;=$J48,BP$3&lt;=$M48),1,"")</f>
        <v/>
      </c>
      <c r="BQ48">
        <f>IF(AND($A48&lt;&gt;"",BQ$3&gt;=$J48,BQ$3&lt;=$M48),1,"")</f>
        <v/>
      </c>
      <c r="BR48">
        <f>IF(AND($A48&lt;&gt;"",BR$3&gt;=$J48,BR$3&lt;=$M48),1,"")</f>
        <v/>
      </c>
      <c r="BS48">
        <f>IF(AND($A48&lt;&gt;"",BS$3&gt;=$J48,BS$3&lt;=$M48),1,"")</f>
        <v/>
      </c>
      <c r="BT48">
        <f>IF(AND($A48&lt;&gt;"",BT$3&gt;=$J48,BT$3&lt;=$M48),1,"")</f>
        <v/>
      </c>
      <c r="BU48">
        <f>IF(AND($A48&lt;&gt;"",BU$3&gt;=$J48,BU$3&lt;=$M48),1,"")</f>
        <v/>
      </c>
      <c r="BV48">
        <f>IF(AND($A48&lt;&gt;"",BV$3&gt;=$J48,BV$3&lt;=$M48),1,"")</f>
        <v/>
      </c>
    </row>
    <row r="49">
      <c r="A49">
        <f>IF(Job_Master_Ring!$A49="","",Job_Master_Ring!$A49)</f>
        <v/>
      </c>
      <c r="B49">
        <f>IF($A49="","",Job_Master_Ring!B49)</f>
        <v/>
      </c>
      <c r="C49">
        <f>IF($A49="","",Job_Master_Ring!C49)</f>
        <v/>
      </c>
      <c r="D49">
        <f>IF($A49="","",Job_Master_Ring!D49)</f>
        <v/>
      </c>
      <c r="E49">
        <f>IF($A49="","",IF($I49&lt;&gt;"",$I49,IFERROR(INDEX(Machine_List!$B$64:$B$71,MATCH(1,(Machine_List!$H$64:$H$71&lt;=IFERROR(VLOOKUP($B49,CHOOSE(MATCH($C49,Settings!$L$4:$L$10,0),OPR_BR1!$A$4:$K$18,OPR_BR2!$A$4:$K$18,OPR_CR2!$A$4:$K$18,OPR_CR3!$A$4:$K$18,OPR_CR4!$A$4:$K$18,OPR_RIM!$A$4:$K$18,OPR_BPR!$A$4:$K$18),10,0),0))*(Machine_List!$I$64:$I$71&gt;=IFERROR(VLOOKUP($B49,CHOOSE(MATCH($C49,Settings!$L$4:$L$10,0),OPR_BR1!$A$4:$K$18,OPR_BR2!$A$4:$K$18,OPR_CR2!$A$4:$K$18,OPR_CR3!$A$4:$K$18,OPR_CR4!$A$4:$K$18,OPR_RIM!$A$4:$K$18,OPR_BPR!$A$4:$K$18),11,0),9999)),0)),"NO COMPATIBLE MACHINE")))</f>
        <v/>
      </c>
      <c r="F49">
        <f>IF($E49="","",IFERROR(VLOOKUP($E49,Machine_List!$B:$G,6,0),""))</f>
        <v/>
      </c>
      <c r="G49" s="17">
        <f>IF($E49="","",IFERROR(VLOOKUP($E49,Machine_List!$B:$C,2,0),""))</f>
        <v/>
      </c>
      <c r="H49">
        <f>IF($E49="","",IFERROR(VLOOKUP($E49,Machine_List!$B:$D,3,0),""))</f>
        <v/>
      </c>
      <c r="J49" s="16">
        <f>IF($A49="","",IF($I49&lt;&gt;"",$I49,MAX(ENG_Plan!$M49,IFERROR(LOOKUP(2,1/($E$3:INDIRECT("E"&amp;(ROW()-1))=$E49),$M$3:INDIRECT("M"&amp;(ROW()-1))),ENG_Plan!$M49))))</f>
        <v/>
      </c>
      <c r="K49">
        <f>IF($A49="","",IFERROR(VLOOKUP(B49,CHOOSE(MATCH($C49,Settings!$L$4:$L$10,0),OPR_BR1!$A$4:$I$18,OPR_BR2!$A$4:$I$18,OPR_CR2!$A$4:$I$18,OPR_CR3!$A$4:$I$18,OPR_CR4!$A$4:$I$18,OPR_RIM!$A$4:$I$18,OPR_BPR!$A$4:$I$18),7,0),0))</f>
        <v/>
      </c>
      <c r="L49">
        <f>IF($A49="","",K49*D49)</f>
        <v/>
      </c>
      <c r="M49" s="16">
        <f>IF($A49="","",IF(AND(ISNUMBER(G49),G49&gt;=J49,G49&lt;=(J49+(L49/(IF(F49="Contract Workman",Settings!$K$5,Settings!$K$4))))),J49+(L49/(IF(F49="Contract Workman",Settings!$K$5,Settings!$K$4)))+(H49/(IF(F49="Contract Workman",Settings!$K$5,Settings!$K$4))),J49+(L49/(IF(F49="Contract Workman",Settings!$K$5,Settings!$K$4)))))</f>
        <v/>
      </c>
      <c r="N49">
        <f>IF($A49="","",IF(F49="Contract Workman",IF(AND(MOD(M49,1)&gt;=8/24,MOD(M49,1)&lt;20/24),"Shift S1","Shift S2"),IF(AND(MOD(M49,1)&gt;=7/24,MOD(M49,1)&lt;15/24),"Shift A",IF(AND(MOD(M49,1)&gt;=15/24,MOD(M49,1)&lt;23/24),"Shift B","Shift C"))))</f>
        <v/>
      </c>
      <c r="O49">
        <f>IF(B49="","",IF(IFERROR(ISNUMBER(SEARCH(TEXT(B49,"0"),VLOOKUP(E49,Machine_List!$B:$J,9,0))),FALSE),"✅ "&amp; E49,"❌ Sug: "&amp;IFERROR(INDEX(Machine_List!$B$64:$B$71,MATCH(1,(Machine_List!$H$64:$H$71&lt;=IFERROR(VLOOKUP($B49,OPR_BR1!$A$4:$K$18,10,0),0))*(Machine_List!$I$64:$I$71&gt;=IFERROR(VLOOKUP($B49,OPR_BR1!$A$4:$K$18,11,0),9999)),0)),"?")))</f>
        <v/>
      </c>
      <c r="P49">
        <f>IF(AND($A49&lt;&gt;"",P$3&gt;=$J49,P$3&lt;=$M49),1,"")</f>
        <v/>
      </c>
      <c r="Q49">
        <f>IF(AND($A49&lt;&gt;"",Q$3&gt;=$J49,Q$3&lt;=$M49),1,"")</f>
        <v/>
      </c>
      <c r="R49">
        <f>IF(AND($A49&lt;&gt;"",R$3&gt;=$J49,R$3&lt;=$M49),1,"")</f>
        <v/>
      </c>
      <c r="S49">
        <f>IF(AND($A49&lt;&gt;"",S$3&gt;=$J49,S$3&lt;=$M49),1,"")</f>
        <v/>
      </c>
      <c r="T49">
        <f>IF(AND($A49&lt;&gt;"",T$3&gt;=$J49,T$3&lt;=$M49),1,"")</f>
        <v/>
      </c>
      <c r="U49">
        <f>IF(AND($A49&lt;&gt;"",U$3&gt;=$J49,U$3&lt;=$M49),1,"")</f>
        <v/>
      </c>
      <c r="V49">
        <f>IF(AND($A49&lt;&gt;"",V$3&gt;=$J49,V$3&lt;=$M49),1,"")</f>
        <v/>
      </c>
      <c r="W49">
        <f>IF(AND($A49&lt;&gt;"",W$3&gt;=$J49,W$3&lt;=$M49),1,"")</f>
        <v/>
      </c>
      <c r="X49">
        <f>IF(AND($A49&lt;&gt;"",X$3&gt;=$J49,X$3&lt;=$M49),1,"")</f>
        <v/>
      </c>
      <c r="Y49">
        <f>IF(AND($A49&lt;&gt;"",Y$3&gt;=$J49,Y$3&lt;=$M49),1,"")</f>
        <v/>
      </c>
      <c r="Z49">
        <f>IF(AND($A49&lt;&gt;"",Z$3&gt;=$J49,Z$3&lt;=$M49),1,"")</f>
        <v/>
      </c>
      <c r="AA49">
        <f>IF(AND($A49&lt;&gt;"",AA$3&gt;=$J49,AA$3&lt;=$M49),1,"")</f>
        <v/>
      </c>
      <c r="AB49">
        <f>IF(AND($A49&lt;&gt;"",AB$3&gt;=$J49,AB$3&lt;=$M49),1,"")</f>
        <v/>
      </c>
      <c r="AC49">
        <f>IF(AND($A49&lt;&gt;"",AC$3&gt;=$J49,AC$3&lt;=$M49),1,"")</f>
        <v/>
      </c>
      <c r="AD49">
        <f>IF(AND($A49&lt;&gt;"",AD$3&gt;=$J49,AD$3&lt;=$M49),1,"")</f>
        <v/>
      </c>
      <c r="AE49">
        <f>IF(AND($A49&lt;&gt;"",AE$3&gt;=$J49,AE$3&lt;=$M49),1,"")</f>
        <v/>
      </c>
      <c r="AF49">
        <f>IF(AND($A49&lt;&gt;"",AF$3&gt;=$J49,AF$3&lt;=$M49),1,"")</f>
        <v/>
      </c>
      <c r="AG49">
        <f>IF(AND($A49&lt;&gt;"",AG$3&gt;=$J49,AG$3&lt;=$M49),1,"")</f>
        <v/>
      </c>
      <c r="AH49">
        <f>IF(AND($A49&lt;&gt;"",AH$3&gt;=$J49,AH$3&lt;=$M49),1,"")</f>
        <v/>
      </c>
      <c r="AI49">
        <f>IF(AND($A49&lt;&gt;"",AI$3&gt;=$J49,AI$3&lt;=$M49),1,"")</f>
        <v/>
      </c>
      <c r="AJ49">
        <f>IF(AND($A49&lt;&gt;"",AJ$3&gt;=$J49,AJ$3&lt;=$M49),1,"")</f>
        <v/>
      </c>
      <c r="AK49">
        <f>IF(AND($A49&lt;&gt;"",AK$3&gt;=$J49,AK$3&lt;=$M49),1,"")</f>
        <v/>
      </c>
      <c r="AL49">
        <f>IF(AND($A49&lt;&gt;"",AL$3&gt;=$J49,AL$3&lt;=$M49),1,"")</f>
        <v/>
      </c>
      <c r="AM49">
        <f>IF(AND($A49&lt;&gt;"",AM$3&gt;=$J49,AM$3&lt;=$M49),1,"")</f>
        <v/>
      </c>
      <c r="AN49">
        <f>IF(AND($A49&lt;&gt;"",AN$3&gt;=$J49,AN$3&lt;=$M49),1,"")</f>
        <v/>
      </c>
      <c r="AO49">
        <f>IF(AND($A49&lt;&gt;"",AO$3&gt;=$J49,AO$3&lt;=$M49),1,"")</f>
        <v/>
      </c>
      <c r="AP49">
        <f>IF(AND($A49&lt;&gt;"",AP$3&gt;=$J49,AP$3&lt;=$M49),1,"")</f>
        <v/>
      </c>
      <c r="AQ49">
        <f>IF(AND($A49&lt;&gt;"",AQ$3&gt;=$J49,AQ$3&lt;=$M49),1,"")</f>
        <v/>
      </c>
      <c r="AR49">
        <f>IF(AND($A49&lt;&gt;"",AR$3&gt;=$J49,AR$3&lt;=$M49),1,"")</f>
        <v/>
      </c>
      <c r="AS49">
        <f>IF(AND($A49&lt;&gt;"",AS$3&gt;=$J49,AS$3&lt;=$M49),1,"")</f>
        <v/>
      </c>
      <c r="AT49">
        <f>IF(AND($A49&lt;&gt;"",AT$3&gt;=$J49,AT$3&lt;=$M49),1,"")</f>
        <v/>
      </c>
      <c r="AU49">
        <f>IF(AND($A49&lt;&gt;"",AU$3&gt;=$J49,AU$3&lt;=$M49),1,"")</f>
        <v/>
      </c>
      <c r="AV49">
        <f>IF(AND($A49&lt;&gt;"",AV$3&gt;=$J49,AV$3&lt;=$M49),1,"")</f>
        <v/>
      </c>
      <c r="AW49">
        <f>IF(AND($A49&lt;&gt;"",AW$3&gt;=$J49,AW$3&lt;=$M49),1,"")</f>
        <v/>
      </c>
      <c r="AX49">
        <f>IF(AND($A49&lt;&gt;"",AX$3&gt;=$J49,AX$3&lt;=$M49),1,"")</f>
        <v/>
      </c>
      <c r="AY49">
        <f>IF(AND($A49&lt;&gt;"",AY$3&gt;=$J49,AY$3&lt;=$M49),1,"")</f>
        <v/>
      </c>
      <c r="AZ49">
        <f>IF(AND($A49&lt;&gt;"",AZ$3&gt;=$J49,AZ$3&lt;=$M49),1,"")</f>
        <v/>
      </c>
      <c r="BA49">
        <f>IF(AND($A49&lt;&gt;"",BA$3&gt;=$J49,BA$3&lt;=$M49),1,"")</f>
        <v/>
      </c>
      <c r="BB49">
        <f>IF(AND($A49&lt;&gt;"",BB$3&gt;=$J49,BB$3&lt;=$M49),1,"")</f>
        <v/>
      </c>
      <c r="BC49">
        <f>IF(AND($A49&lt;&gt;"",BC$3&gt;=$J49,BC$3&lt;=$M49),1,"")</f>
        <v/>
      </c>
      <c r="BD49">
        <f>IF(AND($A49&lt;&gt;"",BD$3&gt;=$J49,BD$3&lt;=$M49),1,"")</f>
        <v/>
      </c>
      <c r="BE49">
        <f>IF(AND($A49&lt;&gt;"",BE$3&gt;=$J49,BE$3&lt;=$M49),1,"")</f>
        <v/>
      </c>
      <c r="BF49">
        <f>IF(AND($A49&lt;&gt;"",BF$3&gt;=$J49,BF$3&lt;=$M49),1,"")</f>
        <v/>
      </c>
      <c r="BG49">
        <f>IF(AND($A49&lt;&gt;"",BG$3&gt;=$J49,BG$3&lt;=$M49),1,"")</f>
        <v/>
      </c>
      <c r="BH49">
        <f>IF(AND($A49&lt;&gt;"",BH$3&gt;=$J49,BH$3&lt;=$M49),1,"")</f>
        <v/>
      </c>
      <c r="BI49">
        <f>IF(AND($A49&lt;&gt;"",BI$3&gt;=$J49,BI$3&lt;=$M49),1,"")</f>
        <v/>
      </c>
      <c r="BJ49">
        <f>IF(AND($A49&lt;&gt;"",BJ$3&gt;=$J49,BJ$3&lt;=$M49),1,"")</f>
        <v/>
      </c>
      <c r="BK49">
        <f>IF(AND($A49&lt;&gt;"",BK$3&gt;=$J49,BK$3&lt;=$M49),1,"")</f>
        <v/>
      </c>
      <c r="BL49">
        <f>IF(AND($A49&lt;&gt;"",BL$3&gt;=$J49,BL$3&lt;=$M49),1,"")</f>
        <v/>
      </c>
      <c r="BM49">
        <f>IF(AND($A49&lt;&gt;"",BM$3&gt;=$J49,BM$3&lt;=$M49),1,"")</f>
        <v/>
      </c>
      <c r="BN49">
        <f>IF(AND($A49&lt;&gt;"",BN$3&gt;=$J49,BN$3&lt;=$M49),1,"")</f>
        <v/>
      </c>
      <c r="BO49">
        <f>IF(AND($A49&lt;&gt;"",BO$3&gt;=$J49,BO$3&lt;=$M49),1,"")</f>
        <v/>
      </c>
      <c r="BP49">
        <f>IF(AND($A49&lt;&gt;"",BP$3&gt;=$J49,BP$3&lt;=$M49),1,"")</f>
        <v/>
      </c>
      <c r="BQ49">
        <f>IF(AND($A49&lt;&gt;"",BQ$3&gt;=$J49,BQ$3&lt;=$M49),1,"")</f>
        <v/>
      </c>
      <c r="BR49">
        <f>IF(AND($A49&lt;&gt;"",BR$3&gt;=$J49,BR$3&lt;=$M49),1,"")</f>
        <v/>
      </c>
      <c r="BS49">
        <f>IF(AND($A49&lt;&gt;"",BS$3&gt;=$J49,BS$3&lt;=$M49),1,"")</f>
        <v/>
      </c>
      <c r="BT49">
        <f>IF(AND($A49&lt;&gt;"",BT$3&gt;=$J49,BT$3&lt;=$M49),1,"")</f>
        <v/>
      </c>
      <c r="BU49">
        <f>IF(AND($A49&lt;&gt;"",BU$3&gt;=$J49,BU$3&lt;=$M49),1,"")</f>
        <v/>
      </c>
      <c r="BV49">
        <f>IF(AND($A49&lt;&gt;"",BV$3&gt;=$J49,BV$3&lt;=$M49),1,"")</f>
        <v/>
      </c>
    </row>
    <row r="50">
      <c r="A50">
        <f>IF(Job_Master_Ring!$A50="","",Job_Master_Ring!$A50)</f>
        <v/>
      </c>
      <c r="B50">
        <f>IF($A50="","",Job_Master_Ring!B50)</f>
        <v/>
      </c>
      <c r="C50">
        <f>IF($A50="","",Job_Master_Ring!C50)</f>
        <v/>
      </c>
      <c r="D50">
        <f>IF($A50="","",Job_Master_Ring!D50)</f>
        <v/>
      </c>
      <c r="E50">
        <f>IF($A50="","",IF($I50&lt;&gt;"",$I50,IFERROR(INDEX(Machine_List!$B$64:$B$71,MATCH(1,(Machine_List!$H$64:$H$71&lt;=IFERROR(VLOOKUP($B50,CHOOSE(MATCH($C50,Settings!$L$4:$L$10,0),OPR_BR1!$A$4:$K$18,OPR_BR2!$A$4:$K$18,OPR_CR2!$A$4:$K$18,OPR_CR3!$A$4:$K$18,OPR_CR4!$A$4:$K$18,OPR_RIM!$A$4:$K$18,OPR_BPR!$A$4:$K$18),10,0),0))*(Machine_List!$I$64:$I$71&gt;=IFERROR(VLOOKUP($B50,CHOOSE(MATCH($C50,Settings!$L$4:$L$10,0),OPR_BR1!$A$4:$K$18,OPR_BR2!$A$4:$K$18,OPR_CR2!$A$4:$K$18,OPR_CR3!$A$4:$K$18,OPR_CR4!$A$4:$K$18,OPR_RIM!$A$4:$K$18,OPR_BPR!$A$4:$K$18),11,0),9999)),0)),"NO COMPATIBLE MACHINE")))</f>
        <v/>
      </c>
      <c r="F50">
        <f>IF($E50="","",IFERROR(VLOOKUP($E50,Machine_List!$B:$G,6,0),""))</f>
        <v/>
      </c>
      <c r="G50" s="17">
        <f>IF($E50="","",IFERROR(VLOOKUP($E50,Machine_List!$B:$C,2,0),""))</f>
        <v/>
      </c>
      <c r="H50">
        <f>IF($E50="","",IFERROR(VLOOKUP($E50,Machine_List!$B:$D,3,0),""))</f>
        <v/>
      </c>
      <c r="J50" s="16">
        <f>IF($A50="","",IF($I50&lt;&gt;"",$I50,MAX(ENG_Plan!$M50,IFERROR(LOOKUP(2,1/($E$3:INDIRECT("E"&amp;(ROW()-1))=$E50),$M$3:INDIRECT("M"&amp;(ROW()-1))),ENG_Plan!$M50))))</f>
        <v/>
      </c>
      <c r="K50">
        <f>IF($A50="","",IFERROR(VLOOKUP(B50,CHOOSE(MATCH($C50,Settings!$L$4:$L$10,0),OPR_BR1!$A$4:$I$18,OPR_BR2!$A$4:$I$18,OPR_CR2!$A$4:$I$18,OPR_CR3!$A$4:$I$18,OPR_CR4!$A$4:$I$18,OPR_RIM!$A$4:$I$18,OPR_BPR!$A$4:$I$18),7,0),0))</f>
        <v/>
      </c>
      <c r="L50">
        <f>IF($A50="","",K50*D50)</f>
        <v/>
      </c>
      <c r="M50" s="16">
        <f>IF($A50="","",IF(AND(ISNUMBER(G50),G50&gt;=J50,G50&lt;=(J50+(L50/(IF(F50="Contract Workman",Settings!$K$5,Settings!$K$4))))),J50+(L50/(IF(F50="Contract Workman",Settings!$K$5,Settings!$K$4)))+(H50/(IF(F50="Contract Workman",Settings!$K$5,Settings!$K$4))),J50+(L50/(IF(F50="Contract Workman",Settings!$K$5,Settings!$K$4)))))</f>
        <v/>
      </c>
      <c r="N50">
        <f>IF($A50="","",IF(F50="Contract Workman",IF(AND(MOD(M50,1)&gt;=8/24,MOD(M50,1)&lt;20/24),"Shift S1","Shift S2"),IF(AND(MOD(M50,1)&gt;=7/24,MOD(M50,1)&lt;15/24),"Shift A",IF(AND(MOD(M50,1)&gt;=15/24,MOD(M50,1)&lt;23/24),"Shift B","Shift C"))))</f>
        <v/>
      </c>
      <c r="O50">
        <f>IF(B50="","",IF(IFERROR(ISNUMBER(SEARCH(TEXT(B50,"0"),VLOOKUP(E50,Machine_List!$B:$J,9,0))),FALSE),"✅ "&amp; E50,"❌ Sug: "&amp;IFERROR(INDEX(Machine_List!$B$64:$B$71,MATCH(1,(Machine_List!$H$64:$H$71&lt;=IFERROR(VLOOKUP($B50,OPR_BR1!$A$4:$K$18,10,0),0))*(Machine_List!$I$64:$I$71&gt;=IFERROR(VLOOKUP($B50,OPR_BR1!$A$4:$K$18,11,0),9999)),0)),"?")))</f>
        <v/>
      </c>
      <c r="P50">
        <f>IF(AND($A50&lt;&gt;"",P$3&gt;=$J50,P$3&lt;=$M50),1,"")</f>
        <v/>
      </c>
      <c r="Q50">
        <f>IF(AND($A50&lt;&gt;"",Q$3&gt;=$J50,Q$3&lt;=$M50),1,"")</f>
        <v/>
      </c>
      <c r="R50">
        <f>IF(AND($A50&lt;&gt;"",R$3&gt;=$J50,R$3&lt;=$M50),1,"")</f>
        <v/>
      </c>
      <c r="S50">
        <f>IF(AND($A50&lt;&gt;"",S$3&gt;=$J50,S$3&lt;=$M50),1,"")</f>
        <v/>
      </c>
      <c r="T50">
        <f>IF(AND($A50&lt;&gt;"",T$3&gt;=$J50,T$3&lt;=$M50),1,"")</f>
        <v/>
      </c>
      <c r="U50">
        <f>IF(AND($A50&lt;&gt;"",U$3&gt;=$J50,U$3&lt;=$M50),1,"")</f>
        <v/>
      </c>
      <c r="V50">
        <f>IF(AND($A50&lt;&gt;"",V$3&gt;=$J50,V$3&lt;=$M50),1,"")</f>
        <v/>
      </c>
      <c r="W50">
        <f>IF(AND($A50&lt;&gt;"",W$3&gt;=$J50,W$3&lt;=$M50),1,"")</f>
        <v/>
      </c>
      <c r="X50">
        <f>IF(AND($A50&lt;&gt;"",X$3&gt;=$J50,X$3&lt;=$M50),1,"")</f>
        <v/>
      </c>
      <c r="Y50">
        <f>IF(AND($A50&lt;&gt;"",Y$3&gt;=$J50,Y$3&lt;=$M50),1,"")</f>
        <v/>
      </c>
      <c r="Z50">
        <f>IF(AND($A50&lt;&gt;"",Z$3&gt;=$J50,Z$3&lt;=$M50),1,"")</f>
        <v/>
      </c>
      <c r="AA50">
        <f>IF(AND($A50&lt;&gt;"",AA$3&gt;=$J50,AA$3&lt;=$M50),1,"")</f>
        <v/>
      </c>
      <c r="AB50">
        <f>IF(AND($A50&lt;&gt;"",AB$3&gt;=$J50,AB$3&lt;=$M50),1,"")</f>
        <v/>
      </c>
      <c r="AC50">
        <f>IF(AND($A50&lt;&gt;"",AC$3&gt;=$J50,AC$3&lt;=$M50),1,"")</f>
        <v/>
      </c>
      <c r="AD50">
        <f>IF(AND($A50&lt;&gt;"",AD$3&gt;=$J50,AD$3&lt;=$M50),1,"")</f>
        <v/>
      </c>
      <c r="AE50">
        <f>IF(AND($A50&lt;&gt;"",AE$3&gt;=$J50,AE$3&lt;=$M50),1,"")</f>
        <v/>
      </c>
      <c r="AF50">
        <f>IF(AND($A50&lt;&gt;"",AF$3&gt;=$J50,AF$3&lt;=$M50),1,"")</f>
        <v/>
      </c>
      <c r="AG50">
        <f>IF(AND($A50&lt;&gt;"",AG$3&gt;=$J50,AG$3&lt;=$M50),1,"")</f>
        <v/>
      </c>
      <c r="AH50">
        <f>IF(AND($A50&lt;&gt;"",AH$3&gt;=$J50,AH$3&lt;=$M50),1,"")</f>
        <v/>
      </c>
      <c r="AI50">
        <f>IF(AND($A50&lt;&gt;"",AI$3&gt;=$J50,AI$3&lt;=$M50),1,"")</f>
        <v/>
      </c>
      <c r="AJ50">
        <f>IF(AND($A50&lt;&gt;"",AJ$3&gt;=$J50,AJ$3&lt;=$M50),1,"")</f>
        <v/>
      </c>
      <c r="AK50">
        <f>IF(AND($A50&lt;&gt;"",AK$3&gt;=$J50,AK$3&lt;=$M50),1,"")</f>
        <v/>
      </c>
      <c r="AL50">
        <f>IF(AND($A50&lt;&gt;"",AL$3&gt;=$J50,AL$3&lt;=$M50),1,"")</f>
        <v/>
      </c>
      <c r="AM50">
        <f>IF(AND($A50&lt;&gt;"",AM$3&gt;=$J50,AM$3&lt;=$M50),1,"")</f>
        <v/>
      </c>
      <c r="AN50">
        <f>IF(AND($A50&lt;&gt;"",AN$3&gt;=$J50,AN$3&lt;=$M50),1,"")</f>
        <v/>
      </c>
      <c r="AO50">
        <f>IF(AND($A50&lt;&gt;"",AO$3&gt;=$J50,AO$3&lt;=$M50),1,"")</f>
        <v/>
      </c>
      <c r="AP50">
        <f>IF(AND($A50&lt;&gt;"",AP$3&gt;=$J50,AP$3&lt;=$M50),1,"")</f>
        <v/>
      </c>
      <c r="AQ50">
        <f>IF(AND($A50&lt;&gt;"",AQ$3&gt;=$J50,AQ$3&lt;=$M50),1,"")</f>
        <v/>
      </c>
      <c r="AR50">
        <f>IF(AND($A50&lt;&gt;"",AR$3&gt;=$J50,AR$3&lt;=$M50),1,"")</f>
        <v/>
      </c>
      <c r="AS50">
        <f>IF(AND($A50&lt;&gt;"",AS$3&gt;=$J50,AS$3&lt;=$M50),1,"")</f>
        <v/>
      </c>
      <c r="AT50">
        <f>IF(AND($A50&lt;&gt;"",AT$3&gt;=$J50,AT$3&lt;=$M50),1,"")</f>
        <v/>
      </c>
      <c r="AU50">
        <f>IF(AND($A50&lt;&gt;"",AU$3&gt;=$J50,AU$3&lt;=$M50),1,"")</f>
        <v/>
      </c>
      <c r="AV50">
        <f>IF(AND($A50&lt;&gt;"",AV$3&gt;=$J50,AV$3&lt;=$M50),1,"")</f>
        <v/>
      </c>
      <c r="AW50">
        <f>IF(AND($A50&lt;&gt;"",AW$3&gt;=$J50,AW$3&lt;=$M50),1,"")</f>
        <v/>
      </c>
      <c r="AX50">
        <f>IF(AND($A50&lt;&gt;"",AX$3&gt;=$J50,AX$3&lt;=$M50),1,"")</f>
        <v/>
      </c>
      <c r="AY50">
        <f>IF(AND($A50&lt;&gt;"",AY$3&gt;=$J50,AY$3&lt;=$M50),1,"")</f>
        <v/>
      </c>
      <c r="AZ50">
        <f>IF(AND($A50&lt;&gt;"",AZ$3&gt;=$J50,AZ$3&lt;=$M50),1,"")</f>
        <v/>
      </c>
      <c r="BA50">
        <f>IF(AND($A50&lt;&gt;"",BA$3&gt;=$J50,BA$3&lt;=$M50),1,"")</f>
        <v/>
      </c>
      <c r="BB50">
        <f>IF(AND($A50&lt;&gt;"",BB$3&gt;=$J50,BB$3&lt;=$M50),1,"")</f>
        <v/>
      </c>
      <c r="BC50">
        <f>IF(AND($A50&lt;&gt;"",BC$3&gt;=$J50,BC$3&lt;=$M50),1,"")</f>
        <v/>
      </c>
      <c r="BD50">
        <f>IF(AND($A50&lt;&gt;"",BD$3&gt;=$J50,BD$3&lt;=$M50),1,"")</f>
        <v/>
      </c>
      <c r="BE50">
        <f>IF(AND($A50&lt;&gt;"",BE$3&gt;=$J50,BE$3&lt;=$M50),1,"")</f>
        <v/>
      </c>
      <c r="BF50">
        <f>IF(AND($A50&lt;&gt;"",BF$3&gt;=$J50,BF$3&lt;=$M50),1,"")</f>
        <v/>
      </c>
      <c r="BG50">
        <f>IF(AND($A50&lt;&gt;"",BG$3&gt;=$J50,BG$3&lt;=$M50),1,"")</f>
        <v/>
      </c>
      <c r="BH50">
        <f>IF(AND($A50&lt;&gt;"",BH$3&gt;=$J50,BH$3&lt;=$M50),1,"")</f>
        <v/>
      </c>
      <c r="BI50">
        <f>IF(AND($A50&lt;&gt;"",BI$3&gt;=$J50,BI$3&lt;=$M50),1,"")</f>
        <v/>
      </c>
      <c r="BJ50">
        <f>IF(AND($A50&lt;&gt;"",BJ$3&gt;=$J50,BJ$3&lt;=$M50),1,"")</f>
        <v/>
      </c>
      <c r="BK50">
        <f>IF(AND($A50&lt;&gt;"",BK$3&gt;=$J50,BK$3&lt;=$M50),1,"")</f>
        <v/>
      </c>
      <c r="BL50">
        <f>IF(AND($A50&lt;&gt;"",BL$3&gt;=$J50,BL$3&lt;=$M50),1,"")</f>
        <v/>
      </c>
      <c r="BM50">
        <f>IF(AND($A50&lt;&gt;"",BM$3&gt;=$J50,BM$3&lt;=$M50),1,"")</f>
        <v/>
      </c>
      <c r="BN50">
        <f>IF(AND($A50&lt;&gt;"",BN$3&gt;=$J50,BN$3&lt;=$M50),1,"")</f>
        <v/>
      </c>
      <c r="BO50">
        <f>IF(AND($A50&lt;&gt;"",BO$3&gt;=$J50,BO$3&lt;=$M50),1,"")</f>
        <v/>
      </c>
      <c r="BP50">
        <f>IF(AND($A50&lt;&gt;"",BP$3&gt;=$J50,BP$3&lt;=$M50),1,"")</f>
        <v/>
      </c>
      <c r="BQ50">
        <f>IF(AND($A50&lt;&gt;"",BQ$3&gt;=$J50,BQ$3&lt;=$M50),1,"")</f>
        <v/>
      </c>
      <c r="BR50">
        <f>IF(AND($A50&lt;&gt;"",BR$3&gt;=$J50,BR$3&lt;=$M50),1,"")</f>
        <v/>
      </c>
      <c r="BS50">
        <f>IF(AND($A50&lt;&gt;"",BS$3&gt;=$J50,BS$3&lt;=$M50),1,"")</f>
        <v/>
      </c>
      <c r="BT50">
        <f>IF(AND($A50&lt;&gt;"",BT$3&gt;=$J50,BT$3&lt;=$M50),1,"")</f>
        <v/>
      </c>
      <c r="BU50">
        <f>IF(AND($A50&lt;&gt;"",BU$3&gt;=$J50,BU$3&lt;=$M50),1,"")</f>
        <v/>
      </c>
      <c r="BV50">
        <f>IF(AND($A50&lt;&gt;"",BV$3&gt;=$J50,BV$3&lt;=$M50),1,"")</f>
        <v/>
      </c>
    </row>
    <row r="51">
      <c r="A51">
        <f>IF(Job_Master_Ring!$A51="","",Job_Master_Ring!$A51)</f>
        <v/>
      </c>
      <c r="B51">
        <f>IF($A51="","",Job_Master_Ring!B51)</f>
        <v/>
      </c>
      <c r="C51">
        <f>IF($A51="","",Job_Master_Ring!C51)</f>
        <v/>
      </c>
      <c r="D51">
        <f>IF($A51="","",Job_Master_Ring!D51)</f>
        <v/>
      </c>
      <c r="E51">
        <f>IF($A51="","",IF($I51&lt;&gt;"",$I51,IFERROR(INDEX(Machine_List!$B$64:$B$71,MATCH(1,(Machine_List!$H$64:$H$71&lt;=IFERROR(VLOOKUP($B51,CHOOSE(MATCH($C51,Settings!$L$4:$L$10,0),OPR_BR1!$A$4:$K$18,OPR_BR2!$A$4:$K$18,OPR_CR2!$A$4:$K$18,OPR_CR3!$A$4:$K$18,OPR_CR4!$A$4:$K$18,OPR_RIM!$A$4:$K$18,OPR_BPR!$A$4:$K$18),10,0),0))*(Machine_List!$I$64:$I$71&gt;=IFERROR(VLOOKUP($B51,CHOOSE(MATCH($C51,Settings!$L$4:$L$10,0),OPR_BR1!$A$4:$K$18,OPR_BR2!$A$4:$K$18,OPR_CR2!$A$4:$K$18,OPR_CR3!$A$4:$K$18,OPR_CR4!$A$4:$K$18,OPR_RIM!$A$4:$K$18,OPR_BPR!$A$4:$K$18),11,0),9999)),0)),"NO COMPATIBLE MACHINE")))</f>
        <v/>
      </c>
      <c r="F51">
        <f>IF($E51="","",IFERROR(VLOOKUP($E51,Machine_List!$B:$G,6,0),""))</f>
        <v/>
      </c>
      <c r="G51" s="17">
        <f>IF($E51="","",IFERROR(VLOOKUP($E51,Machine_List!$B:$C,2,0),""))</f>
        <v/>
      </c>
      <c r="H51">
        <f>IF($E51="","",IFERROR(VLOOKUP($E51,Machine_List!$B:$D,3,0),""))</f>
        <v/>
      </c>
      <c r="J51" s="16">
        <f>IF($A51="","",IF($I51&lt;&gt;"",$I51,MAX(ENG_Plan!$M51,IFERROR(LOOKUP(2,1/($E$3:INDIRECT("E"&amp;(ROW()-1))=$E51),$M$3:INDIRECT("M"&amp;(ROW()-1))),ENG_Plan!$M51))))</f>
        <v/>
      </c>
      <c r="K51">
        <f>IF($A51="","",IFERROR(VLOOKUP(B51,CHOOSE(MATCH($C51,Settings!$L$4:$L$10,0),OPR_BR1!$A$4:$I$18,OPR_BR2!$A$4:$I$18,OPR_CR2!$A$4:$I$18,OPR_CR3!$A$4:$I$18,OPR_CR4!$A$4:$I$18,OPR_RIM!$A$4:$I$18,OPR_BPR!$A$4:$I$18),7,0),0))</f>
        <v/>
      </c>
      <c r="L51">
        <f>IF($A51="","",K51*D51)</f>
        <v/>
      </c>
      <c r="M51" s="16">
        <f>IF($A51="","",IF(AND(ISNUMBER(G51),G51&gt;=J51,G51&lt;=(J51+(L51/(IF(F51="Contract Workman",Settings!$K$5,Settings!$K$4))))),J51+(L51/(IF(F51="Contract Workman",Settings!$K$5,Settings!$K$4)))+(H51/(IF(F51="Contract Workman",Settings!$K$5,Settings!$K$4))),J51+(L51/(IF(F51="Contract Workman",Settings!$K$5,Settings!$K$4)))))</f>
        <v/>
      </c>
      <c r="N51">
        <f>IF($A51="","",IF(F51="Contract Workman",IF(AND(MOD(M51,1)&gt;=8/24,MOD(M51,1)&lt;20/24),"Shift S1","Shift S2"),IF(AND(MOD(M51,1)&gt;=7/24,MOD(M51,1)&lt;15/24),"Shift A",IF(AND(MOD(M51,1)&gt;=15/24,MOD(M51,1)&lt;23/24),"Shift B","Shift C"))))</f>
        <v/>
      </c>
      <c r="O51">
        <f>IF(B51="","",IF(IFERROR(ISNUMBER(SEARCH(TEXT(B51,"0"),VLOOKUP(E51,Machine_List!$B:$J,9,0))),FALSE),"✅ "&amp; E51,"❌ Sug: "&amp;IFERROR(INDEX(Machine_List!$B$64:$B$71,MATCH(1,(Machine_List!$H$64:$H$71&lt;=IFERROR(VLOOKUP($B51,OPR_BR1!$A$4:$K$18,10,0),0))*(Machine_List!$I$64:$I$71&gt;=IFERROR(VLOOKUP($B51,OPR_BR1!$A$4:$K$18,11,0),9999)),0)),"?")))</f>
        <v/>
      </c>
      <c r="P51">
        <f>IF(AND($A51&lt;&gt;"",P$3&gt;=$J51,P$3&lt;=$M51),1,"")</f>
        <v/>
      </c>
      <c r="Q51">
        <f>IF(AND($A51&lt;&gt;"",Q$3&gt;=$J51,Q$3&lt;=$M51),1,"")</f>
        <v/>
      </c>
      <c r="R51">
        <f>IF(AND($A51&lt;&gt;"",R$3&gt;=$J51,R$3&lt;=$M51),1,"")</f>
        <v/>
      </c>
      <c r="S51">
        <f>IF(AND($A51&lt;&gt;"",S$3&gt;=$J51,S$3&lt;=$M51),1,"")</f>
        <v/>
      </c>
      <c r="T51">
        <f>IF(AND($A51&lt;&gt;"",T$3&gt;=$J51,T$3&lt;=$M51),1,"")</f>
        <v/>
      </c>
      <c r="U51">
        <f>IF(AND($A51&lt;&gt;"",U$3&gt;=$J51,U$3&lt;=$M51),1,"")</f>
        <v/>
      </c>
      <c r="V51">
        <f>IF(AND($A51&lt;&gt;"",V$3&gt;=$J51,V$3&lt;=$M51),1,"")</f>
        <v/>
      </c>
      <c r="W51">
        <f>IF(AND($A51&lt;&gt;"",W$3&gt;=$J51,W$3&lt;=$M51),1,"")</f>
        <v/>
      </c>
      <c r="X51">
        <f>IF(AND($A51&lt;&gt;"",X$3&gt;=$J51,X$3&lt;=$M51),1,"")</f>
        <v/>
      </c>
      <c r="Y51">
        <f>IF(AND($A51&lt;&gt;"",Y$3&gt;=$J51,Y$3&lt;=$M51),1,"")</f>
        <v/>
      </c>
      <c r="Z51">
        <f>IF(AND($A51&lt;&gt;"",Z$3&gt;=$J51,Z$3&lt;=$M51),1,"")</f>
        <v/>
      </c>
      <c r="AA51">
        <f>IF(AND($A51&lt;&gt;"",AA$3&gt;=$J51,AA$3&lt;=$M51),1,"")</f>
        <v/>
      </c>
      <c r="AB51">
        <f>IF(AND($A51&lt;&gt;"",AB$3&gt;=$J51,AB$3&lt;=$M51),1,"")</f>
        <v/>
      </c>
      <c r="AC51">
        <f>IF(AND($A51&lt;&gt;"",AC$3&gt;=$J51,AC$3&lt;=$M51),1,"")</f>
        <v/>
      </c>
      <c r="AD51">
        <f>IF(AND($A51&lt;&gt;"",AD$3&gt;=$J51,AD$3&lt;=$M51),1,"")</f>
        <v/>
      </c>
      <c r="AE51">
        <f>IF(AND($A51&lt;&gt;"",AE$3&gt;=$J51,AE$3&lt;=$M51),1,"")</f>
        <v/>
      </c>
      <c r="AF51">
        <f>IF(AND($A51&lt;&gt;"",AF$3&gt;=$J51,AF$3&lt;=$M51),1,"")</f>
        <v/>
      </c>
      <c r="AG51">
        <f>IF(AND($A51&lt;&gt;"",AG$3&gt;=$J51,AG$3&lt;=$M51),1,"")</f>
        <v/>
      </c>
      <c r="AH51">
        <f>IF(AND($A51&lt;&gt;"",AH$3&gt;=$J51,AH$3&lt;=$M51),1,"")</f>
        <v/>
      </c>
      <c r="AI51">
        <f>IF(AND($A51&lt;&gt;"",AI$3&gt;=$J51,AI$3&lt;=$M51),1,"")</f>
        <v/>
      </c>
      <c r="AJ51">
        <f>IF(AND($A51&lt;&gt;"",AJ$3&gt;=$J51,AJ$3&lt;=$M51),1,"")</f>
        <v/>
      </c>
      <c r="AK51">
        <f>IF(AND($A51&lt;&gt;"",AK$3&gt;=$J51,AK$3&lt;=$M51),1,"")</f>
        <v/>
      </c>
      <c r="AL51">
        <f>IF(AND($A51&lt;&gt;"",AL$3&gt;=$J51,AL$3&lt;=$M51),1,"")</f>
        <v/>
      </c>
      <c r="AM51">
        <f>IF(AND($A51&lt;&gt;"",AM$3&gt;=$J51,AM$3&lt;=$M51),1,"")</f>
        <v/>
      </c>
      <c r="AN51">
        <f>IF(AND($A51&lt;&gt;"",AN$3&gt;=$J51,AN$3&lt;=$M51),1,"")</f>
        <v/>
      </c>
      <c r="AO51">
        <f>IF(AND($A51&lt;&gt;"",AO$3&gt;=$J51,AO$3&lt;=$M51),1,"")</f>
        <v/>
      </c>
      <c r="AP51">
        <f>IF(AND($A51&lt;&gt;"",AP$3&gt;=$J51,AP$3&lt;=$M51),1,"")</f>
        <v/>
      </c>
      <c r="AQ51">
        <f>IF(AND($A51&lt;&gt;"",AQ$3&gt;=$J51,AQ$3&lt;=$M51),1,"")</f>
        <v/>
      </c>
      <c r="AR51">
        <f>IF(AND($A51&lt;&gt;"",AR$3&gt;=$J51,AR$3&lt;=$M51),1,"")</f>
        <v/>
      </c>
      <c r="AS51">
        <f>IF(AND($A51&lt;&gt;"",AS$3&gt;=$J51,AS$3&lt;=$M51),1,"")</f>
        <v/>
      </c>
      <c r="AT51">
        <f>IF(AND($A51&lt;&gt;"",AT$3&gt;=$J51,AT$3&lt;=$M51),1,"")</f>
        <v/>
      </c>
      <c r="AU51">
        <f>IF(AND($A51&lt;&gt;"",AU$3&gt;=$J51,AU$3&lt;=$M51),1,"")</f>
        <v/>
      </c>
      <c r="AV51">
        <f>IF(AND($A51&lt;&gt;"",AV$3&gt;=$J51,AV$3&lt;=$M51),1,"")</f>
        <v/>
      </c>
      <c r="AW51">
        <f>IF(AND($A51&lt;&gt;"",AW$3&gt;=$J51,AW$3&lt;=$M51),1,"")</f>
        <v/>
      </c>
      <c r="AX51">
        <f>IF(AND($A51&lt;&gt;"",AX$3&gt;=$J51,AX$3&lt;=$M51),1,"")</f>
        <v/>
      </c>
      <c r="AY51">
        <f>IF(AND($A51&lt;&gt;"",AY$3&gt;=$J51,AY$3&lt;=$M51),1,"")</f>
        <v/>
      </c>
      <c r="AZ51">
        <f>IF(AND($A51&lt;&gt;"",AZ$3&gt;=$J51,AZ$3&lt;=$M51),1,"")</f>
        <v/>
      </c>
      <c r="BA51">
        <f>IF(AND($A51&lt;&gt;"",BA$3&gt;=$J51,BA$3&lt;=$M51),1,"")</f>
        <v/>
      </c>
      <c r="BB51">
        <f>IF(AND($A51&lt;&gt;"",BB$3&gt;=$J51,BB$3&lt;=$M51),1,"")</f>
        <v/>
      </c>
      <c r="BC51">
        <f>IF(AND($A51&lt;&gt;"",BC$3&gt;=$J51,BC$3&lt;=$M51),1,"")</f>
        <v/>
      </c>
      <c r="BD51">
        <f>IF(AND($A51&lt;&gt;"",BD$3&gt;=$J51,BD$3&lt;=$M51),1,"")</f>
        <v/>
      </c>
      <c r="BE51">
        <f>IF(AND($A51&lt;&gt;"",BE$3&gt;=$J51,BE$3&lt;=$M51),1,"")</f>
        <v/>
      </c>
      <c r="BF51">
        <f>IF(AND($A51&lt;&gt;"",BF$3&gt;=$J51,BF$3&lt;=$M51),1,"")</f>
        <v/>
      </c>
      <c r="BG51">
        <f>IF(AND($A51&lt;&gt;"",BG$3&gt;=$J51,BG$3&lt;=$M51),1,"")</f>
        <v/>
      </c>
      <c r="BH51">
        <f>IF(AND($A51&lt;&gt;"",BH$3&gt;=$J51,BH$3&lt;=$M51),1,"")</f>
        <v/>
      </c>
      <c r="BI51">
        <f>IF(AND($A51&lt;&gt;"",BI$3&gt;=$J51,BI$3&lt;=$M51),1,"")</f>
        <v/>
      </c>
      <c r="BJ51">
        <f>IF(AND($A51&lt;&gt;"",BJ$3&gt;=$J51,BJ$3&lt;=$M51),1,"")</f>
        <v/>
      </c>
      <c r="BK51">
        <f>IF(AND($A51&lt;&gt;"",BK$3&gt;=$J51,BK$3&lt;=$M51),1,"")</f>
        <v/>
      </c>
      <c r="BL51">
        <f>IF(AND($A51&lt;&gt;"",BL$3&gt;=$J51,BL$3&lt;=$M51),1,"")</f>
        <v/>
      </c>
      <c r="BM51">
        <f>IF(AND($A51&lt;&gt;"",BM$3&gt;=$J51,BM$3&lt;=$M51),1,"")</f>
        <v/>
      </c>
      <c r="BN51">
        <f>IF(AND($A51&lt;&gt;"",BN$3&gt;=$J51,BN$3&lt;=$M51),1,"")</f>
        <v/>
      </c>
      <c r="BO51">
        <f>IF(AND($A51&lt;&gt;"",BO$3&gt;=$J51,BO$3&lt;=$M51),1,"")</f>
        <v/>
      </c>
      <c r="BP51">
        <f>IF(AND($A51&lt;&gt;"",BP$3&gt;=$J51,BP$3&lt;=$M51),1,"")</f>
        <v/>
      </c>
      <c r="BQ51">
        <f>IF(AND($A51&lt;&gt;"",BQ$3&gt;=$J51,BQ$3&lt;=$M51),1,"")</f>
        <v/>
      </c>
      <c r="BR51">
        <f>IF(AND($A51&lt;&gt;"",BR$3&gt;=$J51,BR$3&lt;=$M51),1,"")</f>
        <v/>
      </c>
      <c r="BS51">
        <f>IF(AND($A51&lt;&gt;"",BS$3&gt;=$J51,BS$3&lt;=$M51),1,"")</f>
        <v/>
      </c>
      <c r="BT51">
        <f>IF(AND($A51&lt;&gt;"",BT$3&gt;=$J51,BT$3&lt;=$M51),1,"")</f>
        <v/>
      </c>
      <c r="BU51">
        <f>IF(AND($A51&lt;&gt;"",BU$3&gt;=$J51,BU$3&lt;=$M51),1,"")</f>
        <v/>
      </c>
      <c r="BV51">
        <f>IF(AND($A51&lt;&gt;"",BV$3&gt;=$J51,BV$3&lt;=$M51),1,"")</f>
        <v/>
      </c>
    </row>
    <row r="52">
      <c r="A52">
        <f>IF(Job_Master_Ring!$A52="","",Job_Master_Ring!$A52)</f>
        <v/>
      </c>
      <c r="B52">
        <f>IF($A52="","",Job_Master_Ring!B52)</f>
        <v/>
      </c>
      <c r="C52">
        <f>IF($A52="","",Job_Master_Ring!C52)</f>
        <v/>
      </c>
      <c r="D52">
        <f>IF($A52="","",Job_Master_Ring!D52)</f>
        <v/>
      </c>
      <c r="E52">
        <f>IF($A52="","",IF($I52&lt;&gt;"",$I52,IFERROR(INDEX(Machine_List!$B$64:$B$71,MATCH(1,(Machine_List!$H$64:$H$71&lt;=IFERROR(VLOOKUP($B52,CHOOSE(MATCH($C52,Settings!$L$4:$L$10,0),OPR_BR1!$A$4:$K$18,OPR_BR2!$A$4:$K$18,OPR_CR2!$A$4:$K$18,OPR_CR3!$A$4:$K$18,OPR_CR4!$A$4:$K$18,OPR_RIM!$A$4:$K$18,OPR_BPR!$A$4:$K$18),10,0),0))*(Machine_List!$I$64:$I$71&gt;=IFERROR(VLOOKUP($B52,CHOOSE(MATCH($C52,Settings!$L$4:$L$10,0),OPR_BR1!$A$4:$K$18,OPR_BR2!$A$4:$K$18,OPR_CR2!$A$4:$K$18,OPR_CR3!$A$4:$K$18,OPR_CR4!$A$4:$K$18,OPR_RIM!$A$4:$K$18,OPR_BPR!$A$4:$K$18),11,0),9999)),0)),"NO COMPATIBLE MACHINE")))</f>
        <v/>
      </c>
      <c r="F52">
        <f>IF($E52="","",IFERROR(VLOOKUP($E52,Machine_List!$B:$G,6,0),""))</f>
        <v/>
      </c>
      <c r="G52" s="17">
        <f>IF($E52="","",IFERROR(VLOOKUP($E52,Machine_List!$B:$C,2,0),""))</f>
        <v/>
      </c>
      <c r="H52">
        <f>IF($E52="","",IFERROR(VLOOKUP($E52,Machine_List!$B:$D,3,0),""))</f>
        <v/>
      </c>
      <c r="J52" s="16">
        <f>IF($A52="","",IF($I52&lt;&gt;"",$I52,MAX(ENG_Plan!$M52,IFERROR(LOOKUP(2,1/($E$3:INDIRECT("E"&amp;(ROW()-1))=$E52),$M$3:INDIRECT("M"&amp;(ROW()-1))),ENG_Plan!$M52))))</f>
        <v/>
      </c>
      <c r="K52">
        <f>IF($A52="","",IFERROR(VLOOKUP(B52,CHOOSE(MATCH($C52,Settings!$L$4:$L$10,0),OPR_BR1!$A$4:$I$18,OPR_BR2!$A$4:$I$18,OPR_CR2!$A$4:$I$18,OPR_CR3!$A$4:$I$18,OPR_CR4!$A$4:$I$18,OPR_RIM!$A$4:$I$18,OPR_BPR!$A$4:$I$18),7,0),0))</f>
        <v/>
      </c>
      <c r="L52">
        <f>IF($A52="","",K52*D52)</f>
        <v/>
      </c>
      <c r="M52" s="16">
        <f>IF($A52="","",IF(AND(ISNUMBER(G52),G52&gt;=J52,G52&lt;=(J52+(L52/(IF(F52="Contract Workman",Settings!$K$5,Settings!$K$4))))),J52+(L52/(IF(F52="Contract Workman",Settings!$K$5,Settings!$K$4)))+(H52/(IF(F52="Contract Workman",Settings!$K$5,Settings!$K$4))),J52+(L52/(IF(F52="Contract Workman",Settings!$K$5,Settings!$K$4)))))</f>
        <v/>
      </c>
      <c r="N52">
        <f>IF($A52="","",IF(F52="Contract Workman",IF(AND(MOD(M52,1)&gt;=8/24,MOD(M52,1)&lt;20/24),"Shift S1","Shift S2"),IF(AND(MOD(M52,1)&gt;=7/24,MOD(M52,1)&lt;15/24),"Shift A",IF(AND(MOD(M52,1)&gt;=15/24,MOD(M52,1)&lt;23/24),"Shift B","Shift C"))))</f>
        <v/>
      </c>
      <c r="O52">
        <f>IF(B52="","",IF(IFERROR(ISNUMBER(SEARCH(TEXT(B52,"0"),VLOOKUP(E52,Machine_List!$B:$J,9,0))),FALSE),"✅ "&amp; E52,"❌ Sug: "&amp;IFERROR(INDEX(Machine_List!$B$64:$B$71,MATCH(1,(Machine_List!$H$64:$H$71&lt;=IFERROR(VLOOKUP($B52,OPR_BR1!$A$4:$K$18,10,0),0))*(Machine_List!$I$64:$I$71&gt;=IFERROR(VLOOKUP($B52,OPR_BR1!$A$4:$K$18,11,0),9999)),0)),"?")))</f>
        <v/>
      </c>
      <c r="P52">
        <f>IF(AND($A52&lt;&gt;"",P$3&gt;=$J52,P$3&lt;=$M52),1,"")</f>
        <v/>
      </c>
      <c r="Q52">
        <f>IF(AND($A52&lt;&gt;"",Q$3&gt;=$J52,Q$3&lt;=$M52),1,"")</f>
        <v/>
      </c>
      <c r="R52">
        <f>IF(AND($A52&lt;&gt;"",R$3&gt;=$J52,R$3&lt;=$M52),1,"")</f>
        <v/>
      </c>
      <c r="S52">
        <f>IF(AND($A52&lt;&gt;"",S$3&gt;=$J52,S$3&lt;=$M52),1,"")</f>
        <v/>
      </c>
      <c r="T52">
        <f>IF(AND($A52&lt;&gt;"",T$3&gt;=$J52,T$3&lt;=$M52),1,"")</f>
        <v/>
      </c>
      <c r="U52">
        <f>IF(AND($A52&lt;&gt;"",U$3&gt;=$J52,U$3&lt;=$M52),1,"")</f>
        <v/>
      </c>
      <c r="V52">
        <f>IF(AND($A52&lt;&gt;"",V$3&gt;=$J52,V$3&lt;=$M52),1,"")</f>
        <v/>
      </c>
      <c r="W52">
        <f>IF(AND($A52&lt;&gt;"",W$3&gt;=$J52,W$3&lt;=$M52),1,"")</f>
        <v/>
      </c>
      <c r="X52">
        <f>IF(AND($A52&lt;&gt;"",X$3&gt;=$J52,X$3&lt;=$M52),1,"")</f>
        <v/>
      </c>
      <c r="Y52">
        <f>IF(AND($A52&lt;&gt;"",Y$3&gt;=$J52,Y$3&lt;=$M52),1,"")</f>
        <v/>
      </c>
      <c r="Z52">
        <f>IF(AND($A52&lt;&gt;"",Z$3&gt;=$J52,Z$3&lt;=$M52),1,"")</f>
        <v/>
      </c>
      <c r="AA52">
        <f>IF(AND($A52&lt;&gt;"",AA$3&gt;=$J52,AA$3&lt;=$M52),1,"")</f>
        <v/>
      </c>
      <c r="AB52">
        <f>IF(AND($A52&lt;&gt;"",AB$3&gt;=$J52,AB$3&lt;=$M52),1,"")</f>
        <v/>
      </c>
      <c r="AC52">
        <f>IF(AND($A52&lt;&gt;"",AC$3&gt;=$J52,AC$3&lt;=$M52),1,"")</f>
        <v/>
      </c>
      <c r="AD52">
        <f>IF(AND($A52&lt;&gt;"",AD$3&gt;=$J52,AD$3&lt;=$M52),1,"")</f>
        <v/>
      </c>
      <c r="AE52">
        <f>IF(AND($A52&lt;&gt;"",AE$3&gt;=$J52,AE$3&lt;=$M52),1,"")</f>
        <v/>
      </c>
      <c r="AF52">
        <f>IF(AND($A52&lt;&gt;"",AF$3&gt;=$J52,AF$3&lt;=$M52),1,"")</f>
        <v/>
      </c>
      <c r="AG52">
        <f>IF(AND($A52&lt;&gt;"",AG$3&gt;=$J52,AG$3&lt;=$M52),1,"")</f>
        <v/>
      </c>
      <c r="AH52">
        <f>IF(AND($A52&lt;&gt;"",AH$3&gt;=$J52,AH$3&lt;=$M52),1,"")</f>
        <v/>
      </c>
      <c r="AI52">
        <f>IF(AND($A52&lt;&gt;"",AI$3&gt;=$J52,AI$3&lt;=$M52),1,"")</f>
        <v/>
      </c>
      <c r="AJ52">
        <f>IF(AND($A52&lt;&gt;"",AJ$3&gt;=$J52,AJ$3&lt;=$M52),1,"")</f>
        <v/>
      </c>
      <c r="AK52">
        <f>IF(AND($A52&lt;&gt;"",AK$3&gt;=$J52,AK$3&lt;=$M52),1,"")</f>
        <v/>
      </c>
      <c r="AL52">
        <f>IF(AND($A52&lt;&gt;"",AL$3&gt;=$J52,AL$3&lt;=$M52),1,"")</f>
        <v/>
      </c>
      <c r="AM52">
        <f>IF(AND($A52&lt;&gt;"",AM$3&gt;=$J52,AM$3&lt;=$M52),1,"")</f>
        <v/>
      </c>
      <c r="AN52">
        <f>IF(AND($A52&lt;&gt;"",AN$3&gt;=$J52,AN$3&lt;=$M52),1,"")</f>
        <v/>
      </c>
      <c r="AO52">
        <f>IF(AND($A52&lt;&gt;"",AO$3&gt;=$J52,AO$3&lt;=$M52),1,"")</f>
        <v/>
      </c>
      <c r="AP52">
        <f>IF(AND($A52&lt;&gt;"",AP$3&gt;=$J52,AP$3&lt;=$M52),1,"")</f>
        <v/>
      </c>
      <c r="AQ52">
        <f>IF(AND($A52&lt;&gt;"",AQ$3&gt;=$J52,AQ$3&lt;=$M52),1,"")</f>
        <v/>
      </c>
      <c r="AR52">
        <f>IF(AND($A52&lt;&gt;"",AR$3&gt;=$J52,AR$3&lt;=$M52),1,"")</f>
        <v/>
      </c>
      <c r="AS52">
        <f>IF(AND($A52&lt;&gt;"",AS$3&gt;=$J52,AS$3&lt;=$M52),1,"")</f>
        <v/>
      </c>
      <c r="AT52">
        <f>IF(AND($A52&lt;&gt;"",AT$3&gt;=$J52,AT$3&lt;=$M52),1,"")</f>
        <v/>
      </c>
      <c r="AU52">
        <f>IF(AND($A52&lt;&gt;"",AU$3&gt;=$J52,AU$3&lt;=$M52),1,"")</f>
        <v/>
      </c>
      <c r="AV52">
        <f>IF(AND($A52&lt;&gt;"",AV$3&gt;=$J52,AV$3&lt;=$M52),1,"")</f>
        <v/>
      </c>
      <c r="AW52">
        <f>IF(AND($A52&lt;&gt;"",AW$3&gt;=$J52,AW$3&lt;=$M52),1,"")</f>
        <v/>
      </c>
      <c r="AX52">
        <f>IF(AND($A52&lt;&gt;"",AX$3&gt;=$J52,AX$3&lt;=$M52),1,"")</f>
        <v/>
      </c>
      <c r="AY52">
        <f>IF(AND($A52&lt;&gt;"",AY$3&gt;=$J52,AY$3&lt;=$M52),1,"")</f>
        <v/>
      </c>
      <c r="AZ52">
        <f>IF(AND($A52&lt;&gt;"",AZ$3&gt;=$J52,AZ$3&lt;=$M52),1,"")</f>
        <v/>
      </c>
      <c r="BA52">
        <f>IF(AND($A52&lt;&gt;"",BA$3&gt;=$J52,BA$3&lt;=$M52),1,"")</f>
        <v/>
      </c>
      <c r="BB52">
        <f>IF(AND($A52&lt;&gt;"",BB$3&gt;=$J52,BB$3&lt;=$M52),1,"")</f>
        <v/>
      </c>
      <c r="BC52">
        <f>IF(AND($A52&lt;&gt;"",BC$3&gt;=$J52,BC$3&lt;=$M52),1,"")</f>
        <v/>
      </c>
      <c r="BD52">
        <f>IF(AND($A52&lt;&gt;"",BD$3&gt;=$J52,BD$3&lt;=$M52),1,"")</f>
        <v/>
      </c>
      <c r="BE52">
        <f>IF(AND($A52&lt;&gt;"",BE$3&gt;=$J52,BE$3&lt;=$M52),1,"")</f>
        <v/>
      </c>
      <c r="BF52">
        <f>IF(AND($A52&lt;&gt;"",BF$3&gt;=$J52,BF$3&lt;=$M52),1,"")</f>
        <v/>
      </c>
      <c r="BG52">
        <f>IF(AND($A52&lt;&gt;"",BG$3&gt;=$J52,BG$3&lt;=$M52),1,"")</f>
        <v/>
      </c>
      <c r="BH52">
        <f>IF(AND($A52&lt;&gt;"",BH$3&gt;=$J52,BH$3&lt;=$M52),1,"")</f>
        <v/>
      </c>
      <c r="BI52">
        <f>IF(AND($A52&lt;&gt;"",BI$3&gt;=$J52,BI$3&lt;=$M52),1,"")</f>
        <v/>
      </c>
      <c r="BJ52">
        <f>IF(AND($A52&lt;&gt;"",BJ$3&gt;=$J52,BJ$3&lt;=$M52),1,"")</f>
        <v/>
      </c>
      <c r="BK52">
        <f>IF(AND($A52&lt;&gt;"",BK$3&gt;=$J52,BK$3&lt;=$M52),1,"")</f>
        <v/>
      </c>
      <c r="BL52">
        <f>IF(AND($A52&lt;&gt;"",BL$3&gt;=$J52,BL$3&lt;=$M52),1,"")</f>
        <v/>
      </c>
      <c r="BM52">
        <f>IF(AND($A52&lt;&gt;"",BM$3&gt;=$J52,BM$3&lt;=$M52),1,"")</f>
        <v/>
      </c>
      <c r="BN52">
        <f>IF(AND($A52&lt;&gt;"",BN$3&gt;=$J52,BN$3&lt;=$M52),1,"")</f>
        <v/>
      </c>
      <c r="BO52">
        <f>IF(AND($A52&lt;&gt;"",BO$3&gt;=$J52,BO$3&lt;=$M52),1,"")</f>
        <v/>
      </c>
      <c r="BP52">
        <f>IF(AND($A52&lt;&gt;"",BP$3&gt;=$J52,BP$3&lt;=$M52),1,"")</f>
        <v/>
      </c>
      <c r="BQ52">
        <f>IF(AND($A52&lt;&gt;"",BQ$3&gt;=$J52,BQ$3&lt;=$M52),1,"")</f>
        <v/>
      </c>
      <c r="BR52">
        <f>IF(AND($A52&lt;&gt;"",BR$3&gt;=$J52,BR$3&lt;=$M52),1,"")</f>
        <v/>
      </c>
      <c r="BS52">
        <f>IF(AND($A52&lt;&gt;"",BS$3&gt;=$J52,BS$3&lt;=$M52),1,"")</f>
        <v/>
      </c>
      <c r="BT52">
        <f>IF(AND($A52&lt;&gt;"",BT$3&gt;=$J52,BT$3&lt;=$M52),1,"")</f>
        <v/>
      </c>
      <c r="BU52">
        <f>IF(AND($A52&lt;&gt;"",BU$3&gt;=$J52,BU$3&lt;=$M52),1,"")</f>
        <v/>
      </c>
      <c r="BV52">
        <f>IF(AND($A52&lt;&gt;"",BV$3&gt;=$J52,BV$3&lt;=$M52),1,"")</f>
        <v/>
      </c>
    </row>
    <row r="53">
      <c r="A53">
        <f>IF(Job_Master_Ring!$A53="","",Job_Master_Ring!$A53)</f>
        <v/>
      </c>
      <c r="B53">
        <f>IF($A53="","",Job_Master_Ring!B53)</f>
        <v/>
      </c>
      <c r="C53">
        <f>IF($A53="","",Job_Master_Ring!C53)</f>
        <v/>
      </c>
      <c r="D53">
        <f>IF($A53="","",Job_Master_Ring!D53)</f>
        <v/>
      </c>
      <c r="E53">
        <f>IF($A53="","",IF($I53&lt;&gt;"",$I53,IFERROR(INDEX(Machine_List!$B$64:$B$71,MATCH(1,(Machine_List!$H$64:$H$71&lt;=IFERROR(VLOOKUP($B53,CHOOSE(MATCH($C53,Settings!$L$4:$L$10,0),OPR_BR1!$A$4:$K$18,OPR_BR2!$A$4:$K$18,OPR_CR2!$A$4:$K$18,OPR_CR3!$A$4:$K$18,OPR_CR4!$A$4:$K$18,OPR_RIM!$A$4:$K$18,OPR_BPR!$A$4:$K$18),10,0),0))*(Machine_List!$I$64:$I$71&gt;=IFERROR(VLOOKUP($B53,CHOOSE(MATCH($C53,Settings!$L$4:$L$10,0),OPR_BR1!$A$4:$K$18,OPR_BR2!$A$4:$K$18,OPR_CR2!$A$4:$K$18,OPR_CR3!$A$4:$K$18,OPR_CR4!$A$4:$K$18,OPR_RIM!$A$4:$K$18,OPR_BPR!$A$4:$K$18),11,0),9999)),0)),"NO COMPATIBLE MACHINE")))</f>
        <v/>
      </c>
      <c r="F53">
        <f>IF($E53="","",IFERROR(VLOOKUP($E53,Machine_List!$B:$G,6,0),""))</f>
        <v/>
      </c>
      <c r="G53" s="17">
        <f>IF($E53="","",IFERROR(VLOOKUP($E53,Machine_List!$B:$C,2,0),""))</f>
        <v/>
      </c>
      <c r="H53">
        <f>IF($E53="","",IFERROR(VLOOKUP($E53,Machine_List!$B:$D,3,0),""))</f>
        <v/>
      </c>
      <c r="J53" s="16">
        <f>IF($A53="","",IF($I53&lt;&gt;"",$I53,MAX(ENG_Plan!$M53,IFERROR(LOOKUP(2,1/($E$3:INDIRECT("E"&amp;(ROW()-1))=$E53),$M$3:INDIRECT("M"&amp;(ROW()-1))),ENG_Plan!$M53))))</f>
        <v/>
      </c>
      <c r="K53">
        <f>IF($A53="","",IFERROR(VLOOKUP(B53,CHOOSE(MATCH($C53,Settings!$L$4:$L$10,0),OPR_BR1!$A$4:$I$18,OPR_BR2!$A$4:$I$18,OPR_CR2!$A$4:$I$18,OPR_CR3!$A$4:$I$18,OPR_CR4!$A$4:$I$18,OPR_RIM!$A$4:$I$18,OPR_BPR!$A$4:$I$18),7,0),0))</f>
        <v/>
      </c>
      <c r="L53">
        <f>IF($A53="","",K53*D53)</f>
        <v/>
      </c>
      <c r="M53" s="16">
        <f>IF($A53="","",IF(AND(ISNUMBER(G53),G53&gt;=J53,G53&lt;=(J53+(L53/(IF(F53="Contract Workman",Settings!$K$5,Settings!$K$4))))),J53+(L53/(IF(F53="Contract Workman",Settings!$K$5,Settings!$K$4)))+(H53/(IF(F53="Contract Workman",Settings!$K$5,Settings!$K$4))),J53+(L53/(IF(F53="Contract Workman",Settings!$K$5,Settings!$K$4)))))</f>
        <v/>
      </c>
      <c r="N53">
        <f>IF($A53="","",IF(F53="Contract Workman",IF(AND(MOD(M53,1)&gt;=8/24,MOD(M53,1)&lt;20/24),"Shift S1","Shift S2"),IF(AND(MOD(M53,1)&gt;=7/24,MOD(M53,1)&lt;15/24),"Shift A",IF(AND(MOD(M53,1)&gt;=15/24,MOD(M53,1)&lt;23/24),"Shift B","Shift C"))))</f>
        <v/>
      </c>
      <c r="O53">
        <f>IF(B53="","",IF(IFERROR(ISNUMBER(SEARCH(TEXT(B53,"0"),VLOOKUP(E53,Machine_List!$B:$J,9,0))),FALSE),"✅ "&amp; E53,"❌ Sug: "&amp;IFERROR(INDEX(Machine_List!$B$64:$B$71,MATCH(1,(Machine_List!$H$64:$H$71&lt;=IFERROR(VLOOKUP($B53,OPR_BR1!$A$4:$K$18,10,0),0))*(Machine_List!$I$64:$I$71&gt;=IFERROR(VLOOKUP($B53,OPR_BR1!$A$4:$K$18,11,0),9999)),0)),"?")))</f>
        <v/>
      </c>
      <c r="P53">
        <f>IF(AND($A53&lt;&gt;"",P$3&gt;=$J53,P$3&lt;=$M53),1,"")</f>
        <v/>
      </c>
      <c r="Q53">
        <f>IF(AND($A53&lt;&gt;"",Q$3&gt;=$J53,Q$3&lt;=$M53),1,"")</f>
        <v/>
      </c>
      <c r="R53">
        <f>IF(AND($A53&lt;&gt;"",R$3&gt;=$J53,R$3&lt;=$M53),1,"")</f>
        <v/>
      </c>
      <c r="S53">
        <f>IF(AND($A53&lt;&gt;"",S$3&gt;=$J53,S$3&lt;=$M53),1,"")</f>
        <v/>
      </c>
      <c r="T53">
        <f>IF(AND($A53&lt;&gt;"",T$3&gt;=$J53,T$3&lt;=$M53),1,"")</f>
        <v/>
      </c>
      <c r="U53">
        <f>IF(AND($A53&lt;&gt;"",U$3&gt;=$J53,U$3&lt;=$M53),1,"")</f>
        <v/>
      </c>
      <c r="V53">
        <f>IF(AND($A53&lt;&gt;"",V$3&gt;=$J53,V$3&lt;=$M53),1,"")</f>
        <v/>
      </c>
      <c r="W53">
        <f>IF(AND($A53&lt;&gt;"",W$3&gt;=$J53,W$3&lt;=$M53),1,"")</f>
        <v/>
      </c>
      <c r="X53">
        <f>IF(AND($A53&lt;&gt;"",X$3&gt;=$J53,X$3&lt;=$M53),1,"")</f>
        <v/>
      </c>
      <c r="Y53">
        <f>IF(AND($A53&lt;&gt;"",Y$3&gt;=$J53,Y$3&lt;=$M53),1,"")</f>
        <v/>
      </c>
      <c r="Z53">
        <f>IF(AND($A53&lt;&gt;"",Z$3&gt;=$J53,Z$3&lt;=$M53),1,"")</f>
        <v/>
      </c>
      <c r="AA53">
        <f>IF(AND($A53&lt;&gt;"",AA$3&gt;=$J53,AA$3&lt;=$M53),1,"")</f>
        <v/>
      </c>
      <c r="AB53">
        <f>IF(AND($A53&lt;&gt;"",AB$3&gt;=$J53,AB$3&lt;=$M53),1,"")</f>
        <v/>
      </c>
      <c r="AC53">
        <f>IF(AND($A53&lt;&gt;"",AC$3&gt;=$J53,AC$3&lt;=$M53),1,"")</f>
        <v/>
      </c>
      <c r="AD53">
        <f>IF(AND($A53&lt;&gt;"",AD$3&gt;=$J53,AD$3&lt;=$M53),1,"")</f>
        <v/>
      </c>
      <c r="AE53">
        <f>IF(AND($A53&lt;&gt;"",AE$3&gt;=$J53,AE$3&lt;=$M53),1,"")</f>
        <v/>
      </c>
      <c r="AF53">
        <f>IF(AND($A53&lt;&gt;"",AF$3&gt;=$J53,AF$3&lt;=$M53),1,"")</f>
        <v/>
      </c>
      <c r="AG53">
        <f>IF(AND($A53&lt;&gt;"",AG$3&gt;=$J53,AG$3&lt;=$M53),1,"")</f>
        <v/>
      </c>
      <c r="AH53">
        <f>IF(AND($A53&lt;&gt;"",AH$3&gt;=$J53,AH$3&lt;=$M53),1,"")</f>
        <v/>
      </c>
      <c r="AI53">
        <f>IF(AND($A53&lt;&gt;"",AI$3&gt;=$J53,AI$3&lt;=$M53),1,"")</f>
        <v/>
      </c>
      <c r="AJ53">
        <f>IF(AND($A53&lt;&gt;"",AJ$3&gt;=$J53,AJ$3&lt;=$M53),1,"")</f>
        <v/>
      </c>
      <c r="AK53">
        <f>IF(AND($A53&lt;&gt;"",AK$3&gt;=$J53,AK$3&lt;=$M53),1,"")</f>
        <v/>
      </c>
      <c r="AL53">
        <f>IF(AND($A53&lt;&gt;"",AL$3&gt;=$J53,AL$3&lt;=$M53),1,"")</f>
        <v/>
      </c>
      <c r="AM53">
        <f>IF(AND($A53&lt;&gt;"",AM$3&gt;=$J53,AM$3&lt;=$M53),1,"")</f>
        <v/>
      </c>
      <c r="AN53">
        <f>IF(AND($A53&lt;&gt;"",AN$3&gt;=$J53,AN$3&lt;=$M53),1,"")</f>
        <v/>
      </c>
      <c r="AO53">
        <f>IF(AND($A53&lt;&gt;"",AO$3&gt;=$J53,AO$3&lt;=$M53),1,"")</f>
        <v/>
      </c>
      <c r="AP53">
        <f>IF(AND($A53&lt;&gt;"",AP$3&gt;=$J53,AP$3&lt;=$M53),1,"")</f>
        <v/>
      </c>
      <c r="AQ53">
        <f>IF(AND($A53&lt;&gt;"",AQ$3&gt;=$J53,AQ$3&lt;=$M53),1,"")</f>
        <v/>
      </c>
      <c r="AR53">
        <f>IF(AND($A53&lt;&gt;"",AR$3&gt;=$J53,AR$3&lt;=$M53),1,"")</f>
        <v/>
      </c>
      <c r="AS53">
        <f>IF(AND($A53&lt;&gt;"",AS$3&gt;=$J53,AS$3&lt;=$M53),1,"")</f>
        <v/>
      </c>
      <c r="AT53">
        <f>IF(AND($A53&lt;&gt;"",AT$3&gt;=$J53,AT$3&lt;=$M53),1,"")</f>
        <v/>
      </c>
      <c r="AU53">
        <f>IF(AND($A53&lt;&gt;"",AU$3&gt;=$J53,AU$3&lt;=$M53),1,"")</f>
        <v/>
      </c>
      <c r="AV53">
        <f>IF(AND($A53&lt;&gt;"",AV$3&gt;=$J53,AV$3&lt;=$M53),1,"")</f>
        <v/>
      </c>
      <c r="AW53">
        <f>IF(AND($A53&lt;&gt;"",AW$3&gt;=$J53,AW$3&lt;=$M53),1,"")</f>
        <v/>
      </c>
      <c r="AX53">
        <f>IF(AND($A53&lt;&gt;"",AX$3&gt;=$J53,AX$3&lt;=$M53),1,"")</f>
        <v/>
      </c>
      <c r="AY53">
        <f>IF(AND($A53&lt;&gt;"",AY$3&gt;=$J53,AY$3&lt;=$M53),1,"")</f>
        <v/>
      </c>
      <c r="AZ53">
        <f>IF(AND($A53&lt;&gt;"",AZ$3&gt;=$J53,AZ$3&lt;=$M53),1,"")</f>
        <v/>
      </c>
      <c r="BA53">
        <f>IF(AND($A53&lt;&gt;"",BA$3&gt;=$J53,BA$3&lt;=$M53),1,"")</f>
        <v/>
      </c>
      <c r="BB53">
        <f>IF(AND($A53&lt;&gt;"",BB$3&gt;=$J53,BB$3&lt;=$M53),1,"")</f>
        <v/>
      </c>
      <c r="BC53">
        <f>IF(AND($A53&lt;&gt;"",BC$3&gt;=$J53,BC$3&lt;=$M53),1,"")</f>
        <v/>
      </c>
      <c r="BD53">
        <f>IF(AND($A53&lt;&gt;"",BD$3&gt;=$J53,BD$3&lt;=$M53),1,"")</f>
        <v/>
      </c>
      <c r="BE53">
        <f>IF(AND($A53&lt;&gt;"",BE$3&gt;=$J53,BE$3&lt;=$M53),1,"")</f>
        <v/>
      </c>
      <c r="BF53">
        <f>IF(AND($A53&lt;&gt;"",BF$3&gt;=$J53,BF$3&lt;=$M53),1,"")</f>
        <v/>
      </c>
      <c r="BG53">
        <f>IF(AND($A53&lt;&gt;"",BG$3&gt;=$J53,BG$3&lt;=$M53),1,"")</f>
        <v/>
      </c>
      <c r="BH53">
        <f>IF(AND($A53&lt;&gt;"",BH$3&gt;=$J53,BH$3&lt;=$M53),1,"")</f>
        <v/>
      </c>
      <c r="BI53">
        <f>IF(AND($A53&lt;&gt;"",BI$3&gt;=$J53,BI$3&lt;=$M53),1,"")</f>
        <v/>
      </c>
      <c r="BJ53">
        <f>IF(AND($A53&lt;&gt;"",BJ$3&gt;=$J53,BJ$3&lt;=$M53),1,"")</f>
        <v/>
      </c>
      <c r="BK53">
        <f>IF(AND($A53&lt;&gt;"",BK$3&gt;=$J53,BK$3&lt;=$M53),1,"")</f>
        <v/>
      </c>
      <c r="BL53">
        <f>IF(AND($A53&lt;&gt;"",BL$3&gt;=$J53,BL$3&lt;=$M53),1,"")</f>
        <v/>
      </c>
      <c r="BM53">
        <f>IF(AND($A53&lt;&gt;"",BM$3&gt;=$J53,BM$3&lt;=$M53),1,"")</f>
        <v/>
      </c>
      <c r="BN53">
        <f>IF(AND($A53&lt;&gt;"",BN$3&gt;=$J53,BN$3&lt;=$M53),1,"")</f>
        <v/>
      </c>
      <c r="BO53">
        <f>IF(AND($A53&lt;&gt;"",BO$3&gt;=$J53,BO$3&lt;=$M53),1,"")</f>
        <v/>
      </c>
      <c r="BP53">
        <f>IF(AND($A53&lt;&gt;"",BP$3&gt;=$J53,BP$3&lt;=$M53),1,"")</f>
        <v/>
      </c>
      <c r="BQ53">
        <f>IF(AND($A53&lt;&gt;"",BQ$3&gt;=$J53,BQ$3&lt;=$M53),1,"")</f>
        <v/>
      </c>
      <c r="BR53">
        <f>IF(AND($A53&lt;&gt;"",BR$3&gt;=$J53,BR$3&lt;=$M53),1,"")</f>
        <v/>
      </c>
      <c r="BS53">
        <f>IF(AND($A53&lt;&gt;"",BS$3&gt;=$J53,BS$3&lt;=$M53),1,"")</f>
        <v/>
      </c>
      <c r="BT53">
        <f>IF(AND($A53&lt;&gt;"",BT$3&gt;=$J53,BT$3&lt;=$M53),1,"")</f>
        <v/>
      </c>
      <c r="BU53">
        <f>IF(AND($A53&lt;&gt;"",BU$3&gt;=$J53,BU$3&lt;=$M53),1,"")</f>
        <v/>
      </c>
      <c r="BV53">
        <f>IF(AND($A53&lt;&gt;"",BV$3&gt;=$J53,BV$3&lt;=$M53),1,"")</f>
        <v/>
      </c>
    </row>
    <row r="54">
      <c r="A54">
        <f>IF(Job_Master_Ring!$A54="","",Job_Master_Ring!$A54)</f>
        <v/>
      </c>
      <c r="B54">
        <f>IF($A54="","",Job_Master_Ring!B54)</f>
        <v/>
      </c>
      <c r="C54">
        <f>IF($A54="","",Job_Master_Ring!C54)</f>
        <v/>
      </c>
      <c r="D54">
        <f>IF($A54="","",Job_Master_Ring!D54)</f>
        <v/>
      </c>
      <c r="E54">
        <f>IF($A54="","",IF($I54&lt;&gt;"",$I54,IFERROR(INDEX(Machine_List!$B$64:$B$71,MATCH(1,(Machine_List!$H$64:$H$71&lt;=IFERROR(VLOOKUP($B54,CHOOSE(MATCH($C54,Settings!$L$4:$L$10,0),OPR_BR1!$A$4:$K$18,OPR_BR2!$A$4:$K$18,OPR_CR2!$A$4:$K$18,OPR_CR3!$A$4:$K$18,OPR_CR4!$A$4:$K$18,OPR_RIM!$A$4:$K$18,OPR_BPR!$A$4:$K$18),10,0),0))*(Machine_List!$I$64:$I$71&gt;=IFERROR(VLOOKUP($B54,CHOOSE(MATCH($C54,Settings!$L$4:$L$10,0),OPR_BR1!$A$4:$K$18,OPR_BR2!$A$4:$K$18,OPR_CR2!$A$4:$K$18,OPR_CR3!$A$4:$K$18,OPR_CR4!$A$4:$K$18,OPR_RIM!$A$4:$K$18,OPR_BPR!$A$4:$K$18),11,0),9999)),0)),"NO COMPATIBLE MACHINE")))</f>
        <v/>
      </c>
      <c r="F54">
        <f>IF($E54="","",IFERROR(VLOOKUP($E54,Machine_List!$B:$G,6,0),""))</f>
        <v/>
      </c>
      <c r="G54" s="17">
        <f>IF($E54="","",IFERROR(VLOOKUP($E54,Machine_List!$B:$C,2,0),""))</f>
        <v/>
      </c>
      <c r="H54">
        <f>IF($E54="","",IFERROR(VLOOKUP($E54,Machine_List!$B:$D,3,0),""))</f>
        <v/>
      </c>
      <c r="J54" s="16">
        <f>IF($A54="","",IF($I54&lt;&gt;"",$I54,MAX(ENG_Plan!$M54,IFERROR(LOOKUP(2,1/($E$3:INDIRECT("E"&amp;(ROW()-1))=$E54),$M$3:INDIRECT("M"&amp;(ROW()-1))),ENG_Plan!$M54))))</f>
        <v/>
      </c>
      <c r="K54">
        <f>IF($A54="","",IFERROR(VLOOKUP(B54,CHOOSE(MATCH($C54,Settings!$L$4:$L$10,0),OPR_BR1!$A$4:$I$18,OPR_BR2!$A$4:$I$18,OPR_CR2!$A$4:$I$18,OPR_CR3!$A$4:$I$18,OPR_CR4!$A$4:$I$18,OPR_RIM!$A$4:$I$18,OPR_BPR!$A$4:$I$18),7,0),0))</f>
        <v/>
      </c>
      <c r="L54">
        <f>IF($A54="","",K54*D54)</f>
        <v/>
      </c>
      <c r="M54" s="16">
        <f>IF($A54="","",IF(AND(ISNUMBER(G54),G54&gt;=J54,G54&lt;=(J54+(L54/(IF(F54="Contract Workman",Settings!$K$5,Settings!$K$4))))),J54+(L54/(IF(F54="Contract Workman",Settings!$K$5,Settings!$K$4)))+(H54/(IF(F54="Contract Workman",Settings!$K$5,Settings!$K$4))),J54+(L54/(IF(F54="Contract Workman",Settings!$K$5,Settings!$K$4)))))</f>
        <v/>
      </c>
      <c r="N54">
        <f>IF($A54="","",IF(F54="Contract Workman",IF(AND(MOD(M54,1)&gt;=8/24,MOD(M54,1)&lt;20/24),"Shift S1","Shift S2"),IF(AND(MOD(M54,1)&gt;=7/24,MOD(M54,1)&lt;15/24),"Shift A",IF(AND(MOD(M54,1)&gt;=15/24,MOD(M54,1)&lt;23/24),"Shift B","Shift C"))))</f>
        <v/>
      </c>
      <c r="O54">
        <f>IF(B54="","",IF(IFERROR(ISNUMBER(SEARCH(TEXT(B54,"0"),VLOOKUP(E54,Machine_List!$B:$J,9,0))),FALSE),"✅ "&amp; E54,"❌ Sug: "&amp;IFERROR(INDEX(Machine_List!$B$64:$B$71,MATCH(1,(Machine_List!$H$64:$H$71&lt;=IFERROR(VLOOKUP($B54,OPR_BR1!$A$4:$K$18,10,0),0))*(Machine_List!$I$64:$I$71&gt;=IFERROR(VLOOKUP($B54,OPR_BR1!$A$4:$K$18,11,0),9999)),0)),"?")))</f>
        <v/>
      </c>
      <c r="P54">
        <f>IF(AND($A54&lt;&gt;"",P$3&gt;=$J54,P$3&lt;=$M54),1,"")</f>
        <v/>
      </c>
      <c r="Q54">
        <f>IF(AND($A54&lt;&gt;"",Q$3&gt;=$J54,Q$3&lt;=$M54),1,"")</f>
        <v/>
      </c>
      <c r="R54">
        <f>IF(AND($A54&lt;&gt;"",R$3&gt;=$J54,R$3&lt;=$M54),1,"")</f>
        <v/>
      </c>
      <c r="S54">
        <f>IF(AND($A54&lt;&gt;"",S$3&gt;=$J54,S$3&lt;=$M54),1,"")</f>
        <v/>
      </c>
      <c r="T54">
        <f>IF(AND($A54&lt;&gt;"",T$3&gt;=$J54,T$3&lt;=$M54),1,"")</f>
        <v/>
      </c>
      <c r="U54">
        <f>IF(AND($A54&lt;&gt;"",U$3&gt;=$J54,U$3&lt;=$M54),1,"")</f>
        <v/>
      </c>
      <c r="V54">
        <f>IF(AND($A54&lt;&gt;"",V$3&gt;=$J54,V$3&lt;=$M54),1,"")</f>
        <v/>
      </c>
      <c r="W54">
        <f>IF(AND($A54&lt;&gt;"",W$3&gt;=$J54,W$3&lt;=$M54),1,"")</f>
        <v/>
      </c>
      <c r="X54">
        <f>IF(AND($A54&lt;&gt;"",X$3&gt;=$J54,X$3&lt;=$M54),1,"")</f>
        <v/>
      </c>
      <c r="Y54">
        <f>IF(AND($A54&lt;&gt;"",Y$3&gt;=$J54,Y$3&lt;=$M54),1,"")</f>
        <v/>
      </c>
      <c r="Z54">
        <f>IF(AND($A54&lt;&gt;"",Z$3&gt;=$J54,Z$3&lt;=$M54),1,"")</f>
        <v/>
      </c>
      <c r="AA54">
        <f>IF(AND($A54&lt;&gt;"",AA$3&gt;=$J54,AA$3&lt;=$M54),1,"")</f>
        <v/>
      </c>
      <c r="AB54">
        <f>IF(AND($A54&lt;&gt;"",AB$3&gt;=$J54,AB$3&lt;=$M54),1,"")</f>
        <v/>
      </c>
      <c r="AC54">
        <f>IF(AND($A54&lt;&gt;"",AC$3&gt;=$J54,AC$3&lt;=$M54),1,"")</f>
        <v/>
      </c>
      <c r="AD54">
        <f>IF(AND($A54&lt;&gt;"",AD$3&gt;=$J54,AD$3&lt;=$M54),1,"")</f>
        <v/>
      </c>
      <c r="AE54">
        <f>IF(AND($A54&lt;&gt;"",AE$3&gt;=$J54,AE$3&lt;=$M54),1,"")</f>
        <v/>
      </c>
      <c r="AF54">
        <f>IF(AND($A54&lt;&gt;"",AF$3&gt;=$J54,AF$3&lt;=$M54),1,"")</f>
        <v/>
      </c>
      <c r="AG54">
        <f>IF(AND($A54&lt;&gt;"",AG$3&gt;=$J54,AG$3&lt;=$M54),1,"")</f>
        <v/>
      </c>
      <c r="AH54">
        <f>IF(AND($A54&lt;&gt;"",AH$3&gt;=$J54,AH$3&lt;=$M54),1,"")</f>
        <v/>
      </c>
      <c r="AI54">
        <f>IF(AND($A54&lt;&gt;"",AI$3&gt;=$J54,AI$3&lt;=$M54),1,"")</f>
        <v/>
      </c>
      <c r="AJ54">
        <f>IF(AND($A54&lt;&gt;"",AJ$3&gt;=$J54,AJ$3&lt;=$M54),1,"")</f>
        <v/>
      </c>
      <c r="AK54">
        <f>IF(AND($A54&lt;&gt;"",AK$3&gt;=$J54,AK$3&lt;=$M54),1,"")</f>
        <v/>
      </c>
      <c r="AL54">
        <f>IF(AND($A54&lt;&gt;"",AL$3&gt;=$J54,AL$3&lt;=$M54),1,"")</f>
        <v/>
      </c>
      <c r="AM54">
        <f>IF(AND($A54&lt;&gt;"",AM$3&gt;=$J54,AM$3&lt;=$M54),1,"")</f>
        <v/>
      </c>
      <c r="AN54">
        <f>IF(AND($A54&lt;&gt;"",AN$3&gt;=$J54,AN$3&lt;=$M54),1,"")</f>
        <v/>
      </c>
      <c r="AO54">
        <f>IF(AND($A54&lt;&gt;"",AO$3&gt;=$J54,AO$3&lt;=$M54),1,"")</f>
        <v/>
      </c>
      <c r="AP54">
        <f>IF(AND($A54&lt;&gt;"",AP$3&gt;=$J54,AP$3&lt;=$M54),1,"")</f>
        <v/>
      </c>
      <c r="AQ54">
        <f>IF(AND($A54&lt;&gt;"",AQ$3&gt;=$J54,AQ$3&lt;=$M54),1,"")</f>
        <v/>
      </c>
      <c r="AR54">
        <f>IF(AND($A54&lt;&gt;"",AR$3&gt;=$J54,AR$3&lt;=$M54),1,"")</f>
        <v/>
      </c>
      <c r="AS54">
        <f>IF(AND($A54&lt;&gt;"",AS$3&gt;=$J54,AS$3&lt;=$M54),1,"")</f>
        <v/>
      </c>
      <c r="AT54">
        <f>IF(AND($A54&lt;&gt;"",AT$3&gt;=$J54,AT$3&lt;=$M54),1,"")</f>
        <v/>
      </c>
      <c r="AU54">
        <f>IF(AND($A54&lt;&gt;"",AU$3&gt;=$J54,AU$3&lt;=$M54),1,"")</f>
        <v/>
      </c>
      <c r="AV54">
        <f>IF(AND($A54&lt;&gt;"",AV$3&gt;=$J54,AV$3&lt;=$M54),1,"")</f>
        <v/>
      </c>
      <c r="AW54">
        <f>IF(AND($A54&lt;&gt;"",AW$3&gt;=$J54,AW$3&lt;=$M54),1,"")</f>
        <v/>
      </c>
      <c r="AX54">
        <f>IF(AND($A54&lt;&gt;"",AX$3&gt;=$J54,AX$3&lt;=$M54),1,"")</f>
        <v/>
      </c>
      <c r="AY54">
        <f>IF(AND($A54&lt;&gt;"",AY$3&gt;=$J54,AY$3&lt;=$M54),1,"")</f>
        <v/>
      </c>
      <c r="AZ54">
        <f>IF(AND($A54&lt;&gt;"",AZ$3&gt;=$J54,AZ$3&lt;=$M54),1,"")</f>
        <v/>
      </c>
      <c r="BA54">
        <f>IF(AND($A54&lt;&gt;"",BA$3&gt;=$J54,BA$3&lt;=$M54),1,"")</f>
        <v/>
      </c>
      <c r="BB54">
        <f>IF(AND($A54&lt;&gt;"",BB$3&gt;=$J54,BB$3&lt;=$M54),1,"")</f>
        <v/>
      </c>
      <c r="BC54">
        <f>IF(AND($A54&lt;&gt;"",BC$3&gt;=$J54,BC$3&lt;=$M54),1,"")</f>
        <v/>
      </c>
      <c r="BD54">
        <f>IF(AND($A54&lt;&gt;"",BD$3&gt;=$J54,BD$3&lt;=$M54),1,"")</f>
        <v/>
      </c>
      <c r="BE54">
        <f>IF(AND($A54&lt;&gt;"",BE$3&gt;=$J54,BE$3&lt;=$M54),1,"")</f>
        <v/>
      </c>
      <c r="BF54">
        <f>IF(AND($A54&lt;&gt;"",BF$3&gt;=$J54,BF$3&lt;=$M54),1,"")</f>
        <v/>
      </c>
      <c r="BG54">
        <f>IF(AND($A54&lt;&gt;"",BG$3&gt;=$J54,BG$3&lt;=$M54),1,"")</f>
        <v/>
      </c>
      <c r="BH54">
        <f>IF(AND($A54&lt;&gt;"",BH$3&gt;=$J54,BH$3&lt;=$M54),1,"")</f>
        <v/>
      </c>
      <c r="BI54">
        <f>IF(AND($A54&lt;&gt;"",BI$3&gt;=$J54,BI$3&lt;=$M54),1,"")</f>
        <v/>
      </c>
      <c r="BJ54">
        <f>IF(AND($A54&lt;&gt;"",BJ$3&gt;=$J54,BJ$3&lt;=$M54),1,"")</f>
        <v/>
      </c>
      <c r="BK54">
        <f>IF(AND($A54&lt;&gt;"",BK$3&gt;=$J54,BK$3&lt;=$M54),1,"")</f>
        <v/>
      </c>
      <c r="BL54">
        <f>IF(AND($A54&lt;&gt;"",BL$3&gt;=$J54,BL$3&lt;=$M54),1,"")</f>
        <v/>
      </c>
      <c r="BM54">
        <f>IF(AND($A54&lt;&gt;"",BM$3&gt;=$J54,BM$3&lt;=$M54),1,"")</f>
        <v/>
      </c>
      <c r="BN54">
        <f>IF(AND($A54&lt;&gt;"",BN$3&gt;=$J54,BN$3&lt;=$M54),1,"")</f>
        <v/>
      </c>
      <c r="BO54">
        <f>IF(AND($A54&lt;&gt;"",BO$3&gt;=$J54,BO$3&lt;=$M54),1,"")</f>
        <v/>
      </c>
      <c r="BP54">
        <f>IF(AND($A54&lt;&gt;"",BP$3&gt;=$J54,BP$3&lt;=$M54),1,"")</f>
        <v/>
      </c>
      <c r="BQ54">
        <f>IF(AND($A54&lt;&gt;"",BQ$3&gt;=$J54,BQ$3&lt;=$M54),1,"")</f>
        <v/>
      </c>
      <c r="BR54">
        <f>IF(AND($A54&lt;&gt;"",BR$3&gt;=$J54,BR$3&lt;=$M54),1,"")</f>
        <v/>
      </c>
      <c r="BS54">
        <f>IF(AND($A54&lt;&gt;"",BS$3&gt;=$J54,BS$3&lt;=$M54),1,"")</f>
        <v/>
      </c>
      <c r="BT54">
        <f>IF(AND($A54&lt;&gt;"",BT$3&gt;=$J54,BT$3&lt;=$M54),1,"")</f>
        <v/>
      </c>
      <c r="BU54">
        <f>IF(AND($A54&lt;&gt;"",BU$3&gt;=$J54,BU$3&lt;=$M54),1,"")</f>
        <v/>
      </c>
      <c r="BV54">
        <f>IF(AND($A54&lt;&gt;"",BV$3&gt;=$J54,BV$3&lt;=$M54),1,"")</f>
        <v/>
      </c>
    </row>
    <row r="55">
      <c r="A55">
        <f>IF(Job_Master_Ring!$A55="","",Job_Master_Ring!$A55)</f>
        <v/>
      </c>
      <c r="B55">
        <f>IF($A55="","",Job_Master_Ring!B55)</f>
        <v/>
      </c>
      <c r="C55">
        <f>IF($A55="","",Job_Master_Ring!C55)</f>
        <v/>
      </c>
      <c r="D55">
        <f>IF($A55="","",Job_Master_Ring!D55)</f>
        <v/>
      </c>
      <c r="E55">
        <f>IF($A55="","",IF($I55&lt;&gt;"",$I55,IFERROR(INDEX(Machine_List!$B$64:$B$71,MATCH(1,(Machine_List!$H$64:$H$71&lt;=IFERROR(VLOOKUP($B55,CHOOSE(MATCH($C55,Settings!$L$4:$L$10,0),OPR_BR1!$A$4:$K$18,OPR_BR2!$A$4:$K$18,OPR_CR2!$A$4:$K$18,OPR_CR3!$A$4:$K$18,OPR_CR4!$A$4:$K$18,OPR_RIM!$A$4:$K$18,OPR_BPR!$A$4:$K$18),10,0),0))*(Machine_List!$I$64:$I$71&gt;=IFERROR(VLOOKUP($B55,CHOOSE(MATCH($C55,Settings!$L$4:$L$10,0),OPR_BR1!$A$4:$K$18,OPR_BR2!$A$4:$K$18,OPR_CR2!$A$4:$K$18,OPR_CR3!$A$4:$K$18,OPR_CR4!$A$4:$K$18,OPR_RIM!$A$4:$K$18,OPR_BPR!$A$4:$K$18),11,0),9999)),0)),"NO COMPATIBLE MACHINE")))</f>
        <v/>
      </c>
      <c r="F55">
        <f>IF($E55="","",IFERROR(VLOOKUP($E55,Machine_List!$B:$G,6,0),""))</f>
        <v/>
      </c>
      <c r="G55" s="17">
        <f>IF($E55="","",IFERROR(VLOOKUP($E55,Machine_List!$B:$C,2,0),""))</f>
        <v/>
      </c>
      <c r="H55">
        <f>IF($E55="","",IFERROR(VLOOKUP($E55,Machine_List!$B:$D,3,0),""))</f>
        <v/>
      </c>
      <c r="J55" s="16">
        <f>IF($A55="","",IF($I55&lt;&gt;"",$I55,MAX(ENG_Plan!$M55,IFERROR(LOOKUP(2,1/($E$3:INDIRECT("E"&amp;(ROW()-1))=$E55),$M$3:INDIRECT("M"&amp;(ROW()-1))),ENG_Plan!$M55))))</f>
        <v/>
      </c>
      <c r="K55">
        <f>IF($A55="","",IFERROR(VLOOKUP(B55,CHOOSE(MATCH($C55,Settings!$L$4:$L$10,0),OPR_BR1!$A$4:$I$18,OPR_BR2!$A$4:$I$18,OPR_CR2!$A$4:$I$18,OPR_CR3!$A$4:$I$18,OPR_CR4!$A$4:$I$18,OPR_RIM!$A$4:$I$18,OPR_BPR!$A$4:$I$18),7,0),0))</f>
        <v/>
      </c>
      <c r="L55">
        <f>IF($A55="","",K55*D55)</f>
        <v/>
      </c>
      <c r="M55" s="16">
        <f>IF($A55="","",IF(AND(ISNUMBER(G55),G55&gt;=J55,G55&lt;=(J55+(L55/(IF(F55="Contract Workman",Settings!$K$5,Settings!$K$4))))),J55+(L55/(IF(F55="Contract Workman",Settings!$K$5,Settings!$K$4)))+(H55/(IF(F55="Contract Workman",Settings!$K$5,Settings!$K$4))),J55+(L55/(IF(F55="Contract Workman",Settings!$K$5,Settings!$K$4)))))</f>
        <v/>
      </c>
      <c r="N55">
        <f>IF($A55="","",IF(F55="Contract Workman",IF(AND(MOD(M55,1)&gt;=8/24,MOD(M55,1)&lt;20/24),"Shift S1","Shift S2"),IF(AND(MOD(M55,1)&gt;=7/24,MOD(M55,1)&lt;15/24),"Shift A",IF(AND(MOD(M55,1)&gt;=15/24,MOD(M55,1)&lt;23/24),"Shift B","Shift C"))))</f>
        <v/>
      </c>
      <c r="O55">
        <f>IF(B55="","",IF(IFERROR(ISNUMBER(SEARCH(TEXT(B55,"0"),VLOOKUP(E55,Machine_List!$B:$J,9,0))),FALSE),"✅ "&amp; E55,"❌ Sug: "&amp;IFERROR(INDEX(Machine_List!$B$64:$B$71,MATCH(1,(Machine_List!$H$64:$H$71&lt;=IFERROR(VLOOKUP($B55,OPR_BR1!$A$4:$K$18,10,0),0))*(Machine_List!$I$64:$I$71&gt;=IFERROR(VLOOKUP($B55,OPR_BR1!$A$4:$K$18,11,0),9999)),0)),"?")))</f>
        <v/>
      </c>
      <c r="P55">
        <f>IF(AND($A55&lt;&gt;"",P$3&gt;=$J55,P$3&lt;=$M55),1,"")</f>
        <v/>
      </c>
      <c r="Q55">
        <f>IF(AND($A55&lt;&gt;"",Q$3&gt;=$J55,Q$3&lt;=$M55),1,"")</f>
        <v/>
      </c>
      <c r="R55">
        <f>IF(AND($A55&lt;&gt;"",R$3&gt;=$J55,R$3&lt;=$M55),1,"")</f>
        <v/>
      </c>
      <c r="S55">
        <f>IF(AND($A55&lt;&gt;"",S$3&gt;=$J55,S$3&lt;=$M55),1,"")</f>
        <v/>
      </c>
      <c r="T55">
        <f>IF(AND($A55&lt;&gt;"",T$3&gt;=$J55,T$3&lt;=$M55),1,"")</f>
        <v/>
      </c>
      <c r="U55">
        <f>IF(AND($A55&lt;&gt;"",U$3&gt;=$J55,U$3&lt;=$M55),1,"")</f>
        <v/>
      </c>
      <c r="V55">
        <f>IF(AND($A55&lt;&gt;"",V$3&gt;=$J55,V$3&lt;=$M55),1,"")</f>
        <v/>
      </c>
      <c r="W55">
        <f>IF(AND($A55&lt;&gt;"",W$3&gt;=$J55,W$3&lt;=$M55),1,"")</f>
        <v/>
      </c>
      <c r="X55">
        <f>IF(AND($A55&lt;&gt;"",X$3&gt;=$J55,X$3&lt;=$M55),1,"")</f>
        <v/>
      </c>
      <c r="Y55">
        <f>IF(AND($A55&lt;&gt;"",Y$3&gt;=$J55,Y$3&lt;=$M55),1,"")</f>
        <v/>
      </c>
      <c r="Z55">
        <f>IF(AND($A55&lt;&gt;"",Z$3&gt;=$J55,Z$3&lt;=$M55),1,"")</f>
        <v/>
      </c>
      <c r="AA55">
        <f>IF(AND($A55&lt;&gt;"",AA$3&gt;=$J55,AA$3&lt;=$M55),1,"")</f>
        <v/>
      </c>
      <c r="AB55">
        <f>IF(AND($A55&lt;&gt;"",AB$3&gt;=$J55,AB$3&lt;=$M55),1,"")</f>
        <v/>
      </c>
      <c r="AC55">
        <f>IF(AND($A55&lt;&gt;"",AC$3&gt;=$J55,AC$3&lt;=$M55),1,"")</f>
        <v/>
      </c>
      <c r="AD55">
        <f>IF(AND($A55&lt;&gt;"",AD$3&gt;=$J55,AD$3&lt;=$M55),1,"")</f>
        <v/>
      </c>
      <c r="AE55">
        <f>IF(AND($A55&lt;&gt;"",AE$3&gt;=$J55,AE$3&lt;=$M55),1,"")</f>
        <v/>
      </c>
      <c r="AF55">
        <f>IF(AND($A55&lt;&gt;"",AF$3&gt;=$J55,AF$3&lt;=$M55),1,"")</f>
        <v/>
      </c>
      <c r="AG55">
        <f>IF(AND($A55&lt;&gt;"",AG$3&gt;=$J55,AG$3&lt;=$M55),1,"")</f>
        <v/>
      </c>
      <c r="AH55">
        <f>IF(AND($A55&lt;&gt;"",AH$3&gt;=$J55,AH$3&lt;=$M55),1,"")</f>
        <v/>
      </c>
      <c r="AI55">
        <f>IF(AND($A55&lt;&gt;"",AI$3&gt;=$J55,AI$3&lt;=$M55),1,"")</f>
        <v/>
      </c>
      <c r="AJ55">
        <f>IF(AND($A55&lt;&gt;"",AJ$3&gt;=$J55,AJ$3&lt;=$M55),1,"")</f>
        <v/>
      </c>
      <c r="AK55">
        <f>IF(AND($A55&lt;&gt;"",AK$3&gt;=$J55,AK$3&lt;=$M55),1,"")</f>
        <v/>
      </c>
      <c r="AL55">
        <f>IF(AND($A55&lt;&gt;"",AL$3&gt;=$J55,AL$3&lt;=$M55),1,"")</f>
        <v/>
      </c>
      <c r="AM55">
        <f>IF(AND($A55&lt;&gt;"",AM$3&gt;=$J55,AM$3&lt;=$M55),1,"")</f>
        <v/>
      </c>
      <c r="AN55">
        <f>IF(AND($A55&lt;&gt;"",AN$3&gt;=$J55,AN$3&lt;=$M55),1,"")</f>
        <v/>
      </c>
      <c r="AO55">
        <f>IF(AND($A55&lt;&gt;"",AO$3&gt;=$J55,AO$3&lt;=$M55),1,"")</f>
        <v/>
      </c>
      <c r="AP55">
        <f>IF(AND($A55&lt;&gt;"",AP$3&gt;=$J55,AP$3&lt;=$M55),1,"")</f>
        <v/>
      </c>
      <c r="AQ55">
        <f>IF(AND($A55&lt;&gt;"",AQ$3&gt;=$J55,AQ$3&lt;=$M55),1,"")</f>
        <v/>
      </c>
      <c r="AR55">
        <f>IF(AND($A55&lt;&gt;"",AR$3&gt;=$J55,AR$3&lt;=$M55),1,"")</f>
        <v/>
      </c>
      <c r="AS55">
        <f>IF(AND($A55&lt;&gt;"",AS$3&gt;=$J55,AS$3&lt;=$M55),1,"")</f>
        <v/>
      </c>
      <c r="AT55">
        <f>IF(AND($A55&lt;&gt;"",AT$3&gt;=$J55,AT$3&lt;=$M55),1,"")</f>
        <v/>
      </c>
      <c r="AU55">
        <f>IF(AND($A55&lt;&gt;"",AU$3&gt;=$J55,AU$3&lt;=$M55),1,"")</f>
        <v/>
      </c>
      <c r="AV55">
        <f>IF(AND($A55&lt;&gt;"",AV$3&gt;=$J55,AV$3&lt;=$M55),1,"")</f>
        <v/>
      </c>
      <c r="AW55">
        <f>IF(AND($A55&lt;&gt;"",AW$3&gt;=$J55,AW$3&lt;=$M55),1,"")</f>
        <v/>
      </c>
      <c r="AX55">
        <f>IF(AND($A55&lt;&gt;"",AX$3&gt;=$J55,AX$3&lt;=$M55),1,"")</f>
        <v/>
      </c>
      <c r="AY55">
        <f>IF(AND($A55&lt;&gt;"",AY$3&gt;=$J55,AY$3&lt;=$M55),1,"")</f>
        <v/>
      </c>
      <c r="AZ55">
        <f>IF(AND($A55&lt;&gt;"",AZ$3&gt;=$J55,AZ$3&lt;=$M55),1,"")</f>
        <v/>
      </c>
      <c r="BA55">
        <f>IF(AND($A55&lt;&gt;"",BA$3&gt;=$J55,BA$3&lt;=$M55),1,"")</f>
        <v/>
      </c>
      <c r="BB55">
        <f>IF(AND($A55&lt;&gt;"",BB$3&gt;=$J55,BB$3&lt;=$M55),1,"")</f>
        <v/>
      </c>
      <c r="BC55">
        <f>IF(AND($A55&lt;&gt;"",BC$3&gt;=$J55,BC$3&lt;=$M55),1,"")</f>
        <v/>
      </c>
      <c r="BD55">
        <f>IF(AND($A55&lt;&gt;"",BD$3&gt;=$J55,BD$3&lt;=$M55),1,"")</f>
        <v/>
      </c>
      <c r="BE55">
        <f>IF(AND($A55&lt;&gt;"",BE$3&gt;=$J55,BE$3&lt;=$M55),1,"")</f>
        <v/>
      </c>
      <c r="BF55">
        <f>IF(AND($A55&lt;&gt;"",BF$3&gt;=$J55,BF$3&lt;=$M55),1,"")</f>
        <v/>
      </c>
      <c r="BG55">
        <f>IF(AND($A55&lt;&gt;"",BG$3&gt;=$J55,BG$3&lt;=$M55),1,"")</f>
        <v/>
      </c>
      <c r="BH55">
        <f>IF(AND($A55&lt;&gt;"",BH$3&gt;=$J55,BH$3&lt;=$M55),1,"")</f>
        <v/>
      </c>
      <c r="BI55">
        <f>IF(AND($A55&lt;&gt;"",BI$3&gt;=$J55,BI$3&lt;=$M55),1,"")</f>
        <v/>
      </c>
      <c r="BJ55">
        <f>IF(AND($A55&lt;&gt;"",BJ$3&gt;=$J55,BJ$3&lt;=$M55),1,"")</f>
        <v/>
      </c>
      <c r="BK55">
        <f>IF(AND($A55&lt;&gt;"",BK$3&gt;=$J55,BK$3&lt;=$M55),1,"")</f>
        <v/>
      </c>
      <c r="BL55">
        <f>IF(AND($A55&lt;&gt;"",BL$3&gt;=$J55,BL$3&lt;=$M55),1,"")</f>
        <v/>
      </c>
      <c r="BM55">
        <f>IF(AND($A55&lt;&gt;"",BM$3&gt;=$J55,BM$3&lt;=$M55),1,"")</f>
        <v/>
      </c>
      <c r="BN55">
        <f>IF(AND($A55&lt;&gt;"",BN$3&gt;=$J55,BN$3&lt;=$M55),1,"")</f>
        <v/>
      </c>
      <c r="BO55">
        <f>IF(AND($A55&lt;&gt;"",BO$3&gt;=$J55,BO$3&lt;=$M55),1,"")</f>
        <v/>
      </c>
      <c r="BP55">
        <f>IF(AND($A55&lt;&gt;"",BP$3&gt;=$J55,BP$3&lt;=$M55),1,"")</f>
        <v/>
      </c>
      <c r="BQ55">
        <f>IF(AND($A55&lt;&gt;"",BQ$3&gt;=$J55,BQ$3&lt;=$M55),1,"")</f>
        <v/>
      </c>
      <c r="BR55">
        <f>IF(AND($A55&lt;&gt;"",BR$3&gt;=$J55,BR$3&lt;=$M55),1,"")</f>
        <v/>
      </c>
      <c r="BS55">
        <f>IF(AND($A55&lt;&gt;"",BS$3&gt;=$J55,BS$3&lt;=$M55),1,"")</f>
        <v/>
      </c>
      <c r="BT55">
        <f>IF(AND($A55&lt;&gt;"",BT$3&gt;=$J55,BT$3&lt;=$M55),1,"")</f>
        <v/>
      </c>
      <c r="BU55">
        <f>IF(AND($A55&lt;&gt;"",BU$3&gt;=$J55,BU$3&lt;=$M55),1,"")</f>
        <v/>
      </c>
      <c r="BV55">
        <f>IF(AND($A55&lt;&gt;"",BV$3&gt;=$J55,BV$3&lt;=$M55),1,"")</f>
        <v/>
      </c>
    </row>
    <row r="56">
      <c r="A56">
        <f>IF(Job_Master_Ring!$A56="","",Job_Master_Ring!$A56)</f>
        <v/>
      </c>
      <c r="B56">
        <f>IF($A56="","",Job_Master_Ring!B56)</f>
        <v/>
      </c>
      <c r="C56">
        <f>IF($A56="","",Job_Master_Ring!C56)</f>
        <v/>
      </c>
      <c r="D56">
        <f>IF($A56="","",Job_Master_Ring!D56)</f>
        <v/>
      </c>
      <c r="E56">
        <f>IF($A56="","",IF($I56&lt;&gt;"",$I56,IFERROR(INDEX(Machine_List!$B$64:$B$71,MATCH(1,(Machine_List!$H$64:$H$71&lt;=IFERROR(VLOOKUP($B56,CHOOSE(MATCH($C56,Settings!$L$4:$L$10,0),OPR_BR1!$A$4:$K$18,OPR_BR2!$A$4:$K$18,OPR_CR2!$A$4:$K$18,OPR_CR3!$A$4:$K$18,OPR_CR4!$A$4:$K$18,OPR_RIM!$A$4:$K$18,OPR_BPR!$A$4:$K$18),10,0),0))*(Machine_List!$I$64:$I$71&gt;=IFERROR(VLOOKUP($B56,CHOOSE(MATCH($C56,Settings!$L$4:$L$10,0),OPR_BR1!$A$4:$K$18,OPR_BR2!$A$4:$K$18,OPR_CR2!$A$4:$K$18,OPR_CR3!$A$4:$K$18,OPR_CR4!$A$4:$K$18,OPR_RIM!$A$4:$K$18,OPR_BPR!$A$4:$K$18),11,0),9999)),0)),"NO COMPATIBLE MACHINE")))</f>
        <v/>
      </c>
      <c r="F56">
        <f>IF($E56="","",IFERROR(VLOOKUP($E56,Machine_List!$B:$G,6,0),""))</f>
        <v/>
      </c>
      <c r="G56" s="17">
        <f>IF($E56="","",IFERROR(VLOOKUP($E56,Machine_List!$B:$C,2,0),""))</f>
        <v/>
      </c>
      <c r="H56">
        <f>IF($E56="","",IFERROR(VLOOKUP($E56,Machine_List!$B:$D,3,0),""))</f>
        <v/>
      </c>
      <c r="J56" s="16">
        <f>IF($A56="","",IF($I56&lt;&gt;"",$I56,MAX(ENG_Plan!$M56,IFERROR(LOOKUP(2,1/($E$3:INDIRECT("E"&amp;(ROW()-1))=$E56),$M$3:INDIRECT("M"&amp;(ROW()-1))),ENG_Plan!$M56))))</f>
        <v/>
      </c>
      <c r="K56">
        <f>IF($A56="","",IFERROR(VLOOKUP(B56,CHOOSE(MATCH($C56,Settings!$L$4:$L$10,0),OPR_BR1!$A$4:$I$18,OPR_BR2!$A$4:$I$18,OPR_CR2!$A$4:$I$18,OPR_CR3!$A$4:$I$18,OPR_CR4!$A$4:$I$18,OPR_RIM!$A$4:$I$18,OPR_BPR!$A$4:$I$18),7,0),0))</f>
        <v/>
      </c>
      <c r="L56">
        <f>IF($A56="","",K56*D56)</f>
        <v/>
      </c>
      <c r="M56" s="16">
        <f>IF($A56="","",IF(AND(ISNUMBER(G56),G56&gt;=J56,G56&lt;=(J56+(L56/(IF(F56="Contract Workman",Settings!$K$5,Settings!$K$4))))),J56+(L56/(IF(F56="Contract Workman",Settings!$K$5,Settings!$K$4)))+(H56/(IF(F56="Contract Workman",Settings!$K$5,Settings!$K$4))),J56+(L56/(IF(F56="Contract Workman",Settings!$K$5,Settings!$K$4)))))</f>
        <v/>
      </c>
      <c r="N56">
        <f>IF($A56="","",IF(F56="Contract Workman",IF(AND(MOD(M56,1)&gt;=8/24,MOD(M56,1)&lt;20/24),"Shift S1","Shift S2"),IF(AND(MOD(M56,1)&gt;=7/24,MOD(M56,1)&lt;15/24),"Shift A",IF(AND(MOD(M56,1)&gt;=15/24,MOD(M56,1)&lt;23/24),"Shift B","Shift C"))))</f>
        <v/>
      </c>
      <c r="O56">
        <f>IF(B56="","",IF(IFERROR(ISNUMBER(SEARCH(TEXT(B56,"0"),VLOOKUP(E56,Machine_List!$B:$J,9,0))),FALSE),"✅ "&amp; E56,"❌ Sug: "&amp;IFERROR(INDEX(Machine_List!$B$64:$B$71,MATCH(1,(Machine_List!$H$64:$H$71&lt;=IFERROR(VLOOKUP($B56,OPR_BR1!$A$4:$K$18,10,0),0))*(Machine_List!$I$64:$I$71&gt;=IFERROR(VLOOKUP($B56,OPR_BR1!$A$4:$K$18,11,0),9999)),0)),"?")))</f>
        <v/>
      </c>
      <c r="P56">
        <f>IF(AND($A56&lt;&gt;"",P$3&gt;=$J56,P$3&lt;=$M56),1,"")</f>
        <v/>
      </c>
      <c r="Q56">
        <f>IF(AND($A56&lt;&gt;"",Q$3&gt;=$J56,Q$3&lt;=$M56),1,"")</f>
        <v/>
      </c>
      <c r="R56">
        <f>IF(AND($A56&lt;&gt;"",R$3&gt;=$J56,R$3&lt;=$M56),1,"")</f>
        <v/>
      </c>
      <c r="S56">
        <f>IF(AND($A56&lt;&gt;"",S$3&gt;=$J56,S$3&lt;=$M56),1,"")</f>
        <v/>
      </c>
      <c r="T56">
        <f>IF(AND($A56&lt;&gt;"",T$3&gt;=$J56,T$3&lt;=$M56),1,"")</f>
        <v/>
      </c>
      <c r="U56">
        <f>IF(AND($A56&lt;&gt;"",U$3&gt;=$J56,U$3&lt;=$M56),1,"")</f>
        <v/>
      </c>
      <c r="V56">
        <f>IF(AND($A56&lt;&gt;"",V$3&gt;=$J56,V$3&lt;=$M56),1,"")</f>
        <v/>
      </c>
      <c r="W56">
        <f>IF(AND($A56&lt;&gt;"",W$3&gt;=$J56,W$3&lt;=$M56),1,"")</f>
        <v/>
      </c>
      <c r="X56">
        <f>IF(AND($A56&lt;&gt;"",X$3&gt;=$J56,X$3&lt;=$M56),1,"")</f>
        <v/>
      </c>
      <c r="Y56">
        <f>IF(AND($A56&lt;&gt;"",Y$3&gt;=$J56,Y$3&lt;=$M56),1,"")</f>
        <v/>
      </c>
      <c r="Z56">
        <f>IF(AND($A56&lt;&gt;"",Z$3&gt;=$J56,Z$3&lt;=$M56),1,"")</f>
        <v/>
      </c>
      <c r="AA56">
        <f>IF(AND($A56&lt;&gt;"",AA$3&gt;=$J56,AA$3&lt;=$M56),1,"")</f>
        <v/>
      </c>
      <c r="AB56">
        <f>IF(AND($A56&lt;&gt;"",AB$3&gt;=$J56,AB$3&lt;=$M56),1,"")</f>
        <v/>
      </c>
      <c r="AC56">
        <f>IF(AND($A56&lt;&gt;"",AC$3&gt;=$J56,AC$3&lt;=$M56),1,"")</f>
        <v/>
      </c>
      <c r="AD56">
        <f>IF(AND($A56&lt;&gt;"",AD$3&gt;=$J56,AD$3&lt;=$M56),1,"")</f>
        <v/>
      </c>
      <c r="AE56">
        <f>IF(AND($A56&lt;&gt;"",AE$3&gt;=$J56,AE$3&lt;=$M56),1,"")</f>
        <v/>
      </c>
      <c r="AF56">
        <f>IF(AND($A56&lt;&gt;"",AF$3&gt;=$J56,AF$3&lt;=$M56),1,"")</f>
        <v/>
      </c>
      <c r="AG56">
        <f>IF(AND($A56&lt;&gt;"",AG$3&gt;=$J56,AG$3&lt;=$M56),1,"")</f>
        <v/>
      </c>
      <c r="AH56">
        <f>IF(AND($A56&lt;&gt;"",AH$3&gt;=$J56,AH$3&lt;=$M56),1,"")</f>
        <v/>
      </c>
      <c r="AI56">
        <f>IF(AND($A56&lt;&gt;"",AI$3&gt;=$J56,AI$3&lt;=$M56),1,"")</f>
        <v/>
      </c>
      <c r="AJ56">
        <f>IF(AND($A56&lt;&gt;"",AJ$3&gt;=$J56,AJ$3&lt;=$M56),1,"")</f>
        <v/>
      </c>
      <c r="AK56">
        <f>IF(AND($A56&lt;&gt;"",AK$3&gt;=$J56,AK$3&lt;=$M56),1,"")</f>
        <v/>
      </c>
      <c r="AL56">
        <f>IF(AND($A56&lt;&gt;"",AL$3&gt;=$J56,AL$3&lt;=$M56),1,"")</f>
        <v/>
      </c>
      <c r="AM56">
        <f>IF(AND($A56&lt;&gt;"",AM$3&gt;=$J56,AM$3&lt;=$M56),1,"")</f>
        <v/>
      </c>
      <c r="AN56">
        <f>IF(AND($A56&lt;&gt;"",AN$3&gt;=$J56,AN$3&lt;=$M56),1,"")</f>
        <v/>
      </c>
      <c r="AO56">
        <f>IF(AND($A56&lt;&gt;"",AO$3&gt;=$J56,AO$3&lt;=$M56),1,"")</f>
        <v/>
      </c>
      <c r="AP56">
        <f>IF(AND($A56&lt;&gt;"",AP$3&gt;=$J56,AP$3&lt;=$M56),1,"")</f>
        <v/>
      </c>
      <c r="AQ56">
        <f>IF(AND($A56&lt;&gt;"",AQ$3&gt;=$J56,AQ$3&lt;=$M56),1,"")</f>
        <v/>
      </c>
      <c r="AR56">
        <f>IF(AND($A56&lt;&gt;"",AR$3&gt;=$J56,AR$3&lt;=$M56),1,"")</f>
        <v/>
      </c>
      <c r="AS56">
        <f>IF(AND($A56&lt;&gt;"",AS$3&gt;=$J56,AS$3&lt;=$M56),1,"")</f>
        <v/>
      </c>
      <c r="AT56">
        <f>IF(AND($A56&lt;&gt;"",AT$3&gt;=$J56,AT$3&lt;=$M56),1,"")</f>
        <v/>
      </c>
      <c r="AU56">
        <f>IF(AND($A56&lt;&gt;"",AU$3&gt;=$J56,AU$3&lt;=$M56),1,"")</f>
        <v/>
      </c>
      <c r="AV56">
        <f>IF(AND($A56&lt;&gt;"",AV$3&gt;=$J56,AV$3&lt;=$M56),1,"")</f>
        <v/>
      </c>
      <c r="AW56">
        <f>IF(AND($A56&lt;&gt;"",AW$3&gt;=$J56,AW$3&lt;=$M56),1,"")</f>
        <v/>
      </c>
      <c r="AX56">
        <f>IF(AND($A56&lt;&gt;"",AX$3&gt;=$J56,AX$3&lt;=$M56),1,"")</f>
        <v/>
      </c>
      <c r="AY56">
        <f>IF(AND($A56&lt;&gt;"",AY$3&gt;=$J56,AY$3&lt;=$M56),1,"")</f>
        <v/>
      </c>
      <c r="AZ56">
        <f>IF(AND($A56&lt;&gt;"",AZ$3&gt;=$J56,AZ$3&lt;=$M56),1,"")</f>
        <v/>
      </c>
      <c r="BA56">
        <f>IF(AND($A56&lt;&gt;"",BA$3&gt;=$J56,BA$3&lt;=$M56),1,"")</f>
        <v/>
      </c>
      <c r="BB56">
        <f>IF(AND($A56&lt;&gt;"",BB$3&gt;=$J56,BB$3&lt;=$M56),1,"")</f>
        <v/>
      </c>
      <c r="BC56">
        <f>IF(AND($A56&lt;&gt;"",BC$3&gt;=$J56,BC$3&lt;=$M56),1,"")</f>
        <v/>
      </c>
      <c r="BD56">
        <f>IF(AND($A56&lt;&gt;"",BD$3&gt;=$J56,BD$3&lt;=$M56),1,"")</f>
        <v/>
      </c>
      <c r="BE56">
        <f>IF(AND($A56&lt;&gt;"",BE$3&gt;=$J56,BE$3&lt;=$M56),1,"")</f>
        <v/>
      </c>
      <c r="BF56">
        <f>IF(AND($A56&lt;&gt;"",BF$3&gt;=$J56,BF$3&lt;=$M56),1,"")</f>
        <v/>
      </c>
      <c r="BG56">
        <f>IF(AND($A56&lt;&gt;"",BG$3&gt;=$J56,BG$3&lt;=$M56),1,"")</f>
        <v/>
      </c>
      <c r="BH56">
        <f>IF(AND($A56&lt;&gt;"",BH$3&gt;=$J56,BH$3&lt;=$M56),1,"")</f>
        <v/>
      </c>
      <c r="BI56">
        <f>IF(AND($A56&lt;&gt;"",BI$3&gt;=$J56,BI$3&lt;=$M56),1,"")</f>
        <v/>
      </c>
      <c r="BJ56">
        <f>IF(AND($A56&lt;&gt;"",BJ$3&gt;=$J56,BJ$3&lt;=$M56),1,"")</f>
        <v/>
      </c>
      <c r="BK56">
        <f>IF(AND($A56&lt;&gt;"",BK$3&gt;=$J56,BK$3&lt;=$M56),1,"")</f>
        <v/>
      </c>
      <c r="BL56">
        <f>IF(AND($A56&lt;&gt;"",BL$3&gt;=$J56,BL$3&lt;=$M56),1,"")</f>
        <v/>
      </c>
      <c r="BM56">
        <f>IF(AND($A56&lt;&gt;"",BM$3&gt;=$J56,BM$3&lt;=$M56),1,"")</f>
        <v/>
      </c>
      <c r="BN56">
        <f>IF(AND($A56&lt;&gt;"",BN$3&gt;=$J56,BN$3&lt;=$M56),1,"")</f>
        <v/>
      </c>
      <c r="BO56">
        <f>IF(AND($A56&lt;&gt;"",BO$3&gt;=$J56,BO$3&lt;=$M56),1,"")</f>
        <v/>
      </c>
      <c r="BP56">
        <f>IF(AND($A56&lt;&gt;"",BP$3&gt;=$J56,BP$3&lt;=$M56),1,"")</f>
        <v/>
      </c>
      <c r="BQ56">
        <f>IF(AND($A56&lt;&gt;"",BQ$3&gt;=$J56,BQ$3&lt;=$M56),1,"")</f>
        <v/>
      </c>
      <c r="BR56">
        <f>IF(AND($A56&lt;&gt;"",BR$3&gt;=$J56,BR$3&lt;=$M56),1,"")</f>
        <v/>
      </c>
      <c r="BS56">
        <f>IF(AND($A56&lt;&gt;"",BS$3&gt;=$J56,BS$3&lt;=$M56),1,"")</f>
        <v/>
      </c>
      <c r="BT56">
        <f>IF(AND($A56&lt;&gt;"",BT$3&gt;=$J56,BT$3&lt;=$M56),1,"")</f>
        <v/>
      </c>
      <c r="BU56">
        <f>IF(AND($A56&lt;&gt;"",BU$3&gt;=$J56,BU$3&lt;=$M56),1,"")</f>
        <v/>
      </c>
      <c r="BV56">
        <f>IF(AND($A56&lt;&gt;"",BV$3&gt;=$J56,BV$3&lt;=$M56),1,"")</f>
        <v/>
      </c>
    </row>
    <row r="57">
      <c r="A57">
        <f>IF(Job_Master_Ring!$A57="","",Job_Master_Ring!$A57)</f>
        <v/>
      </c>
      <c r="B57">
        <f>IF($A57="","",Job_Master_Ring!B57)</f>
        <v/>
      </c>
      <c r="C57">
        <f>IF($A57="","",Job_Master_Ring!C57)</f>
        <v/>
      </c>
      <c r="D57">
        <f>IF($A57="","",Job_Master_Ring!D57)</f>
        <v/>
      </c>
      <c r="E57">
        <f>IF($A57="","",IF($I57&lt;&gt;"",$I57,IFERROR(INDEX(Machine_List!$B$64:$B$71,MATCH(1,(Machine_List!$H$64:$H$71&lt;=IFERROR(VLOOKUP($B57,CHOOSE(MATCH($C57,Settings!$L$4:$L$10,0),OPR_BR1!$A$4:$K$18,OPR_BR2!$A$4:$K$18,OPR_CR2!$A$4:$K$18,OPR_CR3!$A$4:$K$18,OPR_CR4!$A$4:$K$18,OPR_RIM!$A$4:$K$18,OPR_BPR!$A$4:$K$18),10,0),0))*(Machine_List!$I$64:$I$71&gt;=IFERROR(VLOOKUP($B57,CHOOSE(MATCH($C57,Settings!$L$4:$L$10,0),OPR_BR1!$A$4:$K$18,OPR_BR2!$A$4:$K$18,OPR_CR2!$A$4:$K$18,OPR_CR3!$A$4:$K$18,OPR_CR4!$A$4:$K$18,OPR_RIM!$A$4:$K$18,OPR_BPR!$A$4:$K$18),11,0),9999)),0)),"NO COMPATIBLE MACHINE")))</f>
        <v/>
      </c>
      <c r="F57">
        <f>IF($E57="","",IFERROR(VLOOKUP($E57,Machine_List!$B:$G,6,0),""))</f>
        <v/>
      </c>
      <c r="G57" s="17">
        <f>IF($E57="","",IFERROR(VLOOKUP($E57,Machine_List!$B:$C,2,0),""))</f>
        <v/>
      </c>
      <c r="H57">
        <f>IF($E57="","",IFERROR(VLOOKUP($E57,Machine_List!$B:$D,3,0),""))</f>
        <v/>
      </c>
      <c r="J57" s="16">
        <f>IF($A57="","",IF($I57&lt;&gt;"",$I57,MAX(ENG_Plan!$M57,IFERROR(LOOKUP(2,1/($E$3:INDIRECT("E"&amp;(ROW()-1))=$E57),$M$3:INDIRECT("M"&amp;(ROW()-1))),ENG_Plan!$M57))))</f>
        <v/>
      </c>
      <c r="K57">
        <f>IF($A57="","",IFERROR(VLOOKUP(B57,CHOOSE(MATCH($C57,Settings!$L$4:$L$10,0),OPR_BR1!$A$4:$I$18,OPR_BR2!$A$4:$I$18,OPR_CR2!$A$4:$I$18,OPR_CR3!$A$4:$I$18,OPR_CR4!$A$4:$I$18,OPR_RIM!$A$4:$I$18,OPR_BPR!$A$4:$I$18),7,0),0))</f>
        <v/>
      </c>
      <c r="L57">
        <f>IF($A57="","",K57*D57)</f>
        <v/>
      </c>
      <c r="M57" s="16">
        <f>IF($A57="","",IF(AND(ISNUMBER(G57),G57&gt;=J57,G57&lt;=(J57+(L57/(IF(F57="Contract Workman",Settings!$K$5,Settings!$K$4))))),J57+(L57/(IF(F57="Contract Workman",Settings!$K$5,Settings!$K$4)))+(H57/(IF(F57="Contract Workman",Settings!$K$5,Settings!$K$4))),J57+(L57/(IF(F57="Contract Workman",Settings!$K$5,Settings!$K$4)))))</f>
        <v/>
      </c>
      <c r="N57">
        <f>IF($A57="","",IF(F57="Contract Workman",IF(AND(MOD(M57,1)&gt;=8/24,MOD(M57,1)&lt;20/24),"Shift S1","Shift S2"),IF(AND(MOD(M57,1)&gt;=7/24,MOD(M57,1)&lt;15/24),"Shift A",IF(AND(MOD(M57,1)&gt;=15/24,MOD(M57,1)&lt;23/24),"Shift B","Shift C"))))</f>
        <v/>
      </c>
      <c r="O57">
        <f>IF(B57="","",IF(IFERROR(ISNUMBER(SEARCH(TEXT(B57,"0"),VLOOKUP(E57,Machine_List!$B:$J,9,0))),FALSE),"✅ "&amp; E57,"❌ Sug: "&amp;IFERROR(INDEX(Machine_List!$B$64:$B$71,MATCH(1,(Machine_List!$H$64:$H$71&lt;=IFERROR(VLOOKUP($B57,OPR_BR1!$A$4:$K$18,10,0),0))*(Machine_List!$I$64:$I$71&gt;=IFERROR(VLOOKUP($B57,OPR_BR1!$A$4:$K$18,11,0),9999)),0)),"?")))</f>
        <v/>
      </c>
      <c r="P57">
        <f>IF(AND($A57&lt;&gt;"",P$3&gt;=$J57,P$3&lt;=$M57),1,"")</f>
        <v/>
      </c>
      <c r="Q57">
        <f>IF(AND($A57&lt;&gt;"",Q$3&gt;=$J57,Q$3&lt;=$M57),1,"")</f>
        <v/>
      </c>
      <c r="R57">
        <f>IF(AND($A57&lt;&gt;"",R$3&gt;=$J57,R$3&lt;=$M57),1,"")</f>
        <v/>
      </c>
      <c r="S57">
        <f>IF(AND($A57&lt;&gt;"",S$3&gt;=$J57,S$3&lt;=$M57),1,"")</f>
        <v/>
      </c>
      <c r="T57">
        <f>IF(AND($A57&lt;&gt;"",T$3&gt;=$J57,T$3&lt;=$M57),1,"")</f>
        <v/>
      </c>
      <c r="U57">
        <f>IF(AND($A57&lt;&gt;"",U$3&gt;=$J57,U$3&lt;=$M57),1,"")</f>
        <v/>
      </c>
      <c r="V57">
        <f>IF(AND($A57&lt;&gt;"",V$3&gt;=$J57,V$3&lt;=$M57),1,"")</f>
        <v/>
      </c>
      <c r="W57">
        <f>IF(AND($A57&lt;&gt;"",W$3&gt;=$J57,W$3&lt;=$M57),1,"")</f>
        <v/>
      </c>
      <c r="X57">
        <f>IF(AND($A57&lt;&gt;"",X$3&gt;=$J57,X$3&lt;=$M57),1,"")</f>
        <v/>
      </c>
      <c r="Y57">
        <f>IF(AND($A57&lt;&gt;"",Y$3&gt;=$J57,Y$3&lt;=$M57),1,"")</f>
        <v/>
      </c>
      <c r="Z57">
        <f>IF(AND($A57&lt;&gt;"",Z$3&gt;=$J57,Z$3&lt;=$M57),1,"")</f>
        <v/>
      </c>
      <c r="AA57">
        <f>IF(AND($A57&lt;&gt;"",AA$3&gt;=$J57,AA$3&lt;=$M57),1,"")</f>
        <v/>
      </c>
      <c r="AB57">
        <f>IF(AND($A57&lt;&gt;"",AB$3&gt;=$J57,AB$3&lt;=$M57),1,"")</f>
        <v/>
      </c>
      <c r="AC57">
        <f>IF(AND($A57&lt;&gt;"",AC$3&gt;=$J57,AC$3&lt;=$M57),1,"")</f>
        <v/>
      </c>
      <c r="AD57">
        <f>IF(AND($A57&lt;&gt;"",AD$3&gt;=$J57,AD$3&lt;=$M57),1,"")</f>
        <v/>
      </c>
      <c r="AE57">
        <f>IF(AND($A57&lt;&gt;"",AE$3&gt;=$J57,AE$3&lt;=$M57),1,"")</f>
        <v/>
      </c>
      <c r="AF57">
        <f>IF(AND($A57&lt;&gt;"",AF$3&gt;=$J57,AF$3&lt;=$M57),1,"")</f>
        <v/>
      </c>
      <c r="AG57">
        <f>IF(AND($A57&lt;&gt;"",AG$3&gt;=$J57,AG$3&lt;=$M57),1,"")</f>
        <v/>
      </c>
      <c r="AH57">
        <f>IF(AND($A57&lt;&gt;"",AH$3&gt;=$J57,AH$3&lt;=$M57),1,"")</f>
        <v/>
      </c>
      <c r="AI57">
        <f>IF(AND($A57&lt;&gt;"",AI$3&gt;=$J57,AI$3&lt;=$M57),1,"")</f>
        <v/>
      </c>
      <c r="AJ57">
        <f>IF(AND($A57&lt;&gt;"",AJ$3&gt;=$J57,AJ$3&lt;=$M57),1,"")</f>
        <v/>
      </c>
      <c r="AK57">
        <f>IF(AND($A57&lt;&gt;"",AK$3&gt;=$J57,AK$3&lt;=$M57),1,"")</f>
        <v/>
      </c>
      <c r="AL57">
        <f>IF(AND($A57&lt;&gt;"",AL$3&gt;=$J57,AL$3&lt;=$M57),1,"")</f>
        <v/>
      </c>
      <c r="AM57">
        <f>IF(AND($A57&lt;&gt;"",AM$3&gt;=$J57,AM$3&lt;=$M57),1,"")</f>
        <v/>
      </c>
      <c r="AN57">
        <f>IF(AND($A57&lt;&gt;"",AN$3&gt;=$J57,AN$3&lt;=$M57),1,"")</f>
        <v/>
      </c>
      <c r="AO57">
        <f>IF(AND($A57&lt;&gt;"",AO$3&gt;=$J57,AO$3&lt;=$M57),1,"")</f>
        <v/>
      </c>
      <c r="AP57">
        <f>IF(AND($A57&lt;&gt;"",AP$3&gt;=$J57,AP$3&lt;=$M57),1,"")</f>
        <v/>
      </c>
      <c r="AQ57">
        <f>IF(AND($A57&lt;&gt;"",AQ$3&gt;=$J57,AQ$3&lt;=$M57),1,"")</f>
        <v/>
      </c>
      <c r="AR57">
        <f>IF(AND($A57&lt;&gt;"",AR$3&gt;=$J57,AR$3&lt;=$M57),1,"")</f>
        <v/>
      </c>
      <c r="AS57">
        <f>IF(AND($A57&lt;&gt;"",AS$3&gt;=$J57,AS$3&lt;=$M57),1,"")</f>
        <v/>
      </c>
      <c r="AT57">
        <f>IF(AND($A57&lt;&gt;"",AT$3&gt;=$J57,AT$3&lt;=$M57),1,"")</f>
        <v/>
      </c>
      <c r="AU57">
        <f>IF(AND($A57&lt;&gt;"",AU$3&gt;=$J57,AU$3&lt;=$M57),1,"")</f>
        <v/>
      </c>
      <c r="AV57">
        <f>IF(AND($A57&lt;&gt;"",AV$3&gt;=$J57,AV$3&lt;=$M57),1,"")</f>
        <v/>
      </c>
      <c r="AW57">
        <f>IF(AND($A57&lt;&gt;"",AW$3&gt;=$J57,AW$3&lt;=$M57),1,"")</f>
        <v/>
      </c>
      <c r="AX57">
        <f>IF(AND($A57&lt;&gt;"",AX$3&gt;=$J57,AX$3&lt;=$M57),1,"")</f>
        <v/>
      </c>
      <c r="AY57">
        <f>IF(AND($A57&lt;&gt;"",AY$3&gt;=$J57,AY$3&lt;=$M57),1,"")</f>
        <v/>
      </c>
      <c r="AZ57">
        <f>IF(AND($A57&lt;&gt;"",AZ$3&gt;=$J57,AZ$3&lt;=$M57),1,"")</f>
        <v/>
      </c>
      <c r="BA57">
        <f>IF(AND($A57&lt;&gt;"",BA$3&gt;=$J57,BA$3&lt;=$M57),1,"")</f>
        <v/>
      </c>
      <c r="BB57">
        <f>IF(AND($A57&lt;&gt;"",BB$3&gt;=$J57,BB$3&lt;=$M57),1,"")</f>
        <v/>
      </c>
      <c r="BC57">
        <f>IF(AND($A57&lt;&gt;"",BC$3&gt;=$J57,BC$3&lt;=$M57),1,"")</f>
        <v/>
      </c>
      <c r="BD57">
        <f>IF(AND($A57&lt;&gt;"",BD$3&gt;=$J57,BD$3&lt;=$M57),1,"")</f>
        <v/>
      </c>
      <c r="BE57">
        <f>IF(AND($A57&lt;&gt;"",BE$3&gt;=$J57,BE$3&lt;=$M57),1,"")</f>
        <v/>
      </c>
      <c r="BF57">
        <f>IF(AND($A57&lt;&gt;"",BF$3&gt;=$J57,BF$3&lt;=$M57),1,"")</f>
        <v/>
      </c>
      <c r="BG57">
        <f>IF(AND($A57&lt;&gt;"",BG$3&gt;=$J57,BG$3&lt;=$M57),1,"")</f>
        <v/>
      </c>
      <c r="BH57">
        <f>IF(AND($A57&lt;&gt;"",BH$3&gt;=$J57,BH$3&lt;=$M57),1,"")</f>
        <v/>
      </c>
      <c r="BI57">
        <f>IF(AND($A57&lt;&gt;"",BI$3&gt;=$J57,BI$3&lt;=$M57),1,"")</f>
        <v/>
      </c>
      <c r="BJ57">
        <f>IF(AND($A57&lt;&gt;"",BJ$3&gt;=$J57,BJ$3&lt;=$M57),1,"")</f>
        <v/>
      </c>
      <c r="BK57">
        <f>IF(AND($A57&lt;&gt;"",BK$3&gt;=$J57,BK$3&lt;=$M57),1,"")</f>
        <v/>
      </c>
      <c r="BL57">
        <f>IF(AND($A57&lt;&gt;"",BL$3&gt;=$J57,BL$3&lt;=$M57),1,"")</f>
        <v/>
      </c>
      <c r="BM57">
        <f>IF(AND($A57&lt;&gt;"",BM$3&gt;=$J57,BM$3&lt;=$M57),1,"")</f>
        <v/>
      </c>
      <c r="BN57">
        <f>IF(AND($A57&lt;&gt;"",BN$3&gt;=$J57,BN$3&lt;=$M57),1,"")</f>
        <v/>
      </c>
      <c r="BO57">
        <f>IF(AND($A57&lt;&gt;"",BO$3&gt;=$J57,BO$3&lt;=$M57),1,"")</f>
        <v/>
      </c>
      <c r="BP57">
        <f>IF(AND($A57&lt;&gt;"",BP$3&gt;=$J57,BP$3&lt;=$M57),1,"")</f>
        <v/>
      </c>
      <c r="BQ57">
        <f>IF(AND($A57&lt;&gt;"",BQ$3&gt;=$J57,BQ$3&lt;=$M57),1,"")</f>
        <v/>
      </c>
      <c r="BR57">
        <f>IF(AND($A57&lt;&gt;"",BR$3&gt;=$J57,BR$3&lt;=$M57),1,"")</f>
        <v/>
      </c>
      <c r="BS57">
        <f>IF(AND($A57&lt;&gt;"",BS$3&gt;=$J57,BS$3&lt;=$M57),1,"")</f>
        <v/>
      </c>
      <c r="BT57">
        <f>IF(AND($A57&lt;&gt;"",BT$3&gt;=$J57,BT$3&lt;=$M57),1,"")</f>
        <v/>
      </c>
      <c r="BU57">
        <f>IF(AND($A57&lt;&gt;"",BU$3&gt;=$J57,BU$3&lt;=$M57),1,"")</f>
        <v/>
      </c>
      <c r="BV57">
        <f>IF(AND($A57&lt;&gt;"",BV$3&gt;=$J57,BV$3&lt;=$M57),1,"")</f>
        <v/>
      </c>
    </row>
    <row r="58">
      <c r="A58">
        <f>IF(Job_Master_Ring!$A58="","",Job_Master_Ring!$A58)</f>
        <v/>
      </c>
      <c r="B58">
        <f>IF($A58="","",Job_Master_Ring!B58)</f>
        <v/>
      </c>
      <c r="C58">
        <f>IF($A58="","",Job_Master_Ring!C58)</f>
        <v/>
      </c>
      <c r="D58">
        <f>IF($A58="","",Job_Master_Ring!D58)</f>
        <v/>
      </c>
      <c r="E58">
        <f>IF($A58="","",IF($I58&lt;&gt;"",$I58,IFERROR(INDEX(Machine_List!$B$64:$B$71,MATCH(1,(Machine_List!$H$64:$H$71&lt;=IFERROR(VLOOKUP($B58,CHOOSE(MATCH($C58,Settings!$L$4:$L$10,0),OPR_BR1!$A$4:$K$18,OPR_BR2!$A$4:$K$18,OPR_CR2!$A$4:$K$18,OPR_CR3!$A$4:$K$18,OPR_CR4!$A$4:$K$18,OPR_RIM!$A$4:$K$18,OPR_BPR!$A$4:$K$18),10,0),0))*(Machine_List!$I$64:$I$71&gt;=IFERROR(VLOOKUP($B58,CHOOSE(MATCH($C58,Settings!$L$4:$L$10,0),OPR_BR1!$A$4:$K$18,OPR_BR2!$A$4:$K$18,OPR_CR2!$A$4:$K$18,OPR_CR3!$A$4:$K$18,OPR_CR4!$A$4:$K$18,OPR_RIM!$A$4:$K$18,OPR_BPR!$A$4:$K$18),11,0),9999)),0)),"NO COMPATIBLE MACHINE")))</f>
        <v/>
      </c>
      <c r="F58">
        <f>IF($E58="","",IFERROR(VLOOKUP($E58,Machine_List!$B:$G,6,0),""))</f>
        <v/>
      </c>
      <c r="G58" s="17">
        <f>IF($E58="","",IFERROR(VLOOKUP($E58,Machine_List!$B:$C,2,0),""))</f>
        <v/>
      </c>
      <c r="H58">
        <f>IF($E58="","",IFERROR(VLOOKUP($E58,Machine_List!$B:$D,3,0),""))</f>
        <v/>
      </c>
      <c r="J58" s="16">
        <f>IF($A58="","",IF($I58&lt;&gt;"",$I58,MAX(ENG_Plan!$M58,IFERROR(LOOKUP(2,1/($E$3:INDIRECT("E"&amp;(ROW()-1))=$E58),$M$3:INDIRECT("M"&amp;(ROW()-1))),ENG_Plan!$M58))))</f>
        <v/>
      </c>
      <c r="K58">
        <f>IF($A58="","",IFERROR(VLOOKUP(B58,CHOOSE(MATCH($C58,Settings!$L$4:$L$10,0),OPR_BR1!$A$4:$I$18,OPR_BR2!$A$4:$I$18,OPR_CR2!$A$4:$I$18,OPR_CR3!$A$4:$I$18,OPR_CR4!$A$4:$I$18,OPR_RIM!$A$4:$I$18,OPR_BPR!$A$4:$I$18),7,0),0))</f>
        <v/>
      </c>
      <c r="L58">
        <f>IF($A58="","",K58*D58)</f>
        <v/>
      </c>
      <c r="M58" s="16">
        <f>IF($A58="","",IF(AND(ISNUMBER(G58),G58&gt;=J58,G58&lt;=(J58+(L58/(IF(F58="Contract Workman",Settings!$K$5,Settings!$K$4))))),J58+(L58/(IF(F58="Contract Workman",Settings!$K$5,Settings!$K$4)))+(H58/(IF(F58="Contract Workman",Settings!$K$5,Settings!$K$4))),J58+(L58/(IF(F58="Contract Workman",Settings!$K$5,Settings!$K$4)))))</f>
        <v/>
      </c>
      <c r="N58">
        <f>IF($A58="","",IF(F58="Contract Workman",IF(AND(MOD(M58,1)&gt;=8/24,MOD(M58,1)&lt;20/24),"Shift S1","Shift S2"),IF(AND(MOD(M58,1)&gt;=7/24,MOD(M58,1)&lt;15/24),"Shift A",IF(AND(MOD(M58,1)&gt;=15/24,MOD(M58,1)&lt;23/24),"Shift B","Shift C"))))</f>
        <v/>
      </c>
      <c r="O58">
        <f>IF(B58="","",IF(IFERROR(ISNUMBER(SEARCH(TEXT(B58,"0"),VLOOKUP(E58,Machine_List!$B:$J,9,0))),FALSE),"✅ "&amp; E58,"❌ Sug: "&amp;IFERROR(INDEX(Machine_List!$B$64:$B$71,MATCH(1,(Machine_List!$H$64:$H$71&lt;=IFERROR(VLOOKUP($B58,OPR_BR1!$A$4:$K$18,10,0),0))*(Machine_List!$I$64:$I$71&gt;=IFERROR(VLOOKUP($B58,OPR_BR1!$A$4:$K$18,11,0),9999)),0)),"?")))</f>
        <v/>
      </c>
      <c r="P58">
        <f>IF(AND($A58&lt;&gt;"",P$3&gt;=$J58,P$3&lt;=$M58),1,"")</f>
        <v/>
      </c>
      <c r="Q58">
        <f>IF(AND($A58&lt;&gt;"",Q$3&gt;=$J58,Q$3&lt;=$M58),1,"")</f>
        <v/>
      </c>
      <c r="R58">
        <f>IF(AND($A58&lt;&gt;"",R$3&gt;=$J58,R$3&lt;=$M58),1,"")</f>
        <v/>
      </c>
      <c r="S58">
        <f>IF(AND($A58&lt;&gt;"",S$3&gt;=$J58,S$3&lt;=$M58),1,"")</f>
        <v/>
      </c>
      <c r="T58">
        <f>IF(AND($A58&lt;&gt;"",T$3&gt;=$J58,T$3&lt;=$M58),1,"")</f>
        <v/>
      </c>
      <c r="U58">
        <f>IF(AND($A58&lt;&gt;"",U$3&gt;=$J58,U$3&lt;=$M58),1,"")</f>
        <v/>
      </c>
      <c r="V58">
        <f>IF(AND($A58&lt;&gt;"",V$3&gt;=$J58,V$3&lt;=$M58),1,"")</f>
        <v/>
      </c>
      <c r="W58">
        <f>IF(AND($A58&lt;&gt;"",W$3&gt;=$J58,W$3&lt;=$M58),1,"")</f>
        <v/>
      </c>
      <c r="X58">
        <f>IF(AND($A58&lt;&gt;"",X$3&gt;=$J58,X$3&lt;=$M58),1,"")</f>
        <v/>
      </c>
      <c r="Y58">
        <f>IF(AND($A58&lt;&gt;"",Y$3&gt;=$J58,Y$3&lt;=$M58),1,"")</f>
        <v/>
      </c>
      <c r="Z58">
        <f>IF(AND($A58&lt;&gt;"",Z$3&gt;=$J58,Z$3&lt;=$M58),1,"")</f>
        <v/>
      </c>
      <c r="AA58">
        <f>IF(AND($A58&lt;&gt;"",AA$3&gt;=$J58,AA$3&lt;=$M58),1,"")</f>
        <v/>
      </c>
      <c r="AB58">
        <f>IF(AND($A58&lt;&gt;"",AB$3&gt;=$J58,AB$3&lt;=$M58),1,"")</f>
        <v/>
      </c>
      <c r="AC58">
        <f>IF(AND($A58&lt;&gt;"",AC$3&gt;=$J58,AC$3&lt;=$M58),1,"")</f>
        <v/>
      </c>
      <c r="AD58">
        <f>IF(AND($A58&lt;&gt;"",AD$3&gt;=$J58,AD$3&lt;=$M58),1,"")</f>
        <v/>
      </c>
      <c r="AE58">
        <f>IF(AND($A58&lt;&gt;"",AE$3&gt;=$J58,AE$3&lt;=$M58),1,"")</f>
        <v/>
      </c>
      <c r="AF58">
        <f>IF(AND($A58&lt;&gt;"",AF$3&gt;=$J58,AF$3&lt;=$M58),1,"")</f>
        <v/>
      </c>
      <c r="AG58">
        <f>IF(AND($A58&lt;&gt;"",AG$3&gt;=$J58,AG$3&lt;=$M58),1,"")</f>
        <v/>
      </c>
      <c r="AH58">
        <f>IF(AND($A58&lt;&gt;"",AH$3&gt;=$J58,AH$3&lt;=$M58),1,"")</f>
        <v/>
      </c>
      <c r="AI58">
        <f>IF(AND($A58&lt;&gt;"",AI$3&gt;=$J58,AI$3&lt;=$M58),1,"")</f>
        <v/>
      </c>
      <c r="AJ58">
        <f>IF(AND($A58&lt;&gt;"",AJ$3&gt;=$J58,AJ$3&lt;=$M58),1,"")</f>
        <v/>
      </c>
      <c r="AK58">
        <f>IF(AND($A58&lt;&gt;"",AK$3&gt;=$J58,AK$3&lt;=$M58),1,"")</f>
        <v/>
      </c>
      <c r="AL58">
        <f>IF(AND($A58&lt;&gt;"",AL$3&gt;=$J58,AL$3&lt;=$M58),1,"")</f>
        <v/>
      </c>
      <c r="AM58">
        <f>IF(AND($A58&lt;&gt;"",AM$3&gt;=$J58,AM$3&lt;=$M58),1,"")</f>
        <v/>
      </c>
      <c r="AN58">
        <f>IF(AND($A58&lt;&gt;"",AN$3&gt;=$J58,AN$3&lt;=$M58),1,"")</f>
        <v/>
      </c>
      <c r="AO58">
        <f>IF(AND($A58&lt;&gt;"",AO$3&gt;=$J58,AO$3&lt;=$M58),1,"")</f>
        <v/>
      </c>
      <c r="AP58">
        <f>IF(AND($A58&lt;&gt;"",AP$3&gt;=$J58,AP$3&lt;=$M58),1,"")</f>
        <v/>
      </c>
      <c r="AQ58">
        <f>IF(AND($A58&lt;&gt;"",AQ$3&gt;=$J58,AQ$3&lt;=$M58),1,"")</f>
        <v/>
      </c>
      <c r="AR58">
        <f>IF(AND($A58&lt;&gt;"",AR$3&gt;=$J58,AR$3&lt;=$M58),1,"")</f>
        <v/>
      </c>
      <c r="AS58">
        <f>IF(AND($A58&lt;&gt;"",AS$3&gt;=$J58,AS$3&lt;=$M58),1,"")</f>
        <v/>
      </c>
      <c r="AT58">
        <f>IF(AND($A58&lt;&gt;"",AT$3&gt;=$J58,AT$3&lt;=$M58),1,"")</f>
        <v/>
      </c>
      <c r="AU58">
        <f>IF(AND($A58&lt;&gt;"",AU$3&gt;=$J58,AU$3&lt;=$M58),1,"")</f>
        <v/>
      </c>
      <c r="AV58">
        <f>IF(AND($A58&lt;&gt;"",AV$3&gt;=$J58,AV$3&lt;=$M58),1,"")</f>
        <v/>
      </c>
      <c r="AW58">
        <f>IF(AND($A58&lt;&gt;"",AW$3&gt;=$J58,AW$3&lt;=$M58),1,"")</f>
        <v/>
      </c>
      <c r="AX58">
        <f>IF(AND($A58&lt;&gt;"",AX$3&gt;=$J58,AX$3&lt;=$M58),1,"")</f>
        <v/>
      </c>
      <c r="AY58">
        <f>IF(AND($A58&lt;&gt;"",AY$3&gt;=$J58,AY$3&lt;=$M58),1,"")</f>
        <v/>
      </c>
      <c r="AZ58">
        <f>IF(AND($A58&lt;&gt;"",AZ$3&gt;=$J58,AZ$3&lt;=$M58),1,"")</f>
        <v/>
      </c>
      <c r="BA58">
        <f>IF(AND($A58&lt;&gt;"",BA$3&gt;=$J58,BA$3&lt;=$M58),1,"")</f>
        <v/>
      </c>
      <c r="BB58">
        <f>IF(AND($A58&lt;&gt;"",BB$3&gt;=$J58,BB$3&lt;=$M58),1,"")</f>
        <v/>
      </c>
      <c r="BC58">
        <f>IF(AND($A58&lt;&gt;"",BC$3&gt;=$J58,BC$3&lt;=$M58),1,"")</f>
        <v/>
      </c>
      <c r="BD58">
        <f>IF(AND($A58&lt;&gt;"",BD$3&gt;=$J58,BD$3&lt;=$M58),1,"")</f>
        <v/>
      </c>
      <c r="BE58">
        <f>IF(AND($A58&lt;&gt;"",BE$3&gt;=$J58,BE$3&lt;=$M58),1,"")</f>
        <v/>
      </c>
      <c r="BF58">
        <f>IF(AND($A58&lt;&gt;"",BF$3&gt;=$J58,BF$3&lt;=$M58),1,"")</f>
        <v/>
      </c>
      <c r="BG58">
        <f>IF(AND($A58&lt;&gt;"",BG$3&gt;=$J58,BG$3&lt;=$M58),1,"")</f>
        <v/>
      </c>
      <c r="BH58">
        <f>IF(AND($A58&lt;&gt;"",BH$3&gt;=$J58,BH$3&lt;=$M58),1,"")</f>
        <v/>
      </c>
      <c r="BI58">
        <f>IF(AND($A58&lt;&gt;"",BI$3&gt;=$J58,BI$3&lt;=$M58),1,"")</f>
        <v/>
      </c>
      <c r="BJ58">
        <f>IF(AND($A58&lt;&gt;"",BJ$3&gt;=$J58,BJ$3&lt;=$M58),1,"")</f>
        <v/>
      </c>
      <c r="BK58">
        <f>IF(AND($A58&lt;&gt;"",BK$3&gt;=$J58,BK$3&lt;=$M58),1,"")</f>
        <v/>
      </c>
      <c r="BL58">
        <f>IF(AND($A58&lt;&gt;"",BL$3&gt;=$J58,BL$3&lt;=$M58),1,"")</f>
        <v/>
      </c>
      <c r="BM58">
        <f>IF(AND($A58&lt;&gt;"",BM$3&gt;=$J58,BM$3&lt;=$M58),1,"")</f>
        <v/>
      </c>
      <c r="BN58">
        <f>IF(AND($A58&lt;&gt;"",BN$3&gt;=$J58,BN$3&lt;=$M58),1,"")</f>
        <v/>
      </c>
      <c r="BO58">
        <f>IF(AND($A58&lt;&gt;"",BO$3&gt;=$J58,BO$3&lt;=$M58),1,"")</f>
        <v/>
      </c>
      <c r="BP58">
        <f>IF(AND($A58&lt;&gt;"",BP$3&gt;=$J58,BP$3&lt;=$M58),1,"")</f>
        <v/>
      </c>
      <c r="BQ58">
        <f>IF(AND($A58&lt;&gt;"",BQ$3&gt;=$J58,BQ$3&lt;=$M58),1,"")</f>
        <v/>
      </c>
      <c r="BR58">
        <f>IF(AND($A58&lt;&gt;"",BR$3&gt;=$J58,BR$3&lt;=$M58),1,"")</f>
        <v/>
      </c>
      <c r="BS58">
        <f>IF(AND($A58&lt;&gt;"",BS$3&gt;=$J58,BS$3&lt;=$M58),1,"")</f>
        <v/>
      </c>
      <c r="BT58">
        <f>IF(AND($A58&lt;&gt;"",BT$3&gt;=$J58,BT$3&lt;=$M58),1,"")</f>
        <v/>
      </c>
      <c r="BU58">
        <f>IF(AND($A58&lt;&gt;"",BU$3&gt;=$J58,BU$3&lt;=$M58),1,"")</f>
        <v/>
      </c>
      <c r="BV58">
        <f>IF(AND($A58&lt;&gt;"",BV$3&gt;=$J58,BV$3&lt;=$M58),1,"")</f>
        <v/>
      </c>
    </row>
    <row r="59">
      <c r="A59">
        <f>IF(Job_Master_Ring!$A59="","",Job_Master_Ring!$A59)</f>
        <v/>
      </c>
      <c r="B59">
        <f>IF($A59="","",Job_Master_Ring!B59)</f>
        <v/>
      </c>
      <c r="C59">
        <f>IF($A59="","",Job_Master_Ring!C59)</f>
        <v/>
      </c>
      <c r="D59">
        <f>IF($A59="","",Job_Master_Ring!D59)</f>
        <v/>
      </c>
      <c r="E59">
        <f>IF($A59="","",IF($I59&lt;&gt;"",$I59,IFERROR(INDEX(Machine_List!$B$64:$B$71,MATCH(1,(Machine_List!$H$64:$H$71&lt;=IFERROR(VLOOKUP($B59,CHOOSE(MATCH($C59,Settings!$L$4:$L$10,0),OPR_BR1!$A$4:$K$18,OPR_BR2!$A$4:$K$18,OPR_CR2!$A$4:$K$18,OPR_CR3!$A$4:$K$18,OPR_CR4!$A$4:$K$18,OPR_RIM!$A$4:$K$18,OPR_BPR!$A$4:$K$18),10,0),0))*(Machine_List!$I$64:$I$71&gt;=IFERROR(VLOOKUP($B59,CHOOSE(MATCH($C59,Settings!$L$4:$L$10,0),OPR_BR1!$A$4:$K$18,OPR_BR2!$A$4:$K$18,OPR_CR2!$A$4:$K$18,OPR_CR3!$A$4:$K$18,OPR_CR4!$A$4:$K$18,OPR_RIM!$A$4:$K$18,OPR_BPR!$A$4:$K$18),11,0),9999)),0)),"NO COMPATIBLE MACHINE")))</f>
        <v/>
      </c>
      <c r="F59">
        <f>IF($E59="","",IFERROR(VLOOKUP($E59,Machine_List!$B:$G,6,0),""))</f>
        <v/>
      </c>
      <c r="G59" s="17">
        <f>IF($E59="","",IFERROR(VLOOKUP($E59,Machine_List!$B:$C,2,0),""))</f>
        <v/>
      </c>
      <c r="H59">
        <f>IF($E59="","",IFERROR(VLOOKUP($E59,Machine_List!$B:$D,3,0),""))</f>
        <v/>
      </c>
      <c r="J59" s="16">
        <f>IF($A59="","",IF($I59&lt;&gt;"",$I59,MAX(ENG_Plan!$M59,IFERROR(LOOKUP(2,1/($E$3:INDIRECT("E"&amp;(ROW()-1))=$E59),$M$3:INDIRECT("M"&amp;(ROW()-1))),ENG_Plan!$M59))))</f>
        <v/>
      </c>
      <c r="K59">
        <f>IF($A59="","",IFERROR(VLOOKUP(B59,CHOOSE(MATCH($C59,Settings!$L$4:$L$10,0),OPR_BR1!$A$4:$I$18,OPR_BR2!$A$4:$I$18,OPR_CR2!$A$4:$I$18,OPR_CR3!$A$4:$I$18,OPR_CR4!$A$4:$I$18,OPR_RIM!$A$4:$I$18,OPR_BPR!$A$4:$I$18),7,0),0))</f>
        <v/>
      </c>
      <c r="L59">
        <f>IF($A59="","",K59*D59)</f>
        <v/>
      </c>
      <c r="M59" s="16">
        <f>IF($A59="","",IF(AND(ISNUMBER(G59),G59&gt;=J59,G59&lt;=(J59+(L59/(IF(F59="Contract Workman",Settings!$K$5,Settings!$K$4))))),J59+(L59/(IF(F59="Contract Workman",Settings!$K$5,Settings!$K$4)))+(H59/(IF(F59="Contract Workman",Settings!$K$5,Settings!$K$4))),J59+(L59/(IF(F59="Contract Workman",Settings!$K$5,Settings!$K$4)))))</f>
        <v/>
      </c>
      <c r="N59">
        <f>IF($A59="","",IF(F59="Contract Workman",IF(AND(MOD(M59,1)&gt;=8/24,MOD(M59,1)&lt;20/24),"Shift S1","Shift S2"),IF(AND(MOD(M59,1)&gt;=7/24,MOD(M59,1)&lt;15/24),"Shift A",IF(AND(MOD(M59,1)&gt;=15/24,MOD(M59,1)&lt;23/24),"Shift B","Shift C"))))</f>
        <v/>
      </c>
      <c r="O59">
        <f>IF(B59="","",IF(IFERROR(ISNUMBER(SEARCH(TEXT(B59,"0"),VLOOKUP(E59,Machine_List!$B:$J,9,0))),FALSE),"✅ "&amp; E59,"❌ Sug: "&amp;IFERROR(INDEX(Machine_List!$B$64:$B$71,MATCH(1,(Machine_List!$H$64:$H$71&lt;=IFERROR(VLOOKUP($B59,OPR_BR1!$A$4:$K$18,10,0),0))*(Machine_List!$I$64:$I$71&gt;=IFERROR(VLOOKUP($B59,OPR_BR1!$A$4:$K$18,11,0),9999)),0)),"?")))</f>
        <v/>
      </c>
      <c r="P59">
        <f>IF(AND($A59&lt;&gt;"",P$3&gt;=$J59,P$3&lt;=$M59),1,"")</f>
        <v/>
      </c>
      <c r="Q59">
        <f>IF(AND($A59&lt;&gt;"",Q$3&gt;=$J59,Q$3&lt;=$M59),1,"")</f>
        <v/>
      </c>
      <c r="R59">
        <f>IF(AND($A59&lt;&gt;"",R$3&gt;=$J59,R$3&lt;=$M59),1,"")</f>
        <v/>
      </c>
      <c r="S59">
        <f>IF(AND($A59&lt;&gt;"",S$3&gt;=$J59,S$3&lt;=$M59),1,"")</f>
        <v/>
      </c>
      <c r="T59">
        <f>IF(AND($A59&lt;&gt;"",T$3&gt;=$J59,T$3&lt;=$M59),1,"")</f>
        <v/>
      </c>
      <c r="U59">
        <f>IF(AND($A59&lt;&gt;"",U$3&gt;=$J59,U$3&lt;=$M59),1,"")</f>
        <v/>
      </c>
      <c r="V59">
        <f>IF(AND($A59&lt;&gt;"",V$3&gt;=$J59,V$3&lt;=$M59),1,"")</f>
        <v/>
      </c>
      <c r="W59">
        <f>IF(AND($A59&lt;&gt;"",W$3&gt;=$J59,W$3&lt;=$M59),1,"")</f>
        <v/>
      </c>
      <c r="X59">
        <f>IF(AND($A59&lt;&gt;"",X$3&gt;=$J59,X$3&lt;=$M59),1,"")</f>
        <v/>
      </c>
      <c r="Y59">
        <f>IF(AND($A59&lt;&gt;"",Y$3&gt;=$J59,Y$3&lt;=$M59),1,"")</f>
        <v/>
      </c>
      <c r="Z59">
        <f>IF(AND($A59&lt;&gt;"",Z$3&gt;=$J59,Z$3&lt;=$M59),1,"")</f>
        <v/>
      </c>
      <c r="AA59">
        <f>IF(AND($A59&lt;&gt;"",AA$3&gt;=$J59,AA$3&lt;=$M59),1,"")</f>
        <v/>
      </c>
      <c r="AB59">
        <f>IF(AND($A59&lt;&gt;"",AB$3&gt;=$J59,AB$3&lt;=$M59),1,"")</f>
        <v/>
      </c>
      <c r="AC59">
        <f>IF(AND($A59&lt;&gt;"",AC$3&gt;=$J59,AC$3&lt;=$M59),1,"")</f>
        <v/>
      </c>
      <c r="AD59">
        <f>IF(AND($A59&lt;&gt;"",AD$3&gt;=$J59,AD$3&lt;=$M59),1,"")</f>
        <v/>
      </c>
      <c r="AE59">
        <f>IF(AND($A59&lt;&gt;"",AE$3&gt;=$J59,AE$3&lt;=$M59),1,"")</f>
        <v/>
      </c>
      <c r="AF59">
        <f>IF(AND($A59&lt;&gt;"",AF$3&gt;=$J59,AF$3&lt;=$M59),1,"")</f>
        <v/>
      </c>
      <c r="AG59">
        <f>IF(AND($A59&lt;&gt;"",AG$3&gt;=$J59,AG$3&lt;=$M59),1,"")</f>
        <v/>
      </c>
      <c r="AH59">
        <f>IF(AND($A59&lt;&gt;"",AH$3&gt;=$J59,AH$3&lt;=$M59),1,"")</f>
        <v/>
      </c>
      <c r="AI59">
        <f>IF(AND($A59&lt;&gt;"",AI$3&gt;=$J59,AI$3&lt;=$M59),1,"")</f>
        <v/>
      </c>
      <c r="AJ59">
        <f>IF(AND($A59&lt;&gt;"",AJ$3&gt;=$J59,AJ$3&lt;=$M59),1,"")</f>
        <v/>
      </c>
      <c r="AK59">
        <f>IF(AND($A59&lt;&gt;"",AK$3&gt;=$J59,AK$3&lt;=$M59),1,"")</f>
        <v/>
      </c>
      <c r="AL59">
        <f>IF(AND($A59&lt;&gt;"",AL$3&gt;=$J59,AL$3&lt;=$M59),1,"")</f>
        <v/>
      </c>
      <c r="AM59">
        <f>IF(AND($A59&lt;&gt;"",AM$3&gt;=$J59,AM$3&lt;=$M59),1,"")</f>
        <v/>
      </c>
      <c r="AN59">
        <f>IF(AND($A59&lt;&gt;"",AN$3&gt;=$J59,AN$3&lt;=$M59),1,"")</f>
        <v/>
      </c>
      <c r="AO59">
        <f>IF(AND($A59&lt;&gt;"",AO$3&gt;=$J59,AO$3&lt;=$M59),1,"")</f>
        <v/>
      </c>
      <c r="AP59">
        <f>IF(AND($A59&lt;&gt;"",AP$3&gt;=$J59,AP$3&lt;=$M59),1,"")</f>
        <v/>
      </c>
      <c r="AQ59">
        <f>IF(AND($A59&lt;&gt;"",AQ$3&gt;=$J59,AQ$3&lt;=$M59),1,"")</f>
        <v/>
      </c>
      <c r="AR59">
        <f>IF(AND($A59&lt;&gt;"",AR$3&gt;=$J59,AR$3&lt;=$M59),1,"")</f>
        <v/>
      </c>
      <c r="AS59">
        <f>IF(AND($A59&lt;&gt;"",AS$3&gt;=$J59,AS$3&lt;=$M59),1,"")</f>
        <v/>
      </c>
      <c r="AT59">
        <f>IF(AND($A59&lt;&gt;"",AT$3&gt;=$J59,AT$3&lt;=$M59),1,"")</f>
        <v/>
      </c>
      <c r="AU59">
        <f>IF(AND($A59&lt;&gt;"",AU$3&gt;=$J59,AU$3&lt;=$M59),1,"")</f>
        <v/>
      </c>
      <c r="AV59">
        <f>IF(AND($A59&lt;&gt;"",AV$3&gt;=$J59,AV$3&lt;=$M59),1,"")</f>
        <v/>
      </c>
      <c r="AW59">
        <f>IF(AND($A59&lt;&gt;"",AW$3&gt;=$J59,AW$3&lt;=$M59),1,"")</f>
        <v/>
      </c>
      <c r="AX59">
        <f>IF(AND($A59&lt;&gt;"",AX$3&gt;=$J59,AX$3&lt;=$M59),1,"")</f>
        <v/>
      </c>
      <c r="AY59">
        <f>IF(AND($A59&lt;&gt;"",AY$3&gt;=$J59,AY$3&lt;=$M59),1,"")</f>
        <v/>
      </c>
      <c r="AZ59">
        <f>IF(AND($A59&lt;&gt;"",AZ$3&gt;=$J59,AZ$3&lt;=$M59),1,"")</f>
        <v/>
      </c>
      <c r="BA59">
        <f>IF(AND($A59&lt;&gt;"",BA$3&gt;=$J59,BA$3&lt;=$M59),1,"")</f>
        <v/>
      </c>
      <c r="BB59">
        <f>IF(AND($A59&lt;&gt;"",BB$3&gt;=$J59,BB$3&lt;=$M59),1,"")</f>
        <v/>
      </c>
      <c r="BC59">
        <f>IF(AND($A59&lt;&gt;"",BC$3&gt;=$J59,BC$3&lt;=$M59),1,"")</f>
        <v/>
      </c>
      <c r="BD59">
        <f>IF(AND($A59&lt;&gt;"",BD$3&gt;=$J59,BD$3&lt;=$M59),1,"")</f>
        <v/>
      </c>
      <c r="BE59">
        <f>IF(AND($A59&lt;&gt;"",BE$3&gt;=$J59,BE$3&lt;=$M59),1,"")</f>
        <v/>
      </c>
      <c r="BF59">
        <f>IF(AND($A59&lt;&gt;"",BF$3&gt;=$J59,BF$3&lt;=$M59),1,"")</f>
        <v/>
      </c>
      <c r="BG59">
        <f>IF(AND($A59&lt;&gt;"",BG$3&gt;=$J59,BG$3&lt;=$M59),1,"")</f>
        <v/>
      </c>
      <c r="BH59">
        <f>IF(AND($A59&lt;&gt;"",BH$3&gt;=$J59,BH$3&lt;=$M59),1,"")</f>
        <v/>
      </c>
      <c r="BI59">
        <f>IF(AND($A59&lt;&gt;"",BI$3&gt;=$J59,BI$3&lt;=$M59),1,"")</f>
        <v/>
      </c>
      <c r="BJ59">
        <f>IF(AND($A59&lt;&gt;"",BJ$3&gt;=$J59,BJ$3&lt;=$M59),1,"")</f>
        <v/>
      </c>
      <c r="BK59">
        <f>IF(AND($A59&lt;&gt;"",BK$3&gt;=$J59,BK$3&lt;=$M59),1,"")</f>
        <v/>
      </c>
      <c r="BL59">
        <f>IF(AND($A59&lt;&gt;"",BL$3&gt;=$J59,BL$3&lt;=$M59),1,"")</f>
        <v/>
      </c>
      <c r="BM59">
        <f>IF(AND($A59&lt;&gt;"",BM$3&gt;=$J59,BM$3&lt;=$M59),1,"")</f>
        <v/>
      </c>
      <c r="BN59">
        <f>IF(AND($A59&lt;&gt;"",BN$3&gt;=$J59,BN$3&lt;=$M59),1,"")</f>
        <v/>
      </c>
      <c r="BO59">
        <f>IF(AND($A59&lt;&gt;"",BO$3&gt;=$J59,BO$3&lt;=$M59),1,"")</f>
        <v/>
      </c>
      <c r="BP59">
        <f>IF(AND($A59&lt;&gt;"",BP$3&gt;=$J59,BP$3&lt;=$M59),1,"")</f>
        <v/>
      </c>
      <c r="BQ59">
        <f>IF(AND($A59&lt;&gt;"",BQ$3&gt;=$J59,BQ$3&lt;=$M59),1,"")</f>
        <v/>
      </c>
      <c r="BR59">
        <f>IF(AND($A59&lt;&gt;"",BR$3&gt;=$J59,BR$3&lt;=$M59),1,"")</f>
        <v/>
      </c>
      <c r="BS59">
        <f>IF(AND($A59&lt;&gt;"",BS$3&gt;=$J59,BS$3&lt;=$M59),1,"")</f>
        <v/>
      </c>
      <c r="BT59">
        <f>IF(AND($A59&lt;&gt;"",BT$3&gt;=$J59,BT$3&lt;=$M59),1,"")</f>
        <v/>
      </c>
      <c r="BU59">
        <f>IF(AND($A59&lt;&gt;"",BU$3&gt;=$J59,BU$3&lt;=$M59),1,"")</f>
        <v/>
      </c>
      <c r="BV59">
        <f>IF(AND($A59&lt;&gt;"",BV$3&gt;=$J59,BV$3&lt;=$M59),1,"")</f>
        <v/>
      </c>
    </row>
    <row r="60">
      <c r="A60">
        <f>IF(Job_Master_Ring!$A60="","",Job_Master_Ring!$A60)</f>
        <v/>
      </c>
      <c r="B60">
        <f>IF($A60="","",Job_Master_Ring!B60)</f>
        <v/>
      </c>
      <c r="C60">
        <f>IF($A60="","",Job_Master_Ring!C60)</f>
        <v/>
      </c>
      <c r="D60">
        <f>IF($A60="","",Job_Master_Ring!D60)</f>
        <v/>
      </c>
      <c r="E60">
        <f>IF($A60="","",IF($I60&lt;&gt;"",$I60,IFERROR(INDEX(Machine_List!$B$64:$B$71,MATCH(1,(Machine_List!$H$64:$H$71&lt;=IFERROR(VLOOKUP($B60,CHOOSE(MATCH($C60,Settings!$L$4:$L$10,0),OPR_BR1!$A$4:$K$18,OPR_BR2!$A$4:$K$18,OPR_CR2!$A$4:$K$18,OPR_CR3!$A$4:$K$18,OPR_CR4!$A$4:$K$18,OPR_RIM!$A$4:$K$18,OPR_BPR!$A$4:$K$18),10,0),0))*(Machine_List!$I$64:$I$71&gt;=IFERROR(VLOOKUP($B60,CHOOSE(MATCH($C60,Settings!$L$4:$L$10,0),OPR_BR1!$A$4:$K$18,OPR_BR2!$A$4:$K$18,OPR_CR2!$A$4:$K$18,OPR_CR3!$A$4:$K$18,OPR_CR4!$A$4:$K$18,OPR_RIM!$A$4:$K$18,OPR_BPR!$A$4:$K$18),11,0),9999)),0)),"NO COMPATIBLE MACHINE")))</f>
        <v/>
      </c>
      <c r="F60">
        <f>IF($E60="","",IFERROR(VLOOKUP($E60,Machine_List!$B:$G,6,0),""))</f>
        <v/>
      </c>
      <c r="G60" s="17">
        <f>IF($E60="","",IFERROR(VLOOKUP($E60,Machine_List!$B:$C,2,0),""))</f>
        <v/>
      </c>
      <c r="H60">
        <f>IF($E60="","",IFERROR(VLOOKUP($E60,Machine_List!$B:$D,3,0),""))</f>
        <v/>
      </c>
      <c r="J60" s="16">
        <f>IF($A60="","",IF($I60&lt;&gt;"",$I60,MAX(ENG_Plan!$M60,IFERROR(LOOKUP(2,1/($E$3:INDIRECT("E"&amp;(ROW()-1))=$E60),$M$3:INDIRECT("M"&amp;(ROW()-1))),ENG_Plan!$M60))))</f>
        <v/>
      </c>
      <c r="K60">
        <f>IF($A60="","",IFERROR(VLOOKUP(B60,CHOOSE(MATCH($C60,Settings!$L$4:$L$10,0),OPR_BR1!$A$4:$I$18,OPR_BR2!$A$4:$I$18,OPR_CR2!$A$4:$I$18,OPR_CR3!$A$4:$I$18,OPR_CR4!$A$4:$I$18,OPR_RIM!$A$4:$I$18,OPR_BPR!$A$4:$I$18),7,0),0))</f>
        <v/>
      </c>
      <c r="L60">
        <f>IF($A60="","",K60*D60)</f>
        <v/>
      </c>
      <c r="M60" s="16">
        <f>IF($A60="","",IF(AND(ISNUMBER(G60),G60&gt;=J60,G60&lt;=(J60+(L60/(IF(F60="Contract Workman",Settings!$K$5,Settings!$K$4))))),J60+(L60/(IF(F60="Contract Workman",Settings!$K$5,Settings!$K$4)))+(H60/(IF(F60="Contract Workman",Settings!$K$5,Settings!$K$4))),J60+(L60/(IF(F60="Contract Workman",Settings!$K$5,Settings!$K$4)))))</f>
        <v/>
      </c>
      <c r="N60">
        <f>IF($A60="","",IF(F60="Contract Workman",IF(AND(MOD(M60,1)&gt;=8/24,MOD(M60,1)&lt;20/24),"Shift S1","Shift S2"),IF(AND(MOD(M60,1)&gt;=7/24,MOD(M60,1)&lt;15/24),"Shift A",IF(AND(MOD(M60,1)&gt;=15/24,MOD(M60,1)&lt;23/24),"Shift B","Shift C"))))</f>
        <v/>
      </c>
      <c r="O60">
        <f>IF(B60="","",IF(IFERROR(ISNUMBER(SEARCH(TEXT(B60,"0"),VLOOKUP(E60,Machine_List!$B:$J,9,0))),FALSE),"✅ "&amp; E60,"❌ Sug: "&amp;IFERROR(INDEX(Machine_List!$B$64:$B$71,MATCH(1,(Machine_List!$H$64:$H$71&lt;=IFERROR(VLOOKUP($B60,OPR_BR1!$A$4:$K$18,10,0),0))*(Machine_List!$I$64:$I$71&gt;=IFERROR(VLOOKUP($B60,OPR_BR1!$A$4:$K$18,11,0),9999)),0)),"?")))</f>
        <v/>
      </c>
      <c r="P60">
        <f>IF(AND($A60&lt;&gt;"",P$3&gt;=$J60,P$3&lt;=$M60),1,"")</f>
        <v/>
      </c>
      <c r="Q60">
        <f>IF(AND($A60&lt;&gt;"",Q$3&gt;=$J60,Q$3&lt;=$M60),1,"")</f>
        <v/>
      </c>
      <c r="R60">
        <f>IF(AND($A60&lt;&gt;"",R$3&gt;=$J60,R$3&lt;=$M60),1,"")</f>
        <v/>
      </c>
      <c r="S60">
        <f>IF(AND($A60&lt;&gt;"",S$3&gt;=$J60,S$3&lt;=$M60),1,"")</f>
        <v/>
      </c>
      <c r="T60">
        <f>IF(AND($A60&lt;&gt;"",T$3&gt;=$J60,T$3&lt;=$M60),1,"")</f>
        <v/>
      </c>
      <c r="U60">
        <f>IF(AND($A60&lt;&gt;"",U$3&gt;=$J60,U$3&lt;=$M60),1,"")</f>
        <v/>
      </c>
      <c r="V60">
        <f>IF(AND($A60&lt;&gt;"",V$3&gt;=$J60,V$3&lt;=$M60),1,"")</f>
        <v/>
      </c>
      <c r="W60">
        <f>IF(AND($A60&lt;&gt;"",W$3&gt;=$J60,W$3&lt;=$M60),1,"")</f>
        <v/>
      </c>
      <c r="X60">
        <f>IF(AND($A60&lt;&gt;"",X$3&gt;=$J60,X$3&lt;=$M60),1,"")</f>
        <v/>
      </c>
      <c r="Y60">
        <f>IF(AND($A60&lt;&gt;"",Y$3&gt;=$J60,Y$3&lt;=$M60),1,"")</f>
        <v/>
      </c>
      <c r="Z60">
        <f>IF(AND($A60&lt;&gt;"",Z$3&gt;=$J60,Z$3&lt;=$M60),1,"")</f>
        <v/>
      </c>
      <c r="AA60">
        <f>IF(AND($A60&lt;&gt;"",AA$3&gt;=$J60,AA$3&lt;=$M60),1,"")</f>
        <v/>
      </c>
      <c r="AB60">
        <f>IF(AND($A60&lt;&gt;"",AB$3&gt;=$J60,AB$3&lt;=$M60),1,"")</f>
        <v/>
      </c>
      <c r="AC60">
        <f>IF(AND($A60&lt;&gt;"",AC$3&gt;=$J60,AC$3&lt;=$M60),1,"")</f>
        <v/>
      </c>
      <c r="AD60">
        <f>IF(AND($A60&lt;&gt;"",AD$3&gt;=$J60,AD$3&lt;=$M60),1,"")</f>
        <v/>
      </c>
      <c r="AE60">
        <f>IF(AND($A60&lt;&gt;"",AE$3&gt;=$J60,AE$3&lt;=$M60),1,"")</f>
        <v/>
      </c>
      <c r="AF60">
        <f>IF(AND($A60&lt;&gt;"",AF$3&gt;=$J60,AF$3&lt;=$M60),1,"")</f>
        <v/>
      </c>
      <c r="AG60">
        <f>IF(AND($A60&lt;&gt;"",AG$3&gt;=$J60,AG$3&lt;=$M60),1,"")</f>
        <v/>
      </c>
      <c r="AH60">
        <f>IF(AND($A60&lt;&gt;"",AH$3&gt;=$J60,AH$3&lt;=$M60),1,"")</f>
        <v/>
      </c>
      <c r="AI60">
        <f>IF(AND($A60&lt;&gt;"",AI$3&gt;=$J60,AI$3&lt;=$M60),1,"")</f>
        <v/>
      </c>
      <c r="AJ60">
        <f>IF(AND($A60&lt;&gt;"",AJ$3&gt;=$J60,AJ$3&lt;=$M60),1,"")</f>
        <v/>
      </c>
      <c r="AK60">
        <f>IF(AND($A60&lt;&gt;"",AK$3&gt;=$J60,AK$3&lt;=$M60),1,"")</f>
        <v/>
      </c>
      <c r="AL60">
        <f>IF(AND($A60&lt;&gt;"",AL$3&gt;=$J60,AL$3&lt;=$M60),1,"")</f>
        <v/>
      </c>
      <c r="AM60">
        <f>IF(AND($A60&lt;&gt;"",AM$3&gt;=$J60,AM$3&lt;=$M60),1,"")</f>
        <v/>
      </c>
      <c r="AN60">
        <f>IF(AND($A60&lt;&gt;"",AN$3&gt;=$J60,AN$3&lt;=$M60),1,"")</f>
        <v/>
      </c>
      <c r="AO60">
        <f>IF(AND($A60&lt;&gt;"",AO$3&gt;=$J60,AO$3&lt;=$M60),1,"")</f>
        <v/>
      </c>
      <c r="AP60">
        <f>IF(AND($A60&lt;&gt;"",AP$3&gt;=$J60,AP$3&lt;=$M60),1,"")</f>
        <v/>
      </c>
      <c r="AQ60">
        <f>IF(AND($A60&lt;&gt;"",AQ$3&gt;=$J60,AQ$3&lt;=$M60),1,"")</f>
        <v/>
      </c>
      <c r="AR60">
        <f>IF(AND($A60&lt;&gt;"",AR$3&gt;=$J60,AR$3&lt;=$M60),1,"")</f>
        <v/>
      </c>
      <c r="AS60">
        <f>IF(AND($A60&lt;&gt;"",AS$3&gt;=$J60,AS$3&lt;=$M60),1,"")</f>
        <v/>
      </c>
      <c r="AT60">
        <f>IF(AND($A60&lt;&gt;"",AT$3&gt;=$J60,AT$3&lt;=$M60),1,"")</f>
        <v/>
      </c>
      <c r="AU60">
        <f>IF(AND($A60&lt;&gt;"",AU$3&gt;=$J60,AU$3&lt;=$M60),1,"")</f>
        <v/>
      </c>
      <c r="AV60">
        <f>IF(AND($A60&lt;&gt;"",AV$3&gt;=$J60,AV$3&lt;=$M60),1,"")</f>
        <v/>
      </c>
      <c r="AW60">
        <f>IF(AND($A60&lt;&gt;"",AW$3&gt;=$J60,AW$3&lt;=$M60),1,"")</f>
        <v/>
      </c>
      <c r="AX60">
        <f>IF(AND($A60&lt;&gt;"",AX$3&gt;=$J60,AX$3&lt;=$M60),1,"")</f>
        <v/>
      </c>
      <c r="AY60">
        <f>IF(AND($A60&lt;&gt;"",AY$3&gt;=$J60,AY$3&lt;=$M60),1,"")</f>
        <v/>
      </c>
      <c r="AZ60">
        <f>IF(AND($A60&lt;&gt;"",AZ$3&gt;=$J60,AZ$3&lt;=$M60),1,"")</f>
        <v/>
      </c>
      <c r="BA60">
        <f>IF(AND($A60&lt;&gt;"",BA$3&gt;=$J60,BA$3&lt;=$M60),1,"")</f>
        <v/>
      </c>
      <c r="BB60">
        <f>IF(AND($A60&lt;&gt;"",BB$3&gt;=$J60,BB$3&lt;=$M60),1,"")</f>
        <v/>
      </c>
      <c r="BC60">
        <f>IF(AND($A60&lt;&gt;"",BC$3&gt;=$J60,BC$3&lt;=$M60),1,"")</f>
        <v/>
      </c>
      <c r="BD60">
        <f>IF(AND($A60&lt;&gt;"",BD$3&gt;=$J60,BD$3&lt;=$M60),1,"")</f>
        <v/>
      </c>
      <c r="BE60">
        <f>IF(AND($A60&lt;&gt;"",BE$3&gt;=$J60,BE$3&lt;=$M60),1,"")</f>
        <v/>
      </c>
      <c r="BF60">
        <f>IF(AND($A60&lt;&gt;"",BF$3&gt;=$J60,BF$3&lt;=$M60),1,"")</f>
        <v/>
      </c>
      <c r="BG60">
        <f>IF(AND($A60&lt;&gt;"",BG$3&gt;=$J60,BG$3&lt;=$M60),1,"")</f>
        <v/>
      </c>
      <c r="BH60">
        <f>IF(AND($A60&lt;&gt;"",BH$3&gt;=$J60,BH$3&lt;=$M60),1,"")</f>
        <v/>
      </c>
      <c r="BI60">
        <f>IF(AND($A60&lt;&gt;"",BI$3&gt;=$J60,BI$3&lt;=$M60),1,"")</f>
        <v/>
      </c>
      <c r="BJ60">
        <f>IF(AND($A60&lt;&gt;"",BJ$3&gt;=$J60,BJ$3&lt;=$M60),1,"")</f>
        <v/>
      </c>
      <c r="BK60">
        <f>IF(AND($A60&lt;&gt;"",BK$3&gt;=$J60,BK$3&lt;=$M60),1,"")</f>
        <v/>
      </c>
      <c r="BL60">
        <f>IF(AND($A60&lt;&gt;"",BL$3&gt;=$J60,BL$3&lt;=$M60),1,"")</f>
        <v/>
      </c>
      <c r="BM60">
        <f>IF(AND($A60&lt;&gt;"",BM$3&gt;=$J60,BM$3&lt;=$M60),1,"")</f>
        <v/>
      </c>
      <c r="BN60">
        <f>IF(AND($A60&lt;&gt;"",BN$3&gt;=$J60,BN$3&lt;=$M60),1,"")</f>
        <v/>
      </c>
      <c r="BO60">
        <f>IF(AND($A60&lt;&gt;"",BO$3&gt;=$J60,BO$3&lt;=$M60),1,"")</f>
        <v/>
      </c>
      <c r="BP60">
        <f>IF(AND($A60&lt;&gt;"",BP$3&gt;=$J60,BP$3&lt;=$M60),1,"")</f>
        <v/>
      </c>
      <c r="BQ60">
        <f>IF(AND($A60&lt;&gt;"",BQ$3&gt;=$J60,BQ$3&lt;=$M60),1,"")</f>
        <v/>
      </c>
      <c r="BR60">
        <f>IF(AND($A60&lt;&gt;"",BR$3&gt;=$J60,BR$3&lt;=$M60),1,"")</f>
        <v/>
      </c>
      <c r="BS60">
        <f>IF(AND($A60&lt;&gt;"",BS$3&gt;=$J60,BS$3&lt;=$M60),1,"")</f>
        <v/>
      </c>
      <c r="BT60">
        <f>IF(AND($A60&lt;&gt;"",BT$3&gt;=$J60,BT$3&lt;=$M60),1,"")</f>
        <v/>
      </c>
      <c r="BU60">
        <f>IF(AND($A60&lt;&gt;"",BU$3&gt;=$J60,BU$3&lt;=$M60),1,"")</f>
        <v/>
      </c>
      <c r="BV60">
        <f>IF(AND($A60&lt;&gt;"",BV$3&gt;=$J60,BV$3&lt;=$M60),1,"")</f>
        <v/>
      </c>
    </row>
    <row r="61">
      <c r="A61">
        <f>IF(Job_Master_Ring!$A61="","",Job_Master_Ring!$A61)</f>
        <v/>
      </c>
      <c r="B61">
        <f>IF($A61="","",Job_Master_Ring!B61)</f>
        <v/>
      </c>
      <c r="C61">
        <f>IF($A61="","",Job_Master_Ring!C61)</f>
        <v/>
      </c>
      <c r="D61">
        <f>IF($A61="","",Job_Master_Ring!D61)</f>
        <v/>
      </c>
      <c r="E61">
        <f>IF($A61="","",IF($I61&lt;&gt;"",$I61,IFERROR(INDEX(Machine_List!$B$64:$B$71,MATCH(1,(Machine_List!$H$64:$H$71&lt;=IFERROR(VLOOKUP($B61,CHOOSE(MATCH($C61,Settings!$L$4:$L$10,0),OPR_BR1!$A$4:$K$18,OPR_BR2!$A$4:$K$18,OPR_CR2!$A$4:$K$18,OPR_CR3!$A$4:$K$18,OPR_CR4!$A$4:$K$18,OPR_RIM!$A$4:$K$18,OPR_BPR!$A$4:$K$18),10,0),0))*(Machine_List!$I$64:$I$71&gt;=IFERROR(VLOOKUP($B61,CHOOSE(MATCH($C61,Settings!$L$4:$L$10,0),OPR_BR1!$A$4:$K$18,OPR_BR2!$A$4:$K$18,OPR_CR2!$A$4:$K$18,OPR_CR3!$A$4:$K$18,OPR_CR4!$A$4:$K$18,OPR_RIM!$A$4:$K$18,OPR_BPR!$A$4:$K$18),11,0),9999)),0)),"NO COMPATIBLE MACHINE")))</f>
        <v/>
      </c>
      <c r="F61">
        <f>IF($E61="","",IFERROR(VLOOKUP($E61,Machine_List!$B:$G,6,0),""))</f>
        <v/>
      </c>
      <c r="G61" s="17">
        <f>IF($E61="","",IFERROR(VLOOKUP($E61,Machine_List!$B:$C,2,0),""))</f>
        <v/>
      </c>
      <c r="H61">
        <f>IF($E61="","",IFERROR(VLOOKUP($E61,Machine_List!$B:$D,3,0),""))</f>
        <v/>
      </c>
      <c r="J61" s="16">
        <f>IF($A61="","",IF($I61&lt;&gt;"",$I61,MAX(ENG_Plan!$M61,IFERROR(LOOKUP(2,1/($E$3:INDIRECT("E"&amp;(ROW()-1))=$E61),$M$3:INDIRECT("M"&amp;(ROW()-1))),ENG_Plan!$M61))))</f>
        <v/>
      </c>
      <c r="K61">
        <f>IF($A61="","",IFERROR(VLOOKUP(B61,CHOOSE(MATCH($C61,Settings!$L$4:$L$10,0),OPR_BR1!$A$4:$I$18,OPR_BR2!$A$4:$I$18,OPR_CR2!$A$4:$I$18,OPR_CR3!$A$4:$I$18,OPR_CR4!$A$4:$I$18,OPR_RIM!$A$4:$I$18,OPR_BPR!$A$4:$I$18),7,0),0))</f>
        <v/>
      </c>
      <c r="L61">
        <f>IF($A61="","",K61*D61)</f>
        <v/>
      </c>
      <c r="M61" s="16">
        <f>IF($A61="","",IF(AND(ISNUMBER(G61),G61&gt;=J61,G61&lt;=(J61+(L61/(IF(F61="Contract Workman",Settings!$K$5,Settings!$K$4))))),J61+(L61/(IF(F61="Contract Workman",Settings!$K$5,Settings!$K$4)))+(H61/(IF(F61="Contract Workman",Settings!$K$5,Settings!$K$4))),J61+(L61/(IF(F61="Contract Workman",Settings!$K$5,Settings!$K$4)))))</f>
        <v/>
      </c>
      <c r="N61">
        <f>IF($A61="","",IF(F61="Contract Workman",IF(AND(MOD(M61,1)&gt;=8/24,MOD(M61,1)&lt;20/24),"Shift S1","Shift S2"),IF(AND(MOD(M61,1)&gt;=7/24,MOD(M61,1)&lt;15/24),"Shift A",IF(AND(MOD(M61,1)&gt;=15/24,MOD(M61,1)&lt;23/24),"Shift B","Shift C"))))</f>
        <v/>
      </c>
      <c r="O61">
        <f>IF(B61="","",IF(IFERROR(ISNUMBER(SEARCH(TEXT(B61,"0"),VLOOKUP(E61,Machine_List!$B:$J,9,0))),FALSE),"✅ "&amp; E61,"❌ Sug: "&amp;IFERROR(INDEX(Machine_List!$B$64:$B$71,MATCH(1,(Machine_List!$H$64:$H$71&lt;=IFERROR(VLOOKUP($B61,OPR_BR1!$A$4:$K$18,10,0),0))*(Machine_List!$I$64:$I$71&gt;=IFERROR(VLOOKUP($B61,OPR_BR1!$A$4:$K$18,11,0),9999)),0)),"?")))</f>
        <v/>
      </c>
      <c r="P61">
        <f>IF(AND($A61&lt;&gt;"",P$3&gt;=$J61,P$3&lt;=$M61),1,"")</f>
        <v/>
      </c>
      <c r="Q61">
        <f>IF(AND($A61&lt;&gt;"",Q$3&gt;=$J61,Q$3&lt;=$M61),1,"")</f>
        <v/>
      </c>
      <c r="R61">
        <f>IF(AND($A61&lt;&gt;"",R$3&gt;=$J61,R$3&lt;=$M61),1,"")</f>
        <v/>
      </c>
      <c r="S61">
        <f>IF(AND($A61&lt;&gt;"",S$3&gt;=$J61,S$3&lt;=$M61),1,"")</f>
        <v/>
      </c>
      <c r="T61">
        <f>IF(AND($A61&lt;&gt;"",T$3&gt;=$J61,T$3&lt;=$M61),1,"")</f>
        <v/>
      </c>
      <c r="U61">
        <f>IF(AND($A61&lt;&gt;"",U$3&gt;=$J61,U$3&lt;=$M61),1,"")</f>
        <v/>
      </c>
      <c r="V61">
        <f>IF(AND($A61&lt;&gt;"",V$3&gt;=$J61,V$3&lt;=$M61),1,"")</f>
        <v/>
      </c>
      <c r="W61">
        <f>IF(AND($A61&lt;&gt;"",W$3&gt;=$J61,W$3&lt;=$M61),1,"")</f>
        <v/>
      </c>
      <c r="X61">
        <f>IF(AND($A61&lt;&gt;"",X$3&gt;=$J61,X$3&lt;=$M61),1,"")</f>
        <v/>
      </c>
      <c r="Y61">
        <f>IF(AND($A61&lt;&gt;"",Y$3&gt;=$J61,Y$3&lt;=$M61),1,"")</f>
        <v/>
      </c>
      <c r="Z61">
        <f>IF(AND($A61&lt;&gt;"",Z$3&gt;=$J61,Z$3&lt;=$M61),1,"")</f>
        <v/>
      </c>
      <c r="AA61">
        <f>IF(AND($A61&lt;&gt;"",AA$3&gt;=$J61,AA$3&lt;=$M61),1,"")</f>
        <v/>
      </c>
      <c r="AB61">
        <f>IF(AND($A61&lt;&gt;"",AB$3&gt;=$J61,AB$3&lt;=$M61),1,"")</f>
        <v/>
      </c>
      <c r="AC61">
        <f>IF(AND($A61&lt;&gt;"",AC$3&gt;=$J61,AC$3&lt;=$M61),1,"")</f>
        <v/>
      </c>
      <c r="AD61">
        <f>IF(AND($A61&lt;&gt;"",AD$3&gt;=$J61,AD$3&lt;=$M61),1,"")</f>
        <v/>
      </c>
      <c r="AE61">
        <f>IF(AND($A61&lt;&gt;"",AE$3&gt;=$J61,AE$3&lt;=$M61),1,"")</f>
        <v/>
      </c>
      <c r="AF61">
        <f>IF(AND($A61&lt;&gt;"",AF$3&gt;=$J61,AF$3&lt;=$M61),1,"")</f>
        <v/>
      </c>
      <c r="AG61">
        <f>IF(AND($A61&lt;&gt;"",AG$3&gt;=$J61,AG$3&lt;=$M61),1,"")</f>
        <v/>
      </c>
      <c r="AH61">
        <f>IF(AND($A61&lt;&gt;"",AH$3&gt;=$J61,AH$3&lt;=$M61),1,"")</f>
        <v/>
      </c>
      <c r="AI61">
        <f>IF(AND($A61&lt;&gt;"",AI$3&gt;=$J61,AI$3&lt;=$M61),1,"")</f>
        <v/>
      </c>
      <c r="AJ61">
        <f>IF(AND($A61&lt;&gt;"",AJ$3&gt;=$J61,AJ$3&lt;=$M61),1,"")</f>
        <v/>
      </c>
      <c r="AK61">
        <f>IF(AND($A61&lt;&gt;"",AK$3&gt;=$J61,AK$3&lt;=$M61),1,"")</f>
        <v/>
      </c>
      <c r="AL61">
        <f>IF(AND($A61&lt;&gt;"",AL$3&gt;=$J61,AL$3&lt;=$M61),1,"")</f>
        <v/>
      </c>
      <c r="AM61">
        <f>IF(AND($A61&lt;&gt;"",AM$3&gt;=$J61,AM$3&lt;=$M61),1,"")</f>
        <v/>
      </c>
      <c r="AN61">
        <f>IF(AND($A61&lt;&gt;"",AN$3&gt;=$J61,AN$3&lt;=$M61),1,"")</f>
        <v/>
      </c>
      <c r="AO61">
        <f>IF(AND($A61&lt;&gt;"",AO$3&gt;=$J61,AO$3&lt;=$M61),1,"")</f>
        <v/>
      </c>
      <c r="AP61">
        <f>IF(AND($A61&lt;&gt;"",AP$3&gt;=$J61,AP$3&lt;=$M61),1,"")</f>
        <v/>
      </c>
      <c r="AQ61">
        <f>IF(AND($A61&lt;&gt;"",AQ$3&gt;=$J61,AQ$3&lt;=$M61),1,"")</f>
        <v/>
      </c>
      <c r="AR61">
        <f>IF(AND($A61&lt;&gt;"",AR$3&gt;=$J61,AR$3&lt;=$M61),1,"")</f>
        <v/>
      </c>
      <c r="AS61">
        <f>IF(AND($A61&lt;&gt;"",AS$3&gt;=$J61,AS$3&lt;=$M61),1,"")</f>
        <v/>
      </c>
      <c r="AT61">
        <f>IF(AND($A61&lt;&gt;"",AT$3&gt;=$J61,AT$3&lt;=$M61),1,"")</f>
        <v/>
      </c>
      <c r="AU61">
        <f>IF(AND($A61&lt;&gt;"",AU$3&gt;=$J61,AU$3&lt;=$M61),1,"")</f>
        <v/>
      </c>
      <c r="AV61">
        <f>IF(AND($A61&lt;&gt;"",AV$3&gt;=$J61,AV$3&lt;=$M61),1,"")</f>
        <v/>
      </c>
      <c r="AW61">
        <f>IF(AND($A61&lt;&gt;"",AW$3&gt;=$J61,AW$3&lt;=$M61),1,"")</f>
        <v/>
      </c>
      <c r="AX61">
        <f>IF(AND($A61&lt;&gt;"",AX$3&gt;=$J61,AX$3&lt;=$M61),1,"")</f>
        <v/>
      </c>
      <c r="AY61">
        <f>IF(AND($A61&lt;&gt;"",AY$3&gt;=$J61,AY$3&lt;=$M61),1,"")</f>
        <v/>
      </c>
      <c r="AZ61">
        <f>IF(AND($A61&lt;&gt;"",AZ$3&gt;=$J61,AZ$3&lt;=$M61),1,"")</f>
        <v/>
      </c>
      <c r="BA61">
        <f>IF(AND($A61&lt;&gt;"",BA$3&gt;=$J61,BA$3&lt;=$M61),1,"")</f>
        <v/>
      </c>
      <c r="BB61">
        <f>IF(AND($A61&lt;&gt;"",BB$3&gt;=$J61,BB$3&lt;=$M61),1,"")</f>
        <v/>
      </c>
      <c r="BC61">
        <f>IF(AND($A61&lt;&gt;"",BC$3&gt;=$J61,BC$3&lt;=$M61),1,"")</f>
        <v/>
      </c>
      <c r="BD61">
        <f>IF(AND($A61&lt;&gt;"",BD$3&gt;=$J61,BD$3&lt;=$M61),1,"")</f>
        <v/>
      </c>
      <c r="BE61">
        <f>IF(AND($A61&lt;&gt;"",BE$3&gt;=$J61,BE$3&lt;=$M61),1,"")</f>
        <v/>
      </c>
      <c r="BF61">
        <f>IF(AND($A61&lt;&gt;"",BF$3&gt;=$J61,BF$3&lt;=$M61),1,"")</f>
        <v/>
      </c>
      <c r="BG61">
        <f>IF(AND($A61&lt;&gt;"",BG$3&gt;=$J61,BG$3&lt;=$M61),1,"")</f>
        <v/>
      </c>
      <c r="BH61">
        <f>IF(AND($A61&lt;&gt;"",BH$3&gt;=$J61,BH$3&lt;=$M61),1,"")</f>
        <v/>
      </c>
      <c r="BI61">
        <f>IF(AND($A61&lt;&gt;"",BI$3&gt;=$J61,BI$3&lt;=$M61),1,"")</f>
        <v/>
      </c>
      <c r="BJ61">
        <f>IF(AND($A61&lt;&gt;"",BJ$3&gt;=$J61,BJ$3&lt;=$M61),1,"")</f>
        <v/>
      </c>
      <c r="BK61">
        <f>IF(AND($A61&lt;&gt;"",BK$3&gt;=$J61,BK$3&lt;=$M61),1,"")</f>
        <v/>
      </c>
      <c r="BL61">
        <f>IF(AND($A61&lt;&gt;"",BL$3&gt;=$J61,BL$3&lt;=$M61),1,"")</f>
        <v/>
      </c>
      <c r="BM61">
        <f>IF(AND($A61&lt;&gt;"",BM$3&gt;=$J61,BM$3&lt;=$M61),1,"")</f>
        <v/>
      </c>
      <c r="BN61">
        <f>IF(AND($A61&lt;&gt;"",BN$3&gt;=$J61,BN$3&lt;=$M61),1,"")</f>
        <v/>
      </c>
      <c r="BO61">
        <f>IF(AND($A61&lt;&gt;"",BO$3&gt;=$J61,BO$3&lt;=$M61),1,"")</f>
        <v/>
      </c>
      <c r="BP61">
        <f>IF(AND($A61&lt;&gt;"",BP$3&gt;=$J61,BP$3&lt;=$M61),1,"")</f>
        <v/>
      </c>
      <c r="BQ61">
        <f>IF(AND($A61&lt;&gt;"",BQ$3&gt;=$J61,BQ$3&lt;=$M61),1,"")</f>
        <v/>
      </c>
      <c r="BR61">
        <f>IF(AND($A61&lt;&gt;"",BR$3&gt;=$J61,BR$3&lt;=$M61),1,"")</f>
        <v/>
      </c>
      <c r="BS61">
        <f>IF(AND($A61&lt;&gt;"",BS$3&gt;=$J61,BS$3&lt;=$M61),1,"")</f>
        <v/>
      </c>
      <c r="BT61">
        <f>IF(AND($A61&lt;&gt;"",BT$3&gt;=$J61,BT$3&lt;=$M61),1,"")</f>
        <v/>
      </c>
      <c r="BU61">
        <f>IF(AND($A61&lt;&gt;"",BU$3&gt;=$J61,BU$3&lt;=$M61),1,"")</f>
        <v/>
      </c>
      <c r="BV61">
        <f>IF(AND($A61&lt;&gt;"",BV$3&gt;=$J61,BV$3&lt;=$M61),1,"")</f>
        <v/>
      </c>
    </row>
    <row r="62">
      <c r="A62">
        <f>IF(Job_Master_Ring!$A62="","",Job_Master_Ring!$A62)</f>
        <v/>
      </c>
      <c r="B62">
        <f>IF($A62="","",Job_Master_Ring!B62)</f>
        <v/>
      </c>
      <c r="C62">
        <f>IF($A62="","",Job_Master_Ring!C62)</f>
        <v/>
      </c>
      <c r="D62">
        <f>IF($A62="","",Job_Master_Ring!D62)</f>
        <v/>
      </c>
      <c r="E62">
        <f>IF($A62="","",IF($I62&lt;&gt;"",$I62,IFERROR(INDEX(Machine_List!$B$64:$B$71,MATCH(1,(Machine_List!$H$64:$H$71&lt;=IFERROR(VLOOKUP($B62,CHOOSE(MATCH($C62,Settings!$L$4:$L$10,0),OPR_BR1!$A$4:$K$18,OPR_BR2!$A$4:$K$18,OPR_CR2!$A$4:$K$18,OPR_CR3!$A$4:$K$18,OPR_CR4!$A$4:$K$18,OPR_RIM!$A$4:$K$18,OPR_BPR!$A$4:$K$18),10,0),0))*(Machine_List!$I$64:$I$71&gt;=IFERROR(VLOOKUP($B62,CHOOSE(MATCH($C62,Settings!$L$4:$L$10,0),OPR_BR1!$A$4:$K$18,OPR_BR2!$A$4:$K$18,OPR_CR2!$A$4:$K$18,OPR_CR3!$A$4:$K$18,OPR_CR4!$A$4:$K$18,OPR_RIM!$A$4:$K$18,OPR_BPR!$A$4:$K$18),11,0),9999)),0)),"NO COMPATIBLE MACHINE")))</f>
        <v/>
      </c>
      <c r="F62">
        <f>IF($E62="","",IFERROR(VLOOKUP($E62,Machine_List!$B:$G,6,0),""))</f>
        <v/>
      </c>
      <c r="G62" s="17">
        <f>IF($E62="","",IFERROR(VLOOKUP($E62,Machine_List!$B:$C,2,0),""))</f>
        <v/>
      </c>
      <c r="H62">
        <f>IF($E62="","",IFERROR(VLOOKUP($E62,Machine_List!$B:$D,3,0),""))</f>
        <v/>
      </c>
      <c r="J62" s="16">
        <f>IF($A62="","",IF($I62&lt;&gt;"",$I62,MAX(ENG_Plan!$M62,IFERROR(LOOKUP(2,1/($E$3:INDIRECT("E"&amp;(ROW()-1))=$E62),$M$3:INDIRECT("M"&amp;(ROW()-1))),ENG_Plan!$M62))))</f>
        <v/>
      </c>
      <c r="K62">
        <f>IF($A62="","",IFERROR(VLOOKUP(B62,CHOOSE(MATCH($C62,Settings!$L$4:$L$10,0),OPR_BR1!$A$4:$I$18,OPR_BR2!$A$4:$I$18,OPR_CR2!$A$4:$I$18,OPR_CR3!$A$4:$I$18,OPR_CR4!$A$4:$I$18,OPR_RIM!$A$4:$I$18,OPR_BPR!$A$4:$I$18),7,0),0))</f>
        <v/>
      </c>
      <c r="L62">
        <f>IF($A62="","",K62*D62)</f>
        <v/>
      </c>
      <c r="M62" s="16">
        <f>IF($A62="","",IF(AND(ISNUMBER(G62),G62&gt;=J62,G62&lt;=(J62+(L62/(IF(F62="Contract Workman",Settings!$K$5,Settings!$K$4))))),J62+(L62/(IF(F62="Contract Workman",Settings!$K$5,Settings!$K$4)))+(H62/(IF(F62="Contract Workman",Settings!$K$5,Settings!$K$4))),J62+(L62/(IF(F62="Contract Workman",Settings!$K$5,Settings!$K$4)))))</f>
        <v/>
      </c>
      <c r="N62">
        <f>IF($A62="","",IF(F62="Contract Workman",IF(AND(MOD(M62,1)&gt;=8/24,MOD(M62,1)&lt;20/24),"Shift S1","Shift S2"),IF(AND(MOD(M62,1)&gt;=7/24,MOD(M62,1)&lt;15/24),"Shift A",IF(AND(MOD(M62,1)&gt;=15/24,MOD(M62,1)&lt;23/24),"Shift B","Shift C"))))</f>
        <v/>
      </c>
      <c r="O62">
        <f>IF(B62="","",IF(IFERROR(ISNUMBER(SEARCH(TEXT(B62,"0"),VLOOKUP(E62,Machine_List!$B:$J,9,0))),FALSE),"✅ "&amp; E62,"❌ Sug: "&amp;IFERROR(INDEX(Machine_List!$B$64:$B$71,MATCH(1,(Machine_List!$H$64:$H$71&lt;=IFERROR(VLOOKUP($B62,OPR_BR1!$A$4:$K$18,10,0),0))*(Machine_List!$I$64:$I$71&gt;=IFERROR(VLOOKUP($B62,OPR_BR1!$A$4:$K$18,11,0),9999)),0)),"?")))</f>
        <v/>
      </c>
      <c r="P62">
        <f>IF(AND($A62&lt;&gt;"",P$3&gt;=$J62,P$3&lt;=$M62),1,"")</f>
        <v/>
      </c>
      <c r="Q62">
        <f>IF(AND($A62&lt;&gt;"",Q$3&gt;=$J62,Q$3&lt;=$M62),1,"")</f>
        <v/>
      </c>
      <c r="R62">
        <f>IF(AND($A62&lt;&gt;"",R$3&gt;=$J62,R$3&lt;=$M62),1,"")</f>
        <v/>
      </c>
      <c r="S62">
        <f>IF(AND($A62&lt;&gt;"",S$3&gt;=$J62,S$3&lt;=$M62),1,"")</f>
        <v/>
      </c>
      <c r="T62">
        <f>IF(AND($A62&lt;&gt;"",T$3&gt;=$J62,T$3&lt;=$M62),1,"")</f>
        <v/>
      </c>
      <c r="U62">
        <f>IF(AND($A62&lt;&gt;"",U$3&gt;=$J62,U$3&lt;=$M62),1,"")</f>
        <v/>
      </c>
      <c r="V62">
        <f>IF(AND($A62&lt;&gt;"",V$3&gt;=$J62,V$3&lt;=$M62),1,"")</f>
        <v/>
      </c>
      <c r="W62">
        <f>IF(AND($A62&lt;&gt;"",W$3&gt;=$J62,W$3&lt;=$M62),1,"")</f>
        <v/>
      </c>
      <c r="X62">
        <f>IF(AND($A62&lt;&gt;"",X$3&gt;=$J62,X$3&lt;=$M62),1,"")</f>
        <v/>
      </c>
      <c r="Y62">
        <f>IF(AND($A62&lt;&gt;"",Y$3&gt;=$J62,Y$3&lt;=$M62),1,"")</f>
        <v/>
      </c>
      <c r="Z62">
        <f>IF(AND($A62&lt;&gt;"",Z$3&gt;=$J62,Z$3&lt;=$M62),1,"")</f>
        <v/>
      </c>
      <c r="AA62">
        <f>IF(AND($A62&lt;&gt;"",AA$3&gt;=$J62,AA$3&lt;=$M62),1,"")</f>
        <v/>
      </c>
      <c r="AB62">
        <f>IF(AND($A62&lt;&gt;"",AB$3&gt;=$J62,AB$3&lt;=$M62),1,"")</f>
        <v/>
      </c>
      <c r="AC62">
        <f>IF(AND($A62&lt;&gt;"",AC$3&gt;=$J62,AC$3&lt;=$M62),1,"")</f>
        <v/>
      </c>
      <c r="AD62">
        <f>IF(AND($A62&lt;&gt;"",AD$3&gt;=$J62,AD$3&lt;=$M62),1,"")</f>
        <v/>
      </c>
      <c r="AE62">
        <f>IF(AND($A62&lt;&gt;"",AE$3&gt;=$J62,AE$3&lt;=$M62),1,"")</f>
        <v/>
      </c>
      <c r="AF62">
        <f>IF(AND($A62&lt;&gt;"",AF$3&gt;=$J62,AF$3&lt;=$M62),1,"")</f>
        <v/>
      </c>
      <c r="AG62">
        <f>IF(AND($A62&lt;&gt;"",AG$3&gt;=$J62,AG$3&lt;=$M62),1,"")</f>
        <v/>
      </c>
      <c r="AH62">
        <f>IF(AND($A62&lt;&gt;"",AH$3&gt;=$J62,AH$3&lt;=$M62),1,"")</f>
        <v/>
      </c>
      <c r="AI62">
        <f>IF(AND($A62&lt;&gt;"",AI$3&gt;=$J62,AI$3&lt;=$M62),1,"")</f>
        <v/>
      </c>
      <c r="AJ62">
        <f>IF(AND($A62&lt;&gt;"",AJ$3&gt;=$J62,AJ$3&lt;=$M62),1,"")</f>
        <v/>
      </c>
      <c r="AK62">
        <f>IF(AND($A62&lt;&gt;"",AK$3&gt;=$J62,AK$3&lt;=$M62),1,"")</f>
        <v/>
      </c>
      <c r="AL62">
        <f>IF(AND($A62&lt;&gt;"",AL$3&gt;=$J62,AL$3&lt;=$M62),1,"")</f>
        <v/>
      </c>
      <c r="AM62">
        <f>IF(AND($A62&lt;&gt;"",AM$3&gt;=$J62,AM$3&lt;=$M62),1,"")</f>
        <v/>
      </c>
      <c r="AN62">
        <f>IF(AND($A62&lt;&gt;"",AN$3&gt;=$J62,AN$3&lt;=$M62),1,"")</f>
        <v/>
      </c>
      <c r="AO62">
        <f>IF(AND($A62&lt;&gt;"",AO$3&gt;=$J62,AO$3&lt;=$M62),1,"")</f>
        <v/>
      </c>
      <c r="AP62">
        <f>IF(AND($A62&lt;&gt;"",AP$3&gt;=$J62,AP$3&lt;=$M62),1,"")</f>
        <v/>
      </c>
      <c r="AQ62">
        <f>IF(AND($A62&lt;&gt;"",AQ$3&gt;=$J62,AQ$3&lt;=$M62),1,"")</f>
        <v/>
      </c>
      <c r="AR62">
        <f>IF(AND($A62&lt;&gt;"",AR$3&gt;=$J62,AR$3&lt;=$M62),1,"")</f>
        <v/>
      </c>
      <c r="AS62">
        <f>IF(AND($A62&lt;&gt;"",AS$3&gt;=$J62,AS$3&lt;=$M62),1,"")</f>
        <v/>
      </c>
      <c r="AT62">
        <f>IF(AND($A62&lt;&gt;"",AT$3&gt;=$J62,AT$3&lt;=$M62),1,"")</f>
        <v/>
      </c>
      <c r="AU62">
        <f>IF(AND($A62&lt;&gt;"",AU$3&gt;=$J62,AU$3&lt;=$M62),1,"")</f>
        <v/>
      </c>
      <c r="AV62">
        <f>IF(AND($A62&lt;&gt;"",AV$3&gt;=$J62,AV$3&lt;=$M62),1,"")</f>
        <v/>
      </c>
      <c r="AW62">
        <f>IF(AND($A62&lt;&gt;"",AW$3&gt;=$J62,AW$3&lt;=$M62),1,"")</f>
        <v/>
      </c>
      <c r="AX62">
        <f>IF(AND($A62&lt;&gt;"",AX$3&gt;=$J62,AX$3&lt;=$M62),1,"")</f>
        <v/>
      </c>
      <c r="AY62">
        <f>IF(AND($A62&lt;&gt;"",AY$3&gt;=$J62,AY$3&lt;=$M62),1,"")</f>
        <v/>
      </c>
      <c r="AZ62">
        <f>IF(AND($A62&lt;&gt;"",AZ$3&gt;=$J62,AZ$3&lt;=$M62),1,"")</f>
        <v/>
      </c>
      <c r="BA62">
        <f>IF(AND($A62&lt;&gt;"",BA$3&gt;=$J62,BA$3&lt;=$M62),1,"")</f>
        <v/>
      </c>
      <c r="BB62">
        <f>IF(AND($A62&lt;&gt;"",BB$3&gt;=$J62,BB$3&lt;=$M62),1,"")</f>
        <v/>
      </c>
      <c r="BC62">
        <f>IF(AND($A62&lt;&gt;"",BC$3&gt;=$J62,BC$3&lt;=$M62),1,"")</f>
        <v/>
      </c>
      <c r="BD62">
        <f>IF(AND($A62&lt;&gt;"",BD$3&gt;=$J62,BD$3&lt;=$M62),1,"")</f>
        <v/>
      </c>
      <c r="BE62">
        <f>IF(AND($A62&lt;&gt;"",BE$3&gt;=$J62,BE$3&lt;=$M62),1,"")</f>
        <v/>
      </c>
      <c r="BF62">
        <f>IF(AND($A62&lt;&gt;"",BF$3&gt;=$J62,BF$3&lt;=$M62),1,"")</f>
        <v/>
      </c>
      <c r="BG62">
        <f>IF(AND($A62&lt;&gt;"",BG$3&gt;=$J62,BG$3&lt;=$M62),1,"")</f>
        <v/>
      </c>
      <c r="BH62">
        <f>IF(AND($A62&lt;&gt;"",BH$3&gt;=$J62,BH$3&lt;=$M62),1,"")</f>
        <v/>
      </c>
      <c r="BI62">
        <f>IF(AND($A62&lt;&gt;"",BI$3&gt;=$J62,BI$3&lt;=$M62),1,"")</f>
        <v/>
      </c>
      <c r="BJ62">
        <f>IF(AND($A62&lt;&gt;"",BJ$3&gt;=$J62,BJ$3&lt;=$M62),1,"")</f>
        <v/>
      </c>
      <c r="BK62">
        <f>IF(AND($A62&lt;&gt;"",BK$3&gt;=$J62,BK$3&lt;=$M62),1,"")</f>
        <v/>
      </c>
      <c r="BL62">
        <f>IF(AND($A62&lt;&gt;"",BL$3&gt;=$J62,BL$3&lt;=$M62),1,"")</f>
        <v/>
      </c>
      <c r="BM62">
        <f>IF(AND($A62&lt;&gt;"",BM$3&gt;=$J62,BM$3&lt;=$M62),1,"")</f>
        <v/>
      </c>
      <c r="BN62">
        <f>IF(AND($A62&lt;&gt;"",BN$3&gt;=$J62,BN$3&lt;=$M62),1,"")</f>
        <v/>
      </c>
      <c r="BO62">
        <f>IF(AND($A62&lt;&gt;"",BO$3&gt;=$J62,BO$3&lt;=$M62),1,"")</f>
        <v/>
      </c>
      <c r="BP62">
        <f>IF(AND($A62&lt;&gt;"",BP$3&gt;=$J62,BP$3&lt;=$M62),1,"")</f>
        <v/>
      </c>
      <c r="BQ62">
        <f>IF(AND($A62&lt;&gt;"",BQ$3&gt;=$J62,BQ$3&lt;=$M62),1,"")</f>
        <v/>
      </c>
      <c r="BR62">
        <f>IF(AND($A62&lt;&gt;"",BR$3&gt;=$J62,BR$3&lt;=$M62),1,"")</f>
        <v/>
      </c>
      <c r="BS62">
        <f>IF(AND($A62&lt;&gt;"",BS$3&gt;=$J62,BS$3&lt;=$M62),1,"")</f>
        <v/>
      </c>
      <c r="BT62">
        <f>IF(AND($A62&lt;&gt;"",BT$3&gt;=$J62,BT$3&lt;=$M62),1,"")</f>
        <v/>
      </c>
      <c r="BU62">
        <f>IF(AND($A62&lt;&gt;"",BU$3&gt;=$J62,BU$3&lt;=$M62),1,"")</f>
        <v/>
      </c>
      <c r="BV62">
        <f>IF(AND($A62&lt;&gt;"",BV$3&gt;=$J62,BV$3&lt;=$M62),1,"")</f>
        <v/>
      </c>
    </row>
    <row r="63">
      <c r="A63">
        <f>IF(Job_Master_Ring!$A63="","",Job_Master_Ring!$A63)</f>
        <v/>
      </c>
      <c r="B63">
        <f>IF($A63="","",Job_Master_Ring!B63)</f>
        <v/>
      </c>
      <c r="C63">
        <f>IF($A63="","",Job_Master_Ring!C63)</f>
        <v/>
      </c>
      <c r="D63">
        <f>IF($A63="","",Job_Master_Ring!D63)</f>
        <v/>
      </c>
      <c r="E63">
        <f>IF($A63="","",IF($I63&lt;&gt;"",$I63,IFERROR(INDEX(Machine_List!$B$64:$B$71,MATCH(1,(Machine_List!$H$64:$H$71&lt;=IFERROR(VLOOKUP($B63,CHOOSE(MATCH($C63,Settings!$L$4:$L$10,0),OPR_BR1!$A$4:$K$18,OPR_BR2!$A$4:$K$18,OPR_CR2!$A$4:$K$18,OPR_CR3!$A$4:$K$18,OPR_CR4!$A$4:$K$18,OPR_RIM!$A$4:$K$18,OPR_BPR!$A$4:$K$18),10,0),0))*(Machine_List!$I$64:$I$71&gt;=IFERROR(VLOOKUP($B63,CHOOSE(MATCH($C63,Settings!$L$4:$L$10,0),OPR_BR1!$A$4:$K$18,OPR_BR2!$A$4:$K$18,OPR_CR2!$A$4:$K$18,OPR_CR3!$A$4:$K$18,OPR_CR4!$A$4:$K$18,OPR_RIM!$A$4:$K$18,OPR_BPR!$A$4:$K$18),11,0),9999)),0)),"NO COMPATIBLE MACHINE")))</f>
        <v/>
      </c>
      <c r="F63">
        <f>IF($E63="","",IFERROR(VLOOKUP($E63,Machine_List!$B:$G,6,0),""))</f>
        <v/>
      </c>
      <c r="G63" s="17">
        <f>IF($E63="","",IFERROR(VLOOKUP($E63,Machine_List!$B:$C,2,0),""))</f>
        <v/>
      </c>
      <c r="H63">
        <f>IF($E63="","",IFERROR(VLOOKUP($E63,Machine_List!$B:$D,3,0),""))</f>
        <v/>
      </c>
      <c r="J63" s="16">
        <f>IF($A63="","",IF($I63&lt;&gt;"",$I63,MAX(ENG_Plan!$M63,IFERROR(LOOKUP(2,1/($E$3:INDIRECT("E"&amp;(ROW()-1))=$E63),$M$3:INDIRECT("M"&amp;(ROW()-1))),ENG_Plan!$M63))))</f>
        <v/>
      </c>
      <c r="K63">
        <f>IF($A63="","",IFERROR(VLOOKUP(B63,CHOOSE(MATCH($C63,Settings!$L$4:$L$10,0),OPR_BR1!$A$4:$I$18,OPR_BR2!$A$4:$I$18,OPR_CR2!$A$4:$I$18,OPR_CR3!$A$4:$I$18,OPR_CR4!$A$4:$I$18,OPR_RIM!$A$4:$I$18,OPR_BPR!$A$4:$I$18),7,0),0))</f>
        <v/>
      </c>
      <c r="L63">
        <f>IF($A63="","",K63*D63)</f>
        <v/>
      </c>
      <c r="M63" s="16">
        <f>IF($A63="","",IF(AND(ISNUMBER(G63),G63&gt;=J63,G63&lt;=(J63+(L63/(IF(F63="Contract Workman",Settings!$K$5,Settings!$K$4))))),J63+(L63/(IF(F63="Contract Workman",Settings!$K$5,Settings!$K$4)))+(H63/(IF(F63="Contract Workman",Settings!$K$5,Settings!$K$4))),J63+(L63/(IF(F63="Contract Workman",Settings!$K$5,Settings!$K$4)))))</f>
        <v/>
      </c>
      <c r="N63">
        <f>IF($A63="","",IF(F63="Contract Workman",IF(AND(MOD(M63,1)&gt;=8/24,MOD(M63,1)&lt;20/24),"Shift S1","Shift S2"),IF(AND(MOD(M63,1)&gt;=7/24,MOD(M63,1)&lt;15/24),"Shift A",IF(AND(MOD(M63,1)&gt;=15/24,MOD(M63,1)&lt;23/24),"Shift B","Shift C"))))</f>
        <v/>
      </c>
      <c r="O63">
        <f>IF(B63="","",IF(IFERROR(ISNUMBER(SEARCH(TEXT(B63,"0"),VLOOKUP(E63,Machine_List!$B:$J,9,0))),FALSE),"✅ "&amp; E63,"❌ Sug: "&amp;IFERROR(INDEX(Machine_List!$B$64:$B$71,MATCH(1,(Machine_List!$H$64:$H$71&lt;=IFERROR(VLOOKUP($B63,OPR_BR1!$A$4:$K$18,10,0),0))*(Machine_List!$I$64:$I$71&gt;=IFERROR(VLOOKUP($B63,OPR_BR1!$A$4:$K$18,11,0),9999)),0)),"?")))</f>
        <v/>
      </c>
      <c r="P63">
        <f>IF(AND($A63&lt;&gt;"",P$3&gt;=$J63,P$3&lt;=$M63),1,"")</f>
        <v/>
      </c>
      <c r="Q63">
        <f>IF(AND($A63&lt;&gt;"",Q$3&gt;=$J63,Q$3&lt;=$M63),1,"")</f>
        <v/>
      </c>
      <c r="R63">
        <f>IF(AND($A63&lt;&gt;"",R$3&gt;=$J63,R$3&lt;=$M63),1,"")</f>
        <v/>
      </c>
      <c r="S63">
        <f>IF(AND($A63&lt;&gt;"",S$3&gt;=$J63,S$3&lt;=$M63),1,"")</f>
        <v/>
      </c>
      <c r="T63">
        <f>IF(AND($A63&lt;&gt;"",T$3&gt;=$J63,T$3&lt;=$M63),1,"")</f>
        <v/>
      </c>
      <c r="U63">
        <f>IF(AND($A63&lt;&gt;"",U$3&gt;=$J63,U$3&lt;=$M63),1,"")</f>
        <v/>
      </c>
      <c r="V63">
        <f>IF(AND($A63&lt;&gt;"",V$3&gt;=$J63,V$3&lt;=$M63),1,"")</f>
        <v/>
      </c>
      <c r="W63">
        <f>IF(AND($A63&lt;&gt;"",W$3&gt;=$J63,W$3&lt;=$M63),1,"")</f>
        <v/>
      </c>
      <c r="X63">
        <f>IF(AND($A63&lt;&gt;"",X$3&gt;=$J63,X$3&lt;=$M63),1,"")</f>
        <v/>
      </c>
      <c r="Y63">
        <f>IF(AND($A63&lt;&gt;"",Y$3&gt;=$J63,Y$3&lt;=$M63),1,"")</f>
        <v/>
      </c>
      <c r="Z63">
        <f>IF(AND($A63&lt;&gt;"",Z$3&gt;=$J63,Z$3&lt;=$M63),1,"")</f>
        <v/>
      </c>
      <c r="AA63">
        <f>IF(AND($A63&lt;&gt;"",AA$3&gt;=$J63,AA$3&lt;=$M63),1,"")</f>
        <v/>
      </c>
      <c r="AB63">
        <f>IF(AND($A63&lt;&gt;"",AB$3&gt;=$J63,AB$3&lt;=$M63),1,"")</f>
        <v/>
      </c>
      <c r="AC63">
        <f>IF(AND($A63&lt;&gt;"",AC$3&gt;=$J63,AC$3&lt;=$M63),1,"")</f>
        <v/>
      </c>
      <c r="AD63">
        <f>IF(AND($A63&lt;&gt;"",AD$3&gt;=$J63,AD$3&lt;=$M63),1,"")</f>
        <v/>
      </c>
      <c r="AE63">
        <f>IF(AND($A63&lt;&gt;"",AE$3&gt;=$J63,AE$3&lt;=$M63),1,"")</f>
        <v/>
      </c>
      <c r="AF63">
        <f>IF(AND($A63&lt;&gt;"",AF$3&gt;=$J63,AF$3&lt;=$M63),1,"")</f>
        <v/>
      </c>
      <c r="AG63">
        <f>IF(AND($A63&lt;&gt;"",AG$3&gt;=$J63,AG$3&lt;=$M63),1,"")</f>
        <v/>
      </c>
      <c r="AH63">
        <f>IF(AND($A63&lt;&gt;"",AH$3&gt;=$J63,AH$3&lt;=$M63),1,"")</f>
        <v/>
      </c>
      <c r="AI63">
        <f>IF(AND($A63&lt;&gt;"",AI$3&gt;=$J63,AI$3&lt;=$M63),1,"")</f>
        <v/>
      </c>
      <c r="AJ63">
        <f>IF(AND($A63&lt;&gt;"",AJ$3&gt;=$J63,AJ$3&lt;=$M63),1,"")</f>
        <v/>
      </c>
      <c r="AK63">
        <f>IF(AND($A63&lt;&gt;"",AK$3&gt;=$J63,AK$3&lt;=$M63),1,"")</f>
        <v/>
      </c>
      <c r="AL63">
        <f>IF(AND($A63&lt;&gt;"",AL$3&gt;=$J63,AL$3&lt;=$M63),1,"")</f>
        <v/>
      </c>
      <c r="AM63">
        <f>IF(AND($A63&lt;&gt;"",AM$3&gt;=$J63,AM$3&lt;=$M63),1,"")</f>
        <v/>
      </c>
      <c r="AN63">
        <f>IF(AND($A63&lt;&gt;"",AN$3&gt;=$J63,AN$3&lt;=$M63),1,"")</f>
        <v/>
      </c>
      <c r="AO63">
        <f>IF(AND($A63&lt;&gt;"",AO$3&gt;=$J63,AO$3&lt;=$M63),1,"")</f>
        <v/>
      </c>
      <c r="AP63">
        <f>IF(AND($A63&lt;&gt;"",AP$3&gt;=$J63,AP$3&lt;=$M63),1,"")</f>
        <v/>
      </c>
      <c r="AQ63">
        <f>IF(AND($A63&lt;&gt;"",AQ$3&gt;=$J63,AQ$3&lt;=$M63),1,"")</f>
        <v/>
      </c>
      <c r="AR63">
        <f>IF(AND($A63&lt;&gt;"",AR$3&gt;=$J63,AR$3&lt;=$M63),1,"")</f>
        <v/>
      </c>
      <c r="AS63">
        <f>IF(AND($A63&lt;&gt;"",AS$3&gt;=$J63,AS$3&lt;=$M63),1,"")</f>
        <v/>
      </c>
      <c r="AT63">
        <f>IF(AND($A63&lt;&gt;"",AT$3&gt;=$J63,AT$3&lt;=$M63),1,"")</f>
        <v/>
      </c>
      <c r="AU63">
        <f>IF(AND($A63&lt;&gt;"",AU$3&gt;=$J63,AU$3&lt;=$M63),1,"")</f>
        <v/>
      </c>
      <c r="AV63">
        <f>IF(AND($A63&lt;&gt;"",AV$3&gt;=$J63,AV$3&lt;=$M63),1,"")</f>
        <v/>
      </c>
      <c r="AW63">
        <f>IF(AND($A63&lt;&gt;"",AW$3&gt;=$J63,AW$3&lt;=$M63),1,"")</f>
        <v/>
      </c>
      <c r="AX63">
        <f>IF(AND($A63&lt;&gt;"",AX$3&gt;=$J63,AX$3&lt;=$M63),1,"")</f>
        <v/>
      </c>
      <c r="AY63">
        <f>IF(AND($A63&lt;&gt;"",AY$3&gt;=$J63,AY$3&lt;=$M63),1,"")</f>
        <v/>
      </c>
      <c r="AZ63">
        <f>IF(AND($A63&lt;&gt;"",AZ$3&gt;=$J63,AZ$3&lt;=$M63),1,"")</f>
        <v/>
      </c>
      <c r="BA63">
        <f>IF(AND($A63&lt;&gt;"",BA$3&gt;=$J63,BA$3&lt;=$M63),1,"")</f>
        <v/>
      </c>
      <c r="BB63">
        <f>IF(AND($A63&lt;&gt;"",BB$3&gt;=$J63,BB$3&lt;=$M63),1,"")</f>
        <v/>
      </c>
      <c r="BC63">
        <f>IF(AND($A63&lt;&gt;"",BC$3&gt;=$J63,BC$3&lt;=$M63),1,"")</f>
        <v/>
      </c>
      <c r="BD63">
        <f>IF(AND($A63&lt;&gt;"",BD$3&gt;=$J63,BD$3&lt;=$M63),1,"")</f>
        <v/>
      </c>
      <c r="BE63">
        <f>IF(AND($A63&lt;&gt;"",BE$3&gt;=$J63,BE$3&lt;=$M63),1,"")</f>
        <v/>
      </c>
      <c r="BF63">
        <f>IF(AND($A63&lt;&gt;"",BF$3&gt;=$J63,BF$3&lt;=$M63),1,"")</f>
        <v/>
      </c>
      <c r="BG63">
        <f>IF(AND($A63&lt;&gt;"",BG$3&gt;=$J63,BG$3&lt;=$M63),1,"")</f>
        <v/>
      </c>
      <c r="BH63">
        <f>IF(AND($A63&lt;&gt;"",BH$3&gt;=$J63,BH$3&lt;=$M63),1,"")</f>
        <v/>
      </c>
      <c r="BI63">
        <f>IF(AND($A63&lt;&gt;"",BI$3&gt;=$J63,BI$3&lt;=$M63),1,"")</f>
        <v/>
      </c>
      <c r="BJ63">
        <f>IF(AND($A63&lt;&gt;"",BJ$3&gt;=$J63,BJ$3&lt;=$M63),1,"")</f>
        <v/>
      </c>
      <c r="BK63">
        <f>IF(AND($A63&lt;&gt;"",BK$3&gt;=$J63,BK$3&lt;=$M63),1,"")</f>
        <v/>
      </c>
      <c r="BL63">
        <f>IF(AND($A63&lt;&gt;"",BL$3&gt;=$J63,BL$3&lt;=$M63),1,"")</f>
        <v/>
      </c>
      <c r="BM63">
        <f>IF(AND($A63&lt;&gt;"",BM$3&gt;=$J63,BM$3&lt;=$M63),1,"")</f>
        <v/>
      </c>
      <c r="BN63">
        <f>IF(AND($A63&lt;&gt;"",BN$3&gt;=$J63,BN$3&lt;=$M63),1,"")</f>
        <v/>
      </c>
      <c r="BO63">
        <f>IF(AND($A63&lt;&gt;"",BO$3&gt;=$J63,BO$3&lt;=$M63),1,"")</f>
        <v/>
      </c>
      <c r="BP63">
        <f>IF(AND($A63&lt;&gt;"",BP$3&gt;=$J63,BP$3&lt;=$M63),1,"")</f>
        <v/>
      </c>
      <c r="BQ63">
        <f>IF(AND($A63&lt;&gt;"",BQ$3&gt;=$J63,BQ$3&lt;=$M63),1,"")</f>
        <v/>
      </c>
      <c r="BR63">
        <f>IF(AND($A63&lt;&gt;"",BR$3&gt;=$J63,BR$3&lt;=$M63),1,"")</f>
        <v/>
      </c>
      <c r="BS63">
        <f>IF(AND($A63&lt;&gt;"",BS$3&gt;=$J63,BS$3&lt;=$M63),1,"")</f>
        <v/>
      </c>
      <c r="BT63">
        <f>IF(AND($A63&lt;&gt;"",BT$3&gt;=$J63,BT$3&lt;=$M63),1,"")</f>
        <v/>
      </c>
      <c r="BU63">
        <f>IF(AND($A63&lt;&gt;"",BU$3&gt;=$J63,BU$3&lt;=$M63),1,"")</f>
        <v/>
      </c>
      <c r="BV63">
        <f>IF(AND($A63&lt;&gt;"",BV$3&gt;=$J63,BV$3&lt;=$M63),1,"")</f>
        <v/>
      </c>
    </row>
    <row r="64">
      <c r="A64">
        <f>IF(Job_Master_Ring!$A64="","",Job_Master_Ring!$A64)</f>
        <v/>
      </c>
      <c r="B64">
        <f>IF($A64="","",Job_Master_Ring!B64)</f>
        <v/>
      </c>
      <c r="C64">
        <f>IF($A64="","",Job_Master_Ring!C64)</f>
        <v/>
      </c>
      <c r="D64">
        <f>IF($A64="","",Job_Master_Ring!D64)</f>
        <v/>
      </c>
      <c r="E64">
        <f>IF($A64="","",IF($I64&lt;&gt;"",$I64,IFERROR(INDEX(Machine_List!$B$64:$B$71,MATCH(1,(Machine_List!$H$64:$H$71&lt;=IFERROR(VLOOKUP($B64,CHOOSE(MATCH($C64,Settings!$L$4:$L$10,0),OPR_BR1!$A$4:$K$18,OPR_BR2!$A$4:$K$18,OPR_CR2!$A$4:$K$18,OPR_CR3!$A$4:$K$18,OPR_CR4!$A$4:$K$18,OPR_RIM!$A$4:$K$18,OPR_BPR!$A$4:$K$18),10,0),0))*(Machine_List!$I$64:$I$71&gt;=IFERROR(VLOOKUP($B64,CHOOSE(MATCH($C64,Settings!$L$4:$L$10,0),OPR_BR1!$A$4:$K$18,OPR_BR2!$A$4:$K$18,OPR_CR2!$A$4:$K$18,OPR_CR3!$A$4:$K$18,OPR_CR4!$A$4:$K$18,OPR_RIM!$A$4:$K$18,OPR_BPR!$A$4:$K$18),11,0),9999)),0)),"NO COMPATIBLE MACHINE")))</f>
        <v/>
      </c>
      <c r="F64">
        <f>IF($E64="","",IFERROR(VLOOKUP($E64,Machine_List!$B:$G,6,0),""))</f>
        <v/>
      </c>
      <c r="G64" s="17">
        <f>IF($E64="","",IFERROR(VLOOKUP($E64,Machine_List!$B:$C,2,0),""))</f>
        <v/>
      </c>
      <c r="H64">
        <f>IF($E64="","",IFERROR(VLOOKUP($E64,Machine_List!$B:$D,3,0),""))</f>
        <v/>
      </c>
      <c r="J64" s="16">
        <f>IF($A64="","",IF($I64&lt;&gt;"",$I64,MAX(ENG_Plan!$M64,IFERROR(LOOKUP(2,1/($E$3:INDIRECT("E"&amp;(ROW()-1))=$E64),$M$3:INDIRECT("M"&amp;(ROW()-1))),ENG_Plan!$M64))))</f>
        <v/>
      </c>
      <c r="K64">
        <f>IF($A64="","",IFERROR(VLOOKUP(B64,CHOOSE(MATCH($C64,Settings!$L$4:$L$10,0),OPR_BR1!$A$4:$I$18,OPR_BR2!$A$4:$I$18,OPR_CR2!$A$4:$I$18,OPR_CR3!$A$4:$I$18,OPR_CR4!$A$4:$I$18,OPR_RIM!$A$4:$I$18,OPR_BPR!$A$4:$I$18),7,0),0))</f>
        <v/>
      </c>
      <c r="L64">
        <f>IF($A64="","",K64*D64)</f>
        <v/>
      </c>
      <c r="M64" s="16">
        <f>IF($A64="","",IF(AND(ISNUMBER(G64),G64&gt;=J64,G64&lt;=(J64+(L64/(IF(F64="Contract Workman",Settings!$K$5,Settings!$K$4))))),J64+(L64/(IF(F64="Contract Workman",Settings!$K$5,Settings!$K$4)))+(H64/(IF(F64="Contract Workman",Settings!$K$5,Settings!$K$4))),J64+(L64/(IF(F64="Contract Workman",Settings!$K$5,Settings!$K$4)))))</f>
        <v/>
      </c>
      <c r="N64">
        <f>IF($A64="","",IF(F64="Contract Workman",IF(AND(MOD(M64,1)&gt;=8/24,MOD(M64,1)&lt;20/24),"Shift S1","Shift S2"),IF(AND(MOD(M64,1)&gt;=7/24,MOD(M64,1)&lt;15/24),"Shift A",IF(AND(MOD(M64,1)&gt;=15/24,MOD(M64,1)&lt;23/24),"Shift B","Shift C"))))</f>
        <v/>
      </c>
      <c r="O64">
        <f>IF(B64="","",IF(IFERROR(ISNUMBER(SEARCH(TEXT(B64,"0"),VLOOKUP(E64,Machine_List!$B:$J,9,0))),FALSE),"✅ "&amp; E64,"❌ Sug: "&amp;IFERROR(INDEX(Machine_List!$B$64:$B$71,MATCH(1,(Machine_List!$H$64:$H$71&lt;=IFERROR(VLOOKUP($B64,OPR_BR1!$A$4:$K$18,10,0),0))*(Machine_List!$I$64:$I$71&gt;=IFERROR(VLOOKUP($B64,OPR_BR1!$A$4:$K$18,11,0),9999)),0)),"?")))</f>
        <v/>
      </c>
      <c r="P64">
        <f>IF(AND($A64&lt;&gt;"",P$3&gt;=$J64,P$3&lt;=$M64),1,"")</f>
        <v/>
      </c>
      <c r="Q64">
        <f>IF(AND($A64&lt;&gt;"",Q$3&gt;=$J64,Q$3&lt;=$M64),1,"")</f>
        <v/>
      </c>
      <c r="R64">
        <f>IF(AND($A64&lt;&gt;"",R$3&gt;=$J64,R$3&lt;=$M64),1,"")</f>
        <v/>
      </c>
      <c r="S64">
        <f>IF(AND($A64&lt;&gt;"",S$3&gt;=$J64,S$3&lt;=$M64),1,"")</f>
        <v/>
      </c>
      <c r="T64">
        <f>IF(AND($A64&lt;&gt;"",T$3&gt;=$J64,T$3&lt;=$M64),1,"")</f>
        <v/>
      </c>
      <c r="U64">
        <f>IF(AND($A64&lt;&gt;"",U$3&gt;=$J64,U$3&lt;=$M64),1,"")</f>
        <v/>
      </c>
      <c r="V64">
        <f>IF(AND($A64&lt;&gt;"",V$3&gt;=$J64,V$3&lt;=$M64),1,"")</f>
        <v/>
      </c>
      <c r="W64">
        <f>IF(AND($A64&lt;&gt;"",W$3&gt;=$J64,W$3&lt;=$M64),1,"")</f>
        <v/>
      </c>
      <c r="X64">
        <f>IF(AND($A64&lt;&gt;"",X$3&gt;=$J64,X$3&lt;=$M64),1,"")</f>
        <v/>
      </c>
      <c r="Y64">
        <f>IF(AND($A64&lt;&gt;"",Y$3&gt;=$J64,Y$3&lt;=$M64),1,"")</f>
        <v/>
      </c>
      <c r="Z64">
        <f>IF(AND($A64&lt;&gt;"",Z$3&gt;=$J64,Z$3&lt;=$M64),1,"")</f>
        <v/>
      </c>
      <c r="AA64">
        <f>IF(AND($A64&lt;&gt;"",AA$3&gt;=$J64,AA$3&lt;=$M64),1,"")</f>
        <v/>
      </c>
      <c r="AB64">
        <f>IF(AND($A64&lt;&gt;"",AB$3&gt;=$J64,AB$3&lt;=$M64),1,"")</f>
        <v/>
      </c>
      <c r="AC64">
        <f>IF(AND($A64&lt;&gt;"",AC$3&gt;=$J64,AC$3&lt;=$M64),1,"")</f>
        <v/>
      </c>
      <c r="AD64">
        <f>IF(AND($A64&lt;&gt;"",AD$3&gt;=$J64,AD$3&lt;=$M64),1,"")</f>
        <v/>
      </c>
      <c r="AE64">
        <f>IF(AND($A64&lt;&gt;"",AE$3&gt;=$J64,AE$3&lt;=$M64),1,"")</f>
        <v/>
      </c>
      <c r="AF64">
        <f>IF(AND($A64&lt;&gt;"",AF$3&gt;=$J64,AF$3&lt;=$M64),1,"")</f>
        <v/>
      </c>
      <c r="AG64">
        <f>IF(AND($A64&lt;&gt;"",AG$3&gt;=$J64,AG$3&lt;=$M64),1,"")</f>
        <v/>
      </c>
      <c r="AH64">
        <f>IF(AND($A64&lt;&gt;"",AH$3&gt;=$J64,AH$3&lt;=$M64),1,"")</f>
        <v/>
      </c>
      <c r="AI64">
        <f>IF(AND($A64&lt;&gt;"",AI$3&gt;=$J64,AI$3&lt;=$M64),1,"")</f>
        <v/>
      </c>
      <c r="AJ64">
        <f>IF(AND($A64&lt;&gt;"",AJ$3&gt;=$J64,AJ$3&lt;=$M64),1,"")</f>
        <v/>
      </c>
      <c r="AK64">
        <f>IF(AND($A64&lt;&gt;"",AK$3&gt;=$J64,AK$3&lt;=$M64),1,"")</f>
        <v/>
      </c>
      <c r="AL64">
        <f>IF(AND($A64&lt;&gt;"",AL$3&gt;=$J64,AL$3&lt;=$M64),1,"")</f>
        <v/>
      </c>
      <c r="AM64">
        <f>IF(AND($A64&lt;&gt;"",AM$3&gt;=$J64,AM$3&lt;=$M64),1,"")</f>
        <v/>
      </c>
      <c r="AN64">
        <f>IF(AND($A64&lt;&gt;"",AN$3&gt;=$J64,AN$3&lt;=$M64),1,"")</f>
        <v/>
      </c>
      <c r="AO64">
        <f>IF(AND($A64&lt;&gt;"",AO$3&gt;=$J64,AO$3&lt;=$M64),1,"")</f>
        <v/>
      </c>
      <c r="AP64">
        <f>IF(AND($A64&lt;&gt;"",AP$3&gt;=$J64,AP$3&lt;=$M64),1,"")</f>
        <v/>
      </c>
      <c r="AQ64">
        <f>IF(AND($A64&lt;&gt;"",AQ$3&gt;=$J64,AQ$3&lt;=$M64),1,"")</f>
        <v/>
      </c>
      <c r="AR64">
        <f>IF(AND($A64&lt;&gt;"",AR$3&gt;=$J64,AR$3&lt;=$M64),1,"")</f>
        <v/>
      </c>
      <c r="AS64">
        <f>IF(AND($A64&lt;&gt;"",AS$3&gt;=$J64,AS$3&lt;=$M64),1,"")</f>
        <v/>
      </c>
      <c r="AT64">
        <f>IF(AND($A64&lt;&gt;"",AT$3&gt;=$J64,AT$3&lt;=$M64),1,"")</f>
        <v/>
      </c>
      <c r="AU64">
        <f>IF(AND($A64&lt;&gt;"",AU$3&gt;=$J64,AU$3&lt;=$M64),1,"")</f>
        <v/>
      </c>
      <c r="AV64">
        <f>IF(AND($A64&lt;&gt;"",AV$3&gt;=$J64,AV$3&lt;=$M64),1,"")</f>
        <v/>
      </c>
      <c r="AW64">
        <f>IF(AND($A64&lt;&gt;"",AW$3&gt;=$J64,AW$3&lt;=$M64),1,"")</f>
        <v/>
      </c>
      <c r="AX64">
        <f>IF(AND($A64&lt;&gt;"",AX$3&gt;=$J64,AX$3&lt;=$M64),1,"")</f>
        <v/>
      </c>
      <c r="AY64">
        <f>IF(AND($A64&lt;&gt;"",AY$3&gt;=$J64,AY$3&lt;=$M64),1,"")</f>
        <v/>
      </c>
      <c r="AZ64">
        <f>IF(AND($A64&lt;&gt;"",AZ$3&gt;=$J64,AZ$3&lt;=$M64),1,"")</f>
        <v/>
      </c>
      <c r="BA64">
        <f>IF(AND($A64&lt;&gt;"",BA$3&gt;=$J64,BA$3&lt;=$M64),1,"")</f>
        <v/>
      </c>
      <c r="BB64">
        <f>IF(AND($A64&lt;&gt;"",BB$3&gt;=$J64,BB$3&lt;=$M64),1,"")</f>
        <v/>
      </c>
      <c r="BC64">
        <f>IF(AND($A64&lt;&gt;"",BC$3&gt;=$J64,BC$3&lt;=$M64),1,"")</f>
        <v/>
      </c>
      <c r="BD64">
        <f>IF(AND($A64&lt;&gt;"",BD$3&gt;=$J64,BD$3&lt;=$M64),1,"")</f>
        <v/>
      </c>
      <c r="BE64">
        <f>IF(AND($A64&lt;&gt;"",BE$3&gt;=$J64,BE$3&lt;=$M64),1,"")</f>
        <v/>
      </c>
      <c r="BF64">
        <f>IF(AND($A64&lt;&gt;"",BF$3&gt;=$J64,BF$3&lt;=$M64),1,"")</f>
        <v/>
      </c>
      <c r="BG64">
        <f>IF(AND($A64&lt;&gt;"",BG$3&gt;=$J64,BG$3&lt;=$M64),1,"")</f>
        <v/>
      </c>
      <c r="BH64">
        <f>IF(AND($A64&lt;&gt;"",BH$3&gt;=$J64,BH$3&lt;=$M64),1,"")</f>
        <v/>
      </c>
      <c r="BI64">
        <f>IF(AND($A64&lt;&gt;"",BI$3&gt;=$J64,BI$3&lt;=$M64),1,"")</f>
        <v/>
      </c>
      <c r="BJ64">
        <f>IF(AND($A64&lt;&gt;"",BJ$3&gt;=$J64,BJ$3&lt;=$M64),1,"")</f>
        <v/>
      </c>
      <c r="BK64">
        <f>IF(AND($A64&lt;&gt;"",BK$3&gt;=$J64,BK$3&lt;=$M64),1,"")</f>
        <v/>
      </c>
      <c r="BL64">
        <f>IF(AND($A64&lt;&gt;"",BL$3&gt;=$J64,BL$3&lt;=$M64),1,"")</f>
        <v/>
      </c>
      <c r="BM64">
        <f>IF(AND($A64&lt;&gt;"",BM$3&gt;=$J64,BM$3&lt;=$M64),1,"")</f>
        <v/>
      </c>
      <c r="BN64">
        <f>IF(AND($A64&lt;&gt;"",BN$3&gt;=$J64,BN$3&lt;=$M64),1,"")</f>
        <v/>
      </c>
      <c r="BO64">
        <f>IF(AND($A64&lt;&gt;"",BO$3&gt;=$J64,BO$3&lt;=$M64),1,"")</f>
        <v/>
      </c>
      <c r="BP64">
        <f>IF(AND($A64&lt;&gt;"",BP$3&gt;=$J64,BP$3&lt;=$M64),1,"")</f>
        <v/>
      </c>
      <c r="BQ64">
        <f>IF(AND($A64&lt;&gt;"",BQ$3&gt;=$J64,BQ$3&lt;=$M64),1,"")</f>
        <v/>
      </c>
      <c r="BR64">
        <f>IF(AND($A64&lt;&gt;"",BR$3&gt;=$J64,BR$3&lt;=$M64),1,"")</f>
        <v/>
      </c>
      <c r="BS64">
        <f>IF(AND($A64&lt;&gt;"",BS$3&gt;=$J64,BS$3&lt;=$M64),1,"")</f>
        <v/>
      </c>
      <c r="BT64">
        <f>IF(AND($A64&lt;&gt;"",BT$3&gt;=$J64,BT$3&lt;=$M64),1,"")</f>
        <v/>
      </c>
      <c r="BU64">
        <f>IF(AND($A64&lt;&gt;"",BU$3&gt;=$J64,BU$3&lt;=$M64),1,"")</f>
        <v/>
      </c>
      <c r="BV64">
        <f>IF(AND($A64&lt;&gt;"",BV$3&gt;=$J64,BV$3&lt;=$M64),1,"")</f>
        <v/>
      </c>
    </row>
    <row r="65">
      <c r="A65">
        <f>IF(Job_Master_Ring!$A65="","",Job_Master_Ring!$A65)</f>
        <v/>
      </c>
      <c r="B65">
        <f>IF($A65="","",Job_Master_Ring!B65)</f>
        <v/>
      </c>
      <c r="C65">
        <f>IF($A65="","",Job_Master_Ring!C65)</f>
        <v/>
      </c>
      <c r="D65">
        <f>IF($A65="","",Job_Master_Ring!D65)</f>
        <v/>
      </c>
      <c r="E65">
        <f>IF($A65="","",IF($I65&lt;&gt;"",$I65,IFERROR(INDEX(Machine_List!$B$64:$B$71,MATCH(1,(Machine_List!$H$64:$H$71&lt;=IFERROR(VLOOKUP($B65,CHOOSE(MATCH($C65,Settings!$L$4:$L$10,0),OPR_BR1!$A$4:$K$18,OPR_BR2!$A$4:$K$18,OPR_CR2!$A$4:$K$18,OPR_CR3!$A$4:$K$18,OPR_CR4!$A$4:$K$18,OPR_RIM!$A$4:$K$18,OPR_BPR!$A$4:$K$18),10,0),0))*(Machine_List!$I$64:$I$71&gt;=IFERROR(VLOOKUP($B65,CHOOSE(MATCH($C65,Settings!$L$4:$L$10,0),OPR_BR1!$A$4:$K$18,OPR_BR2!$A$4:$K$18,OPR_CR2!$A$4:$K$18,OPR_CR3!$A$4:$K$18,OPR_CR4!$A$4:$K$18,OPR_RIM!$A$4:$K$18,OPR_BPR!$A$4:$K$18),11,0),9999)),0)),"NO COMPATIBLE MACHINE")))</f>
        <v/>
      </c>
      <c r="F65">
        <f>IF($E65="","",IFERROR(VLOOKUP($E65,Machine_List!$B:$G,6,0),""))</f>
        <v/>
      </c>
      <c r="G65" s="17">
        <f>IF($E65="","",IFERROR(VLOOKUP($E65,Machine_List!$B:$C,2,0),""))</f>
        <v/>
      </c>
      <c r="H65">
        <f>IF($E65="","",IFERROR(VLOOKUP($E65,Machine_List!$B:$D,3,0),""))</f>
        <v/>
      </c>
      <c r="J65" s="16">
        <f>IF($A65="","",IF($I65&lt;&gt;"",$I65,MAX(ENG_Plan!$M65,IFERROR(LOOKUP(2,1/($E$3:INDIRECT("E"&amp;(ROW()-1))=$E65),$M$3:INDIRECT("M"&amp;(ROW()-1))),ENG_Plan!$M65))))</f>
        <v/>
      </c>
      <c r="K65">
        <f>IF($A65="","",IFERROR(VLOOKUP(B65,CHOOSE(MATCH($C65,Settings!$L$4:$L$10,0),OPR_BR1!$A$4:$I$18,OPR_BR2!$A$4:$I$18,OPR_CR2!$A$4:$I$18,OPR_CR3!$A$4:$I$18,OPR_CR4!$A$4:$I$18,OPR_RIM!$A$4:$I$18,OPR_BPR!$A$4:$I$18),7,0),0))</f>
        <v/>
      </c>
      <c r="L65">
        <f>IF($A65="","",K65*D65)</f>
        <v/>
      </c>
      <c r="M65" s="16">
        <f>IF($A65="","",IF(AND(ISNUMBER(G65),G65&gt;=J65,G65&lt;=(J65+(L65/(IF(F65="Contract Workman",Settings!$K$5,Settings!$K$4))))),J65+(L65/(IF(F65="Contract Workman",Settings!$K$5,Settings!$K$4)))+(H65/(IF(F65="Contract Workman",Settings!$K$5,Settings!$K$4))),J65+(L65/(IF(F65="Contract Workman",Settings!$K$5,Settings!$K$4)))))</f>
        <v/>
      </c>
      <c r="N65">
        <f>IF($A65="","",IF(F65="Contract Workman",IF(AND(MOD(M65,1)&gt;=8/24,MOD(M65,1)&lt;20/24),"Shift S1","Shift S2"),IF(AND(MOD(M65,1)&gt;=7/24,MOD(M65,1)&lt;15/24),"Shift A",IF(AND(MOD(M65,1)&gt;=15/24,MOD(M65,1)&lt;23/24),"Shift B","Shift C"))))</f>
        <v/>
      </c>
      <c r="O65">
        <f>IF(B65="","",IF(IFERROR(ISNUMBER(SEARCH(TEXT(B65,"0"),VLOOKUP(E65,Machine_List!$B:$J,9,0))),FALSE),"✅ "&amp; E65,"❌ Sug: "&amp;IFERROR(INDEX(Machine_List!$B$64:$B$71,MATCH(1,(Machine_List!$H$64:$H$71&lt;=IFERROR(VLOOKUP($B65,OPR_BR1!$A$4:$K$18,10,0),0))*(Machine_List!$I$64:$I$71&gt;=IFERROR(VLOOKUP($B65,OPR_BR1!$A$4:$K$18,11,0),9999)),0)),"?")))</f>
        <v/>
      </c>
      <c r="P65">
        <f>IF(AND($A65&lt;&gt;"",P$3&gt;=$J65,P$3&lt;=$M65),1,"")</f>
        <v/>
      </c>
      <c r="Q65">
        <f>IF(AND($A65&lt;&gt;"",Q$3&gt;=$J65,Q$3&lt;=$M65),1,"")</f>
        <v/>
      </c>
      <c r="R65">
        <f>IF(AND($A65&lt;&gt;"",R$3&gt;=$J65,R$3&lt;=$M65),1,"")</f>
        <v/>
      </c>
      <c r="S65">
        <f>IF(AND($A65&lt;&gt;"",S$3&gt;=$J65,S$3&lt;=$M65),1,"")</f>
        <v/>
      </c>
      <c r="T65">
        <f>IF(AND($A65&lt;&gt;"",T$3&gt;=$J65,T$3&lt;=$M65),1,"")</f>
        <v/>
      </c>
      <c r="U65">
        <f>IF(AND($A65&lt;&gt;"",U$3&gt;=$J65,U$3&lt;=$M65),1,"")</f>
        <v/>
      </c>
      <c r="V65">
        <f>IF(AND($A65&lt;&gt;"",V$3&gt;=$J65,V$3&lt;=$M65),1,"")</f>
        <v/>
      </c>
      <c r="W65">
        <f>IF(AND($A65&lt;&gt;"",W$3&gt;=$J65,W$3&lt;=$M65),1,"")</f>
        <v/>
      </c>
      <c r="X65">
        <f>IF(AND($A65&lt;&gt;"",X$3&gt;=$J65,X$3&lt;=$M65),1,"")</f>
        <v/>
      </c>
      <c r="Y65">
        <f>IF(AND($A65&lt;&gt;"",Y$3&gt;=$J65,Y$3&lt;=$M65),1,"")</f>
        <v/>
      </c>
      <c r="Z65">
        <f>IF(AND($A65&lt;&gt;"",Z$3&gt;=$J65,Z$3&lt;=$M65),1,"")</f>
        <v/>
      </c>
      <c r="AA65">
        <f>IF(AND($A65&lt;&gt;"",AA$3&gt;=$J65,AA$3&lt;=$M65),1,"")</f>
        <v/>
      </c>
      <c r="AB65">
        <f>IF(AND($A65&lt;&gt;"",AB$3&gt;=$J65,AB$3&lt;=$M65),1,"")</f>
        <v/>
      </c>
      <c r="AC65">
        <f>IF(AND($A65&lt;&gt;"",AC$3&gt;=$J65,AC$3&lt;=$M65),1,"")</f>
        <v/>
      </c>
      <c r="AD65">
        <f>IF(AND($A65&lt;&gt;"",AD$3&gt;=$J65,AD$3&lt;=$M65),1,"")</f>
        <v/>
      </c>
      <c r="AE65">
        <f>IF(AND($A65&lt;&gt;"",AE$3&gt;=$J65,AE$3&lt;=$M65),1,"")</f>
        <v/>
      </c>
      <c r="AF65">
        <f>IF(AND($A65&lt;&gt;"",AF$3&gt;=$J65,AF$3&lt;=$M65),1,"")</f>
        <v/>
      </c>
      <c r="AG65">
        <f>IF(AND($A65&lt;&gt;"",AG$3&gt;=$J65,AG$3&lt;=$M65),1,"")</f>
        <v/>
      </c>
      <c r="AH65">
        <f>IF(AND($A65&lt;&gt;"",AH$3&gt;=$J65,AH$3&lt;=$M65),1,"")</f>
        <v/>
      </c>
      <c r="AI65">
        <f>IF(AND($A65&lt;&gt;"",AI$3&gt;=$J65,AI$3&lt;=$M65),1,"")</f>
        <v/>
      </c>
      <c r="AJ65">
        <f>IF(AND($A65&lt;&gt;"",AJ$3&gt;=$J65,AJ$3&lt;=$M65),1,"")</f>
        <v/>
      </c>
      <c r="AK65">
        <f>IF(AND($A65&lt;&gt;"",AK$3&gt;=$J65,AK$3&lt;=$M65),1,"")</f>
        <v/>
      </c>
      <c r="AL65">
        <f>IF(AND($A65&lt;&gt;"",AL$3&gt;=$J65,AL$3&lt;=$M65),1,"")</f>
        <v/>
      </c>
      <c r="AM65">
        <f>IF(AND($A65&lt;&gt;"",AM$3&gt;=$J65,AM$3&lt;=$M65),1,"")</f>
        <v/>
      </c>
      <c r="AN65">
        <f>IF(AND($A65&lt;&gt;"",AN$3&gt;=$J65,AN$3&lt;=$M65),1,"")</f>
        <v/>
      </c>
      <c r="AO65">
        <f>IF(AND($A65&lt;&gt;"",AO$3&gt;=$J65,AO$3&lt;=$M65),1,"")</f>
        <v/>
      </c>
      <c r="AP65">
        <f>IF(AND($A65&lt;&gt;"",AP$3&gt;=$J65,AP$3&lt;=$M65),1,"")</f>
        <v/>
      </c>
      <c r="AQ65">
        <f>IF(AND($A65&lt;&gt;"",AQ$3&gt;=$J65,AQ$3&lt;=$M65),1,"")</f>
        <v/>
      </c>
      <c r="AR65">
        <f>IF(AND($A65&lt;&gt;"",AR$3&gt;=$J65,AR$3&lt;=$M65),1,"")</f>
        <v/>
      </c>
      <c r="AS65">
        <f>IF(AND($A65&lt;&gt;"",AS$3&gt;=$J65,AS$3&lt;=$M65),1,"")</f>
        <v/>
      </c>
      <c r="AT65">
        <f>IF(AND($A65&lt;&gt;"",AT$3&gt;=$J65,AT$3&lt;=$M65),1,"")</f>
        <v/>
      </c>
      <c r="AU65">
        <f>IF(AND($A65&lt;&gt;"",AU$3&gt;=$J65,AU$3&lt;=$M65),1,"")</f>
        <v/>
      </c>
      <c r="AV65">
        <f>IF(AND($A65&lt;&gt;"",AV$3&gt;=$J65,AV$3&lt;=$M65),1,"")</f>
        <v/>
      </c>
      <c r="AW65">
        <f>IF(AND($A65&lt;&gt;"",AW$3&gt;=$J65,AW$3&lt;=$M65),1,"")</f>
        <v/>
      </c>
      <c r="AX65">
        <f>IF(AND($A65&lt;&gt;"",AX$3&gt;=$J65,AX$3&lt;=$M65),1,"")</f>
        <v/>
      </c>
      <c r="AY65">
        <f>IF(AND($A65&lt;&gt;"",AY$3&gt;=$J65,AY$3&lt;=$M65),1,"")</f>
        <v/>
      </c>
      <c r="AZ65">
        <f>IF(AND($A65&lt;&gt;"",AZ$3&gt;=$J65,AZ$3&lt;=$M65),1,"")</f>
        <v/>
      </c>
      <c r="BA65">
        <f>IF(AND($A65&lt;&gt;"",BA$3&gt;=$J65,BA$3&lt;=$M65),1,"")</f>
        <v/>
      </c>
      <c r="BB65">
        <f>IF(AND($A65&lt;&gt;"",BB$3&gt;=$J65,BB$3&lt;=$M65),1,"")</f>
        <v/>
      </c>
      <c r="BC65">
        <f>IF(AND($A65&lt;&gt;"",BC$3&gt;=$J65,BC$3&lt;=$M65),1,"")</f>
        <v/>
      </c>
      <c r="BD65">
        <f>IF(AND($A65&lt;&gt;"",BD$3&gt;=$J65,BD$3&lt;=$M65),1,"")</f>
        <v/>
      </c>
      <c r="BE65">
        <f>IF(AND($A65&lt;&gt;"",BE$3&gt;=$J65,BE$3&lt;=$M65),1,"")</f>
        <v/>
      </c>
      <c r="BF65">
        <f>IF(AND($A65&lt;&gt;"",BF$3&gt;=$J65,BF$3&lt;=$M65),1,"")</f>
        <v/>
      </c>
      <c r="BG65">
        <f>IF(AND($A65&lt;&gt;"",BG$3&gt;=$J65,BG$3&lt;=$M65),1,"")</f>
        <v/>
      </c>
      <c r="BH65">
        <f>IF(AND($A65&lt;&gt;"",BH$3&gt;=$J65,BH$3&lt;=$M65),1,"")</f>
        <v/>
      </c>
      <c r="BI65">
        <f>IF(AND($A65&lt;&gt;"",BI$3&gt;=$J65,BI$3&lt;=$M65),1,"")</f>
        <v/>
      </c>
      <c r="BJ65">
        <f>IF(AND($A65&lt;&gt;"",BJ$3&gt;=$J65,BJ$3&lt;=$M65),1,"")</f>
        <v/>
      </c>
      <c r="BK65">
        <f>IF(AND($A65&lt;&gt;"",BK$3&gt;=$J65,BK$3&lt;=$M65),1,"")</f>
        <v/>
      </c>
      <c r="BL65">
        <f>IF(AND($A65&lt;&gt;"",BL$3&gt;=$J65,BL$3&lt;=$M65),1,"")</f>
        <v/>
      </c>
      <c r="BM65">
        <f>IF(AND($A65&lt;&gt;"",BM$3&gt;=$J65,BM$3&lt;=$M65),1,"")</f>
        <v/>
      </c>
      <c r="BN65">
        <f>IF(AND($A65&lt;&gt;"",BN$3&gt;=$J65,BN$3&lt;=$M65),1,"")</f>
        <v/>
      </c>
      <c r="BO65">
        <f>IF(AND($A65&lt;&gt;"",BO$3&gt;=$J65,BO$3&lt;=$M65),1,"")</f>
        <v/>
      </c>
      <c r="BP65">
        <f>IF(AND($A65&lt;&gt;"",BP$3&gt;=$J65,BP$3&lt;=$M65),1,"")</f>
        <v/>
      </c>
      <c r="BQ65">
        <f>IF(AND($A65&lt;&gt;"",BQ$3&gt;=$J65,BQ$3&lt;=$M65),1,"")</f>
        <v/>
      </c>
      <c r="BR65">
        <f>IF(AND($A65&lt;&gt;"",BR$3&gt;=$J65,BR$3&lt;=$M65),1,"")</f>
        <v/>
      </c>
      <c r="BS65">
        <f>IF(AND($A65&lt;&gt;"",BS$3&gt;=$J65,BS$3&lt;=$M65),1,"")</f>
        <v/>
      </c>
      <c r="BT65">
        <f>IF(AND($A65&lt;&gt;"",BT$3&gt;=$J65,BT$3&lt;=$M65),1,"")</f>
        <v/>
      </c>
      <c r="BU65">
        <f>IF(AND($A65&lt;&gt;"",BU$3&gt;=$J65,BU$3&lt;=$M65),1,"")</f>
        <v/>
      </c>
      <c r="BV65">
        <f>IF(AND($A65&lt;&gt;"",BV$3&gt;=$J65,BV$3&lt;=$M65),1,"")</f>
        <v/>
      </c>
    </row>
    <row r="66">
      <c r="A66">
        <f>IF(Job_Master_Ring!$A66="","",Job_Master_Ring!$A66)</f>
        <v/>
      </c>
      <c r="B66">
        <f>IF($A66="","",Job_Master_Ring!B66)</f>
        <v/>
      </c>
      <c r="C66">
        <f>IF($A66="","",Job_Master_Ring!C66)</f>
        <v/>
      </c>
      <c r="D66">
        <f>IF($A66="","",Job_Master_Ring!D66)</f>
        <v/>
      </c>
      <c r="E66">
        <f>IF($A66="","",IF($I66&lt;&gt;"",$I66,IFERROR(INDEX(Machine_List!$B$64:$B$71,MATCH(1,(Machine_List!$H$64:$H$71&lt;=IFERROR(VLOOKUP($B66,CHOOSE(MATCH($C66,Settings!$L$4:$L$10,0),OPR_BR1!$A$4:$K$18,OPR_BR2!$A$4:$K$18,OPR_CR2!$A$4:$K$18,OPR_CR3!$A$4:$K$18,OPR_CR4!$A$4:$K$18,OPR_RIM!$A$4:$K$18,OPR_BPR!$A$4:$K$18),10,0),0))*(Machine_List!$I$64:$I$71&gt;=IFERROR(VLOOKUP($B66,CHOOSE(MATCH($C66,Settings!$L$4:$L$10,0),OPR_BR1!$A$4:$K$18,OPR_BR2!$A$4:$K$18,OPR_CR2!$A$4:$K$18,OPR_CR3!$A$4:$K$18,OPR_CR4!$A$4:$K$18,OPR_RIM!$A$4:$K$18,OPR_BPR!$A$4:$K$18),11,0),9999)),0)),"NO COMPATIBLE MACHINE")))</f>
        <v/>
      </c>
      <c r="F66">
        <f>IF($E66="","",IFERROR(VLOOKUP($E66,Machine_List!$B:$G,6,0),""))</f>
        <v/>
      </c>
      <c r="G66" s="17">
        <f>IF($E66="","",IFERROR(VLOOKUP($E66,Machine_List!$B:$C,2,0),""))</f>
        <v/>
      </c>
      <c r="H66">
        <f>IF($E66="","",IFERROR(VLOOKUP($E66,Machine_List!$B:$D,3,0),""))</f>
        <v/>
      </c>
      <c r="J66" s="16">
        <f>IF($A66="","",IF($I66&lt;&gt;"",$I66,MAX(ENG_Plan!$M66,IFERROR(LOOKUP(2,1/($E$3:INDIRECT("E"&amp;(ROW()-1))=$E66),$M$3:INDIRECT("M"&amp;(ROW()-1))),ENG_Plan!$M66))))</f>
        <v/>
      </c>
      <c r="K66">
        <f>IF($A66="","",IFERROR(VLOOKUP(B66,CHOOSE(MATCH($C66,Settings!$L$4:$L$10,0),OPR_BR1!$A$4:$I$18,OPR_BR2!$A$4:$I$18,OPR_CR2!$A$4:$I$18,OPR_CR3!$A$4:$I$18,OPR_CR4!$A$4:$I$18,OPR_RIM!$A$4:$I$18,OPR_BPR!$A$4:$I$18),7,0),0))</f>
        <v/>
      </c>
      <c r="L66">
        <f>IF($A66="","",K66*D66)</f>
        <v/>
      </c>
      <c r="M66" s="16">
        <f>IF($A66="","",IF(AND(ISNUMBER(G66),G66&gt;=J66,G66&lt;=(J66+(L66/(IF(F66="Contract Workman",Settings!$K$5,Settings!$K$4))))),J66+(L66/(IF(F66="Contract Workman",Settings!$K$5,Settings!$K$4)))+(H66/(IF(F66="Contract Workman",Settings!$K$5,Settings!$K$4))),J66+(L66/(IF(F66="Contract Workman",Settings!$K$5,Settings!$K$4)))))</f>
        <v/>
      </c>
      <c r="N66">
        <f>IF($A66="","",IF(F66="Contract Workman",IF(AND(MOD(M66,1)&gt;=8/24,MOD(M66,1)&lt;20/24),"Shift S1","Shift S2"),IF(AND(MOD(M66,1)&gt;=7/24,MOD(M66,1)&lt;15/24),"Shift A",IF(AND(MOD(M66,1)&gt;=15/24,MOD(M66,1)&lt;23/24),"Shift B","Shift C"))))</f>
        <v/>
      </c>
      <c r="O66">
        <f>IF(B66="","",IF(IFERROR(ISNUMBER(SEARCH(TEXT(B66,"0"),VLOOKUP(E66,Machine_List!$B:$J,9,0))),FALSE),"✅ "&amp; E66,"❌ Sug: "&amp;IFERROR(INDEX(Machine_List!$B$64:$B$71,MATCH(1,(Machine_List!$H$64:$H$71&lt;=IFERROR(VLOOKUP($B66,OPR_BR1!$A$4:$K$18,10,0),0))*(Machine_List!$I$64:$I$71&gt;=IFERROR(VLOOKUP($B66,OPR_BR1!$A$4:$K$18,11,0),9999)),0)),"?")))</f>
        <v/>
      </c>
      <c r="P66">
        <f>IF(AND($A66&lt;&gt;"",P$3&gt;=$J66,P$3&lt;=$M66),1,"")</f>
        <v/>
      </c>
      <c r="Q66">
        <f>IF(AND($A66&lt;&gt;"",Q$3&gt;=$J66,Q$3&lt;=$M66),1,"")</f>
        <v/>
      </c>
      <c r="R66">
        <f>IF(AND($A66&lt;&gt;"",R$3&gt;=$J66,R$3&lt;=$M66),1,"")</f>
        <v/>
      </c>
      <c r="S66">
        <f>IF(AND($A66&lt;&gt;"",S$3&gt;=$J66,S$3&lt;=$M66),1,"")</f>
        <v/>
      </c>
      <c r="T66">
        <f>IF(AND($A66&lt;&gt;"",T$3&gt;=$J66,T$3&lt;=$M66),1,"")</f>
        <v/>
      </c>
      <c r="U66">
        <f>IF(AND($A66&lt;&gt;"",U$3&gt;=$J66,U$3&lt;=$M66),1,"")</f>
        <v/>
      </c>
      <c r="V66">
        <f>IF(AND($A66&lt;&gt;"",V$3&gt;=$J66,V$3&lt;=$M66),1,"")</f>
        <v/>
      </c>
      <c r="W66">
        <f>IF(AND($A66&lt;&gt;"",W$3&gt;=$J66,W$3&lt;=$M66),1,"")</f>
        <v/>
      </c>
      <c r="X66">
        <f>IF(AND($A66&lt;&gt;"",X$3&gt;=$J66,X$3&lt;=$M66),1,"")</f>
        <v/>
      </c>
      <c r="Y66">
        <f>IF(AND($A66&lt;&gt;"",Y$3&gt;=$J66,Y$3&lt;=$M66),1,"")</f>
        <v/>
      </c>
      <c r="Z66">
        <f>IF(AND($A66&lt;&gt;"",Z$3&gt;=$J66,Z$3&lt;=$M66),1,"")</f>
        <v/>
      </c>
      <c r="AA66">
        <f>IF(AND($A66&lt;&gt;"",AA$3&gt;=$J66,AA$3&lt;=$M66),1,"")</f>
        <v/>
      </c>
      <c r="AB66">
        <f>IF(AND($A66&lt;&gt;"",AB$3&gt;=$J66,AB$3&lt;=$M66),1,"")</f>
        <v/>
      </c>
      <c r="AC66">
        <f>IF(AND($A66&lt;&gt;"",AC$3&gt;=$J66,AC$3&lt;=$M66),1,"")</f>
        <v/>
      </c>
      <c r="AD66">
        <f>IF(AND($A66&lt;&gt;"",AD$3&gt;=$J66,AD$3&lt;=$M66),1,"")</f>
        <v/>
      </c>
      <c r="AE66">
        <f>IF(AND($A66&lt;&gt;"",AE$3&gt;=$J66,AE$3&lt;=$M66),1,"")</f>
        <v/>
      </c>
      <c r="AF66">
        <f>IF(AND($A66&lt;&gt;"",AF$3&gt;=$J66,AF$3&lt;=$M66),1,"")</f>
        <v/>
      </c>
      <c r="AG66">
        <f>IF(AND($A66&lt;&gt;"",AG$3&gt;=$J66,AG$3&lt;=$M66),1,"")</f>
        <v/>
      </c>
      <c r="AH66">
        <f>IF(AND($A66&lt;&gt;"",AH$3&gt;=$J66,AH$3&lt;=$M66),1,"")</f>
        <v/>
      </c>
      <c r="AI66">
        <f>IF(AND($A66&lt;&gt;"",AI$3&gt;=$J66,AI$3&lt;=$M66),1,"")</f>
        <v/>
      </c>
      <c r="AJ66">
        <f>IF(AND($A66&lt;&gt;"",AJ$3&gt;=$J66,AJ$3&lt;=$M66),1,"")</f>
        <v/>
      </c>
      <c r="AK66">
        <f>IF(AND($A66&lt;&gt;"",AK$3&gt;=$J66,AK$3&lt;=$M66),1,"")</f>
        <v/>
      </c>
      <c r="AL66">
        <f>IF(AND($A66&lt;&gt;"",AL$3&gt;=$J66,AL$3&lt;=$M66),1,"")</f>
        <v/>
      </c>
      <c r="AM66">
        <f>IF(AND($A66&lt;&gt;"",AM$3&gt;=$J66,AM$3&lt;=$M66),1,"")</f>
        <v/>
      </c>
      <c r="AN66">
        <f>IF(AND($A66&lt;&gt;"",AN$3&gt;=$J66,AN$3&lt;=$M66),1,"")</f>
        <v/>
      </c>
      <c r="AO66">
        <f>IF(AND($A66&lt;&gt;"",AO$3&gt;=$J66,AO$3&lt;=$M66),1,"")</f>
        <v/>
      </c>
      <c r="AP66">
        <f>IF(AND($A66&lt;&gt;"",AP$3&gt;=$J66,AP$3&lt;=$M66),1,"")</f>
        <v/>
      </c>
      <c r="AQ66">
        <f>IF(AND($A66&lt;&gt;"",AQ$3&gt;=$J66,AQ$3&lt;=$M66),1,"")</f>
        <v/>
      </c>
      <c r="AR66">
        <f>IF(AND($A66&lt;&gt;"",AR$3&gt;=$J66,AR$3&lt;=$M66),1,"")</f>
        <v/>
      </c>
      <c r="AS66">
        <f>IF(AND($A66&lt;&gt;"",AS$3&gt;=$J66,AS$3&lt;=$M66),1,"")</f>
        <v/>
      </c>
      <c r="AT66">
        <f>IF(AND($A66&lt;&gt;"",AT$3&gt;=$J66,AT$3&lt;=$M66),1,"")</f>
        <v/>
      </c>
      <c r="AU66">
        <f>IF(AND($A66&lt;&gt;"",AU$3&gt;=$J66,AU$3&lt;=$M66),1,"")</f>
        <v/>
      </c>
      <c r="AV66">
        <f>IF(AND($A66&lt;&gt;"",AV$3&gt;=$J66,AV$3&lt;=$M66),1,"")</f>
        <v/>
      </c>
      <c r="AW66">
        <f>IF(AND($A66&lt;&gt;"",AW$3&gt;=$J66,AW$3&lt;=$M66),1,"")</f>
        <v/>
      </c>
      <c r="AX66">
        <f>IF(AND($A66&lt;&gt;"",AX$3&gt;=$J66,AX$3&lt;=$M66),1,"")</f>
        <v/>
      </c>
      <c r="AY66">
        <f>IF(AND($A66&lt;&gt;"",AY$3&gt;=$J66,AY$3&lt;=$M66),1,"")</f>
        <v/>
      </c>
      <c r="AZ66">
        <f>IF(AND($A66&lt;&gt;"",AZ$3&gt;=$J66,AZ$3&lt;=$M66),1,"")</f>
        <v/>
      </c>
      <c r="BA66">
        <f>IF(AND($A66&lt;&gt;"",BA$3&gt;=$J66,BA$3&lt;=$M66),1,"")</f>
        <v/>
      </c>
      <c r="BB66">
        <f>IF(AND($A66&lt;&gt;"",BB$3&gt;=$J66,BB$3&lt;=$M66),1,"")</f>
        <v/>
      </c>
      <c r="BC66">
        <f>IF(AND($A66&lt;&gt;"",BC$3&gt;=$J66,BC$3&lt;=$M66),1,"")</f>
        <v/>
      </c>
      <c r="BD66">
        <f>IF(AND($A66&lt;&gt;"",BD$3&gt;=$J66,BD$3&lt;=$M66),1,"")</f>
        <v/>
      </c>
      <c r="BE66">
        <f>IF(AND($A66&lt;&gt;"",BE$3&gt;=$J66,BE$3&lt;=$M66),1,"")</f>
        <v/>
      </c>
      <c r="BF66">
        <f>IF(AND($A66&lt;&gt;"",BF$3&gt;=$J66,BF$3&lt;=$M66),1,"")</f>
        <v/>
      </c>
      <c r="BG66">
        <f>IF(AND($A66&lt;&gt;"",BG$3&gt;=$J66,BG$3&lt;=$M66),1,"")</f>
        <v/>
      </c>
      <c r="BH66">
        <f>IF(AND($A66&lt;&gt;"",BH$3&gt;=$J66,BH$3&lt;=$M66),1,"")</f>
        <v/>
      </c>
      <c r="BI66">
        <f>IF(AND($A66&lt;&gt;"",BI$3&gt;=$J66,BI$3&lt;=$M66),1,"")</f>
        <v/>
      </c>
      <c r="BJ66">
        <f>IF(AND($A66&lt;&gt;"",BJ$3&gt;=$J66,BJ$3&lt;=$M66),1,"")</f>
        <v/>
      </c>
      <c r="BK66">
        <f>IF(AND($A66&lt;&gt;"",BK$3&gt;=$J66,BK$3&lt;=$M66),1,"")</f>
        <v/>
      </c>
      <c r="BL66">
        <f>IF(AND($A66&lt;&gt;"",BL$3&gt;=$J66,BL$3&lt;=$M66),1,"")</f>
        <v/>
      </c>
      <c r="BM66">
        <f>IF(AND($A66&lt;&gt;"",BM$3&gt;=$J66,BM$3&lt;=$M66),1,"")</f>
        <v/>
      </c>
      <c r="BN66">
        <f>IF(AND($A66&lt;&gt;"",BN$3&gt;=$J66,BN$3&lt;=$M66),1,"")</f>
        <v/>
      </c>
      <c r="BO66">
        <f>IF(AND($A66&lt;&gt;"",BO$3&gt;=$J66,BO$3&lt;=$M66),1,"")</f>
        <v/>
      </c>
      <c r="BP66">
        <f>IF(AND($A66&lt;&gt;"",BP$3&gt;=$J66,BP$3&lt;=$M66),1,"")</f>
        <v/>
      </c>
      <c r="BQ66">
        <f>IF(AND($A66&lt;&gt;"",BQ$3&gt;=$J66,BQ$3&lt;=$M66),1,"")</f>
        <v/>
      </c>
      <c r="BR66">
        <f>IF(AND($A66&lt;&gt;"",BR$3&gt;=$J66,BR$3&lt;=$M66),1,"")</f>
        <v/>
      </c>
      <c r="BS66">
        <f>IF(AND($A66&lt;&gt;"",BS$3&gt;=$J66,BS$3&lt;=$M66),1,"")</f>
        <v/>
      </c>
      <c r="BT66">
        <f>IF(AND($A66&lt;&gt;"",BT$3&gt;=$J66,BT$3&lt;=$M66),1,"")</f>
        <v/>
      </c>
      <c r="BU66">
        <f>IF(AND($A66&lt;&gt;"",BU$3&gt;=$J66,BU$3&lt;=$M66),1,"")</f>
        <v/>
      </c>
      <c r="BV66">
        <f>IF(AND($A66&lt;&gt;"",BV$3&gt;=$J66,BV$3&lt;=$M66),1,"")</f>
        <v/>
      </c>
    </row>
    <row r="67">
      <c r="A67">
        <f>IF(Job_Master_Ring!$A67="","",Job_Master_Ring!$A67)</f>
        <v/>
      </c>
      <c r="B67">
        <f>IF($A67="","",Job_Master_Ring!B67)</f>
        <v/>
      </c>
      <c r="C67">
        <f>IF($A67="","",Job_Master_Ring!C67)</f>
        <v/>
      </c>
      <c r="D67">
        <f>IF($A67="","",Job_Master_Ring!D67)</f>
        <v/>
      </c>
      <c r="E67">
        <f>IF($A67="","",IF($I67&lt;&gt;"",$I67,IFERROR(INDEX(Machine_List!$B$64:$B$71,MATCH(1,(Machine_List!$H$64:$H$71&lt;=IFERROR(VLOOKUP($B67,CHOOSE(MATCH($C67,Settings!$L$4:$L$10,0),OPR_BR1!$A$4:$K$18,OPR_BR2!$A$4:$K$18,OPR_CR2!$A$4:$K$18,OPR_CR3!$A$4:$K$18,OPR_CR4!$A$4:$K$18,OPR_RIM!$A$4:$K$18,OPR_BPR!$A$4:$K$18),10,0),0))*(Machine_List!$I$64:$I$71&gt;=IFERROR(VLOOKUP($B67,CHOOSE(MATCH($C67,Settings!$L$4:$L$10,0),OPR_BR1!$A$4:$K$18,OPR_BR2!$A$4:$K$18,OPR_CR2!$A$4:$K$18,OPR_CR3!$A$4:$K$18,OPR_CR4!$A$4:$K$18,OPR_RIM!$A$4:$K$18,OPR_BPR!$A$4:$K$18),11,0),9999)),0)),"NO COMPATIBLE MACHINE")))</f>
        <v/>
      </c>
      <c r="F67">
        <f>IF($E67="","",IFERROR(VLOOKUP($E67,Machine_List!$B:$G,6,0),""))</f>
        <v/>
      </c>
      <c r="G67" s="17">
        <f>IF($E67="","",IFERROR(VLOOKUP($E67,Machine_List!$B:$C,2,0),""))</f>
        <v/>
      </c>
      <c r="H67">
        <f>IF($E67="","",IFERROR(VLOOKUP($E67,Machine_List!$B:$D,3,0),""))</f>
        <v/>
      </c>
      <c r="J67" s="16">
        <f>IF($A67="","",IF($I67&lt;&gt;"",$I67,MAX(ENG_Plan!$M67,IFERROR(LOOKUP(2,1/($E$3:INDIRECT("E"&amp;(ROW()-1))=$E67),$M$3:INDIRECT("M"&amp;(ROW()-1))),ENG_Plan!$M67))))</f>
        <v/>
      </c>
      <c r="K67">
        <f>IF($A67="","",IFERROR(VLOOKUP(B67,CHOOSE(MATCH($C67,Settings!$L$4:$L$10,0),OPR_BR1!$A$4:$I$18,OPR_BR2!$A$4:$I$18,OPR_CR2!$A$4:$I$18,OPR_CR3!$A$4:$I$18,OPR_CR4!$A$4:$I$18,OPR_RIM!$A$4:$I$18,OPR_BPR!$A$4:$I$18),7,0),0))</f>
        <v/>
      </c>
      <c r="L67">
        <f>IF($A67="","",K67*D67)</f>
        <v/>
      </c>
      <c r="M67" s="16">
        <f>IF($A67="","",IF(AND(ISNUMBER(G67),G67&gt;=J67,G67&lt;=(J67+(L67/(IF(F67="Contract Workman",Settings!$K$5,Settings!$K$4))))),J67+(L67/(IF(F67="Contract Workman",Settings!$K$5,Settings!$K$4)))+(H67/(IF(F67="Contract Workman",Settings!$K$5,Settings!$K$4))),J67+(L67/(IF(F67="Contract Workman",Settings!$K$5,Settings!$K$4)))))</f>
        <v/>
      </c>
      <c r="N67">
        <f>IF($A67="","",IF(F67="Contract Workman",IF(AND(MOD(M67,1)&gt;=8/24,MOD(M67,1)&lt;20/24),"Shift S1","Shift S2"),IF(AND(MOD(M67,1)&gt;=7/24,MOD(M67,1)&lt;15/24),"Shift A",IF(AND(MOD(M67,1)&gt;=15/24,MOD(M67,1)&lt;23/24),"Shift B","Shift C"))))</f>
        <v/>
      </c>
      <c r="O67">
        <f>IF(B67="","",IF(IFERROR(ISNUMBER(SEARCH(TEXT(B67,"0"),VLOOKUP(E67,Machine_List!$B:$J,9,0))),FALSE),"✅ "&amp; E67,"❌ Sug: "&amp;IFERROR(INDEX(Machine_List!$B$64:$B$71,MATCH(1,(Machine_List!$H$64:$H$71&lt;=IFERROR(VLOOKUP($B67,OPR_BR1!$A$4:$K$18,10,0),0))*(Machine_List!$I$64:$I$71&gt;=IFERROR(VLOOKUP($B67,OPR_BR1!$A$4:$K$18,11,0),9999)),0)),"?")))</f>
        <v/>
      </c>
      <c r="P67">
        <f>IF(AND($A67&lt;&gt;"",P$3&gt;=$J67,P$3&lt;=$M67),1,"")</f>
        <v/>
      </c>
      <c r="Q67">
        <f>IF(AND($A67&lt;&gt;"",Q$3&gt;=$J67,Q$3&lt;=$M67),1,"")</f>
        <v/>
      </c>
      <c r="R67">
        <f>IF(AND($A67&lt;&gt;"",R$3&gt;=$J67,R$3&lt;=$M67),1,"")</f>
        <v/>
      </c>
      <c r="S67">
        <f>IF(AND($A67&lt;&gt;"",S$3&gt;=$J67,S$3&lt;=$M67),1,"")</f>
        <v/>
      </c>
      <c r="T67">
        <f>IF(AND($A67&lt;&gt;"",T$3&gt;=$J67,T$3&lt;=$M67),1,"")</f>
        <v/>
      </c>
      <c r="U67">
        <f>IF(AND($A67&lt;&gt;"",U$3&gt;=$J67,U$3&lt;=$M67),1,"")</f>
        <v/>
      </c>
      <c r="V67">
        <f>IF(AND($A67&lt;&gt;"",V$3&gt;=$J67,V$3&lt;=$M67),1,"")</f>
        <v/>
      </c>
      <c r="W67">
        <f>IF(AND($A67&lt;&gt;"",W$3&gt;=$J67,W$3&lt;=$M67),1,"")</f>
        <v/>
      </c>
      <c r="X67">
        <f>IF(AND($A67&lt;&gt;"",X$3&gt;=$J67,X$3&lt;=$M67),1,"")</f>
        <v/>
      </c>
      <c r="Y67">
        <f>IF(AND($A67&lt;&gt;"",Y$3&gt;=$J67,Y$3&lt;=$M67),1,"")</f>
        <v/>
      </c>
      <c r="Z67">
        <f>IF(AND($A67&lt;&gt;"",Z$3&gt;=$J67,Z$3&lt;=$M67),1,"")</f>
        <v/>
      </c>
      <c r="AA67">
        <f>IF(AND($A67&lt;&gt;"",AA$3&gt;=$J67,AA$3&lt;=$M67),1,"")</f>
        <v/>
      </c>
      <c r="AB67">
        <f>IF(AND($A67&lt;&gt;"",AB$3&gt;=$J67,AB$3&lt;=$M67),1,"")</f>
        <v/>
      </c>
      <c r="AC67">
        <f>IF(AND($A67&lt;&gt;"",AC$3&gt;=$J67,AC$3&lt;=$M67),1,"")</f>
        <v/>
      </c>
      <c r="AD67">
        <f>IF(AND($A67&lt;&gt;"",AD$3&gt;=$J67,AD$3&lt;=$M67),1,"")</f>
        <v/>
      </c>
      <c r="AE67">
        <f>IF(AND($A67&lt;&gt;"",AE$3&gt;=$J67,AE$3&lt;=$M67),1,"")</f>
        <v/>
      </c>
      <c r="AF67">
        <f>IF(AND($A67&lt;&gt;"",AF$3&gt;=$J67,AF$3&lt;=$M67),1,"")</f>
        <v/>
      </c>
      <c r="AG67">
        <f>IF(AND($A67&lt;&gt;"",AG$3&gt;=$J67,AG$3&lt;=$M67),1,"")</f>
        <v/>
      </c>
      <c r="AH67">
        <f>IF(AND($A67&lt;&gt;"",AH$3&gt;=$J67,AH$3&lt;=$M67),1,"")</f>
        <v/>
      </c>
      <c r="AI67">
        <f>IF(AND($A67&lt;&gt;"",AI$3&gt;=$J67,AI$3&lt;=$M67),1,"")</f>
        <v/>
      </c>
      <c r="AJ67">
        <f>IF(AND($A67&lt;&gt;"",AJ$3&gt;=$J67,AJ$3&lt;=$M67),1,"")</f>
        <v/>
      </c>
      <c r="AK67">
        <f>IF(AND($A67&lt;&gt;"",AK$3&gt;=$J67,AK$3&lt;=$M67),1,"")</f>
        <v/>
      </c>
      <c r="AL67">
        <f>IF(AND($A67&lt;&gt;"",AL$3&gt;=$J67,AL$3&lt;=$M67),1,"")</f>
        <v/>
      </c>
      <c r="AM67">
        <f>IF(AND($A67&lt;&gt;"",AM$3&gt;=$J67,AM$3&lt;=$M67),1,"")</f>
        <v/>
      </c>
      <c r="AN67">
        <f>IF(AND($A67&lt;&gt;"",AN$3&gt;=$J67,AN$3&lt;=$M67),1,"")</f>
        <v/>
      </c>
      <c r="AO67">
        <f>IF(AND($A67&lt;&gt;"",AO$3&gt;=$J67,AO$3&lt;=$M67),1,"")</f>
        <v/>
      </c>
      <c r="AP67">
        <f>IF(AND($A67&lt;&gt;"",AP$3&gt;=$J67,AP$3&lt;=$M67),1,"")</f>
        <v/>
      </c>
      <c r="AQ67">
        <f>IF(AND($A67&lt;&gt;"",AQ$3&gt;=$J67,AQ$3&lt;=$M67),1,"")</f>
        <v/>
      </c>
      <c r="AR67">
        <f>IF(AND($A67&lt;&gt;"",AR$3&gt;=$J67,AR$3&lt;=$M67),1,"")</f>
        <v/>
      </c>
      <c r="AS67">
        <f>IF(AND($A67&lt;&gt;"",AS$3&gt;=$J67,AS$3&lt;=$M67),1,"")</f>
        <v/>
      </c>
      <c r="AT67">
        <f>IF(AND($A67&lt;&gt;"",AT$3&gt;=$J67,AT$3&lt;=$M67),1,"")</f>
        <v/>
      </c>
      <c r="AU67">
        <f>IF(AND($A67&lt;&gt;"",AU$3&gt;=$J67,AU$3&lt;=$M67),1,"")</f>
        <v/>
      </c>
      <c r="AV67">
        <f>IF(AND($A67&lt;&gt;"",AV$3&gt;=$J67,AV$3&lt;=$M67),1,"")</f>
        <v/>
      </c>
      <c r="AW67">
        <f>IF(AND($A67&lt;&gt;"",AW$3&gt;=$J67,AW$3&lt;=$M67),1,"")</f>
        <v/>
      </c>
      <c r="AX67">
        <f>IF(AND($A67&lt;&gt;"",AX$3&gt;=$J67,AX$3&lt;=$M67),1,"")</f>
        <v/>
      </c>
      <c r="AY67">
        <f>IF(AND($A67&lt;&gt;"",AY$3&gt;=$J67,AY$3&lt;=$M67),1,"")</f>
        <v/>
      </c>
      <c r="AZ67">
        <f>IF(AND($A67&lt;&gt;"",AZ$3&gt;=$J67,AZ$3&lt;=$M67),1,"")</f>
        <v/>
      </c>
      <c r="BA67">
        <f>IF(AND($A67&lt;&gt;"",BA$3&gt;=$J67,BA$3&lt;=$M67),1,"")</f>
        <v/>
      </c>
      <c r="BB67">
        <f>IF(AND($A67&lt;&gt;"",BB$3&gt;=$J67,BB$3&lt;=$M67),1,"")</f>
        <v/>
      </c>
      <c r="BC67">
        <f>IF(AND($A67&lt;&gt;"",BC$3&gt;=$J67,BC$3&lt;=$M67),1,"")</f>
        <v/>
      </c>
      <c r="BD67">
        <f>IF(AND($A67&lt;&gt;"",BD$3&gt;=$J67,BD$3&lt;=$M67),1,"")</f>
        <v/>
      </c>
      <c r="BE67">
        <f>IF(AND($A67&lt;&gt;"",BE$3&gt;=$J67,BE$3&lt;=$M67),1,"")</f>
        <v/>
      </c>
      <c r="BF67">
        <f>IF(AND($A67&lt;&gt;"",BF$3&gt;=$J67,BF$3&lt;=$M67),1,"")</f>
        <v/>
      </c>
      <c r="BG67">
        <f>IF(AND($A67&lt;&gt;"",BG$3&gt;=$J67,BG$3&lt;=$M67),1,"")</f>
        <v/>
      </c>
      <c r="BH67">
        <f>IF(AND($A67&lt;&gt;"",BH$3&gt;=$J67,BH$3&lt;=$M67),1,"")</f>
        <v/>
      </c>
      <c r="BI67">
        <f>IF(AND($A67&lt;&gt;"",BI$3&gt;=$J67,BI$3&lt;=$M67),1,"")</f>
        <v/>
      </c>
      <c r="BJ67">
        <f>IF(AND($A67&lt;&gt;"",BJ$3&gt;=$J67,BJ$3&lt;=$M67),1,"")</f>
        <v/>
      </c>
      <c r="BK67">
        <f>IF(AND($A67&lt;&gt;"",BK$3&gt;=$J67,BK$3&lt;=$M67),1,"")</f>
        <v/>
      </c>
      <c r="BL67">
        <f>IF(AND($A67&lt;&gt;"",BL$3&gt;=$J67,BL$3&lt;=$M67),1,"")</f>
        <v/>
      </c>
      <c r="BM67">
        <f>IF(AND($A67&lt;&gt;"",BM$3&gt;=$J67,BM$3&lt;=$M67),1,"")</f>
        <v/>
      </c>
      <c r="BN67">
        <f>IF(AND($A67&lt;&gt;"",BN$3&gt;=$J67,BN$3&lt;=$M67),1,"")</f>
        <v/>
      </c>
      <c r="BO67">
        <f>IF(AND($A67&lt;&gt;"",BO$3&gt;=$J67,BO$3&lt;=$M67),1,"")</f>
        <v/>
      </c>
      <c r="BP67">
        <f>IF(AND($A67&lt;&gt;"",BP$3&gt;=$J67,BP$3&lt;=$M67),1,"")</f>
        <v/>
      </c>
      <c r="BQ67">
        <f>IF(AND($A67&lt;&gt;"",BQ$3&gt;=$J67,BQ$3&lt;=$M67),1,"")</f>
        <v/>
      </c>
      <c r="BR67">
        <f>IF(AND($A67&lt;&gt;"",BR$3&gt;=$J67,BR$3&lt;=$M67),1,"")</f>
        <v/>
      </c>
      <c r="BS67">
        <f>IF(AND($A67&lt;&gt;"",BS$3&gt;=$J67,BS$3&lt;=$M67),1,"")</f>
        <v/>
      </c>
      <c r="BT67">
        <f>IF(AND($A67&lt;&gt;"",BT$3&gt;=$J67,BT$3&lt;=$M67),1,"")</f>
        <v/>
      </c>
      <c r="BU67">
        <f>IF(AND($A67&lt;&gt;"",BU$3&gt;=$J67,BU$3&lt;=$M67),1,"")</f>
        <v/>
      </c>
      <c r="BV67">
        <f>IF(AND($A67&lt;&gt;"",BV$3&gt;=$J67,BV$3&lt;=$M67),1,"")</f>
        <v/>
      </c>
    </row>
    <row r="68">
      <c r="A68">
        <f>IF(Job_Master_Ring!$A68="","",Job_Master_Ring!$A68)</f>
        <v/>
      </c>
      <c r="B68">
        <f>IF($A68="","",Job_Master_Ring!B68)</f>
        <v/>
      </c>
      <c r="C68">
        <f>IF($A68="","",Job_Master_Ring!C68)</f>
        <v/>
      </c>
      <c r="D68">
        <f>IF($A68="","",Job_Master_Ring!D68)</f>
        <v/>
      </c>
      <c r="E68">
        <f>IF($A68="","",IF($I68&lt;&gt;"",$I68,IFERROR(INDEX(Machine_List!$B$64:$B$71,MATCH(1,(Machine_List!$H$64:$H$71&lt;=IFERROR(VLOOKUP($B68,CHOOSE(MATCH($C68,Settings!$L$4:$L$10,0),OPR_BR1!$A$4:$K$18,OPR_BR2!$A$4:$K$18,OPR_CR2!$A$4:$K$18,OPR_CR3!$A$4:$K$18,OPR_CR4!$A$4:$K$18,OPR_RIM!$A$4:$K$18,OPR_BPR!$A$4:$K$18),10,0),0))*(Machine_List!$I$64:$I$71&gt;=IFERROR(VLOOKUP($B68,CHOOSE(MATCH($C68,Settings!$L$4:$L$10,0),OPR_BR1!$A$4:$K$18,OPR_BR2!$A$4:$K$18,OPR_CR2!$A$4:$K$18,OPR_CR3!$A$4:$K$18,OPR_CR4!$A$4:$K$18,OPR_RIM!$A$4:$K$18,OPR_BPR!$A$4:$K$18),11,0),9999)),0)),"NO COMPATIBLE MACHINE")))</f>
        <v/>
      </c>
      <c r="F68">
        <f>IF($E68="","",IFERROR(VLOOKUP($E68,Machine_List!$B:$G,6,0),""))</f>
        <v/>
      </c>
      <c r="G68" s="17">
        <f>IF($E68="","",IFERROR(VLOOKUP($E68,Machine_List!$B:$C,2,0),""))</f>
        <v/>
      </c>
      <c r="H68">
        <f>IF($E68="","",IFERROR(VLOOKUP($E68,Machine_List!$B:$D,3,0),""))</f>
        <v/>
      </c>
      <c r="J68" s="16">
        <f>IF($A68="","",IF($I68&lt;&gt;"",$I68,MAX(ENG_Plan!$M68,IFERROR(LOOKUP(2,1/($E$3:INDIRECT("E"&amp;(ROW()-1))=$E68),$M$3:INDIRECT("M"&amp;(ROW()-1))),ENG_Plan!$M68))))</f>
        <v/>
      </c>
      <c r="K68">
        <f>IF($A68="","",IFERROR(VLOOKUP(B68,CHOOSE(MATCH($C68,Settings!$L$4:$L$10,0),OPR_BR1!$A$4:$I$18,OPR_BR2!$A$4:$I$18,OPR_CR2!$A$4:$I$18,OPR_CR3!$A$4:$I$18,OPR_CR4!$A$4:$I$18,OPR_RIM!$A$4:$I$18,OPR_BPR!$A$4:$I$18),7,0),0))</f>
        <v/>
      </c>
      <c r="L68">
        <f>IF($A68="","",K68*D68)</f>
        <v/>
      </c>
      <c r="M68" s="16">
        <f>IF($A68="","",IF(AND(ISNUMBER(G68),G68&gt;=J68,G68&lt;=(J68+(L68/(IF(F68="Contract Workman",Settings!$K$5,Settings!$K$4))))),J68+(L68/(IF(F68="Contract Workman",Settings!$K$5,Settings!$K$4)))+(H68/(IF(F68="Contract Workman",Settings!$K$5,Settings!$K$4))),J68+(L68/(IF(F68="Contract Workman",Settings!$K$5,Settings!$K$4)))))</f>
        <v/>
      </c>
      <c r="N68">
        <f>IF($A68="","",IF(F68="Contract Workman",IF(AND(MOD(M68,1)&gt;=8/24,MOD(M68,1)&lt;20/24),"Shift S1","Shift S2"),IF(AND(MOD(M68,1)&gt;=7/24,MOD(M68,1)&lt;15/24),"Shift A",IF(AND(MOD(M68,1)&gt;=15/24,MOD(M68,1)&lt;23/24),"Shift B","Shift C"))))</f>
        <v/>
      </c>
      <c r="O68">
        <f>IF(B68="","",IF(IFERROR(ISNUMBER(SEARCH(TEXT(B68,"0"),VLOOKUP(E68,Machine_List!$B:$J,9,0))),FALSE),"✅ "&amp; E68,"❌ Sug: "&amp;IFERROR(INDEX(Machine_List!$B$64:$B$71,MATCH(1,(Machine_List!$H$64:$H$71&lt;=IFERROR(VLOOKUP($B68,OPR_BR1!$A$4:$K$18,10,0),0))*(Machine_List!$I$64:$I$71&gt;=IFERROR(VLOOKUP($B68,OPR_BR1!$A$4:$K$18,11,0),9999)),0)),"?")))</f>
        <v/>
      </c>
      <c r="P68">
        <f>IF(AND($A68&lt;&gt;"",P$3&gt;=$J68,P$3&lt;=$M68),1,"")</f>
        <v/>
      </c>
      <c r="Q68">
        <f>IF(AND($A68&lt;&gt;"",Q$3&gt;=$J68,Q$3&lt;=$M68),1,"")</f>
        <v/>
      </c>
      <c r="R68">
        <f>IF(AND($A68&lt;&gt;"",R$3&gt;=$J68,R$3&lt;=$M68),1,"")</f>
        <v/>
      </c>
      <c r="S68">
        <f>IF(AND($A68&lt;&gt;"",S$3&gt;=$J68,S$3&lt;=$M68),1,"")</f>
        <v/>
      </c>
      <c r="T68">
        <f>IF(AND($A68&lt;&gt;"",T$3&gt;=$J68,T$3&lt;=$M68),1,"")</f>
        <v/>
      </c>
      <c r="U68">
        <f>IF(AND($A68&lt;&gt;"",U$3&gt;=$J68,U$3&lt;=$M68),1,"")</f>
        <v/>
      </c>
      <c r="V68">
        <f>IF(AND($A68&lt;&gt;"",V$3&gt;=$J68,V$3&lt;=$M68),1,"")</f>
        <v/>
      </c>
      <c r="W68">
        <f>IF(AND($A68&lt;&gt;"",W$3&gt;=$J68,W$3&lt;=$M68),1,"")</f>
        <v/>
      </c>
      <c r="X68">
        <f>IF(AND($A68&lt;&gt;"",X$3&gt;=$J68,X$3&lt;=$M68),1,"")</f>
        <v/>
      </c>
      <c r="Y68">
        <f>IF(AND($A68&lt;&gt;"",Y$3&gt;=$J68,Y$3&lt;=$M68),1,"")</f>
        <v/>
      </c>
      <c r="Z68">
        <f>IF(AND($A68&lt;&gt;"",Z$3&gt;=$J68,Z$3&lt;=$M68),1,"")</f>
        <v/>
      </c>
      <c r="AA68">
        <f>IF(AND($A68&lt;&gt;"",AA$3&gt;=$J68,AA$3&lt;=$M68),1,"")</f>
        <v/>
      </c>
      <c r="AB68">
        <f>IF(AND($A68&lt;&gt;"",AB$3&gt;=$J68,AB$3&lt;=$M68),1,"")</f>
        <v/>
      </c>
      <c r="AC68">
        <f>IF(AND($A68&lt;&gt;"",AC$3&gt;=$J68,AC$3&lt;=$M68),1,"")</f>
        <v/>
      </c>
      <c r="AD68">
        <f>IF(AND($A68&lt;&gt;"",AD$3&gt;=$J68,AD$3&lt;=$M68),1,"")</f>
        <v/>
      </c>
      <c r="AE68">
        <f>IF(AND($A68&lt;&gt;"",AE$3&gt;=$J68,AE$3&lt;=$M68),1,"")</f>
        <v/>
      </c>
      <c r="AF68">
        <f>IF(AND($A68&lt;&gt;"",AF$3&gt;=$J68,AF$3&lt;=$M68),1,"")</f>
        <v/>
      </c>
      <c r="AG68">
        <f>IF(AND($A68&lt;&gt;"",AG$3&gt;=$J68,AG$3&lt;=$M68),1,"")</f>
        <v/>
      </c>
      <c r="AH68">
        <f>IF(AND($A68&lt;&gt;"",AH$3&gt;=$J68,AH$3&lt;=$M68),1,"")</f>
        <v/>
      </c>
      <c r="AI68">
        <f>IF(AND($A68&lt;&gt;"",AI$3&gt;=$J68,AI$3&lt;=$M68),1,"")</f>
        <v/>
      </c>
      <c r="AJ68">
        <f>IF(AND($A68&lt;&gt;"",AJ$3&gt;=$J68,AJ$3&lt;=$M68),1,"")</f>
        <v/>
      </c>
      <c r="AK68">
        <f>IF(AND($A68&lt;&gt;"",AK$3&gt;=$J68,AK$3&lt;=$M68),1,"")</f>
        <v/>
      </c>
      <c r="AL68">
        <f>IF(AND($A68&lt;&gt;"",AL$3&gt;=$J68,AL$3&lt;=$M68),1,"")</f>
        <v/>
      </c>
      <c r="AM68">
        <f>IF(AND($A68&lt;&gt;"",AM$3&gt;=$J68,AM$3&lt;=$M68),1,"")</f>
        <v/>
      </c>
      <c r="AN68">
        <f>IF(AND($A68&lt;&gt;"",AN$3&gt;=$J68,AN$3&lt;=$M68),1,"")</f>
        <v/>
      </c>
      <c r="AO68">
        <f>IF(AND($A68&lt;&gt;"",AO$3&gt;=$J68,AO$3&lt;=$M68),1,"")</f>
        <v/>
      </c>
      <c r="AP68">
        <f>IF(AND($A68&lt;&gt;"",AP$3&gt;=$J68,AP$3&lt;=$M68),1,"")</f>
        <v/>
      </c>
      <c r="AQ68">
        <f>IF(AND($A68&lt;&gt;"",AQ$3&gt;=$J68,AQ$3&lt;=$M68),1,"")</f>
        <v/>
      </c>
      <c r="AR68">
        <f>IF(AND($A68&lt;&gt;"",AR$3&gt;=$J68,AR$3&lt;=$M68),1,"")</f>
        <v/>
      </c>
      <c r="AS68">
        <f>IF(AND($A68&lt;&gt;"",AS$3&gt;=$J68,AS$3&lt;=$M68),1,"")</f>
        <v/>
      </c>
      <c r="AT68">
        <f>IF(AND($A68&lt;&gt;"",AT$3&gt;=$J68,AT$3&lt;=$M68),1,"")</f>
        <v/>
      </c>
      <c r="AU68">
        <f>IF(AND($A68&lt;&gt;"",AU$3&gt;=$J68,AU$3&lt;=$M68),1,"")</f>
        <v/>
      </c>
      <c r="AV68">
        <f>IF(AND($A68&lt;&gt;"",AV$3&gt;=$J68,AV$3&lt;=$M68),1,"")</f>
        <v/>
      </c>
      <c r="AW68">
        <f>IF(AND($A68&lt;&gt;"",AW$3&gt;=$J68,AW$3&lt;=$M68),1,"")</f>
        <v/>
      </c>
      <c r="AX68">
        <f>IF(AND($A68&lt;&gt;"",AX$3&gt;=$J68,AX$3&lt;=$M68),1,"")</f>
        <v/>
      </c>
      <c r="AY68">
        <f>IF(AND($A68&lt;&gt;"",AY$3&gt;=$J68,AY$3&lt;=$M68),1,"")</f>
        <v/>
      </c>
      <c r="AZ68">
        <f>IF(AND($A68&lt;&gt;"",AZ$3&gt;=$J68,AZ$3&lt;=$M68),1,"")</f>
        <v/>
      </c>
      <c r="BA68">
        <f>IF(AND($A68&lt;&gt;"",BA$3&gt;=$J68,BA$3&lt;=$M68),1,"")</f>
        <v/>
      </c>
      <c r="BB68">
        <f>IF(AND($A68&lt;&gt;"",BB$3&gt;=$J68,BB$3&lt;=$M68),1,"")</f>
        <v/>
      </c>
      <c r="BC68">
        <f>IF(AND($A68&lt;&gt;"",BC$3&gt;=$J68,BC$3&lt;=$M68),1,"")</f>
        <v/>
      </c>
      <c r="BD68">
        <f>IF(AND($A68&lt;&gt;"",BD$3&gt;=$J68,BD$3&lt;=$M68),1,"")</f>
        <v/>
      </c>
      <c r="BE68">
        <f>IF(AND($A68&lt;&gt;"",BE$3&gt;=$J68,BE$3&lt;=$M68),1,"")</f>
        <v/>
      </c>
      <c r="BF68">
        <f>IF(AND($A68&lt;&gt;"",BF$3&gt;=$J68,BF$3&lt;=$M68),1,"")</f>
        <v/>
      </c>
      <c r="BG68">
        <f>IF(AND($A68&lt;&gt;"",BG$3&gt;=$J68,BG$3&lt;=$M68),1,"")</f>
        <v/>
      </c>
      <c r="BH68">
        <f>IF(AND($A68&lt;&gt;"",BH$3&gt;=$J68,BH$3&lt;=$M68),1,"")</f>
        <v/>
      </c>
      <c r="BI68">
        <f>IF(AND($A68&lt;&gt;"",BI$3&gt;=$J68,BI$3&lt;=$M68),1,"")</f>
        <v/>
      </c>
      <c r="BJ68">
        <f>IF(AND($A68&lt;&gt;"",BJ$3&gt;=$J68,BJ$3&lt;=$M68),1,"")</f>
        <v/>
      </c>
      <c r="BK68">
        <f>IF(AND($A68&lt;&gt;"",BK$3&gt;=$J68,BK$3&lt;=$M68),1,"")</f>
        <v/>
      </c>
      <c r="BL68">
        <f>IF(AND($A68&lt;&gt;"",BL$3&gt;=$J68,BL$3&lt;=$M68),1,"")</f>
        <v/>
      </c>
      <c r="BM68">
        <f>IF(AND($A68&lt;&gt;"",BM$3&gt;=$J68,BM$3&lt;=$M68),1,"")</f>
        <v/>
      </c>
      <c r="BN68">
        <f>IF(AND($A68&lt;&gt;"",BN$3&gt;=$J68,BN$3&lt;=$M68),1,"")</f>
        <v/>
      </c>
      <c r="BO68">
        <f>IF(AND($A68&lt;&gt;"",BO$3&gt;=$J68,BO$3&lt;=$M68),1,"")</f>
        <v/>
      </c>
      <c r="BP68">
        <f>IF(AND($A68&lt;&gt;"",BP$3&gt;=$J68,BP$3&lt;=$M68),1,"")</f>
        <v/>
      </c>
      <c r="BQ68">
        <f>IF(AND($A68&lt;&gt;"",BQ$3&gt;=$J68,BQ$3&lt;=$M68),1,"")</f>
        <v/>
      </c>
      <c r="BR68">
        <f>IF(AND($A68&lt;&gt;"",BR$3&gt;=$J68,BR$3&lt;=$M68),1,"")</f>
        <v/>
      </c>
      <c r="BS68">
        <f>IF(AND($A68&lt;&gt;"",BS$3&gt;=$J68,BS$3&lt;=$M68),1,"")</f>
        <v/>
      </c>
      <c r="BT68">
        <f>IF(AND($A68&lt;&gt;"",BT$3&gt;=$J68,BT$3&lt;=$M68),1,"")</f>
        <v/>
      </c>
      <c r="BU68">
        <f>IF(AND($A68&lt;&gt;"",BU$3&gt;=$J68,BU$3&lt;=$M68),1,"")</f>
        <v/>
      </c>
      <c r="BV68">
        <f>IF(AND($A68&lt;&gt;"",BV$3&gt;=$J68,BV$3&lt;=$M68),1,"")</f>
        <v/>
      </c>
    </row>
    <row r="69">
      <c r="A69">
        <f>IF(Job_Master_Ring!$A69="","",Job_Master_Ring!$A69)</f>
        <v/>
      </c>
      <c r="B69">
        <f>IF($A69="","",Job_Master_Ring!B69)</f>
        <v/>
      </c>
      <c r="C69">
        <f>IF($A69="","",Job_Master_Ring!C69)</f>
        <v/>
      </c>
      <c r="D69">
        <f>IF($A69="","",Job_Master_Ring!D69)</f>
        <v/>
      </c>
      <c r="E69">
        <f>IF($A69="","",IF($I69&lt;&gt;"",$I69,IFERROR(INDEX(Machine_List!$B$64:$B$71,MATCH(1,(Machine_List!$H$64:$H$71&lt;=IFERROR(VLOOKUP($B69,CHOOSE(MATCH($C69,Settings!$L$4:$L$10,0),OPR_BR1!$A$4:$K$18,OPR_BR2!$A$4:$K$18,OPR_CR2!$A$4:$K$18,OPR_CR3!$A$4:$K$18,OPR_CR4!$A$4:$K$18,OPR_RIM!$A$4:$K$18,OPR_BPR!$A$4:$K$18),10,0),0))*(Machine_List!$I$64:$I$71&gt;=IFERROR(VLOOKUP($B69,CHOOSE(MATCH($C69,Settings!$L$4:$L$10,0),OPR_BR1!$A$4:$K$18,OPR_BR2!$A$4:$K$18,OPR_CR2!$A$4:$K$18,OPR_CR3!$A$4:$K$18,OPR_CR4!$A$4:$K$18,OPR_RIM!$A$4:$K$18,OPR_BPR!$A$4:$K$18),11,0),9999)),0)),"NO COMPATIBLE MACHINE")))</f>
        <v/>
      </c>
      <c r="F69">
        <f>IF($E69="","",IFERROR(VLOOKUP($E69,Machine_List!$B:$G,6,0),""))</f>
        <v/>
      </c>
      <c r="G69" s="17">
        <f>IF($E69="","",IFERROR(VLOOKUP($E69,Machine_List!$B:$C,2,0),""))</f>
        <v/>
      </c>
      <c r="H69">
        <f>IF($E69="","",IFERROR(VLOOKUP($E69,Machine_List!$B:$D,3,0),""))</f>
        <v/>
      </c>
      <c r="J69" s="16">
        <f>IF($A69="","",IF($I69&lt;&gt;"",$I69,MAX(ENG_Plan!$M69,IFERROR(LOOKUP(2,1/($E$3:INDIRECT("E"&amp;(ROW()-1))=$E69),$M$3:INDIRECT("M"&amp;(ROW()-1))),ENG_Plan!$M69))))</f>
        <v/>
      </c>
      <c r="K69">
        <f>IF($A69="","",IFERROR(VLOOKUP(B69,CHOOSE(MATCH($C69,Settings!$L$4:$L$10,0),OPR_BR1!$A$4:$I$18,OPR_BR2!$A$4:$I$18,OPR_CR2!$A$4:$I$18,OPR_CR3!$A$4:$I$18,OPR_CR4!$A$4:$I$18,OPR_RIM!$A$4:$I$18,OPR_BPR!$A$4:$I$18),7,0),0))</f>
        <v/>
      </c>
      <c r="L69">
        <f>IF($A69="","",K69*D69)</f>
        <v/>
      </c>
      <c r="M69" s="16">
        <f>IF($A69="","",IF(AND(ISNUMBER(G69),G69&gt;=J69,G69&lt;=(J69+(L69/(IF(F69="Contract Workman",Settings!$K$5,Settings!$K$4))))),J69+(L69/(IF(F69="Contract Workman",Settings!$K$5,Settings!$K$4)))+(H69/(IF(F69="Contract Workman",Settings!$K$5,Settings!$K$4))),J69+(L69/(IF(F69="Contract Workman",Settings!$K$5,Settings!$K$4)))))</f>
        <v/>
      </c>
      <c r="N69">
        <f>IF($A69="","",IF(F69="Contract Workman",IF(AND(MOD(M69,1)&gt;=8/24,MOD(M69,1)&lt;20/24),"Shift S1","Shift S2"),IF(AND(MOD(M69,1)&gt;=7/24,MOD(M69,1)&lt;15/24),"Shift A",IF(AND(MOD(M69,1)&gt;=15/24,MOD(M69,1)&lt;23/24),"Shift B","Shift C"))))</f>
        <v/>
      </c>
      <c r="O69">
        <f>IF(B69="","",IF(IFERROR(ISNUMBER(SEARCH(TEXT(B69,"0"),VLOOKUP(E69,Machine_List!$B:$J,9,0))),FALSE),"✅ "&amp; E69,"❌ Sug: "&amp;IFERROR(INDEX(Machine_List!$B$64:$B$71,MATCH(1,(Machine_List!$H$64:$H$71&lt;=IFERROR(VLOOKUP($B69,OPR_BR1!$A$4:$K$18,10,0),0))*(Machine_List!$I$64:$I$71&gt;=IFERROR(VLOOKUP($B69,OPR_BR1!$A$4:$K$18,11,0),9999)),0)),"?")))</f>
        <v/>
      </c>
      <c r="P69">
        <f>IF(AND($A69&lt;&gt;"",P$3&gt;=$J69,P$3&lt;=$M69),1,"")</f>
        <v/>
      </c>
      <c r="Q69">
        <f>IF(AND($A69&lt;&gt;"",Q$3&gt;=$J69,Q$3&lt;=$M69),1,"")</f>
        <v/>
      </c>
      <c r="R69">
        <f>IF(AND($A69&lt;&gt;"",R$3&gt;=$J69,R$3&lt;=$M69),1,"")</f>
        <v/>
      </c>
      <c r="S69">
        <f>IF(AND($A69&lt;&gt;"",S$3&gt;=$J69,S$3&lt;=$M69),1,"")</f>
        <v/>
      </c>
      <c r="T69">
        <f>IF(AND($A69&lt;&gt;"",T$3&gt;=$J69,T$3&lt;=$M69),1,"")</f>
        <v/>
      </c>
      <c r="U69">
        <f>IF(AND($A69&lt;&gt;"",U$3&gt;=$J69,U$3&lt;=$M69),1,"")</f>
        <v/>
      </c>
      <c r="V69">
        <f>IF(AND($A69&lt;&gt;"",V$3&gt;=$J69,V$3&lt;=$M69),1,"")</f>
        <v/>
      </c>
      <c r="W69">
        <f>IF(AND($A69&lt;&gt;"",W$3&gt;=$J69,W$3&lt;=$M69),1,"")</f>
        <v/>
      </c>
      <c r="X69">
        <f>IF(AND($A69&lt;&gt;"",X$3&gt;=$J69,X$3&lt;=$M69),1,"")</f>
        <v/>
      </c>
      <c r="Y69">
        <f>IF(AND($A69&lt;&gt;"",Y$3&gt;=$J69,Y$3&lt;=$M69),1,"")</f>
        <v/>
      </c>
      <c r="Z69">
        <f>IF(AND($A69&lt;&gt;"",Z$3&gt;=$J69,Z$3&lt;=$M69),1,"")</f>
        <v/>
      </c>
      <c r="AA69">
        <f>IF(AND($A69&lt;&gt;"",AA$3&gt;=$J69,AA$3&lt;=$M69),1,"")</f>
        <v/>
      </c>
      <c r="AB69">
        <f>IF(AND($A69&lt;&gt;"",AB$3&gt;=$J69,AB$3&lt;=$M69),1,"")</f>
        <v/>
      </c>
      <c r="AC69">
        <f>IF(AND($A69&lt;&gt;"",AC$3&gt;=$J69,AC$3&lt;=$M69),1,"")</f>
        <v/>
      </c>
      <c r="AD69">
        <f>IF(AND($A69&lt;&gt;"",AD$3&gt;=$J69,AD$3&lt;=$M69),1,"")</f>
        <v/>
      </c>
      <c r="AE69">
        <f>IF(AND($A69&lt;&gt;"",AE$3&gt;=$J69,AE$3&lt;=$M69),1,"")</f>
        <v/>
      </c>
      <c r="AF69">
        <f>IF(AND($A69&lt;&gt;"",AF$3&gt;=$J69,AF$3&lt;=$M69),1,"")</f>
        <v/>
      </c>
      <c r="AG69">
        <f>IF(AND($A69&lt;&gt;"",AG$3&gt;=$J69,AG$3&lt;=$M69),1,"")</f>
        <v/>
      </c>
      <c r="AH69">
        <f>IF(AND($A69&lt;&gt;"",AH$3&gt;=$J69,AH$3&lt;=$M69),1,"")</f>
        <v/>
      </c>
      <c r="AI69">
        <f>IF(AND($A69&lt;&gt;"",AI$3&gt;=$J69,AI$3&lt;=$M69),1,"")</f>
        <v/>
      </c>
      <c r="AJ69">
        <f>IF(AND($A69&lt;&gt;"",AJ$3&gt;=$J69,AJ$3&lt;=$M69),1,"")</f>
        <v/>
      </c>
      <c r="AK69">
        <f>IF(AND($A69&lt;&gt;"",AK$3&gt;=$J69,AK$3&lt;=$M69),1,"")</f>
        <v/>
      </c>
      <c r="AL69">
        <f>IF(AND($A69&lt;&gt;"",AL$3&gt;=$J69,AL$3&lt;=$M69),1,"")</f>
        <v/>
      </c>
      <c r="AM69">
        <f>IF(AND($A69&lt;&gt;"",AM$3&gt;=$J69,AM$3&lt;=$M69),1,"")</f>
        <v/>
      </c>
      <c r="AN69">
        <f>IF(AND($A69&lt;&gt;"",AN$3&gt;=$J69,AN$3&lt;=$M69),1,"")</f>
        <v/>
      </c>
      <c r="AO69">
        <f>IF(AND($A69&lt;&gt;"",AO$3&gt;=$J69,AO$3&lt;=$M69),1,"")</f>
        <v/>
      </c>
      <c r="AP69">
        <f>IF(AND($A69&lt;&gt;"",AP$3&gt;=$J69,AP$3&lt;=$M69),1,"")</f>
        <v/>
      </c>
      <c r="AQ69">
        <f>IF(AND($A69&lt;&gt;"",AQ$3&gt;=$J69,AQ$3&lt;=$M69),1,"")</f>
        <v/>
      </c>
      <c r="AR69">
        <f>IF(AND($A69&lt;&gt;"",AR$3&gt;=$J69,AR$3&lt;=$M69),1,"")</f>
        <v/>
      </c>
      <c r="AS69">
        <f>IF(AND($A69&lt;&gt;"",AS$3&gt;=$J69,AS$3&lt;=$M69),1,"")</f>
        <v/>
      </c>
      <c r="AT69">
        <f>IF(AND($A69&lt;&gt;"",AT$3&gt;=$J69,AT$3&lt;=$M69),1,"")</f>
        <v/>
      </c>
      <c r="AU69">
        <f>IF(AND($A69&lt;&gt;"",AU$3&gt;=$J69,AU$3&lt;=$M69),1,"")</f>
        <v/>
      </c>
      <c r="AV69">
        <f>IF(AND($A69&lt;&gt;"",AV$3&gt;=$J69,AV$3&lt;=$M69),1,"")</f>
        <v/>
      </c>
      <c r="AW69">
        <f>IF(AND($A69&lt;&gt;"",AW$3&gt;=$J69,AW$3&lt;=$M69),1,"")</f>
        <v/>
      </c>
      <c r="AX69">
        <f>IF(AND($A69&lt;&gt;"",AX$3&gt;=$J69,AX$3&lt;=$M69),1,"")</f>
        <v/>
      </c>
      <c r="AY69">
        <f>IF(AND($A69&lt;&gt;"",AY$3&gt;=$J69,AY$3&lt;=$M69),1,"")</f>
        <v/>
      </c>
      <c r="AZ69">
        <f>IF(AND($A69&lt;&gt;"",AZ$3&gt;=$J69,AZ$3&lt;=$M69),1,"")</f>
        <v/>
      </c>
      <c r="BA69">
        <f>IF(AND($A69&lt;&gt;"",BA$3&gt;=$J69,BA$3&lt;=$M69),1,"")</f>
        <v/>
      </c>
      <c r="BB69">
        <f>IF(AND($A69&lt;&gt;"",BB$3&gt;=$J69,BB$3&lt;=$M69),1,"")</f>
        <v/>
      </c>
      <c r="BC69">
        <f>IF(AND($A69&lt;&gt;"",BC$3&gt;=$J69,BC$3&lt;=$M69),1,"")</f>
        <v/>
      </c>
      <c r="BD69">
        <f>IF(AND($A69&lt;&gt;"",BD$3&gt;=$J69,BD$3&lt;=$M69),1,"")</f>
        <v/>
      </c>
      <c r="BE69">
        <f>IF(AND($A69&lt;&gt;"",BE$3&gt;=$J69,BE$3&lt;=$M69),1,"")</f>
        <v/>
      </c>
      <c r="BF69">
        <f>IF(AND($A69&lt;&gt;"",BF$3&gt;=$J69,BF$3&lt;=$M69),1,"")</f>
        <v/>
      </c>
      <c r="BG69">
        <f>IF(AND($A69&lt;&gt;"",BG$3&gt;=$J69,BG$3&lt;=$M69),1,"")</f>
        <v/>
      </c>
      <c r="BH69">
        <f>IF(AND($A69&lt;&gt;"",BH$3&gt;=$J69,BH$3&lt;=$M69),1,"")</f>
        <v/>
      </c>
      <c r="BI69">
        <f>IF(AND($A69&lt;&gt;"",BI$3&gt;=$J69,BI$3&lt;=$M69),1,"")</f>
        <v/>
      </c>
      <c r="BJ69">
        <f>IF(AND($A69&lt;&gt;"",BJ$3&gt;=$J69,BJ$3&lt;=$M69),1,"")</f>
        <v/>
      </c>
      <c r="BK69">
        <f>IF(AND($A69&lt;&gt;"",BK$3&gt;=$J69,BK$3&lt;=$M69),1,"")</f>
        <v/>
      </c>
      <c r="BL69">
        <f>IF(AND($A69&lt;&gt;"",BL$3&gt;=$J69,BL$3&lt;=$M69),1,"")</f>
        <v/>
      </c>
      <c r="BM69">
        <f>IF(AND($A69&lt;&gt;"",BM$3&gt;=$J69,BM$3&lt;=$M69),1,"")</f>
        <v/>
      </c>
      <c r="BN69">
        <f>IF(AND($A69&lt;&gt;"",BN$3&gt;=$J69,BN$3&lt;=$M69),1,"")</f>
        <v/>
      </c>
      <c r="BO69">
        <f>IF(AND($A69&lt;&gt;"",BO$3&gt;=$J69,BO$3&lt;=$M69),1,"")</f>
        <v/>
      </c>
      <c r="BP69">
        <f>IF(AND($A69&lt;&gt;"",BP$3&gt;=$J69,BP$3&lt;=$M69),1,"")</f>
        <v/>
      </c>
      <c r="BQ69">
        <f>IF(AND($A69&lt;&gt;"",BQ$3&gt;=$J69,BQ$3&lt;=$M69),1,"")</f>
        <v/>
      </c>
      <c r="BR69">
        <f>IF(AND($A69&lt;&gt;"",BR$3&gt;=$J69,BR$3&lt;=$M69),1,"")</f>
        <v/>
      </c>
      <c r="BS69">
        <f>IF(AND($A69&lt;&gt;"",BS$3&gt;=$J69,BS$3&lt;=$M69),1,"")</f>
        <v/>
      </c>
      <c r="BT69">
        <f>IF(AND($A69&lt;&gt;"",BT$3&gt;=$J69,BT$3&lt;=$M69),1,"")</f>
        <v/>
      </c>
      <c r="BU69">
        <f>IF(AND($A69&lt;&gt;"",BU$3&gt;=$J69,BU$3&lt;=$M69),1,"")</f>
        <v/>
      </c>
      <c r="BV69">
        <f>IF(AND($A69&lt;&gt;"",BV$3&gt;=$J69,BV$3&lt;=$M69),1,"")</f>
        <v/>
      </c>
    </row>
    <row r="70">
      <c r="A70">
        <f>IF(Job_Master_Ring!$A70="","",Job_Master_Ring!$A70)</f>
        <v/>
      </c>
      <c r="B70">
        <f>IF($A70="","",Job_Master_Ring!B70)</f>
        <v/>
      </c>
      <c r="C70">
        <f>IF($A70="","",Job_Master_Ring!C70)</f>
        <v/>
      </c>
      <c r="D70">
        <f>IF($A70="","",Job_Master_Ring!D70)</f>
        <v/>
      </c>
      <c r="E70">
        <f>IF($A70="","",IF($I70&lt;&gt;"",$I70,IFERROR(INDEX(Machine_List!$B$64:$B$71,MATCH(1,(Machine_List!$H$64:$H$71&lt;=IFERROR(VLOOKUP($B70,CHOOSE(MATCH($C70,Settings!$L$4:$L$10,0),OPR_BR1!$A$4:$K$18,OPR_BR2!$A$4:$K$18,OPR_CR2!$A$4:$K$18,OPR_CR3!$A$4:$K$18,OPR_CR4!$A$4:$K$18,OPR_RIM!$A$4:$K$18,OPR_BPR!$A$4:$K$18),10,0),0))*(Machine_List!$I$64:$I$71&gt;=IFERROR(VLOOKUP($B70,CHOOSE(MATCH($C70,Settings!$L$4:$L$10,0),OPR_BR1!$A$4:$K$18,OPR_BR2!$A$4:$K$18,OPR_CR2!$A$4:$K$18,OPR_CR3!$A$4:$K$18,OPR_CR4!$A$4:$K$18,OPR_RIM!$A$4:$K$18,OPR_BPR!$A$4:$K$18),11,0),9999)),0)),"NO COMPATIBLE MACHINE")))</f>
        <v/>
      </c>
      <c r="F70">
        <f>IF($E70="","",IFERROR(VLOOKUP($E70,Machine_List!$B:$G,6,0),""))</f>
        <v/>
      </c>
      <c r="G70" s="17">
        <f>IF($E70="","",IFERROR(VLOOKUP($E70,Machine_List!$B:$C,2,0),""))</f>
        <v/>
      </c>
      <c r="H70">
        <f>IF($E70="","",IFERROR(VLOOKUP($E70,Machine_List!$B:$D,3,0),""))</f>
        <v/>
      </c>
      <c r="J70" s="16">
        <f>IF($A70="","",IF($I70&lt;&gt;"",$I70,MAX(ENG_Plan!$M70,IFERROR(LOOKUP(2,1/($E$3:INDIRECT("E"&amp;(ROW()-1))=$E70),$M$3:INDIRECT("M"&amp;(ROW()-1))),ENG_Plan!$M70))))</f>
        <v/>
      </c>
      <c r="K70">
        <f>IF($A70="","",IFERROR(VLOOKUP(B70,CHOOSE(MATCH($C70,Settings!$L$4:$L$10,0),OPR_BR1!$A$4:$I$18,OPR_BR2!$A$4:$I$18,OPR_CR2!$A$4:$I$18,OPR_CR3!$A$4:$I$18,OPR_CR4!$A$4:$I$18,OPR_RIM!$A$4:$I$18,OPR_BPR!$A$4:$I$18),7,0),0))</f>
        <v/>
      </c>
      <c r="L70">
        <f>IF($A70="","",K70*D70)</f>
        <v/>
      </c>
      <c r="M70" s="16">
        <f>IF($A70="","",IF(AND(ISNUMBER(G70),G70&gt;=J70,G70&lt;=(J70+(L70/(IF(F70="Contract Workman",Settings!$K$5,Settings!$K$4))))),J70+(L70/(IF(F70="Contract Workman",Settings!$K$5,Settings!$K$4)))+(H70/(IF(F70="Contract Workman",Settings!$K$5,Settings!$K$4))),J70+(L70/(IF(F70="Contract Workman",Settings!$K$5,Settings!$K$4)))))</f>
        <v/>
      </c>
      <c r="N70">
        <f>IF($A70="","",IF(F70="Contract Workman",IF(AND(MOD(M70,1)&gt;=8/24,MOD(M70,1)&lt;20/24),"Shift S1","Shift S2"),IF(AND(MOD(M70,1)&gt;=7/24,MOD(M70,1)&lt;15/24),"Shift A",IF(AND(MOD(M70,1)&gt;=15/24,MOD(M70,1)&lt;23/24),"Shift B","Shift C"))))</f>
        <v/>
      </c>
      <c r="O70">
        <f>IF(B70="","",IF(IFERROR(ISNUMBER(SEARCH(TEXT(B70,"0"),VLOOKUP(E70,Machine_List!$B:$J,9,0))),FALSE),"✅ "&amp; E70,"❌ Sug: "&amp;IFERROR(INDEX(Machine_List!$B$64:$B$71,MATCH(1,(Machine_List!$H$64:$H$71&lt;=IFERROR(VLOOKUP($B70,OPR_BR1!$A$4:$K$18,10,0),0))*(Machine_List!$I$64:$I$71&gt;=IFERROR(VLOOKUP($B70,OPR_BR1!$A$4:$K$18,11,0),9999)),0)),"?")))</f>
        <v/>
      </c>
      <c r="P70">
        <f>IF(AND($A70&lt;&gt;"",P$3&gt;=$J70,P$3&lt;=$M70),1,"")</f>
        <v/>
      </c>
      <c r="Q70">
        <f>IF(AND($A70&lt;&gt;"",Q$3&gt;=$J70,Q$3&lt;=$M70),1,"")</f>
        <v/>
      </c>
      <c r="R70">
        <f>IF(AND($A70&lt;&gt;"",R$3&gt;=$J70,R$3&lt;=$M70),1,"")</f>
        <v/>
      </c>
      <c r="S70">
        <f>IF(AND($A70&lt;&gt;"",S$3&gt;=$J70,S$3&lt;=$M70),1,"")</f>
        <v/>
      </c>
      <c r="T70">
        <f>IF(AND($A70&lt;&gt;"",T$3&gt;=$J70,T$3&lt;=$M70),1,"")</f>
        <v/>
      </c>
      <c r="U70">
        <f>IF(AND($A70&lt;&gt;"",U$3&gt;=$J70,U$3&lt;=$M70),1,"")</f>
        <v/>
      </c>
      <c r="V70">
        <f>IF(AND($A70&lt;&gt;"",V$3&gt;=$J70,V$3&lt;=$M70),1,"")</f>
        <v/>
      </c>
      <c r="W70">
        <f>IF(AND($A70&lt;&gt;"",W$3&gt;=$J70,W$3&lt;=$M70),1,"")</f>
        <v/>
      </c>
      <c r="X70">
        <f>IF(AND($A70&lt;&gt;"",X$3&gt;=$J70,X$3&lt;=$M70),1,"")</f>
        <v/>
      </c>
      <c r="Y70">
        <f>IF(AND($A70&lt;&gt;"",Y$3&gt;=$J70,Y$3&lt;=$M70),1,"")</f>
        <v/>
      </c>
      <c r="Z70">
        <f>IF(AND($A70&lt;&gt;"",Z$3&gt;=$J70,Z$3&lt;=$M70),1,"")</f>
        <v/>
      </c>
      <c r="AA70">
        <f>IF(AND($A70&lt;&gt;"",AA$3&gt;=$J70,AA$3&lt;=$M70),1,"")</f>
        <v/>
      </c>
      <c r="AB70">
        <f>IF(AND($A70&lt;&gt;"",AB$3&gt;=$J70,AB$3&lt;=$M70),1,"")</f>
        <v/>
      </c>
      <c r="AC70">
        <f>IF(AND($A70&lt;&gt;"",AC$3&gt;=$J70,AC$3&lt;=$M70),1,"")</f>
        <v/>
      </c>
      <c r="AD70">
        <f>IF(AND($A70&lt;&gt;"",AD$3&gt;=$J70,AD$3&lt;=$M70),1,"")</f>
        <v/>
      </c>
      <c r="AE70">
        <f>IF(AND($A70&lt;&gt;"",AE$3&gt;=$J70,AE$3&lt;=$M70),1,"")</f>
        <v/>
      </c>
      <c r="AF70">
        <f>IF(AND($A70&lt;&gt;"",AF$3&gt;=$J70,AF$3&lt;=$M70),1,"")</f>
        <v/>
      </c>
      <c r="AG70">
        <f>IF(AND($A70&lt;&gt;"",AG$3&gt;=$J70,AG$3&lt;=$M70),1,"")</f>
        <v/>
      </c>
      <c r="AH70">
        <f>IF(AND($A70&lt;&gt;"",AH$3&gt;=$J70,AH$3&lt;=$M70),1,"")</f>
        <v/>
      </c>
      <c r="AI70">
        <f>IF(AND($A70&lt;&gt;"",AI$3&gt;=$J70,AI$3&lt;=$M70),1,"")</f>
        <v/>
      </c>
      <c r="AJ70">
        <f>IF(AND($A70&lt;&gt;"",AJ$3&gt;=$J70,AJ$3&lt;=$M70),1,"")</f>
        <v/>
      </c>
      <c r="AK70">
        <f>IF(AND($A70&lt;&gt;"",AK$3&gt;=$J70,AK$3&lt;=$M70),1,"")</f>
        <v/>
      </c>
      <c r="AL70">
        <f>IF(AND($A70&lt;&gt;"",AL$3&gt;=$J70,AL$3&lt;=$M70),1,"")</f>
        <v/>
      </c>
      <c r="AM70">
        <f>IF(AND($A70&lt;&gt;"",AM$3&gt;=$J70,AM$3&lt;=$M70),1,"")</f>
        <v/>
      </c>
      <c r="AN70">
        <f>IF(AND($A70&lt;&gt;"",AN$3&gt;=$J70,AN$3&lt;=$M70),1,"")</f>
        <v/>
      </c>
      <c r="AO70">
        <f>IF(AND($A70&lt;&gt;"",AO$3&gt;=$J70,AO$3&lt;=$M70),1,"")</f>
        <v/>
      </c>
      <c r="AP70">
        <f>IF(AND($A70&lt;&gt;"",AP$3&gt;=$J70,AP$3&lt;=$M70),1,"")</f>
        <v/>
      </c>
      <c r="AQ70">
        <f>IF(AND($A70&lt;&gt;"",AQ$3&gt;=$J70,AQ$3&lt;=$M70),1,"")</f>
        <v/>
      </c>
      <c r="AR70">
        <f>IF(AND($A70&lt;&gt;"",AR$3&gt;=$J70,AR$3&lt;=$M70),1,"")</f>
        <v/>
      </c>
      <c r="AS70">
        <f>IF(AND($A70&lt;&gt;"",AS$3&gt;=$J70,AS$3&lt;=$M70),1,"")</f>
        <v/>
      </c>
      <c r="AT70">
        <f>IF(AND($A70&lt;&gt;"",AT$3&gt;=$J70,AT$3&lt;=$M70),1,"")</f>
        <v/>
      </c>
      <c r="AU70">
        <f>IF(AND($A70&lt;&gt;"",AU$3&gt;=$J70,AU$3&lt;=$M70),1,"")</f>
        <v/>
      </c>
      <c r="AV70">
        <f>IF(AND($A70&lt;&gt;"",AV$3&gt;=$J70,AV$3&lt;=$M70),1,"")</f>
        <v/>
      </c>
      <c r="AW70">
        <f>IF(AND($A70&lt;&gt;"",AW$3&gt;=$J70,AW$3&lt;=$M70),1,"")</f>
        <v/>
      </c>
      <c r="AX70">
        <f>IF(AND($A70&lt;&gt;"",AX$3&gt;=$J70,AX$3&lt;=$M70),1,"")</f>
        <v/>
      </c>
      <c r="AY70">
        <f>IF(AND($A70&lt;&gt;"",AY$3&gt;=$J70,AY$3&lt;=$M70),1,"")</f>
        <v/>
      </c>
      <c r="AZ70">
        <f>IF(AND($A70&lt;&gt;"",AZ$3&gt;=$J70,AZ$3&lt;=$M70),1,"")</f>
        <v/>
      </c>
      <c r="BA70">
        <f>IF(AND($A70&lt;&gt;"",BA$3&gt;=$J70,BA$3&lt;=$M70),1,"")</f>
        <v/>
      </c>
      <c r="BB70">
        <f>IF(AND($A70&lt;&gt;"",BB$3&gt;=$J70,BB$3&lt;=$M70),1,"")</f>
        <v/>
      </c>
      <c r="BC70">
        <f>IF(AND($A70&lt;&gt;"",BC$3&gt;=$J70,BC$3&lt;=$M70),1,"")</f>
        <v/>
      </c>
      <c r="BD70">
        <f>IF(AND($A70&lt;&gt;"",BD$3&gt;=$J70,BD$3&lt;=$M70),1,"")</f>
        <v/>
      </c>
      <c r="BE70">
        <f>IF(AND($A70&lt;&gt;"",BE$3&gt;=$J70,BE$3&lt;=$M70),1,"")</f>
        <v/>
      </c>
      <c r="BF70">
        <f>IF(AND($A70&lt;&gt;"",BF$3&gt;=$J70,BF$3&lt;=$M70),1,"")</f>
        <v/>
      </c>
      <c r="BG70">
        <f>IF(AND($A70&lt;&gt;"",BG$3&gt;=$J70,BG$3&lt;=$M70),1,"")</f>
        <v/>
      </c>
      <c r="BH70">
        <f>IF(AND($A70&lt;&gt;"",BH$3&gt;=$J70,BH$3&lt;=$M70),1,"")</f>
        <v/>
      </c>
      <c r="BI70">
        <f>IF(AND($A70&lt;&gt;"",BI$3&gt;=$J70,BI$3&lt;=$M70),1,"")</f>
        <v/>
      </c>
      <c r="BJ70">
        <f>IF(AND($A70&lt;&gt;"",BJ$3&gt;=$J70,BJ$3&lt;=$M70),1,"")</f>
        <v/>
      </c>
      <c r="BK70">
        <f>IF(AND($A70&lt;&gt;"",BK$3&gt;=$J70,BK$3&lt;=$M70),1,"")</f>
        <v/>
      </c>
      <c r="BL70">
        <f>IF(AND($A70&lt;&gt;"",BL$3&gt;=$J70,BL$3&lt;=$M70),1,"")</f>
        <v/>
      </c>
      <c r="BM70">
        <f>IF(AND($A70&lt;&gt;"",BM$3&gt;=$J70,BM$3&lt;=$M70),1,"")</f>
        <v/>
      </c>
      <c r="BN70">
        <f>IF(AND($A70&lt;&gt;"",BN$3&gt;=$J70,BN$3&lt;=$M70),1,"")</f>
        <v/>
      </c>
      <c r="BO70">
        <f>IF(AND($A70&lt;&gt;"",BO$3&gt;=$J70,BO$3&lt;=$M70),1,"")</f>
        <v/>
      </c>
      <c r="BP70">
        <f>IF(AND($A70&lt;&gt;"",BP$3&gt;=$J70,BP$3&lt;=$M70),1,"")</f>
        <v/>
      </c>
      <c r="BQ70">
        <f>IF(AND($A70&lt;&gt;"",BQ$3&gt;=$J70,BQ$3&lt;=$M70),1,"")</f>
        <v/>
      </c>
      <c r="BR70">
        <f>IF(AND($A70&lt;&gt;"",BR$3&gt;=$J70,BR$3&lt;=$M70),1,"")</f>
        <v/>
      </c>
      <c r="BS70">
        <f>IF(AND($A70&lt;&gt;"",BS$3&gt;=$J70,BS$3&lt;=$M70),1,"")</f>
        <v/>
      </c>
      <c r="BT70">
        <f>IF(AND($A70&lt;&gt;"",BT$3&gt;=$J70,BT$3&lt;=$M70),1,"")</f>
        <v/>
      </c>
      <c r="BU70">
        <f>IF(AND($A70&lt;&gt;"",BU$3&gt;=$J70,BU$3&lt;=$M70),1,"")</f>
        <v/>
      </c>
      <c r="BV70">
        <f>IF(AND($A70&lt;&gt;"",BV$3&gt;=$J70,BV$3&lt;=$M70),1,"")</f>
        <v/>
      </c>
    </row>
    <row r="71">
      <c r="A71">
        <f>IF(Job_Master_Ring!$A71="","",Job_Master_Ring!$A71)</f>
        <v/>
      </c>
      <c r="B71">
        <f>IF($A71="","",Job_Master_Ring!B71)</f>
        <v/>
      </c>
      <c r="C71">
        <f>IF($A71="","",Job_Master_Ring!C71)</f>
        <v/>
      </c>
      <c r="D71">
        <f>IF($A71="","",Job_Master_Ring!D71)</f>
        <v/>
      </c>
      <c r="E71">
        <f>IF($A71="","",IF($I71&lt;&gt;"",$I71,IFERROR(INDEX(Machine_List!$B$64:$B$71,MATCH(1,(Machine_List!$H$64:$H$71&lt;=IFERROR(VLOOKUP($B71,CHOOSE(MATCH($C71,Settings!$L$4:$L$10,0),OPR_BR1!$A$4:$K$18,OPR_BR2!$A$4:$K$18,OPR_CR2!$A$4:$K$18,OPR_CR3!$A$4:$K$18,OPR_CR4!$A$4:$K$18,OPR_RIM!$A$4:$K$18,OPR_BPR!$A$4:$K$18),10,0),0))*(Machine_List!$I$64:$I$71&gt;=IFERROR(VLOOKUP($B71,CHOOSE(MATCH($C71,Settings!$L$4:$L$10,0),OPR_BR1!$A$4:$K$18,OPR_BR2!$A$4:$K$18,OPR_CR2!$A$4:$K$18,OPR_CR3!$A$4:$K$18,OPR_CR4!$A$4:$K$18,OPR_RIM!$A$4:$K$18,OPR_BPR!$A$4:$K$18),11,0),9999)),0)),"NO COMPATIBLE MACHINE")))</f>
        <v/>
      </c>
      <c r="F71">
        <f>IF($E71="","",IFERROR(VLOOKUP($E71,Machine_List!$B:$G,6,0),""))</f>
        <v/>
      </c>
      <c r="G71" s="17">
        <f>IF($E71="","",IFERROR(VLOOKUP($E71,Machine_List!$B:$C,2,0),""))</f>
        <v/>
      </c>
      <c r="H71">
        <f>IF($E71="","",IFERROR(VLOOKUP($E71,Machine_List!$B:$D,3,0),""))</f>
        <v/>
      </c>
      <c r="J71" s="16">
        <f>IF($A71="","",IF($I71&lt;&gt;"",$I71,MAX(ENG_Plan!$M71,IFERROR(LOOKUP(2,1/($E$3:INDIRECT("E"&amp;(ROW()-1))=$E71),$M$3:INDIRECT("M"&amp;(ROW()-1))),ENG_Plan!$M71))))</f>
        <v/>
      </c>
      <c r="K71">
        <f>IF($A71="","",IFERROR(VLOOKUP(B71,CHOOSE(MATCH($C71,Settings!$L$4:$L$10,0),OPR_BR1!$A$4:$I$18,OPR_BR2!$A$4:$I$18,OPR_CR2!$A$4:$I$18,OPR_CR3!$A$4:$I$18,OPR_CR4!$A$4:$I$18,OPR_RIM!$A$4:$I$18,OPR_BPR!$A$4:$I$18),7,0),0))</f>
        <v/>
      </c>
      <c r="L71">
        <f>IF($A71="","",K71*D71)</f>
        <v/>
      </c>
      <c r="M71" s="16">
        <f>IF($A71="","",IF(AND(ISNUMBER(G71),G71&gt;=J71,G71&lt;=(J71+(L71/(IF(F71="Contract Workman",Settings!$K$5,Settings!$K$4))))),J71+(L71/(IF(F71="Contract Workman",Settings!$K$5,Settings!$K$4)))+(H71/(IF(F71="Contract Workman",Settings!$K$5,Settings!$K$4))),J71+(L71/(IF(F71="Contract Workman",Settings!$K$5,Settings!$K$4)))))</f>
        <v/>
      </c>
      <c r="N71">
        <f>IF($A71="","",IF(F71="Contract Workman",IF(AND(MOD(M71,1)&gt;=8/24,MOD(M71,1)&lt;20/24),"Shift S1","Shift S2"),IF(AND(MOD(M71,1)&gt;=7/24,MOD(M71,1)&lt;15/24),"Shift A",IF(AND(MOD(M71,1)&gt;=15/24,MOD(M71,1)&lt;23/24),"Shift B","Shift C"))))</f>
        <v/>
      </c>
      <c r="O71">
        <f>IF(B71="","",IF(IFERROR(ISNUMBER(SEARCH(TEXT(B71,"0"),VLOOKUP(E71,Machine_List!$B:$J,9,0))),FALSE),"✅ "&amp; E71,"❌ Sug: "&amp;IFERROR(INDEX(Machine_List!$B$64:$B$71,MATCH(1,(Machine_List!$H$64:$H$71&lt;=IFERROR(VLOOKUP($B71,OPR_BR1!$A$4:$K$18,10,0),0))*(Machine_List!$I$64:$I$71&gt;=IFERROR(VLOOKUP($B71,OPR_BR1!$A$4:$K$18,11,0),9999)),0)),"?")))</f>
        <v/>
      </c>
      <c r="P71">
        <f>IF(AND($A71&lt;&gt;"",P$3&gt;=$J71,P$3&lt;=$M71),1,"")</f>
        <v/>
      </c>
      <c r="Q71">
        <f>IF(AND($A71&lt;&gt;"",Q$3&gt;=$J71,Q$3&lt;=$M71),1,"")</f>
        <v/>
      </c>
      <c r="R71">
        <f>IF(AND($A71&lt;&gt;"",R$3&gt;=$J71,R$3&lt;=$M71),1,"")</f>
        <v/>
      </c>
      <c r="S71">
        <f>IF(AND($A71&lt;&gt;"",S$3&gt;=$J71,S$3&lt;=$M71),1,"")</f>
        <v/>
      </c>
      <c r="T71">
        <f>IF(AND($A71&lt;&gt;"",T$3&gt;=$J71,T$3&lt;=$M71),1,"")</f>
        <v/>
      </c>
      <c r="U71">
        <f>IF(AND($A71&lt;&gt;"",U$3&gt;=$J71,U$3&lt;=$M71),1,"")</f>
        <v/>
      </c>
      <c r="V71">
        <f>IF(AND($A71&lt;&gt;"",V$3&gt;=$J71,V$3&lt;=$M71),1,"")</f>
        <v/>
      </c>
      <c r="W71">
        <f>IF(AND($A71&lt;&gt;"",W$3&gt;=$J71,W$3&lt;=$M71),1,"")</f>
        <v/>
      </c>
      <c r="X71">
        <f>IF(AND($A71&lt;&gt;"",X$3&gt;=$J71,X$3&lt;=$M71),1,"")</f>
        <v/>
      </c>
      <c r="Y71">
        <f>IF(AND($A71&lt;&gt;"",Y$3&gt;=$J71,Y$3&lt;=$M71),1,"")</f>
        <v/>
      </c>
      <c r="Z71">
        <f>IF(AND($A71&lt;&gt;"",Z$3&gt;=$J71,Z$3&lt;=$M71),1,"")</f>
        <v/>
      </c>
      <c r="AA71">
        <f>IF(AND($A71&lt;&gt;"",AA$3&gt;=$J71,AA$3&lt;=$M71),1,"")</f>
        <v/>
      </c>
      <c r="AB71">
        <f>IF(AND($A71&lt;&gt;"",AB$3&gt;=$J71,AB$3&lt;=$M71),1,"")</f>
        <v/>
      </c>
      <c r="AC71">
        <f>IF(AND($A71&lt;&gt;"",AC$3&gt;=$J71,AC$3&lt;=$M71),1,"")</f>
        <v/>
      </c>
      <c r="AD71">
        <f>IF(AND($A71&lt;&gt;"",AD$3&gt;=$J71,AD$3&lt;=$M71),1,"")</f>
        <v/>
      </c>
      <c r="AE71">
        <f>IF(AND($A71&lt;&gt;"",AE$3&gt;=$J71,AE$3&lt;=$M71),1,"")</f>
        <v/>
      </c>
      <c r="AF71">
        <f>IF(AND($A71&lt;&gt;"",AF$3&gt;=$J71,AF$3&lt;=$M71),1,"")</f>
        <v/>
      </c>
      <c r="AG71">
        <f>IF(AND($A71&lt;&gt;"",AG$3&gt;=$J71,AG$3&lt;=$M71),1,"")</f>
        <v/>
      </c>
      <c r="AH71">
        <f>IF(AND($A71&lt;&gt;"",AH$3&gt;=$J71,AH$3&lt;=$M71),1,"")</f>
        <v/>
      </c>
      <c r="AI71">
        <f>IF(AND($A71&lt;&gt;"",AI$3&gt;=$J71,AI$3&lt;=$M71),1,"")</f>
        <v/>
      </c>
      <c r="AJ71">
        <f>IF(AND($A71&lt;&gt;"",AJ$3&gt;=$J71,AJ$3&lt;=$M71),1,"")</f>
        <v/>
      </c>
      <c r="AK71">
        <f>IF(AND($A71&lt;&gt;"",AK$3&gt;=$J71,AK$3&lt;=$M71),1,"")</f>
        <v/>
      </c>
      <c r="AL71">
        <f>IF(AND($A71&lt;&gt;"",AL$3&gt;=$J71,AL$3&lt;=$M71),1,"")</f>
        <v/>
      </c>
      <c r="AM71">
        <f>IF(AND($A71&lt;&gt;"",AM$3&gt;=$J71,AM$3&lt;=$M71),1,"")</f>
        <v/>
      </c>
      <c r="AN71">
        <f>IF(AND($A71&lt;&gt;"",AN$3&gt;=$J71,AN$3&lt;=$M71),1,"")</f>
        <v/>
      </c>
      <c r="AO71">
        <f>IF(AND($A71&lt;&gt;"",AO$3&gt;=$J71,AO$3&lt;=$M71),1,"")</f>
        <v/>
      </c>
      <c r="AP71">
        <f>IF(AND($A71&lt;&gt;"",AP$3&gt;=$J71,AP$3&lt;=$M71),1,"")</f>
        <v/>
      </c>
      <c r="AQ71">
        <f>IF(AND($A71&lt;&gt;"",AQ$3&gt;=$J71,AQ$3&lt;=$M71),1,"")</f>
        <v/>
      </c>
      <c r="AR71">
        <f>IF(AND($A71&lt;&gt;"",AR$3&gt;=$J71,AR$3&lt;=$M71),1,"")</f>
        <v/>
      </c>
      <c r="AS71">
        <f>IF(AND($A71&lt;&gt;"",AS$3&gt;=$J71,AS$3&lt;=$M71),1,"")</f>
        <v/>
      </c>
      <c r="AT71">
        <f>IF(AND($A71&lt;&gt;"",AT$3&gt;=$J71,AT$3&lt;=$M71),1,"")</f>
        <v/>
      </c>
      <c r="AU71">
        <f>IF(AND($A71&lt;&gt;"",AU$3&gt;=$J71,AU$3&lt;=$M71),1,"")</f>
        <v/>
      </c>
      <c r="AV71">
        <f>IF(AND($A71&lt;&gt;"",AV$3&gt;=$J71,AV$3&lt;=$M71),1,"")</f>
        <v/>
      </c>
      <c r="AW71">
        <f>IF(AND($A71&lt;&gt;"",AW$3&gt;=$J71,AW$3&lt;=$M71),1,"")</f>
        <v/>
      </c>
      <c r="AX71">
        <f>IF(AND($A71&lt;&gt;"",AX$3&gt;=$J71,AX$3&lt;=$M71),1,"")</f>
        <v/>
      </c>
      <c r="AY71">
        <f>IF(AND($A71&lt;&gt;"",AY$3&gt;=$J71,AY$3&lt;=$M71),1,"")</f>
        <v/>
      </c>
      <c r="AZ71">
        <f>IF(AND($A71&lt;&gt;"",AZ$3&gt;=$J71,AZ$3&lt;=$M71),1,"")</f>
        <v/>
      </c>
      <c r="BA71">
        <f>IF(AND($A71&lt;&gt;"",BA$3&gt;=$J71,BA$3&lt;=$M71),1,"")</f>
        <v/>
      </c>
      <c r="BB71">
        <f>IF(AND($A71&lt;&gt;"",BB$3&gt;=$J71,BB$3&lt;=$M71),1,"")</f>
        <v/>
      </c>
      <c r="BC71">
        <f>IF(AND($A71&lt;&gt;"",BC$3&gt;=$J71,BC$3&lt;=$M71),1,"")</f>
        <v/>
      </c>
      <c r="BD71">
        <f>IF(AND($A71&lt;&gt;"",BD$3&gt;=$J71,BD$3&lt;=$M71),1,"")</f>
        <v/>
      </c>
      <c r="BE71">
        <f>IF(AND($A71&lt;&gt;"",BE$3&gt;=$J71,BE$3&lt;=$M71),1,"")</f>
        <v/>
      </c>
      <c r="BF71">
        <f>IF(AND($A71&lt;&gt;"",BF$3&gt;=$J71,BF$3&lt;=$M71),1,"")</f>
        <v/>
      </c>
      <c r="BG71">
        <f>IF(AND($A71&lt;&gt;"",BG$3&gt;=$J71,BG$3&lt;=$M71),1,"")</f>
        <v/>
      </c>
      <c r="BH71">
        <f>IF(AND($A71&lt;&gt;"",BH$3&gt;=$J71,BH$3&lt;=$M71),1,"")</f>
        <v/>
      </c>
      <c r="BI71">
        <f>IF(AND($A71&lt;&gt;"",BI$3&gt;=$J71,BI$3&lt;=$M71),1,"")</f>
        <v/>
      </c>
      <c r="BJ71">
        <f>IF(AND($A71&lt;&gt;"",BJ$3&gt;=$J71,BJ$3&lt;=$M71),1,"")</f>
        <v/>
      </c>
      <c r="BK71">
        <f>IF(AND($A71&lt;&gt;"",BK$3&gt;=$J71,BK$3&lt;=$M71),1,"")</f>
        <v/>
      </c>
      <c r="BL71">
        <f>IF(AND($A71&lt;&gt;"",BL$3&gt;=$J71,BL$3&lt;=$M71),1,"")</f>
        <v/>
      </c>
      <c r="BM71">
        <f>IF(AND($A71&lt;&gt;"",BM$3&gt;=$J71,BM$3&lt;=$M71),1,"")</f>
        <v/>
      </c>
      <c r="BN71">
        <f>IF(AND($A71&lt;&gt;"",BN$3&gt;=$J71,BN$3&lt;=$M71),1,"")</f>
        <v/>
      </c>
      <c r="BO71">
        <f>IF(AND($A71&lt;&gt;"",BO$3&gt;=$J71,BO$3&lt;=$M71),1,"")</f>
        <v/>
      </c>
      <c r="BP71">
        <f>IF(AND($A71&lt;&gt;"",BP$3&gt;=$J71,BP$3&lt;=$M71),1,"")</f>
        <v/>
      </c>
      <c r="BQ71">
        <f>IF(AND($A71&lt;&gt;"",BQ$3&gt;=$J71,BQ$3&lt;=$M71),1,"")</f>
        <v/>
      </c>
      <c r="BR71">
        <f>IF(AND($A71&lt;&gt;"",BR$3&gt;=$J71,BR$3&lt;=$M71),1,"")</f>
        <v/>
      </c>
      <c r="BS71">
        <f>IF(AND($A71&lt;&gt;"",BS$3&gt;=$J71,BS$3&lt;=$M71),1,"")</f>
        <v/>
      </c>
      <c r="BT71">
        <f>IF(AND($A71&lt;&gt;"",BT$3&gt;=$J71,BT$3&lt;=$M71),1,"")</f>
        <v/>
      </c>
      <c r="BU71">
        <f>IF(AND($A71&lt;&gt;"",BU$3&gt;=$J71,BU$3&lt;=$M71),1,"")</f>
        <v/>
      </c>
      <c r="BV71">
        <f>IF(AND($A71&lt;&gt;"",BV$3&gt;=$J71,BV$3&lt;=$M71),1,"")</f>
        <v/>
      </c>
    </row>
    <row r="72">
      <c r="A72">
        <f>IF(Job_Master_Ring!$A72="","",Job_Master_Ring!$A72)</f>
        <v/>
      </c>
      <c r="B72">
        <f>IF($A72="","",Job_Master_Ring!B72)</f>
        <v/>
      </c>
      <c r="C72">
        <f>IF($A72="","",Job_Master_Ring!C72)</f>
        <v/>
      </c>
      <c r="D72">
        <f>IF($A72="","",Job_Master_Ring!D72)</f>
        <v/>
      </c>
      <c r="E72">
        <f>IF($A72="","",IF($I72&lt;&gt;"",$I72,IFERROR(INDEX(Machine_List!$B$64:$B$71,MATCH(1,(Machine_List!$H$64:$H$71&lt;=IFERROR(VLOOKUP($B72,CHOOSE(MATCH($C72,Settings!$L$4:$L$10,0),OPR_BR1!$A$4:$K$18,OPR_BR2!$A$4:$K$18,OPR_CR2!$A$4:$K$18,OPR_CR3!$A$4:$K$18,OPR_CR4!$A$4:$K$18,OPR_RIM!$A$4:$K$18,OPR_BPR!$A$4:$K$18),10,0),0))*(Machine_List!$I$64:$I$71&gt;=IFERROR(VLOOKUP($B72,CHOOSE(MATCH($C72,Settings!$L$4:$L$10,0),OPR_BR1!$A$4:$K$18,OPR_BR2!$A$4:$K$18,OPR_CR2!$A$4:$K$18,OPR_CR3!$A$4:$K$18,OPR_CR4!$A$4:$K$18,OPR_RIM!$A$4:$K$18,OPR_BPR!$A$4:$K$18),11,0),9999)),0)),"NO COMPATIBLE MACHINE")))</f>
        <v/>
      </c>
      <c r="F72">
        <f>IF($E72="","",IFERROR(VLOOKUP($E72,Machine_List!$B:$G,6,0),""))</f>
        <v/>
      </c>
      <c r="G72" s="17">
        <f>IF($E72="","",IFERROR(VLOOKUP($E72,Machine_List!$B:$C,2,0),""))</f>
        <v/>
      </c>
      <c r="H72">
        <f>IF($E72="","",IFERROR(VLOOKUP($E72,Machine_List!$B:$D,3,0),""))</f>
        <v/>
      </c>
      <c r="J72" s="16">
        <f>IF($A72="","",IF($I72&lt;&gt;"",$I72,MAX(ENG_Plan!$M72,IFERROR(LOOKUP(2,1/($E$3:INDIRECT("E"&amp;(ROW()-1))=$E72),$M$3:INDIRECT("M"&amp;(ROW()-1))),ENG_Plan!$M72))))</f>
        <v/>
      </c>
      <c r="K72">
        <f>IF($A72="","",IFERROR(VLOOKUP(B72,CHOOSE(MATCH($C72,Settings!$L$4:$L$10,0),OPR_BR1!$A$4:$I$18,OPR_BR2!$A$4:$I$18,OPR_CR2!$A$4:$I$18,OPR_CR3!$A$4:$I$18,OPR_CR4!$A$4:$I$18,OPR_RIM!$A$4:$I$18,OPR_BPR!$A$4:$I$18),7,0),0))</f>
        <v/>
      </c>
      <c r="L72">
        <f>IF($A72="","",K72*D72)</f>
        <v/>
      </c>
      <c r="M72" s="16">
        <f>IF($A72="","",IF(AND(ISNUMBER(G72),G72&gt;=J72,G72&lt;=(J72+(L72/(IF(F72="Contract Workman",Settings!$K$5,Settings!$K$4))))),J72+(L72/(IF(F72="Contract Workman",Settings!$K$5,Settings!$K$4)))+(H72/(IF(F72="Contract Workman",Settings!$K$5,Settings!$K$4))),J72+(L72/(IF(F72="Contract Workman",Settings!$K$5,Settings!$K$4)))))</f>
        <v/>
      </c>
      <c r="N72">
        <f>IF($A72="","",IF(F72="Contract Workman",IF(AND(MOD(M72,1)&gt;=8/24,MOD(M72,1)&lt;20/24),"Shift S1","Shift S2"),IF(AND(MOD(M72,1)&gt;=7/24,MOD(M72,1)&lt;15/24),"Shift A",IF(AND(MOD(M72,1)&gt;=15/24,MOD(M72,1)&lt;23/24),"Shift B","Shift C"))))</f>
        <v/>
      </c>
      <c r="O72">
        <f>IF(B72="","",IF(IFERROR(ISNUMBER(SEARCH(TEXT(B72,"0"),VLOOKUP(E72,Machine_List!$B:$J,9,0))),FALSE),"✅ "&amp; E72,"❌ Sug: "&amp;IFERROR(INDEX(Machine_List!$B$64:$B$71,MATCH(1,(Machine_List!$H$64:$H$71&lt;=IFERROR(VLOOKUP($B72,OPR_BR1!$A$4:$K$18,10,0),0))*(Machine_List!$I$64:$I$71&gt;=IFERROR(VLOOKUP($B72,OPR_BR1!$A$4:$K$18,11,0),9999)),0)),"?")))</f>
        <v/>
      </c>
      <c r="P72">
        <f>IF(AND($A72&lt;&gt;"",P$3&gt;=$J72,P$3&lt;=$M72),1,"")</f>
        <v/>
      </c>
      <c r="Q72">
        <f>IF(AND($A72&lt;&gt;"",Q$3&gt;=$J72,Q$3&lt;=$M72),1,"")</f>
        <v/>
      </c>
      <c r="R72">
        <f>IF(AND($A72&lt;&gt;"",R$3&gt;=$J72,R$3&lt;=$M72),1,"")</f>
        <v/>
      </c>
      <c r="S72">
        <f>IF(AND($A72&lt;&gt;"",S$3&gt;=$J72,S$3&lt;=$M72),1,"")</f>
        <v/>
      </c>
      <c r="T72">
        <f>IF(AND($A72&lt;&gt;"",T$3&gt;=$J72,T$3&lt;=$M72),1,"")</f>
        <v/>
      </c>
      <c r="U72">
        <f>IF(AND($A72&lt;&gt;"",U$3&gt;=$J72,U$3&lt;=$M72),1,"")</f>
        <v/>
      </c>
      <c r="V72">
        <f>IF(AND($A72&lt;&gt;"",V$3&gt;=$J72,V$3&lt;=$M72),1,"")</f>
        <v/>
      </c>
      <c r="W72">
        <f>IF(AND($A72&lt;&gt;"",W$3&gt;=$J72,W$3&lt;=$M72),1,"")</f>
        <v/>
      </c>
      <c r="X72">
        <f>IF(AND($A72&lt;&gt;"",X$3&gt;=$J72,X$3&lt;=$M72),1,"")</f>
        <v/>
      </c>
      <c r="Y72">
        <f>IF(AND($A72&lt;&gt;"",Y$3&gt;=$J72,Y$3&lt;=$M72),1,"")</f>
        <v/>
      </c>
      <c r="Z72">
        <f>IF(AND($A72&lt;&gt;"",Z$3&gt;=$J72,Z$3&lt;=$M72),1,"")</f>
        <v/>
      </c>
      <c r="AA72">
        <f>IF(AND($A72&lt;&gt;"",AA$3&gt;=$J72,AA$3&lt;=$M72),1,"")</f>
        <v/>
      </c>
      <c r="AB72">
        <f>IF(AND($A72&lt;&gt;"",AB$3&gt;=$J72,AB$3&lt;=$M72),1,"")</f>
        <v/>
      </c>
      <c r="AC72">
        <f>IF(AND($A72&lt;&gt;"",AC$3&gt;=$J72,AC$3&lt;=$M72),1,"")</f>
        <v/>
      </c>
      <c r="AD72">
        <f>IF(AND($A72&lt;&gt;"",AD$3&gt;=$J72,AD$3&lt;=$M72),1,"")</f>
        <v/>
      </c>
      <c r="AE72">
        <f>IF(AND($A72&lt;&gt;"",AE$3&gt;=$J72,AE$3&lt;=$M72),1,"")</f>
        <v/>
      </c>
      <c r="AF72">
        <f>IF(AND($A72&lt;&gt;"",AF$3&gt;=$J72,AF$3&lt;=$M72),1,"")</f>
        <v/>
      </c>
      <c r="AG72">
        <f>IF(AND($A72&lt;&gt;"",AG$3&gt;=$J72,AG$3&lt;=$M72),1,"")</f>
        <v/>
      </c>
      <c r="AH72">
        <f>IF(AND($A72&lt;&gt;"",AH$3&gt;=$J72,AH$3&lt;=$M72),1,"")</f>
        <v/>
      </c>
      <c r="AI72">
        <f>IF(AND($A72&lt;&gt;"",AI$3&gt;=$J72,AI$3&lt;=$M72),1,"")</f>
        <v/>
      </c>
      <c r="AJ72">
        <f>IF(AND($A72&lt;&gt;"",AJ$3&gt;=$J72,AJ$3&lt;=$M72),1,"")</f>
        <v/>
      </c>
      <c r="AK72">
        <f>IF(AND($A72&lt;&gt;"",AK$3&gt;=$J72,AK$3&lt;=$M72),1,"")</f>
        <v/>
      </c>
      <c r="AL72">
        <f>IF(AND($A72&lt;&gt;"",AL$3&gt;=$J72,AL$3&lt;=$M72),1,"")</f>
        <v/>
      </c>
      <c r="AM72">
        <f>IF(AND($A72&lt;&gt;"",AM$3&gt;=$J72,AM$3&lt;=$M72),1,"")</f>
        <v/>
      </c>
      <c r="AN72">
        <f>IF(AND($A72&lt;&gt;"",AN$3&gt;=$J72,AN$3&lt;=$M72),1,"")</f>
        <v/>
      </c>
      <c r="AO72">
        <f>IF(AND($A72&lt;&gt;"",AO$3&gt;=$J72,AO$3&lt;=$M72),1,"")</f>
        <v/>
      </c>
      <c r="AP72">
        <f>IF(AND($A72&lt;&gt;"",AP$3&gt;=$J72,AP$3&lt;=$M72),1,"")</f>
        <v/>
      </c>
      <c r="AQ72">
        <f>IF(AND($A72&lt;&gt;"",AQ$3&gt;=$J72,AQ$3&lt;=$M72),1,"")</f>
        <v/>
      </c>
      <c r="AR72">
        <f>IF(AND($A72&lt;&gt;"",AR$3&gt;=$J72,AR$3&lt;=$M72),1,"")</f>
        <v/>
      </c>
      <c r="AS72">
        <f>IF(AND($A72&lt;&gt;"",AS$3&gt;=$J72,AS$3&lt;=$M72),1,"")</f>
        <v/>
      </c>
      <c r="AT72">
        <f>IF(AND($A72&lt;&gt;"",AT$3&gt;=$J72,AT$3&lt;=$M72),1,"")</f>
        <v/>
      </c>
      <c r="AU72">
        <f>IF(AND($A72&lt;&gt;"",AU$3&gt;=$J72,AU$3&lt;=$M72),1,"")</f>
        <v/>
      </c>
      <c r="AV72">
        <f>IF(AND($A72&lt;&gt;"",AV$3&gt;=$J72,AV$3&lt;=$M72),1,"")</f>
        <v/>
      </c>
      <c r="AW72">
        <f>IF(AND($A72&lt;&gt;"",AW$3&gt;=$J72,AW$3&lt;=$M72),1,"")</f>
        <v/>
      </c>
      <c r="AX72">
        <f>IF(AND($A72&lt;&gt;"",AX$3&gt;=$J72,AX$3&lt;=$M72),1,"")</f>
        <v/>
      </c>
      <c r="AY72">
        <f>IF(AND($A72&lt;&gt;"",AY$3&gt;=$J72,AY$3&lt;=$M72),1,"")</f>
        <v/>
      </c>
      <c r="AZ72">
        <f>IF(AND($A72&lt;&gt;"",AZ$3&gt;=$J72,AZ$3&lt;=$M72),1,"")</f>
        <v/>
      </c>
      <c r="BA72">
        <f>IF(AND($A72&lt;&gt;"",BA$3&gt;=$J72,BA$3&lt;=$M72),1,"")</f>
        <v/>
      </c>
      <c r="BB72">
        <f>IF(AND($A72&lt;&gt;"",BB$3&gt;=$J72,BB$3&lt;=$M72),1,"")</f>
        <v/>
      </c>
      <c r="BC72">
        <f>IF(AND($A72&lt;&gt;"",BC$3&gt;=$J72,BC$3&lt;=$M72),1,"")</f>
        <v/>
      </c>
      <c r="BD72">
        <f>IF(AND($A72&lt;&gt;"",BD$3&gt;=$J72,BD$3&lt;=$M72),1,"")</f>
        <v/>
      </c>
      <c r="BE72">
        <f>IF(AND($A72&lt;&gt;"",BE$3&gt;=$J72,BE$3&lt;=$M72),1,"")</f>
        <v/>
      </c>
      <c r="BF72">
        <f>IF(AND($A72&lt;&gt;"",BF$3&gt;=$J72,BF$3&lt;=$M72),1,"")</f>
        <v/>
      </c>
      <c r="BG72">
        <f>IF(AND($A72&lt;&gt;"",BG$3&gt;=$J72,BG$3&lt;=$M72),1,"")</f>
        <v/>
      </c>
      <c r="BH72">
        <f>IF(AND($A72&lt;&gt;"",BH$3&gt;=$J72,BH$3&lt;=$M72),1,"")</f>
        <v/>
      </c>
      <c r="BI72">
        <f>IF(AND($A72&lt;&gt;"",BI$3&gt;=$J72,BI$3&lt;=$M72),1,"")</f>
        <v/>
      </c>
      <c r="BJ72">
        <f>IF(AND($A72&lt;&gt;"",BJ$3&gt;=$J72,BJ$3&lt;=$M72),1,"")</f>
        <v/>
      </c>
      <c r="BK72">
        <f>IF(AND($A72&lt;&gt;"",BK$3&gt;=$J72,BK$3&lt;=$M72),1,"")</f>
        <v/>
      </c>
      <c r="BL72">
        <f>IF(AND($A72&lt;&gt;"",BL$3&gt;=$J72,BL$3&lt;=$M72),1,"")</f>
        <v/>
      </c>
      <c r="BM72">
        <f>IF(AND($A72&lt;&gt;"",BM$3&gt;=$J72,BM$3&lt;=$M72),1,"")</f>
        <v/>
      </c>
      <c r="BN72">
        <f>IF(AND($A72&lt;&gt;"",BN$3&gt;=$J72,BN$3&lt;=$M72),1,"")</f>
        <v/>
      </c>
      <c r="BO72">
        <f>IF(AND($A72&lt;&gt;"",BO$3&gt;=$J72,BO$3&lt;=$M72),1,"")</f>
        <v/>
      </c>
      <c r="BP72">
        <f>IF(AND($A72&lt;&gt;"",BP$3&gt;=$J72,BP$3&lt;=$M72),1,"")</f>
        <v/>
      </c>
      <c r="BQ72">
        <f>IF(AND($A72&lt;&gt;"",BQ$3&gt;=$J72,BQ$3&lt;=$M72),1,"")</f>
        <v/>
      </c>
      <c r="BR72">
        <f>IF(AND($A72&lt;&gt;"",BR$3&gt;=$J72,BR$3&lt;=$M72),1,"")</f>
        <v/>
      </c>
      <c r="BS72">
        <f>IF(AND($A72&lt;&gt;"",BS$3&gt;=$J72,BS$3&lt;=$M72),1,"")</f>
        <v/>
      </c>
      <c r="BT72">
        <f>IF(AND($A72&lt;&gt;"",BT$3&gt;=$J72,BT$3&lt;=$M72),1,"")</f>
        <v/>
      </c>
      <c r="BU72">
        <f>IF(AND($A72&lt;&gt;"",BU$3&gt;=$J72,BU$3&lt;=$M72),1,"")</f>
        <v/>
      </c>
      <c r="BV72">
        <f>IF(AND($A72&lt;&gt;"",BV$3&gt;=$J72,BV$3&lt;=$M72),1,"")</f>
        <v/>
      </c>
    </row>
    <row r="73">
      <c r="A73">
        <f>IF(Job_Master_Ring!$A73="","",Job_Master_Ring!$A73)</f>
        <v/>
      </c>
      <c r="B73">
        <f>IF($A73="","",Job_Master_Ring!B73)</f>
        <v/>
      </c>
      <c r="C73">
        <f>IF($A73="","",Job_Master_Ring!C73)</f>
        <v/>
      </c>
      <c r="D73">
        <f>IF($A73="","",Job_Master_Ring!D73)</f>
        <v/>
      </c>
      <c r="E73">
        <f>IF($A73="","",IF($I73&lt;&gt;"",$I73,IFERROR(INDEX(Machine_List!$B$64:$B$71,MATCH(1,(Machine_List!$H$64:$H$71&lt;=IFERROR(VLOOKUP($B73,CHOOSE(MATCH($C73,Settings!$L$4:$L$10,0),OPR_BR1!$A$4:$K$18,OPR_BR2!$A$4:$K$18,OPR_CR2!$A$4:$K$18,OPR_CR3!$A$4:$K$18,OPR_CR4!$A$4:$K$18,OPR_RIM!$A$4:$K$18,OPR_BPR!$A$4:$K$18),10,0),0))*(Machine_List!$I$64:$I$71&gt;=IFERROR(VLOOKUP($B73,CHOOSE(MATCH($C73,Settings!$L$4:$L$10,0),OPR_BR1!$A$4:$K$18,OPR_BR2!$A$4:$K$18,OPR_CR2!$A$4:$K$18,OPR_CR3!$A$4:$K$18,OPR_CR4!$A$4:$K$18,OPR_RIM!$A$4:$K$18,OPR_BPR!$A$4:$K$18),11,0),9999)),0)),"NO COMPATIBLE MACHINE")))</f>
        <v/>
      </c>
      <c r="F73">
        <f>IF($E73="","",IFERROR(VLOOKUP($E73,Machine_List!$B:$G,6,0),""))</f>
        <v/>
      </c>
      <c r="G73" s="17">
        <f>IF($E73="","",IFERROR(VLOOKUP($E73,Machine_List!$B:$C,2,0),""))</f>
        <v/>
      </c>
      <c r="H73">
        <f>IF($E73="","",IFERROR(VLOOKUP($E73,Machine_List!$B:$D,3,0),""))</f>
        <v/>
      </c>
      <c r="J73" s="16">
        <f>IF($A73="","",IF($I73&lt;&gt;"",$I73,MAX(ENG_Plan!$M73,IFERROR(LOOKUP(2,1/($E$3:INDIRECT("E"&amp;(ROW()-1))=$E73),$M$3:INDIRECT("M"&amp;(ROW()-1))),ENG_Plan!$M73))))</f>
        <v/>
      </c>
      <c r="K73">
        <f>IF($A73="","",IFERROR(VLOOKUP(B73,CHOOSE(MATCH($C73,Settings!$L$4:$L$10,0),OPR_BR1!$A$4:$I$18,OPR_BR2!$A$4:$I$18,OPR_CR2!$A$4:$I$18,OPR_CR3!$A$4:$I$18,OPR_CR4!$A$4:$I$18,OPR_RIM!$A$4:$I$18,OPR_BPR!$A$4:$I$18),7,0),0))</f>
        <v/>
      </c>
      <c r="L73">
        <f>IF($A73="","",K73*D73)</f>
        <v/>
      </c>
      <c r="M73" s="16">
        <f>IF($A73="","",IF(AND(ISNUMBER(G73),G73&gt;=J73,G73&lt;=(J73+(L73/(IF(F73="Contract Workman",Settings!$K$5,Settings!$K$4))))),J73+(L73/(IF(F73="Contract Workman",Settings!$K$5,Settings!$K$4)))+(H73/(IF(F73="Contract Workman",Settings!$K$5,Settings!$K$4))),J73+(L73/(IF(F73="Contract Workman",Settings!$K$5,Settings!$K$4)))))</f>
        <v/>
      </c>
      <c r="N73">
        <f>IF($A73="","",IF(F73="Contract Workman",IF(AND(MOD(M73,1)&gt;=8/24,MOD(M73,1)&lt;20/24),"Shift S1","Shift S2"),IF(AND(MOD(M73,1)&gt;=7/24,MOD(M73,1)&lt;15/24),"Shift A",IF(AND(MOD(M73,1)&gt;=15/24,MOD(M73,1)&lt;23/24),"Shift B","Shift C"))))</f>
        <v/>
      </c>
      <c r="O73">
        <f>IF(B73="","",IF(IFERROR(ISNUMBER(SEARCH(TEXT(B73,"0"),VLOOKUP(E73,Machine_List!$B:$J,9,0))),FALSE),"✅ "&amp; E73,"❌ Sug: "&amp;IFERROR(INDEX(Machine_List!$B$64:$B$71,MATCH(1,(Machine_List!$H$64:$H$71&lt;=IFERROR(VLOOKUP($B73,OPR_BR1!$A$4:$K$18,10,0),0))*(Machine_List!$I$64:$I$71&gt;=IFERROR(VLOOKUP($B73,OPR_BR1!$A$4:$K$18,11,0),9999)),0)),"?")))</f>
        <v/>
      </c>
      <c r="P73">
        <f>IF(AND($A73&lt;&gt;"",P$3&gt;=$J73,P$3&lt;=$M73),1,"")</f>
        <v/>
      </c>
      <c r="Q73">
        <f>IF(AND($A73&lt;&gt;"",Q$3&gt;=$J73,Q$3&lt;=$M73),1,"")</f>
        <v/>
      </c>
      <c r="R73">
        <f>IF(AND($A73&lt;&gt;"",R$3&gt;=$J73,R$3&lt;=$M73),1,"")</f>
        <v/>
      </c>
      <c r="S73">
        <f>IF(AND($A73&lt;&gt;"",S$3&gt;=$J73,S$3&lt;=$M73),1,"")</f>
        <v/>
      </c>
      <c r="T73">
        <f>IF(AND($A73&lt;&gt;"",T$3&gt;=$J73,T$3&lt;=$M73),1,"")</f>
        <v/>
      </c>
      <c r="U73">
        <f>IF(AND($A73&lt;&gt;"",U$3&gt;=$J73,U$3&lt;=$M73),1,"")</f>
        <v/>
      </c>
      <c r="V73">
        <f>IF(AND($A73&lt;&gt;"",V$3&gt;=$J73,V$3&lt;=$M73),1,"")</f>
        <v/>
      </c>
      <c r="W73">
        <f>IF(AND($A73&lt;&gt;"",W$3&gt;=$J73,W$3&lt;=$M73),1,"")</f>
        <v/>
      </c>
      <c r="X73">
        <f>IF(AND($A73&lt;&gt;"",X$3&gt;=$J73,X$3&lt;=$M73),1,"")</f>
        <v/>
      </c>
      <c r="Y73">
        <f>IF(AND($A73&lt;&gt;"",Y$3&gt;=$J73,Y$3&lt;=$M73),1,"")</f>
        <v/>
      </c>
      <c r="Z73">
        <f>IF(AND($A73&lt;&gt;"",Z$3&gt;=$J73,Z$3&lt;=$M73),1,"")</f>
        <v/>
      </c>
      <c r="AA73">
        <f>IF(AND($A73&lt;&gt;"",AA$3&gt;=$J73,AA$3&lt;=$M73),1,"")</f>
        <v/>
      </c>
      <c r="AB73">
        <f>IF(AND($A73&lt;&gt;"",AB$3&gt;=$J73,AB$3&lt;=$M73),1,"")</f>
        <v/>
      </c>
      <c r="AC73">
        <f>IF(AND($A73&lt;&gt;"",AC$3&gt;=$J73,AC$3&lt;=$M73),1,"")</f>
        <v/>
      </c>
      <c r="AD73">
        <f>IF(AND($A73&lt;&gt;"",AD$3&gt;=$J73,AD$3&lt;=$M73),1,"")</f>
        <v/>
      </c>
      <c r="AE73">
        <f>IF(AND($A73&lt;&gt;"",AE$3&gt;=$J73,AE$3&lt;=$M73),1,"")</f>
        <v/>
      </c>
      <c r="AF73">
        <f>IF(AND($A73&lt;&gt;"",AF$3&gt;=$J73,AF$3&lt;=$M73),1,"")</f>
        <v/>
      </c>
      <c r="AG73">
        <f>IF(AND($A73&lt;&gt;"",AG$3&gt;=$J73,AG$3&lt;=$M73),1,"")</f>
        <v/>
      </c>
      <c r="AH73">
        <f>IF(AND($A73&lt;&gt;"",AH$3&gt;=$J73,AH$3&lt;=$M73),1,"")</f>
        <v/>
      </c>
      <c r="AI73">
        <f>IF(AND($A73&lt;&gt;"",AI$3&gt;=$J73,AI$3&lt;=$M73),1,"")</f>
        <v/>
      </c>
      <c r="AJ73">
        <f>IF(AND($A73&lt;&gt;"",AJ$3&gt;=$J73,AJ$3&lt;=$M73),1,"")</f>
        <v/>
      </c>
      <c r="AK73">
        <f>IF(AND($A73&lt;&gt;"",AK$3&gt;=$J73,AK$3&lt;=$M73),1,"")</f>
        <v/>
      </c>
      <c r="AL73">
        <f>IF(AND($A73&lt;&gt;"",AL$3&gt;=$J73,AL$3&lt;=$M73),1,"")</f>
        <v/>
      </c>
      <c r="AM73">
        <f>IF(AND($A73&lt;&gt;"",AM$3&gt;=$J73,AM$3&lt;=$M73),1,"")</f>
        <v/>
      </c>
      <c r="AN73">
        <f>IF(AND($A73&lt;&gt;"",AN$3&gt;=$J73,AN$3&lt;=$M73),1,"")</f>
        <v/>
      </c>
      <c r="AO73">
        <f>IF(AND($A73&lt;&gt;"",AO$3&gt;=$J73,AO$3&lt;=$M73),1,"")</f>
        <v/>
      </c>
      <c r="AP73">
        <f>IF(AND($A73&lt;&gt;"",AP$3&gt;=$J73,AP$3&lt;=$M73),1,"")</f>
        <v/>
      </c>
      <c r="AQ73">
        <f>IF(AND($A73&lt;&gt;"",AQ$3&gt;=$J73,AQ$3&lt;=$M73),1,"")</f>
        <v/>
      </c>
      <c r="AR73">
        <f>IF(AND($A73&lt;&gt;"",AR$3&gt;=$J73,AR$3&lt;=$M73),1,"")</f>
        <v/>
      </c>
      <c r="AS73">
        <f>IF(AND($A73&lt;&gt;"",AS$3&gt;=$J73,AS$3&lt;=$M73),1,"")</f>
        <v/>
      </c>
      <c r="AT73">
        <f>IF(AND($A73&lt;&gt;"",AT$3&gt;=$J73,AT$3&lt;=$M73),1,"")</f>
        <v/>
      </c>
      <c r="AU73">
        <f>IF(AND($A73&lt;&gt;"",AU$3&gt;=$J73,AU$3&lt;=$M73),1,"")</f>
        <v/>
      </c>
      <c r="AV73">
        <f>IF(AND($A73&lt;&gt;"",AV$3&gt;=$J73,AV$3&lt;=$M73),1,"")</f>
        <v/>
      </c>
      <c r="AW73">
        <f>IF(AND($A73&lt;&gt;"",AW$3&gt;=$J73,AW$3&lt;=$M73),1,"")</f>
        <v/>
      </c>
      <c r="AX73">
        <f>IF(AND($A73&lt;&gt;"",AX$3&gt;=$J73,AX$3&lt;=$M73),1,"")</f>
        <v/>
      </c>
      <c r="AY73">
        <f>IF(AND($A73&lt;&gt;"",AY$3&gt;=$J73,AY$3&lt;=$M73),1,"")</f>
        <v/>
      </c>
      <c r="AZ73">
        <f>IF(AND($A73&lt;&gt;"",AZ$3&gt;=$J73,AZ$3&lt;=$M73),1,"")</f>
        <v/>
      </c>
      <c r="BA73">
        <f>IF(AND($A73&lt;&gt;"",BA$3&gt;=$J73,BA$3&lt;=$M73),1,"")</f>
        <v/>
      </c>
      <c r="BB73">
        <f>IF(AND($A73&lt;&gt;"",BB$3&gt;=$J73,BB$3&lt;=$M73),1,"")</f>
        <v/>
      </c>
      <c r="BC73">
        <f>IF(AND($A73&lt;&gt;"",BC$3&gt;=$J73,BC$3&lt;=$M73),1,"")</f>
        <v/>
      </c>
      <c r="BD73">
        <f>IF(AND($A73&lt;&gt;"",BD$3&gt;=$J73,BD$3&lt;=$M73),1,"")</f>
        <v/>
      </c>
      <c r="BE73">
        <f>IF(AND($A73&lt;&gt;"",BE$3&gt;=$J73,BE$3&lt;=$M73),1,"")</f>
        <v/>
      </c>
      <c r="BF73">
        <f>IF(AND($A73&lt;&gt;"",BF$3&gt;=$J73,BF$3&lt;=$M73),1,"")</f>
        <v/>
      </c>
      <c r="BG73">
        <f>IF(AND($A73&lt;&gt;"",BG$3&gt;=$J73,BG$3&lt;=$M73),1,"")</f>
        <v/>
      </c>
      <c r="BH73">
        <f>IF(AND($A73&lt;&gt;"",BH$3&gt;=$J73,BH$3&lt;=$M73),1,"")</f>
        <v/>
      </c>
      <c r="BI73">
        <f>IF(AND($A73&lt;&gt;"",BI$3&gt;=$J73,BI$3&lt;=$M73),1,"")</f>
        <v/>
      </c>
      <c r="BJ73">
        <f>IF(AND($A73&lt;&gt;"",BJ$3&gt;=$J73,BJ$3&lt;=$M73),1,"")</f>
        <v/>
      </c>
      <c r="BK73">
        <f>IF(AND($A73&lt;&gt;"",BK$3&gt;=$J73,BK$3&lt;=$M73),1,"")</f>
        <v/>
      </c>
      <c r="BL73">
        <f>IF(AND($A73&lt;&gt;"",BL$3&gt;=$J73,BL$3&lt;=$M73),1,"")</f>
        <v/>
      </c>
      <c r="BM73">
        <f>IF(AND($A73&lt;&gt;"",BM$3&gt;=$J73,BM$3&lt;=$M73),1,"")</f>
        <v/>
      </c>
      <c r="BN73">
        <f>IF(AND($A73&lt;&gt;"",BN$3&gt;=$J73,BN$3&lt;=$M73),1,"")</f>
        <v/>
      </c>
      <c r="BO73">
        <f>IF(AND($A73&lt;&gt;"",BO$3&gt;=$J73,BO$3&lt;=$M73),1,"")</f>
        <v/>
      </c>
      <c r="BP73">
        <f>IF(AND($A73&lt;&gt;"",BP$3&gt;=$J73,BP$3&lt;=$M73),1,"")</f>
        <v/>
      </c>
      <c r="BQ73">
        <f>IF(AND($A73&lt;&gt;"",BQ$3&gt;=$J73,BQ$3&lt;=$M73),1,"")</f>
        <v/>
      </c>
      <c r="BR73">
        <f>IF(AND($A73&lt;&gt;"",BR$3&gt;=$J73,BR$3&lt;=$M73),1,"")</f>
        <v/>
      </c>
      <c r="BS73">
        <f>IF(AND($A73&lt;&gt;"",BS$3&gt;=$J73,BS$3&lt;=$M73),1,"")</f>
        <v/>
      </c>
      <c r="BT73">
        <f>IF(AND($A73&lt;&gt;"",BT$3&gt;=$J73,BT$3&lt;=$M73),1,"")</f>
        <v/>
      </c>
      <c r="BU73">
        <f>IF(AND($A73&lt;&gt;"",BU$3&gt;=$J73,BU$3&lt;=$M73),1,"")</f>
        <v/>
      </c>
      <c r="BV73">
        <f>IF(AND($A73&lt;&gt;"",BV$3&gt;=$J73,BV$3&lt;=$M73),1,"")</f>
        <v/>
      </c>
    </row>
    <row r="74">
      <c r="A74">
        <f>IF(Job_Master_Ring!$A74="","",Job_Master_Ring!$A74)</f>
        <v/>
      </c>
      <c r="B74">
        <f>IF($A74="","",Job_Master_Ring!B74)</f>
        <v/>
      </c>
      <c r="C74">
        <f>IF($A74="","",Job_Master_Ring!C74)</f>
        <v/>
      </c>
      <c r="D74">
        <f>IF($A74="","",Job_Master_Ring!D74)</f>
        <v/>
      </c>
      <c r="E74">
        <f>IF($A74="","",IF($I74&lt;&gt;"",$I74,IFERROR(INDEX(Machine_List!$B$64:$B$71,MATCH(1,(Machine_List!$H$64:$H$71&lt;=IFERROR(VLOOKUP($B74,CHOOSE(MATCH($C74,Settings!$L$4:$L$10,0),OPR_BR1!$A$4:$K$18,OPR_BR2!$A$4:$K$18,OPR_CR2!$A$4:$K$18,OPR_CR3!$A$4:$K$18,OPR_CR4!$A$4:$K$18,OPR_RIM!$A$4:$K$18,OPR_BPR!$A$4:$K$18),10,0),0))*(Machine_List!$I$64:$I$71&gt;=IFERROR(VLOOKUP($B74,CHOOSE(MATCH($C74,Settings!$L$4:$L$10,0),OPR_BR1!$A$4:$K$18,OPR_BR2!$A$4:$K$18,OPR_CR2!$A$4:$K$18,OPR_CR3!$A$4:$K$18,OPR_CR4!$A$4:$K$18,OPR_RIM!$A$4:$K$18,OPR_BPR!$A$4:$K$18),11,0),9999)),0)),"NO COMPATIBLE MACHINE")))</f>
        <v/>
      </c>
      <c r="F74">
        <f>IF($E74="","",IFERROR(VLOOKUP($E74,Machine_List!$B:$G,6,0),""))</f>
        <v/>
      </c>
      <c r="G74" s="17">
        <f>IF($E74="","",IFERROR(VLOOKUP($E74,Machine_List!$B:$C,2,0),""))</f>
        <v/>
      </c>
      <c r="H74">
        <f>IF($E74="","",IFERROR(VLOOKUP($E74,Machine_List!$B:$D,3,0),""))</f>
        <v/>
      </c>
      <c r="J74" s="16">
        <f>IF($A74="","",IF($I74&lt;&gt;"",$I74,MAX(ENG_Plan!$M74,IFERROR(LOOKUP(2,1/($E$3:INDIRECT("E"&amp;(ROW()-1))=$E74),$M$3:INDIRECT("M"&amp;(ROW()-1))),ENG_Plan!$M74))))</f>
        <v/>
      </c>
      <c r="K74">
        <f>IF($A74="","",IFERROR(VLOOKUP(B74,CHOOSE(MATCH($C74,Settings!$L$4:$L$10,0),OPR_BR1!$A$4:$I$18,OPR_BR2!$A$4:$I$18,OPR_CR2!$A$4:$I$18,OPR_CR3!$A$4:$I$18,OPR_CR4!$A$4:$I$18,OPR_RIM!$A$4:$I$18,OPR_BPR!$A$4:$I$18),7,0),0))</f>
        <v/>
      </c>
      <c r="L74">
        <f>IF($A74="","",K74*D74)</f>
        <v/>
      </c>
      <c r="M74" s="16">
        <f>IF($A74="","",IF(AND(ISNUMBER(G74),G74&gt;=J74,G74&lt;=(J74+(L74/(IF(F74="Contract Workman",Settings!$K$5,Settings!$K$4))))),J74+(L74/(IF(F74="Contract Workman",Settings!$K$5,Settings!$K$4)))+(H74/(IF(F74="Contract Workman",Settings!$K$5,Settings!$K$4))),J74+(L74/(IF(F74="Contract Workman",Settings!$K$5,Settings!$K$4)))))</f>
        <v/>
      </c>
      <c r="N74">
        <f>IF($A74="","",IF(F74="Contract Workman",IF(AND(MOD(M74,1)&gt;=8/24,MOD(M74,1)&lt;20/24),"Shift S1","Shift S2"),IF(AND(MOD(M74,1)&gt;=7/24,MOD(M74,1)&lt;15/24),"Shift A",IF(AND(MOD(M74,1)&gt;=15/24,MOD(M74,1)&lt;23/24),"Shift B","Shift C"))))</f>
        <v/>
      </c>
      <c r="O74">
        <f>IF(B74="","",IF(IFERROR(ISNUMBER(SEARCH(TEXT(B74,"0"),VLOOKUP(E74,Machine_List!$B:$J,9,0))),FALSE),"✅ "&amp; E74,"❌ Sug: "&amp;IFERROR(INDEX(Machine_List!$B$64:$B$71,MATCH(1,(Machine_List!$H$64:$H$71&lt;=IFERROR(VLOOKUP($B74,OPR_BR1!$A$4:$K$18,10,0),0))*(Machine_List!$I$64:$I$71&gt;=IFERROR(VLOOKUP($B74,OPR_BR1!$A$4:$K$18,11,0),9999)),0)),"?")))</f>
        <v/>
      </c>
      <c r="P74">
        <f>IF(AND($A74&lt;&gt;"",P$3&gt;=$J74,P$3&lt;=$M74),1,"")</f>
        <v/>
      </c>
      <c r="Q74">
        <f>IF(AND($A74&lt;&gt;"",Q$3&gt;=$J74,Q$3&lt;=$M74),1,"")</f>
        <v/>
      </c>
      <c r="R74">
        <f>IF(AND($A74&lt;&gt;"",R$3&gt;=$J74,R$3&lt;=$M74),1,"")</f>
        <v/>
      </c>
      <c r="S74">
        <f>IF(AND($A74&lt;&gt;"",S$3&gt;=$J74,S$3&lt;=$M74),1,"")</f>
        <v/>
      </c>
      <c r="T74">
        <f>IF(AND($A74&lt;&gt;"",T$3&gt;=$J74,T$3&lt;=$M74),1,"")</f>
        <v/>
      </c>
      <c r="U74">
        <f>IF(AND($A74&lt;&gt;"",U$3&gt;=$J74,U$3&lt;=$M74),1,"")</f>
        <v/>
      </c>
      <c r="V74">
        <f>IF(AND($A74&lt;&gt;"",V$3&gt;=$J74,V$3&lt;=$M74),1,"")</f>
        <v/>
      </c>
      <c r="W74">
        <f>IF(AND($A74&lt;&gt;"",W$3&gt;=$J74,W$3&lt;=$M74),1,"")</f>
        <v/>
      </c>
      <c r="X74">
        <f>IF(AND($A74&lt;&gt;"",X$3&gt;=$J74,X$3&lt;=$M74),1,"")</f>
        <v/>
      </c>
      <c r="Y74">
        <f>IF(AND($A74&lt;&gt;"",Y$3&gt;=$J74,Y$3&lt;=$M74),1,"")</f>
        <v/>
      </c>
      <c r="Z74">
        <f>IF(AND($A74&lt;&gt;"",Z$3&gt;=$J74,Z$3&lt;=$M74),1,"")</f>
        <v/>
      </c>
      <c r="AA74">
        <f>IF(AND($A74&lt;&gt;"",AA$3&gt;=$J74,AA$3&lt;=$M74),1,"")</f>
        <v/>
      </c>
      <c r="AB74">
        <f>IF(AND($A74&lt;&gt;"",AB$3&gt;=$J74,AB$3&lt;=$M74),1,"")</f>
        <v/>
      </c>
      <c r="AC74">
        <f>IF(AND($A74&lt;&gt;"",AC$3&gt;=$J74,AC$3&lt;=$M74),1,"")</f>
        <v/>
      </c>
      <c r="AD74">
        <f>IF(AND($A74&lt;&gt;"",AD$3&gt;=$J74,AD$3&lt;=$M74),1,"")</f>
        <v/>
      </c>
      <c r="AE74">
        <f>IF(AND($A74&lt;&gt;"",AE$3&gt;=$J74,AE$3&lt;=$M74),1,"")</f>
        <v/>
      </c>
      <c r="AF74">
        <f>IF(AND($A74&lt;&gt;"",AF$3&gt;=$J74,AF$3&lt;=$M74),1,"")</f>
        <v/>
      </c>
      <c r="AG74">
        <f>IF(AND($A74&lt;&gt;"",AG$3&gt;=$J74,AG$3&lt;=$M74),1,"")</f>
        <v/>
      </c>
      <c r="AH74">
        <f>IF(AND($A74&lt;&gt;"",AH$3&gt;=$J74,AH$3&lt;=$M74),1,"")</f>
        <v/>
      </c>
      <c r="AI74">
        <f>IF(AND($A74&lt;&gt;"",AI$3&gt;=$J74,AI$3&lt;=$M74),1,"")</f>
        <v/>
      </c>
      <c r="AJ74">
        <f>IF(AND($A74&lt;&gt;"",AJ$3&gt;=$J74,AJ$3&lt;=$M74),1,"")</f>
        <v/>
      </c>
      <c r="AK74">
        <f>IF(AND($A74&lt;&gt;"",AK$3&gt;=$J74,AK$3&lt;=$M74),1,"")</f>
        <v/>
      </c>
      <c r="AL74">
        <f>IF(AND($A74&lt;&gt;"",AL$3&gt;=$J74,AL$3&lt;=$M74),1,"")</f>
        <v/>
      </c>
      <c r="AM74">
        <f>IF(AND($A74&lt;&gt;"",AM$3&gt;=$J74,AM$3&lt;=$M74),1,"")</f>
        <v/>
      </c>
      <c r="AN74">
        <f>IF(AND($A74&lt;&gt;"",AN$3&gt;=$J74,AN$3&lt;=$M74),1,"")</f>
        <v/>
      </c>
      <c r="AO74">
        <f>IF(AND($A74&lt;&gt;"",AO$3&gt;=$J74,AO$3&lt;=$M74),1,"")</f>
        <v/>
      </c>
      <c r="AP74">
        <f>IF(AND($A74&lt;&gt;"",AP$3&gt;=$J74,AP$3&lt;=$M74),1,"")</f>
        <v/>
      </c>
      <c r="AQ74">
        <f>IF(AND($A74&lt;&gt;"",AQ$3&gt;=$J74,AQ$3&lt;=$M74),1,"")</f>
        <v/>
      </c>
      <c r="AR74">
        <f>IF(AND($A74&lt;&gt;"",AR$3&gt;=$J74,AR$3&lt;=$M74),1,"")</f>
        <v/>
      </c>
      <c r="AS74">
        <f>IF(AND($A74&lt;&gt;"",AS$3&gt;=$J74,AS$3&lt;=$M74),1,"")</f>
        <v/>
      </c>
      <c r="AT74">
        <f>IF(AND($A74&lt;&gt;"",AT$3&gt;=$J74,AT$3&lt;=$M74),1,"")</f>
        <v/>
      </c>
      <c r="AU74">
        <f>IF(AND($A74&lt;&gt;"",AU$3&gt;=$J74,AU$3&lt;=$M74),1,"")</f>
        <v/>
      </c>
      <c r="AV74">
        <f>IF(AND($A74&lt;&gt;"",AV$3&gt;=$J74,AV$3&lt;=$M74),1,"")</f>
        <v/>
      </c>
      <c r="AW74">
        <f>IF(AND($A74&lt;&gt;"",AW$3&gt;=$J74,AW$3&lt;=$M74),1,"")</f>
        <v/>
      </c>
      <c r="AX74">
        <f>IF(AND($A74&lt;&gt;"",AX$3&gt;=$J74,AX$3&lt;=$M74),1,"")</f>
        <v/>
      </c>
      <c r="AY74">
        <f>IF(AND($A74&lt;&gt;"",AY$3&gt;=$J74,AY$3&lt;=$M74),1,"")</f>
        <v/>
      </c>
      <c r="AZ74">
        <f>IF(AND($A74&lt;&gt;"",AZ$3&gt;=$J74,AZ$3&lt;=$M74),1,"")</f>
        <v/>
      </c>
      <c r="BA74">
        <f>IF(AND($A74&lt;&gt;"",BA$3&gt;=$J74,BA$3&lt;=$M74),1,"")</f>
        <v/>
      </c>
      <c r="BB74">
        <f>IF(AND($A74&lt;&gt;"",BB$3&gt;=$J74,BB$3&lt;=$M74),1,"")</f>
        <v/>
      </c>
      <c r="BC74">
        <f>IF(AND($A74&lt;&gt;"",BC$3&gt;=$J74,BC$3&lt;=$M74),1,"")</f>
        <v/>
      </c>
      <c r="BD74">
        <f>IF(AND($A74&lt;&gt;"",BD$3&gt;=$J74,BD$3&lt;=$M74),1,"")</f>
        <v/>
      </c>
      <c r="BE74">
        <f>IF(AND($A74&lt;&gt;"",BE$3&gt;=$J74,BE$3&lt;=$M74),1,"")</f>
        <v/>
      </c>
      <c r="BF74">
        <f>IF(AND($A74&lt;&gt;"",BF$3&gt;=$J74,BF$3&lt;=$M74),1,"")</f>
        <v/>
      </c>
      <c r="BG74">
        <f>IF(AND($A74&lt;&gt;"",BG$3&gt;=$J74,BG$3&lt;=$M74),1,"")</f>
        <v/>
      </c>
      <c r="BH74">
        <f>IF(AND($A74&lt;&gt;"",BH$3&gt;=$J74,BH$3&lt;=$M74),1,"")</f>
        <v/>
      </c>
      <c r="BI74">
        <f>IF(AND($A74&lt;&gt;"",BI$3&gt;=$J74,BI$3&lt;=$M74),1,"")</f>
        <v/>
      </c>
      <c r="BJ74">
        <f>IF(AND($A74&lt;&gt;"",BJ$3&gt;=$J74,BJ$3&lt;=$M74),1,"")</f>
        <v/>
      </c>
      <c r="BK74">
        <f>IF(AND($A74&lt;&gt;"",BK$3&gt;=$J74,BK$3&lt;=$M74),1,"")</f>
        <v/>
      </c>
      <c r="BL74">
        <f>IF(AND($A74&lt;&gt;"",BL$3&gt;=$J74,BL$3&lt;=$M74),1,"")</f>
        <v/>
      </c>
      <c r="BM74">
        <f>IF(AND($A74&lt;&gt;"",BM$3&gt;=$J74,BM$3&lt;=$M74),1,"")</f>
        <v/>
      </c>
      <c r="BN74">
        <f>IF(AND($A74&lt;&gt;"",BN$3&gt;=$J74,BN$3&lt;=$M74),1,"")</f>
        <v/>
      </c>
      <c r="BO74">
        <f>IF(AND($A74&lt;&gt;"",BO$3&gt;=$J74,BO$3&lt;=$M74),1,"")</f>
        <v/>
      </c>
      <c r="BP74">
        <f>IF(AND($A74&lt;&gt;"",BP$3&gt;=$J74,BP$3&lt;=$M74),1,"")</f>
        <v/>
      </c>
      <c r="BQ74">
        <f>IF(AND($A74&lt;&gt;"",BQ$3&gt;=$J74,BQ$3&lt;=$M74),1,"")</f>
        <v/>
      </c>
      <c r="BR74">
        <f>IF(AND($A74&lt;&gt;"",BR$3&gt;=$J74,BR$3&lt;=$M74),1,"")</f>
        <v/>
      </c>
      <c r="BS74">
        <f>IF(AND($A74&lt;&gt;"",BS$3&gt;=$J74,BS$3&lt;=$M74),1,"")</f>
        <v/>
      </c>
      <c r="BT74">
        <f>IF(AND($A74&lt;&gt;"",BT$3&gt;=$J74,BT$3&lt;=$M74),1,"")</f>
        <v/>
      </c>
      <c r="BU74">
        <f>IF(AND($A74&lt;&gt;"",BU$3&gt;=$J74,BU$3&lt;=$M74),1,"")</f>
        <v/>
      </c>
      <c r="BV74">
        <f>IF(AND($A74&lt;&gt;"",BV$3&gt;=$J74,BV$3&lt;=$M74),1,"")</f>
        <v/>
      </c>
    </row>
    <row r="75">
      <c r="A75">
        <f>IF(Job_Master_Ring!$A75="","",Job_Master_Ring!$A75)</f>
        <v/>
      </c>
      <c r="B75">
        <f>IF($A75="","",Job_Master_Ring!B75)</f>
        <v/>
      </c>
      <c r="C75">
        <f>IF($A75="","",Job_Master_Ring!C75)</f>
        <v/>
      </c>
      <c r="D75">
        <f>IF($A75="","",Job_Master_Ring!D75)</f>
        <v/>
      </c>
      <c r="E75">
        <f>IF($A75="","",IF($I75&lt;&gt;"",$I75,IFERROR(INDEX(Machine_List!$B$64:$B$71,MATCH(1,(Machine_List!$H$64:$H$71&lt;=IFERROR(VLOOKUP($B75,CHOOSE(MATCH($C75,Settings!$L$4:$L$10,0),OPR_BR1!$A$4:$K$18,OPR_BR2!$A$4:$K$18,OPR_CR2!$A$4:$K$18,OPR_CR3!$A$4:$K$18,OPR_CR4!$A$4:$K$18,OPR_RIM!$A$4:$K$18,OPR_BPR!$A$4:$K$18),10,0),0))*(Machine_List!$I$64:$I$71&gt;=IFERROR(VLOOKUP($B75,CHOOSE(MATCH($C75,Settings!$L$4:$L$10,0),OPR_BR1!$A$4:$K$18,OPR_BR2!$A$4:$K$18,OPR_CR2!$A$4:$K$18,OPR_CR3!$A$4:$K$18,OPR_CR4!$A$4:$K$18,OPR_RIM!$A$4:$K$18,OPR_BPR!$A$4:$K$18),11,0),9999)),0)),"NO COMPATIBLE MACHINE")))</f>
        <v/>
      </c>
      <c r="F75">
        <f>IF($E75="","",IFERROR(VLOOKUP($E75,Machine_List!$B:$G,6,0),""))</f>
        <v/>
      </c>
      <c r="G75" s="17">
        <f>IF($E75="","",IFERROR(VLOOKUP($E75,Machine_List!$B:$C,2,0),""))</f>
        <v/>
      </c>
      <c r="H75">
        <f>IF($E75="","",IFERROR(VLOOKUP($E75,Machine_List!$B:$D,3,0),""))</f>
        <v/>
      </c>
      <c r="J75" s="16">
        <f>IF($A75="","",IF($I75&lt;&gt;"",$I75,MAX(ENG_Plan!$M75,IFERROR(LOOKUP(2,1/($E$3:INDIRECT("E"&amp;(ROW()-1))=$E75),$M$3:INDIRECT("M"&amp;(ROW()-1))),ENG_Plan!$M75))))</f>
        <v/>
      </c>
      <c r="K75">
        <f>IF($A75="","",IFERROR(VLOOKUP(B75,CHOOSE(MATCH($C75,Settings!$L$4:$L$10,0),OPR_BR1!$A$4:$I$18,OPR_BR2!$A$4:$I$18,OPR_CR2!$A$4:$I$18,OPR_CR3!$A$4:$I$18,OPR_CR4!$A$4:$I$18,OPR_RIM!$A$4:$I$18,OPR_BPR!$A$4:$I$18),7,0),0))</f>
        <v/>
      </c>
      <c r="L75">
        <f>IF($A75="","",K75*D75)</f>
        <v/>
      </c>
      <c r="M75" s="16">
        <f>IF($A75="","",IF(AND(ISNUMBER(G75),G75&gt;=J75,G75&lt;=(J75+(L75/(IF(F75="Contract Workman",Settings!$K$5,Settings!$K$4))))),J75+(L75/(IF(F75="Contract Workman",Settings!$K$5,Settings!$K$4)))+(H75/(IF(F75="Contract Workman",Settings!$K$5,Settings!$K$4))),J75+(L75/(IF(F75="Contract Workman",Settings!$K$5,Settings!$K$4)))))</f>
        <v/>
      </c>
      <c r="N75">
        <f>IF($A75="","",IF(F75="Contract Workman",IF(AND(MOD(M75,1)&gt;=8/24,MOD(M75,1)&lt;20/24),"Shift S1","Shift S2"),IF(AND(MOD(M75,1)&gt;=7/24,MOD(M75,1)&lt;15/24),"Shift A",IF(AND(MOD(M75,1)&gt;=15/24,MOD(M75,1)&lt;23/24),"Shift B","Shift C"))))</f>
        <v/>
      </c>
      <c r="O75">
        <f>IF(B75="","",IF(IFERROR(ISNUMBER(SEARCH(TEXT(B75,"0"),VLOOKUP(E75,Machine_List!$B:$J,9,0))),FALSE),"✅ "&amp; E75,"❌ Sug: "&amp;IFERROR(INDEX(Machine_List!$B$64:$B$71,MATCH(1,(Machine_List!$H$64:$H$71&lt;=IFERROR(VLOOKUP($B75,OPR_BR1!$A$4:$K$18,10,0),0))*(Machine_List!$I$64:$I$71&gt;=IFERROR(VLOOKUP($B75,OPR_BR1!$A$4:$K$18,11,0),9999)),0)),"?")))</f>
        <v/>
      </c>
      <c r="P75">
        <f>IF(AND($A75&lt;&gt;"",P$3&gt;=$J75,P$3&lt;=$M75),1,"")</f>
        <v/>
      </c>
      <c r="Q75">
        <f>IF(AND($A75&lt;&gt;"",Q$3&gt;=$J75,Q$3&lt;=$M75),1,"")</f>
        <v/>
      </c>
      <c r="R75">
        <f>IF(AND($A75&lt;&gt;"",R$3&gt;=$J75,R$3&lt;=$M75),1,"")</f>
        <v/>
      </c>
      <c r="S75">
        <f>IF(AND($A75&lt;&gt;"",S$3&gt;=$J75,S$3&lt;=$M75),1,"")</f>
        <v/>
      </c>
      <c r="T75">
        <f>IF(AND($A75&lt;&gt;"",T$3&gt;=$J75,T$3&lt;=$M75),1,"")</f>
        <v/>
      </c>
      <c r="U75">
        <f>IF(AND($A75&lt;&gt;"",U$3&gt;=$J75,U$3&lt;=$M75),1,"")</f>
        <v/>
      </c>
      <c r="V75">
        <f>IF(AND($A75&lt;&gt;"",V$3&gt;=$J75,V$3&lt;=$M75),1,"")</f>
        <v/>
      </c>
      <c r="W75">
        <f>IF(AND($A75&lt;&gt;"",W$3&gt;=$J75,W$3&lt;=$M75),1,"")</f>
        <v/>
      </c>
      <c r="X75">
        <f>IF(AND($A75&lt;&gt;"",X$3&gt;=$J75,X$3&lt;=$M75),1,"")</f>
        <v/>
      </c>
      <c r="Y75">
        <f>IF(AND($A75&lt;&gt;"",Y$3&gt;=$J75,Y$3&lt;=$M75),1,"")</f>
        <v/>
      </c>
      <c r="Z75">
        <f>IF(AND($A75&lt;&gt;"",Z$3&gt;=$J75,Z$3&lt;=$M75),1,"")</f>
        <v/>
      </c>
      <c r="AA75">
        <f>IF(AND($A75&lt;&gt;"",AA$3&gt;=$J75,AA$3&lt;=$M75),1,"")</f>
        <v/>
      </c>
      <c r="AB75">
        <f>IF(AND($A75&lt;&gt;"",AB$3&gt;=$J75,AB$3&lt;=$M75),1,"")</f>
        <v/>
      </c>
      <c r="AC75">
        <f>IF(AND($A75&lt;&gt;"",AC$3&gt;=$J75,AC$3&lt;=$M75),1,"")</f>
        <v/>
      </c>
      <c r="AD75">
        <f>IF(AND($A75&lt;&gt;"",AD$3&gt;=$J75,AD$3&lt;=$M75),1,"")</f>
        <v/>
      </c>
      <c r="AE75">
        <f>IF(AND($A75&lt;&gt;"",AE$3&gt;=$J75,AE$3&lt;=$M75),1,"")</f>
        <v/>
      </c>
      <c r="AF75">
        <f>IF(AND($A75&lt;&gt;"",AF$3&gt;=$J75,AF$3&lt;=$M75),1,"")</f>
        <v/>
      </c>
      <c r="AG75">
        <f>IF(AND($A75&lt;&gt;"",AG$3&gt;=$J75,AG$3&lt;=$M75),1,"")</f>
        <v/>
      </c>
      <c r="AH75">
        <f>IF(AND($A75&lt;&gt;"",AH$3&gt;=$J75,AH$3&lt;=$M75),1,"")</f>
        <v/>
      </c>
      <c r="AI75">
        <f>IF(AND($A75&lt;&gt;"",AI$3&gt;=$J75,AI$3&lt;=$M75),1,"")</f>
        <v/>
      </c>
      <c r="AJ75">
        <f>IF(AND($A75&lt;&gt;"",AJ$3&gt;=$J75,AJ$3&lt;=$M75),1,"")</f>
        <v/>
      </c>
      <c r="AK75">
        <f>IF(AND($A75&lt;&gt;"",AK$3&gt;=$J75,AK$3&lt;=$M75),1,"")</f>
        <v/>
      </c>
      <c r="AL75">
        <f>IF(AND($A75&lt;&gt;"",AL$3&gt;=$J75,AL$3&lt;=$M75),1,"")</f>
        <v/>
      </c>
      <c r="AM75">
        <f>IF(AND($A75&lt;&gt;"",AM$3&gt;=$J75,AM$3&lt;=$M75),1,"")</f>
        <v/>
      </c>
      <c r="AN75">
        <f>IF(AND($A75&lt;&gt;"",AN$3&gt;=$J75,AN$3&lt;=$M75),1,"")</f>
        <v/>
      </c>
      <c r="AO75">
        <f>IF(AND($A75&lt;&gt;"",AO$3&gt;=$J75,AO$3&lt;=$M75),1,"")</f>
        <v/>
      </c>
      <c r="AP75">
        <f>IF(AND($A75&lt;&gt;"",AP$3&gt;=$J75,AP$3&lt;=$M75),1,"")</f>
        <v/>
      </c>
      <c r="AQ75">
        <f>IF(AND($A75&lt;&gt;"",AQ$3&gt;=$J75,AQ$3&lt;=$M75),1,"")</f>
        <v/>
      </c>
      <c r="AR75">
        <f>IF(AND($A75&lt;&gt;"",AR$3&gt;=$J75,AR$3&lt;=$M75),1,"")</f>
        <v/>
      </c>
      <c r="AS75">
        <f>IF(AND($A75&lt;&gt;"",AS$3&gt;=$J75,AS$3&lt;=$M75),1,"")</f>
        <v/>
      </c>
      <c r="AT75">
        <f>IF(AND($A75&lt;&gt;"",AT$3&gt;=$J75,AT$3&lt;=$M75),1,"")</f>
        <v/>
      </c>
      <c r="AU75">
        <f>IF(AND($A75&lt;&gt;"",AU$3&gt;=$J75,AU$3&lt;=$M75),1,"")</f>
        <v/>
      </c>
      <c r="AV75">
        <f>IF(AND($A75&lt;&gt;"",AV$3&gt;=$J75,AV$3&lt;=$M75),1,"")</f>
        <v/>
      </c>
      <c r="AW75">
        <f>IF(AND($A75&lt;&gt;"",AW$3&gt;=$J75,AW$3&lt;=$M75),1,"")</f>
        <v/>
      </c>
      <c r="AX75">
        <f>IF(AND($A75&lt;&gt;"",AX$3&gt;=$J75,AX$3&lt;=$M75),1,"")</f>
        <v/>
      </c>
      <c r="AY75">
        <f>IF(AND($A75&lt;&gt;"",AY$3&gt;=$J75,AY$3&lt;=$M75),1,"")</f>
        <v/>
      </c>
      <c r="AZ75">
        <f>IF(AND($A75&lt;&gt;"",AZ$3&gt;=$J75,AZ$3&lt;=$M75),1,"")</f>
        <v/>
      </c>
      <c r="BA75">
        <f>IF(AND($A75&lt;&gt;"",BA$3&gt;=$J75,BA$3&lt;=$M75),1,"")</f>
        <v/>
      </c>
      <c r="BB75">
        <f>IF(AND($A75&lt;&gt;"",BB$3&gt;=$J75,BB$3&lt;=$M75),1,"")</f>
        <v/>
      </c>
      <c r="BC75">
        <f>IF(AND($A75&lt;&gt;"",BC$3&gt;=$J75,BC$3&lt;=$M75),1,"")</f>
        <v/>
      </c>
      <c r="BD75">
        <f>IF(AND($A75&lt;&gt;"",BD$3&gt;=$J75,BD$3&lt;=$M75),1,"")</f>
        <v/>
      </c>
      <c r="BE75">
        <f>IF(AND($A75&lt;&gt;"",BE$3&gt;=$J75,BE$3&lt;=$M75),1,"")</f>
        <v/>
      </c>
      <c r="BF75">
        <f>IF(AND($A75&lt;&gt;"",BF$3&gt;=$J75,BF$3&lt;=$M75),1,"")</f>
        <v/>
      </c>
      <c r="BG75">
        <f>IF(AND($A75&lt;&gt;"",BG$3&gt;=$J75,BG$3&lt;=$M75),1,"")</f>
        <v/>
      </c>
      <c r="BH75">
        <f>IF(AND($A75&lt;&gt;"",BH$3&gt;=$J75,BH$3&lt;=$M75),1,"")</f>
        <v/>
      </c>
      <c r="BI75">
        <f>IF(AND($A75&lt;&gt;"",BI$3&gt;=$J75,BI$3&lt;=$M75),1,"")</f>
        <v/>
      </c>
      <c r="BJ75">
        <f>IF(AND($A75&lt;&gt;"",BJ$3&gt;=$J75,BJ$3&lt;=$M75),1,"")</f>
        <v/>
      </c>
      <c r="BK75">
        <f>IF(AND($A75&lt;&gt;"",BK$3&gt;=$J75,BK$3&lt;=$M75),1,"")</f>
        <v/>
      </c>
      <c r="BL75">
        <f>IF(AND($A75&lt;&gt;"",BL$3&gt;=$J75,BL$3&lt;=$M75),1,"")</f>
        <v/>
      </c>
      <c r="BM75">
        <f>IF(AND($A75&lt;&gt;"",BM$3&gt;=$J75,BM$3&lt;=$M75),1,"")</f>
        <v/>
      </c>
      <c r="BN75">
        <f>IF(AND($A75&lt;&gt;"",BN$3&gt;=$J75,BN$3&lt;=$M75),1,"")</f>
        <v/>
      </c>
      <c r="BO75">
        <f>IF(AND($A75&lt;&gt;"",BO$3&gt;=$J75,BO$3&lt;=$M75),1,"")</f>
        <v/>
      </c>
      <c r="BP75">
        <f>IF(AND($A75&lt;&gt;"",BP$3&gt;=$J75,BP$3&lt;=$M75),1,"")</f>
        <v/>
      </c>
      <c r="BQ75">
        <f>IF(AND($A75&lt;&gt;"",BQ$3&gt;=$J75,BQ$3&lt;=$M75),1,"")</f>
        <v/>
      </c>
      <c r="BR75">
        <f>IF(AND($A75&lt;&gt;"",BR$3&gt;=$J75,BR$3&lt;=$M75),1,"")</f>
        <v/>
      </c>
      <c r="BS75">
        <f>IF(AND($A75&lt;&gt;"",BS$3&gt;=$J75,BS$3&lt;=$M75),1,"")</f>
        <v/>
      </c>
      <c r="BT75">
        <f>IF(AND($A75&lt;&gt;"",BT$3&gt;=$J75,BT$3&lt;=$M75),1,"")</f>
        <v/>
      </c>
      <c r="BU75">
        <f>IF(AND($A75&lt;&gt;"",BU$3&gt;=$J75,BU$3&lt;=$M75),1,"")</f>
        <v/>
      </c>
      <c r="BV75">
        <f>IF(AND($A75&lt;&gt;"",BV$3&gt;=$J75,BV$3&lt;=$M75),1,"")</f>
        <v/>
      </c>
    </row>
    <row r="76">
      <c r="A76">
        <f>IF(Job_Master_Ring!$A76="","",Job_Master_Ring!$A76)</f>
        <v/>
      </c>
      <c r="B76">
        <f>IF($A76="","",Job_Master_Ring!B76)</f>
        <v/>
      </c>
      <c r="C76">
        <f>IF($A76="","",Job_Master_Ring!C76)</f>
        <v/>
      </c>
      <c r="D76">
        <f>IF($A76="","",Job_Master_Ring!D76)</f>
        <v/>
      </c>
      <c r="E76">
        <f>IF($A76="","",IF($I76&lt;&gt;"",$I76,IFERROR(INDEX(Machine_List!$B$64:$B$71,MATCH(1,(Machine_List!$H$64:$H$71&lt;=IFERROR(VLOOKUP($B76,CHOOSE(MATCH($C76,Settings!$L$4:$L$10,0),OPR_BR1!$A$4:$K$18,OPR_BR2!$A$4:$K$18,OPR_CR2!$A$4:$K$18,OPR_CR3!$A$4:$K$18,OPR_CR4!$A$4:$K$18,OPR_RIM!$A$4:$K$18,OPR_BPR!$A$4:$K$18),10,0),0))*(Machine_List!$I$64:$I$71&gt;=IFERROR(VLOOKUP($B76,CHOOSE(MATCH($C76,Settings!$L$4:$L$10,0),OPR_BR1!$A$4:$K$18,OPR_BR2!$A$4:$K$18,OPR_CR2!$A$4:$K$18,OPR_CR3!$A$4:$K$18,OPR_CR4!$A$4:$K$18,OPR_RIM!$A$4:$K$18,OPR_BPR!$A$4:$K$18),11,0),9999)),0)),"NO COMPATIBLE MACHINE")))</f>
        <v/>
      </c>
      <c r="F76">
        <f>IF($E76="","",IFERROR(VLOOKUP($E76,Machine_List!$B:$G,6,0),""))</f>
        <v/>
      </c>
      <c r="G76" s="17">
        <f>IF($E76="","",IFERROR(VLOOKUP($E76,Machine_List!$B:$C,2,0),""))</f>
        <v/>
      </c>
      <c r="H76">
        <f>IF($E76="","",IFERROR(VLOOKUP($E76,Machine_List!$B:$D,3,0),""))</f>
        <v/>
      </c>
      <c r="J76" s="16">
        <f>IF($A76="","",IF($I76&lt;&gt;"",$I76,MAX(ENG_Plan!$M76,IFERROR(LOOKUP(2,1/($E$3:INDIRECT("E"&amp;(ROW()-1))=$E76),$M$3:INDIRECT("M"&amp;(ROW()-1))),ENG_Plan!$M76))))</f>
        <v/>
      </c>
      <c r="K76">
        <f>IF($A76="","",IFERROR(VLOOKUP(B76,CHOOSE(MATCH($C76,Settings!$L$4:$L$10,0),OPR_BR1!$A$4:$I$18,OPR_BR2!$A$4:$I$18,OPR_CR2!$A$4:$I$18,OPR_CR3!$A$4:$I$18,OPR_CR4!$A$4:$I$18,OPR_RIM!$A$4:$I$18,OPR_BPR!$A$4:$I$18),7,0),0))</f>
        <v/>
      </c>
      <c r="L76">
        <f>IF($A76="","",K76*D76)</f>
        <v/>
      </c>
      <c r="M76" s="16">
        <f>IF($A76="","",IF(AND(ISNUMBER(G76),G76&gt;=J76,G76&lt;=(J76+(L76/(IF(F76="Contract Workman",Settings!$K$5,Settings!$K$4))))),J76+(L76/(IF(F76="Contract Workman",Settings!$K$5,Settings!$K$4)))+(H76/(IF(F76="Contract Workman",Settings!$K$5,Settings!$K$4))),J76+(L76/(IF(F76="Contract Workman",Settings!$K$5,Settings!$K$4)))))</f>
        <v/>
      </c>
      <c r="N76">
        <f>IF($A76="","",IF(F76="Contract Workman",IF(AND(MOD(M76,1)&gt;=8/24,MOD(M76,1)&lt;20/24),"Shift S1","Shift S2"),IF(AND(MOD(M76,1)&gt;=7/24,MOD(M76,1)&lt;15/24),"Shift A",IF(AND(MOD(M76,1)&gt;=15/24,MOD(M76,1)&lt;23/24),"Shift B","Shift C"))))</f>
        <v/>
      </c>
      <c r="O76">
        <f>IF(B76="","",IF(IFERROR(ISNUMBER(SEARCH(TEXT(B76,"0"),VLOOKUP(E76,Machine_List!$B:$J,9,0))),FALSE),"✅ "&amp; E76,"❌ Sug: "&amp;IFERROR(INDEX(Machine_List!$B$64:$B$71,MATCH(1,(Machine_List!$H$64:$H$71&lt;=IFERROR(VLOOKUP($B76,OPR_BR1!$A$4:$K$18,10,0),0))*(Machine_List!$I$64:$I$71&gt;=IFERROR(VLOOKUP($B76,OPR_BR1!$A$4:$K$18,11,0),9999)),0)),"?")))</f>
        <v/>
      </c>
      <c r="P76">
        <f>IF(AND($A76&lt;&gt;"",P$3&gt;=$J76,P$3&lt;=$M76),1,"")</f>
        <v/>
      </c>
      <c r="Q76">
        <f>IF(AND($A76&lt;&gt;"",Q$3&gt;=$J76,Q$3&lt;=$M76),1,"")</f>
        <v/>
      </c>
      <c r="R76">
        <f>IF(AND($A76&lt;&gt;"",R$3&gt;=$J76,R$3&lt;=$M76),1,"")</f>
        <v/>
      </c>
      <c r="S76">
        <f>IF(AND($A76&lt;&gt;"",S$3&gt;=$J76,S$3&lt;=$M76),1,"")</f>
        <v/>
      </c>
      <c r="T76">
        <f>IF(AND($A76&lt;&gt;"",T$3&gt;=$J76,T$3&lt;=$M76),1,"")</f>
        <v/>
      </c>
      <c r="U76">
        <f>IF(AND($A76&lt;&gt;"",U$3&gt;=$J76,U$3&lt;=$M76),1,"")</f>
        <v/>
      </c>
      <c r="V76">
        <f>IF(AND($A76&lt;&gt;"",V$3&gt;=$J76,V$3&lt;=$M76),1,"")</f>
        <v/>
      </c>
      <c r="W76">
        <f>IF(AND($A76&lt;&gt;"",W$3&gt;=$J76,W$3&lt;=$M76),1,"")</f>
        <v/>
      </c>
      <c r="X76">
        <f>IF(AND($A76&lt;&gt;"",X$3&gt;=$J76,X$3&lt;=$M76),1,"")</f>
        <v/>
      </c>
      <c r="Y76">
        <f>IF(AND($A76&lt;&gt;"",Y$3&gt;=$J76,Y$3&lt;=$M76),1,"")</f>
        <v/>
      </c>
      <c r="Z76">
        <f>IF(AND($A76&lt;&gt;"",Z$3&gt;=$J76,Z$3&lt;=$M76),1,"")</f>
        <v/>
      </c>
      <c r="AA76">
        <f>IF(AND($A76&lt;&gt;"",AA$3&gt;=$J76,AA$3&lt;=$M76),1,"")</f>
        <v/>
      </c>
      <c r="AB76">
        <f>IF(AND($A76&lt;&gt;"",AB$3&gt;=$J76,AB$3&lt;=$M76),1,"")</f>
        <v/>
      </c>
      <c r="AC76">
        <f>IF(AND($A76&lt;&gt;"",AC$3&gt;=$J76,AC$3&lt;=$M76),1,"")</f>
        <v/>
      </c>
      <c r="AD76">
        <f>IF(AND($A76&lt;&gt;"",AD$3&gt;=$J76,AD$3&lt;=$M76),1,"")</f>
        <v/>
      </c>
      <c r="AE76">
        <f>IF(AND($A76&lt;&gt;"",AE$3&gt;=$J76,AE$3&lt;=$M76),1,"")</f>
        <v/>
      </c>
      <c r="AF76">
        <f>IF(AND($A76&lt;&gt;"",AF$3&gt;=$J76,AF$3&lt;=$M76),1,"")</f>
        <v/>
      </c>
      <c r="AG76">
        <f>IF(AND($A76&lt;&gt;"",AG$3&gt;=$J76,AG$3&lt;=$M76),1,"")</f>
        <v/>
      </c>
      <c r="AH76">
        <f>IF(AND($A76&lt;&gt;"",AH$3&gt;=$J76,AH$3&lt;=$M76),1,"")</f>
        <v/>
      </c>
      <c r="AI76">
        <f>IF(AND($A76&lt;&gt;"",AI$3&gt;=$J76,AI$3&lt;=$M76),1,"")</f>
        <v/>
      </c>
      <c r="AJ76">
        <f>IF(AND($A76&lt;&gt;"",AJ$3&gt;=$J76,AJ$3&lt;=$M76),1,"")</f>
        <v/>
      </c>
      <c r="AK76">
        <f>IF(AND($A76&lt;&gt;"",AK$3&gt;=$J76,AK$3&lt;=$M76),1,"")</f>
        <v/>
      </c>
      <c r="AL76">
        <f>IF(AND($A76&lt;&gt;"",AL$3&gt;=$J76,AL$3&lt;=$M76),1,"")</f>
        <v/>
      </c>
      <c r="AM76">
        <f>IF(AND($A76&lt;&gt;"",AM$3&gt;=$J76,AM$3&lt;=$M76),1,"")</f>
        <v/>
      </c>
      <c r="AN76">
        <f>IF(AND($A76&lt;&gt;"",AN$3&gt;=$J76,AN$3&lt;=$M76),1,"")</f>
        <v/>
      </c>
      <c r="AO76">
        <f>IF(AND($A76&lt;&gt;"",AO$3&gt;=$J76,AO$3&lt;=$M76),1,"")</f>
        <v/>
      </c>
      <c r="AP76">
        <f>IF(AND($A76&lt;&gt;"",AP$3&gt;=$J76,AP$3&lt;=$M76),1,"")</f>
        <v/>
      </c>
      <c r="AQ76">
        <f>IF(AND($A76&lt;&gt;"",AQ$3&gt;=$J76,AQ$3&lt;=$M76),1,"")</f>
        <v/>
      </c>
      <c r="AR76">
        <f>IF(AND($A76&lt;&gt;"",AR$3&gt;=$J76,AR$3&lt;=$M76),1,"")</f>
        <v/>
      </c>
      <c r="AS76">
        <f>IF(AND($A76&lt;&gt;"",AS$3&gt;=$J76,AS$3&lt;=$M76),1,"")</f>
        <v/>
      </c>
      <c r="AT76">
        <f>IF(AND($A76&lt;&gt;"",AT$3&gt;=$J76,AT$3&lt;=$M76),1,"")</f>
        <v/>
      </c>
      <c r="AU76">
        <f>IF(AND($A76&lt;&gt;"",AU$3&gt;=$J76,AU$3&lt;=$M76),1,"")</f>
        <v/>
      </c>
      <c r="AV76">
        <f>IF(AND($A76&lt;&gt;"",AV$3&gt;=$J76,AV$3&lt;=$M76),1,"")</f>
        <v/>
      </c>
      <c r="AW76">
        <f>IF(AND($A76&lt;&gt;"",AW$3&gt;=$J76,AW$3&lt;=$M76),1,"")</f>
        <v/>
      </c>
      <c r="AX76">
        <f>IF(AND($A76&lt;&gt;"",AX$3&gt;=$J76,AX$3&lt;=$M76),1,"")</f>
        <v/>
      </c>
      <c r="AY76">
        <f>IF(AND($A76&lt;&gt;"",AY$3&gt;=$J76,AY$3&lt;=$M76),1,"")</f>
        <v/>
      </c>
      <c r="AZ76">
        <f>IF(AND($A76&lt;&gt;"",AZ$3&gt;=$J76,AZ$3&lt;=$M76),1,"")</f>
        <v/>
      </c>
      <c r="BA76">
        <f>IF(AND($A76&lt;&gt;"",BA$3&gt;=$J76,BA$3&lt;=$M76),1,"")</f>
        <v/>
      </c>
      <c r="BB76">
        <f>IF(AND($A76&lt;&gt;"",BB$3&gt;=$J76,BB$3&lt;=$M76),1,"")</f>
        <v/>
      </c>
      <c r="BC76">
        <f>IF(AND($A76&lt;&gt;"",BC$3&gt;=$J76,BC$3&lt;=$M76),1,"")</f>
        <v/>
      </c>
      <c r="BD76">
        <f>IF(AND($A76&lt;&gt;"",BD$3&gt;=$J76,BD$3&lt;=$M76),1,"")</f>
        <v/>
      </c>
      <c r="BE76">
        <f>IF(AND($A76&lt;&gt;"",BE$3&gt;=$J76,BE$3&lt;=$M76),1,"")</f>
        <v/>
      </c>
      <c r="BF76">
        <f>IF(AND($A76&lt;&gt;"",BF$3&gt;=$J76,BF$3&lt;=$M76),1,"")</f>
        <v/>
      </c>
      <c r="BG76">
        <f>IF(AND($A76&lt;&gt;"",BG$3&gt;=$J76,BG$3&lt;=$M76),1,"")</f>
        <v/>
      </c>
      <c r="BH76">
        <f>IF(AND($A76&lt;&gt;"",BH$3&gt;=$J76,BH$3&lt;=$M76),1,"")</f>
        <v/>
      </c>
      <c r="BI76">
        <f>IF(AND($A76&lt;&gt;"",BI$3&gt;=$J76,BI$3&lt;=$M76),1,"")</f>
        <v/>
      </c>
      <c r="BJ76">
        <f>IF(AND($A76&lt;&gt;"",BJ$3&gt;=$J76,BJ$3&lt;=$M76),1,"")</f>
        <v/>
      </c>
      <c r="BK76">
        <f>IF(AND($A76&lt;&gt;"",BK$3&gt;=$J76,BK$3&lt;=$M76),1,"")</f>
        <v/>
      </c>
      <c r="BL76">
        <f>IF(AND($A76&lt;&gt;"",BL$3&gt;=$J76,BL$3&lt;=$M76),1,"")</f>
        <v/>
      </c>
      <c r="BM76">
        <f>IF(AND($A76&lt;&gt;"",BM$3&gt;=$J76,BM$3&lt;=$M76),1,"")</f>
        <v/>
      </c>
      <c r="BN76">
        <f>IF(AND($A76&lt;&gt;"",BN$3&gt;=$J76,BN$3&lt;=$M76),1,"")</f>
        <v/>
      </c>
      <c r="BO76">
        <f>IF(AND($A76&lt;&gt;"",BO$3&gt;=$J76,BO$3&lt;=$M76),1,"")</f>
        <v/>
      </c>
      <c r="BP76">
        <f>IF(AND($A76&lt;&gt;"",BP$3&gt;=$J76,BP$3&lt;=$M76),1,"")</f>
        <v/>
      </c>
      <c r="BQ76">
        <f>IF(AND($A76&lt;&gt;"",BQ$3&gt;=$J76,BQ$3&lt;=$M76),1,"")</f>
        <v/>
      </c>
      <c r="BR76">
        <f>IF(AND($A76&lt;&gt;"",BR$3&gt;=$J76,BR$3&lt;=$M76),1,"")</f>
        <v/>
      </c>
      <c r="BS76">
        <f>IF(AND($A76&lt;&gt;"",BS$3&gt;=$J76,BS$3&lt;=$M76),1,"")</f>
        <v/>
      </c>
      <c r="BT76">
        <f>IF(AND($A76&lt;&gt;"",BT$3&gt;=$J76,BT$3&lt;=$M76),1,"")</f>
        <v/>
      </c>
      <c r="BU76">
        <f>IF(AND($A76&lt;&gt;"",BU$3&gt;=$J76,BU$3&lt;=$M76),1,"")</f>
        <v/>
      </c>
      <c r="BV76">
        <f>IF(AND($A76&lt;&gt;"",BV$3&gt;=$J76,BV$3&lt;=$M76),1,"")</f>
        <v/>
      </c>
    </row>
    <row r="77">
      <c r="A77">
        <f>IF(Job_Master_Ring!$A77="","",Job_Master_Ring!$A77)</f>
        <v/>
      </c>
      <c r="B77">
        <f>IF($A77="","",Job_Master_Ring!B77)</f>
        <v/>
      </c>
      <c r="C77">
        <f>IF($A77="","",Job_Master_Ring!C77)</f>
        <v/>
      </c>
      <c r="D77">
        <f>IF($A77="","",Job_Master_Ring!D77)</f>
        <v/>
      </c>
      <c r="E77">
        <f>IF($A77="","",IF($I77&lt;&gt;"",$I77,IFERROR(INDEX(Machine_List!$B$64:$B$71,MATCH(1,(Machine_List!$H$64:$H$71&lt;=IFERROR(VLOOKUP($B77,CHOOSE(MATCH($C77,Settings!$L$4:$L$10,0),OPR_BR1!$A$4:$K$18,OPR_BR2!$A$4:$K$18,OPR_CR2!$A$4:$K$18,OPR_CR3!$A$4:$K$18,OPR_CR4!$A$4:$K$18,OPR_RIM!$A$4:$K$18,OPR_BPR!$A$4:$K$18),10,0),0))*(Machine_List!$I$64:$I$71&gt;=IFERROR(VLOOKUP($B77,CHOOSE(MATCH($C77,Settings!$L$4:$L$10,0),OPR_BR1!$A$4:$K$18,OPR_BR2!$A$4:$K$18,OPR_CR2!$A$4:$K$18,OPR_CR3!$A$4:$K$18,OPR_CR4!$A$4:$K$18,OPR_RIM!$A$4:$K$18,OPR_BPR!$A$4:$K$18),11,0),9999)),0)),"NO COMPATIBLE MACHINE")))</f>
        <v/>
      </c>
      <c r="F77">
        <f>IF($E77="","",IFERROR(VLOOKUP($E77,Machine_List!$B:$G,6,0),""))</f>
        <v/>
      </c>
      <c r="G77" s="17">
        <f>IF($E77="","",IFERROR(VLOOKUP($E77,Machine_List!$B:$C,2,0),""))</f>
        <v/>
      </c>
      <c r="H77">
        <f>IF($E77="","",IFERROR(VLOOKUP($E77,Machine_List!$B:$D,3,0),""))</f>
        <v/>
      </c>
      <c r="J77" s="16">
        <f>IF($A77="","",IF($I77&lt;&gt;"",$I77,MAX(ENG_Plan!$M77,IFERROR(LOOKUP(2,1/($E$3:INDIRECT("E"&amp;(ROW()-1))=$E77),$M$3:INDIRECT("M"&amp;(ROW()-1))),ENG_Plan!$M77))))</f>
        <v/>
      </c>
      <c r="K77">
        <f>IF($A77="","",IFERROR(VLOOKUP(B77,CHOOSE(MATCH($C77,Settings!$L$4:$L$10,0),OPR_BR1!$A$4:$I$18,OPR_BR2!$A$4:$I$18,OPR_CR2!$A$4:$I$18,OPR_CR3!$A$4:$I$18,OPR_CR4!$A$4:$I$18,OPR_RIM!$A$4:$I$18,OPR_BPR!$A$4:$I$18),7,0),0))</f>
        <v/>
      </c>
      <c r="L77">
        <f>IF($A77="","",K77*D77)</f>
        <v/>
      </c>
      <c r="M77" s="16">
        <f>IF($A77="","",IF(AND(ISNUMBER(G77),G77&gt;=J77,G77&lt;=(J77+(L77/(IF(F77="Contract Workman",Settings!$K$5,Settings!$K$4))))),J77+(L77/(IF(F77="Contract Workman",Settings!$K$5,Settings!$K$4)))+(H77/(IF(F77="Contract Workman",Settings!$K$5,Settings!$K$4))),J77+(L77/(IF(F77="Contract Workman",Settings!$K$5,Settings!$K$4)))))</f>
        <v/>
      </c>
      <c r="N77">
        <f>IF($A77="","",IF(F77="Contract Workman",IF(AND(MOD(M77,1)&gt;=8/24,MOD(M77,1)&lt;20/24),"Shift S1","Shift S2"),IF(AND(MOD(M77,1)&gt;=7/24,MOD(M77,1)&lt;15/24),"Shift A",IF(AND(MOD(M77,1)&gt;=15/24,MOD(M77,1)&lt;23/24),"Shift B","Shift C"))))</f>
        <v/>
      </c>
      <c r="O77">
        <f>IF(B77="","",IF(IFERROR(ISNUMBER(SEARCH(TEXT(B77,"0"),VLOOKUP(E77,Machine_List!$B:$J,9,0))),FALSE),"✅ "&amp; E77,"❌ Sug: "&amp;IFERROR(INDEX(Machine_List!$B$64:$B$71,MATCH(1,(Machine_List!$H$64:$H$71&lt;=IFERROR(VLOOKUP($B77,OPR_BR1!$A$4:$K$18,10,0),0))*(Machine_List!$I$64:$I$71&gt;=IFERROR(VLOOKUP($B77,OPR_BR1!$A$4:$K$18,11,0),9999)),0)),"?")))</f>
        <v/>
      </c>
      <c r="P77">
        <f>IF(AND($A77&lt;&gt;"",P$3&gt;=$J77,P$3&lt;=$M77),1,"")</f>
        <v/>
      </c>
      <c r="Q77">
        <f>IF(AND($A77&lt;&gt;"",Q$3&gt;=$J77,Q$3&lt;=$M77),1,"")</f>
        <v/>
      </c>
      <c r="R77">
        <f>IF(AND($A77&lt;&gt;"",R$3&gt;=$J77,R$3&lt;=$M77),1,"")</f>
        <v/>
      </c>
      <c r="S77">
        <f>IF(AND($A77&lt;&gt;"",S$3&gt;=$J77,S$3&lt;=$M77),1,"")</f>
        <v/>
      </c>
      <c r="T77">
        <f>IF(AND($A77&lt;&gt;"",T$3&gt;=$J77,T$3&lt;=$M77),1,"")</f>
        <v/>
      </c>
      <c r="U77">
        <f>IF(AND($A77&lt;&gt;"",U$3&gt;=$J77,U$3&lt;=$M77),1,"")</f>
        <v/>
      </c>
      <c r="V77">
        <f>IF(AND($A77&lt;&gt;"",V$3&gt;=$J77,V$3&lt;=$M77),1,"")</f>
        <v/>
      </c>
      <c r="W77">
        <f>IF(AND($A77&lt;&gt;"",W$3&gt;=$J77,W$3&lt;=$M77),1,"")</f>
        <v/>
      </c>
      <c r="X77">
        <f>IF(AND($A77&lt;&gt;"",X$3&gt;=$J77,X$3&lt;=$M77),1,"")</f>
        <v/>
      </c>
      <c r="Y77">
        <f>IF(AND($A77&lt;&gt;"",Y$3&gt;=$J77,Y$3&lt;=$M77),1,"")</f>
        <v/>
      </c>
      <c r="Z77">
        <f>IF(AND($A77&lt;&gt;"",Z$3&gt;=$J77,Z$3&lt;=$M77),1,"")</f>
        <v/>
      </c>
      <c r="AA77">
        <f>IF(AND($A77&lt;&gt;"",AA$3&gt;=$J77,AA$3&lt;=$M77),1,"")</f>
        <v/>
      </c>
      <c r="AB77">
        <f>IF(AND($A77&lt;&gt;"",AB$3&gt;=$J77,AB$3&lt;=$M77),1,"")</f>
        <v/>
      </c>
      <c r="AC77">
        <f>IF(AND($A77&lt;&gt;"",AC$3&gt;=$J77,AC$3&lt;=$M77),1,"")</f>
        <v/>
      </c>
      <c r="AD77">
        <f>IF(AND($A77&lt;&gt;"",AD$3&gt;=$J77,AD$3&lt;=$M77),1,"")</f>
        <v/>
      </c>
      <c r="AE77">
        <f>IF(AND($A77&lt;&gt;"",AE$3&gt;=$J77,AE$3&lt;=$M77),1,"")</f>
        <v/>
      </c>
      <c r="AF77">
        <f>IF(AND($A77&lt;&gt;"",AF$3&gt;=$J77,AF$3&lt;=$M77),1,"")</f>
        <v/>
      </c>
      <c r="AG77">
        <f>IF(AND($A77&lt;&gt;"",AG$3&gt;=$J77,AG$3&lt;=$M77),1,"")</f>
        <v/>
      </c>
      <c r="AH77">
        <f>IF(AND($A77&lt;&gt;"",AH$3&gt;=$J77,AH$3&lt;=$M77),1,"")</f>
        <v/>
      </c>
      <c r="AI77">
        <f>IF(AND($A77&lt;&gt;"",AI$3&gt;=$J77,AI$3&lt;=$M77),1,"")</f>
        <v/>
      </c>
      <c r="AJ77">
        <f>IF(AND($A77&lt;&gt;"",AJ$3&gt;=$J77,AJ$3&lt;=$M77),1,"")</f>
        <v/>
      </c>
      <c r="AK77">
        <f>IF(AND($A77&lt;&gt;"",AK$3&gt;=$J77,AK$3&lt;=$M77),1,"")</f>
        <v/>
      </c>
      <c r="AL77">
        <f>IF(AND($A77&lt;&gt;"",AL$3&gt;=$J77,AL$3&lt;=$M77),1,"")</f>
        <v/>
      </c>
      <c r="AM77">
        <f>IF(AND($A77&lt;&gt;"",AM$3&gt;=$J77,AM$3&lt;=$M77),1,"")</f>
        <v/>
      </c>
      <c r="AN77">
        <f>IF(AND($A77&lt;&gt;"",AN$3&gt;=$J77,AN$3&lt;=$M77),1,"")</f>
        <v/>
      </c>
      <c r="AO77">
        <f>IF(AND($A77&lt;&gt;"",AO$3&gt;=$J77,AO$3&lt;=$M77),1,"")</f>
        <v/>
      </c>
      <c r="AP77">
        <f>IF(AND($A77&lt;&gt;"",AP$3&gt;=$J77,AP$3&lt;=$M77),1,"")</f>
        <v/>
      </c>
      <c r="AQ77">
        <f>IF(AND($A77&lt;&gt;"",AQ$3&gt;=$J77,AQ$3&lt;=$M77),1,"")</f>
        <v/>
      </c>
      <c r="AR77">
        <f>IF(AND($A77&lt;&gt;"",AR$3&gt;=$J77,AR$3&lt;=$M77),1,"")</f>
        <v/>
      </c>
      <c r="AS77">
        <f>IF(AND($A77&lt;&gt;"",AS$3&gt;=$J77,AS$3&lt;=$M77),1,"")</f>
        <v/>
      </c>
      <c r="AT77">
        <f>IF(AND($A77&lt;&gt;"",AT$3&gt;=$J77,AT$3&lt;=$M77),1,"")</f>
        <v/>
      </c>
      <c r="AU77">
        <f>IF(AND($A77&lt;&gt;"",AU$3&gt;=$J77,AU$3&lt;=$M77),1,"")</f>
        <v/>
      </c>
      <c r="AV77">
        <f>IF(AND($A77&lt;&gt;"",AV$3&gt;=$J77,AV$3&lt;=$M77),1,"")</f>
        <v/>
      </c>
      <c r="AW77">
        <f>IF(AND($A77&lt;&gt;"",AW$3&gt;=$J77,AW$3&lt;=$M77),1,"")</f>
        <v/>
      </c>
      <c r="AX77">
        <f>IF(AND($A77&lt;&gt;"",AX$3&gt;=$J77,AX$3&lt;=$M77),1,"")</f>
        <v/>
      </c>
      <c r="AY77">
        <f>IF(AND($A77&lt;&gt;"",AY$3&gt;=$J77,AY$3&lt;=$M77),1,"")</f>
        <v/>
      </c>
      <c r="AZ77">
        <f>IF(AND($A77&lt;&gt;"",AZ$3&gt;=$J77,AZ$3&lt;=$M77),1,"")</f>
        <v/>
      </c>
      <c r="BA77">
        <f>IF(AND($A77&lt;&gt;"",BA$3&gt;=$J77,BA$3&lt;=$M77),1,"")</f>
        <v/>
      </c>
      <c r="BB77">
        <f>IF(AND($A77&lt;&gt;"",BB$3&gt;=$J77,BB$3&lt;=$M77),1,"")</f>
        <v/>
      </c>
      <c r="BC77">
        <f>IF(AND($A77&lt;&gt;"",BC$3&gt;=$J77,BC$3&lt;=$M77),1,"")</f>
        <v/>
      </c>
      <c r="BD77">
        <f>IF(AND($A77&lt;&gt;"",BD$3&gt;=$J77,BD$3&lt;=$M77),1,"")</f>
        <v/>
      </c>
      <c r="BE77">
        <f>IF(AND($A77&lt;&gt;"",BE$3&gt;=$J77,BE$3&lt;=$M77),1,"")</f>
        <v/>
      </c>
      <c r="BF77">
        <f>IF(AND($A77&lt;&gt;"",BF$3&gt;=$J77,BF$3&lt;=$M77),1,"")</f>
        <v/>
      </c>
      <c r="BG77">
        <f>IF(AND($A77&lt;&gt;"",BG$3&gt;=$J77,BG$3&lt;=$M77),1,"")</f>
        <v/>
      </c>
      <c r="BH77">
        <f>IF(AND($A77&lt;&gt;"",BH$3&gt;=$J77,BH$3&lt;=$M77),1,"")</f>
        <v/>
      </c>
      <c r="BI77">
        <f>IF(AND($A77&lt;&gt;"",BI$3&gt;=$J77,BI$3&lt;=$M77),1,"")</f>
        <v/>
      </c>
      <c r="BJ77">
        <f>IF(AND($A77&lt;&gt;"",BJ$3&gt;=$J77,BJ$3&lt;=$M77),1,"")</f>
        <v/>
      </c>
      <c r="BK77">
        <f>IF(AND($A77&lt;&gt;"",BK$3&gt;=$J77,BK$3&lt;=$M77),1,"")</f>
        <v/>
      </c>
      <c r="BL77">
        <f>IF(AND($A77&lt;&gt;"",BL$3&gt;=$J77,BL$3&lt;=$M77),1,"")</f>
        <v/>
      </c>
      <c r="BM77">
        <f>IF(AND($A77&lt;&gt;"",BM$3&gt;=$J77,BM$3&lt;=$M77),1,"")</f>
        <v/>
      </c>
      <c r="BN77">
        <f>IF(AND($A77&lt;&gt;"",BN$3&gt;=$J77,BN$3&lt;=$M77),1,"")</f>
        <v/>
      </c>
      <c r="BO77">
        <f>IF(AND($A77&lt;&gt;"",BO$3&gt;=$J77,BO$3&lt;=$M77),1,"")</f>
        <v/>
      </c>
      <c r="BP77">
        <f>IF(AND($A77&lt;&gt;"",BP$3&gt;=$J77,BP$3&lt;=$M77),1,"")</f>
        <v/>
      </c>
      <c r="BQ77">
        <f>IF(AND($A77&lt;&gt;"",BQ$3&gt;=$J77,BQ$3&lt;=$M77),1,"")</f>
        <v/>
      </c>
      <c r="BR77">
        <f>IF(AND($A77&lt;&gt;"",BR$3&gt;=$J77,BR$3&lt;=$M77),1,"")</f>
        <v/>
      </c>
      <c r="BS77">
        <f>IF(AND($A77&lt;&gt;"",BS$3&gt;=$J77,BS$3&lt;=$M77),1,"")</f>
        <v/>
      </c>
      <c r="BT77">
        <f>IF(AND($A77&lt;&gt;"",BT$3&gt;=$J77,BT$3&lt;=$M77),1,"")</f>
        <v/>
      </c>
      <c r="BU77">
        <f>IF(AND($A77&lt;&gt;"",BU$3&gt;=$J77,BU$3&lt;=$M77),1,"")</f>
        <v/>
      </c>
      <c r="BV77">
        <f>IF(AND($A77&lt;&gt;"",BV$3&gt;=$J77,BV$3&lt;=$M77),1,"")</f>
        <v/>
      </c>
    </row>
    <row r="78">
      <c r="A78">
        <f>IF(Job_Master_Ring!$A78="","",Job_Master_Ring!$A78)</f>
        <v/>
      </c>
      <c r="B78">
        <f>IF($A78="","",Job_Master_Ring!B78)</f>
        <v/>
      </c>
      <c r="C78">
        <f>IF($A78="","",Job_Master_Ring!C78)</f>
        <v/>
      </c>
      <c r="D78">
        <f>IF($A78="","",Job_Master_Ring!D78)</f>
        <v/>
      </c>
      <c r="E78">
        <f>IF($A78="","",IF($I78&lt;&gt;"",$I78,IFERROR(INDEX(Machine_List!$B$64:$B$71,MATCH(1,(Machine_List!$H$64:$H$71&lt;=IFERROR(VLOOKUP($B78,CHOOSE(MATCH($C78,Settings!$L$4:$L$10,0),OPR_BR1!$A$4:$K$18,OPR_BR2!$A$4:$K$18,OPR_CR2!$A$4:$K$18,OPR_CR3!$A$4:$K$18,OPR_CR4!$A$4:$K$18,OPR_RIM!$A$4:$K$18,OPR_BPR!$A$4:$K$18),10,0),0))*(Machine_List!$I$64:$I$71&gt;=IFERROR(VLOOKUP($B78,CHOOSE(MATCH($C78,Settings!$L$4:$L$10,0),OPR_BR1!$A$4:$K$18,OPR_BR2!$A$4:$K$18,OPR_CR2!$A$4:$K$18,OPR_CR3!$A$4:$K$18,OPR_CR4!$A$4:$K$18,OPR_RIM!$A$4:$K$18,OPR_BPR!$A$4:$K$18),11,0),9999)),0)),"NO COMPATIBLE MACHINE")))</f>
        <v/>
      </c>
      <c r="F78">
        <f>IF($E78="","",IFERROR(VLOOKUP($E78,Machine_List!$B:$G,6,0),""))</f>
        <v/>
      </c>
      <c r="G78" s="17">
        <f>IF($E78="","",IFERROR(VLOOKUP($E78,Machine_List!$B:$C,2,0),""))</f>
        <v/>
      </c>
      <c r="H78">
        <f>IF($E78="","",IFERROR(VLOOKUP($E78,Machine_List!$B:$D,3,0),""))</f>
        <v/>
      </c>
      <c r="J78" s="16">
        <f>IF($A78="","",IF($I78&lt;&gt;"",$I78,MAX(ENG_Plan!$M78,IFERROR(LOOKUP(2,1/($E$3:INDIRECT("E"&amp;(ROW()-1))=$E78),$M$3:INDIRECT("M"&amp;(ROW()-1))),ENG_Plan!$M78))))</f>
        <v/>
      </c>
      <c r="K78">
        <f>IF($A78="","",IFERROR(VLOOKUP(B78,CHOOSE(MATCH($C78,Settings!$L$4:$L$10,0),OPR_BR1!$A$4:$I$18,OPR_BR2!$A$4:$I$18,OPR_CR2!$A$4:$I$18,OPR_CR3!$A$4:$I$18,OPR_CR4!$A$4:$I$18,OPR_RIM!$A$4:$I$18,OPR_BPR!$A$4:$I$18),7,0),0))</f>
        <v/>
      </c>
      <c r="L78">
        <f>IF($A78="","",K78*D78)</f>
        <v/>
      </c>
      <c r="M78" s="16">
        <f>IF($A78="","",IF(AND(ISNUMBER(G78),G78&gt;=J78,G78&lt;=(J78+(L78/(IF(F78="Contract Workman",Settings!$K$5,Settings!$K$4))))),J78+(L78/(IF(F78="Contract Workman",Settings!$K$5,Settings!$K$4)))+(H78/(IF(F78="Contract Workman",Settings!$K$5,Settings!$K$4))),J78+(L78/(IF(F78="Contract Workman",Settings!$K$5,Settings!$K$4)))))</f>
        <v/>
      </c>
      <c r="N78">
        <f>IF($A78="","",IF(F78="Contract Workman",IF(AND(MOD(M78,1)&gt;=8/24,MOD(M78,1)&lt;20/24),"Shift S1","Shift S2"),IF(AND(MOD(M78,1)&gt;=7/24,MOD(M78,1)&lt;15/24),"Shift A",IF(AND(MOD(M78,1)&gt;=15/24,MOD(M78,1)&lt;23/24),"Shift B","Shift C"))))</f>
        <v/>
      </c>
      <c r="O78">
        <f>IF(B78="","",IF(IFERROR(ISNUMBER(SEARCH(TEXT(B78,"0"),VLOOKUP(E78,Machine_List!$B:$J,9,0))),FALSE),"✅ "&amp; E78,"❌ Sug: "&amp;IFERROR(INDEX(Machine_List!$B$64:$B$71,MATCH(1,(Machine_List!$H$64:$H$71&lt;=IFERROR(VLOOKUP($B78,OPR_BR1!$A$4:$K$18,10,0),0))*(Machine_List!$I$64:$I$71&gt;=IFERROR(VLOOKUP($B78,OPR_BR1!$A$4:$K$18,11,0),9999)),0)),"?")))</f>
        <v/>
      </c>
      <c r="P78">
        <f>IF(AND($A78&lt;&gt;"",P$3&gt;=$J78,P$3&lt;=$M78),1,"")</f>
        <v/>
      </c>
      <c r="Q78">
        <f>IF(AND($A78&lt;&gt;"",Q$3&gt;=$J78,Q$3&lt;=$M78),1,"")</f>
        <v/>
      </c>
      <c r="R78">
        <f>IF(AND($A78&lt;&gt;"",R$3&gt;=$J78,R$3&lt;=$M78),1,"")</f>
        <v/>
      </c>
      <c r="S78">
        <f>IF(AND($A78&lt;&gt;"",S$3&gt;=$J78,S$3&lt;=$M78),1,"")</f>
        <v/>
      </c>
      <c r="T78">
        <f>IF(AND($A78&lt;&gt;"",T$3&gt;=$J78,T$3&lt;=$M78),1,"")</f>
        <v/>
      </c>
      <c r="U78">
        <f>IF(AND($A78&lt;&gt;"",U$3&gt;=$J78,U$3&lt;=$M78),1,"")</f>
        <v/>
      </c>
      <c r="V78">
        <f>IF(AND($A78&lt;&gt;"",V$3&gt;=$J78,V$3&lt;=$M78),1,"")</f>
        <v/>
      </c>
      <c r="W78">
        <f>IF(AND($A78&lt;&gt;"",W$3&gt;=$J78,W$3&lt;=$M78),1,"")</f>
        <v/>
      </c>
      <c r="X78">
        <f>IF(AND($A78&lt;&gt;"",X$3&gt;=$J78,X$3&lt;=$M78),1,"")</f>
        <v/>
      </c>
      <c r="Y78">
        <f>IF(AND($A78&lt;&gt;"",Y$3&gt;=$J78,Y$3&lt;=$M78),1,"")</f>
        <v/>
      </c>
      <c r="Z78">
        <f>IF(AND($A78&lt;&gt;"",Z$3&gt;=$J78,Z$3&lt;=$M78),1,"")</f>
        <v/>
      </c>
      <c r="AA78">
        <f>IF(AND($A78&lt;&gt;"",AA$3&gt;=$J78,AA$3&lt;=$M78),1,"")</f>
        <v/>
      </c>
      <c r="AB78">
        <f>IF(AND($A78&lt;&gt;"",AB$3&gt;=$J78,AB$3&lt;=$M78),1,"")</f>
        <v/>
      </c>
      <c r="AC78">
        <f>IF(AND($A78&lt;&gt;"",AC$3&gt;=$J78,AC$3&lt;=$M78),1,"")</f>
        <v/>
      </c>
      <c r="AD78">
        <f>IF(AND($A78&lt;&gt;"",AD$3&gt;=$J78,AD$3&lt;=$M78),1,"")</f>
        <v/>
      </c>
      <c r="AE78">
        <f>IF(AND($A78&lt;&gt;"",AE$3&gt;=$J78,AE$3&lt;=$M78),1,"")</f>
        <v/>
      </c>
      <c r="AF78">
        <f>IF(AND($A78&lt;&gt;"",AF$3&gt;=$J78,AF$3&lt;=$M78),1,"")</f>
        <v/>
      </c>
      <c r="AG78">
        <f>IF(AND($A78&lt;&gt;"",AG$3&gt;=$J78,AG$3&lt;=$M78),1,"")</f>
        <v/>
      </c>
      <c r="AH78">
        <f>IF(AND($A78&lt;&gt;"",AH$3&gt;=$J78,AH$3&lt;=$M78),1,"")</f>
        <v/>
      </c>
      <c r="AI78">
        <f>IF(AND($A78&lt;&gt;"",AI$3&gt;=$J78,AI$3&lt;=$M78),1,"")</f>
        <v/>
      </c>
      <c r="AJ78">
        <f>IF(AND($A78&lt;&gt;"",AJ$3&gt;=$J78,AJ$3&lt;=$M78),1,"")</f>
        <v/>
      </c>
      <c r="AK78">
        <f>IF(AND($A78&lt;&gt;"",AK$3&gt;=$J78,AK$3&lt;=$M78),1,"")</f>
        <v/>
      </c>
      <c r="AL78">
        <f>IF(AND($A78&lt;&gt;"",AL$3&gt;=$J78,AL$3&lt;=$M78),1,"")</f>
        <v/>
      </c>
      <c r="AM78">
        <f>IF(AND($A78&lt;&gt;"",AM$3&gt;=$J78,AM$3&lt;=$M78),1,"")</f>
        <v/>
      </c>
      <c r="AN78">
        <f>IF(AND($A78&lt;&gt;"",AN$3&gt;=$J78,AN$3&lt;=$M78),1,"")</f>
        <v/>
      </c>
      <c r="AO78">
        <f>IF(AND($A78&lt;&gt;"",AO$3&gt;=$J78,AO$3&lt;=$M78),1,"")</f>
        <v/>
      </c>
      <c r="AP78">
        <f>IF(AND($A78&lt;&gt;"",AP$3&gt;=$J78,AP$3&lt;=$M78),1,"")</f>
        <v/>
      </c>
      <c r="AQ78">
        <f>IF(AND($A78&lt;&gt;"",AQ$3&gt;=$J78,AQ$3&lt;=$M78),1,"")</f>
        <v/>
      </c>
      <c r="AR78">
        <f>IF(AND($A78&lt;&gt;"",AR$3&gt;=$J78,AR$3&lt;=$M78),1,"")</f>
        <v/>
      </c>
      <c r="AS78">
        <f>IF(AND($A78&lt;&gt;"",AS$3&gt;=$J78,AS$3&lt;=$M78),1,"")</f>
        <v/>
      </c>
      <c r="AT78">
        <f>IF(AND($A78&lt;&gt;"",AT$3&gt;=$J78,AT$3&lt;=$M78),1,"")</f>
        <v/>
      </c>
      <c r="AU78">
        <f>IF(AND($A78&lt;&gt;"",AU$3&gt;=$J78,AU$3&lt;=$M78),1,"")</f>
        <v/>
      </c>
      <c r="AV78">
        <f>IF(AND($A78&lt;&gt;"",AV$3&gt;=$J78,AV$3&lt;=$M78),1,"")</f>
        <v/>
      </c>
      <c r="AW78">
        <f>IF(AND($A78&lt;&gt;"",AW$3&gt;=$J78,AW$3&lt;=$M78),1,"")</f>
        <v/>
      </c>
      <c r="AX78">
        <f>IF(AND($A78&lt;&gt;"",AX$3&gt;=$J78,AX$3&lt;=$M78),1,"")</f>
        <v/>
      </c>
      <c r="AY78">
        <f>IF(AND($A78&lt;&gt;"",AY$3&gt;=$J78,AY$3&lt;=$M78),1,"")</f>
        <v/>
      </c>
      <c r="AZ78">
        <f>IF(AND($A78&lt;&gt;"",AZ$3&gt;=$J78,AZ$3&lt;=$M78),1,"")</f>
        <v/>
      </c>
      <c r="BA78">
        <f>IF(AND($A78&lt;&gt;"",BA$3&gt;=$J78,BA$3&lt;=$M78),1,"")</f>
        <v/>
      </c>
      <c r="BB78">
        <f>IF(AND($A78&lt;&gt;"",BB$3&gt;=$J78,BB$3&lt;=$M78),1,"")</f>
        <v/>
      </c>
      <c r="BC78">
        <f>IF(AND($A78&lt;&gt;"",BC$3&gt;=$J78,BC$3&lt;=$M78),1,"")</f>
        <v/>
      </c>
      <c r="BD78">
        <f>IF(AND($A78&lt;&gt;"",BD$3&gt;=$J78,BD$3&lt;=$M78),1,"")</f>
        <v/>
      </c>
      <c r="BE78">
        <f>IF(AND($A78&lt;&gt;"",BE$3&gt;=$J78,BE$3&lt;=$M78),1,"")</f>
        <v/>
      </c>
      <c r="BF78">
        <f>IF(AND($A78&lt;&gt;"",BF$3&gt;=$J78,BF$3&lt;=$M78),1,"")</f>
        <v/>
      </c>
      <c r="BG78">
        <f>IF(AND($A78&lt;&gt;"",BG$3&gt;=$J78,BG$3&lt;=$M78),1,"")</f>
        <v/>
      </c>
      <c r="BH78">
        <f>IF(AND($A78&lt;&gt;"",BH$3&gt;=$J78,BH$3&lt;=$M78),1,"")</f>
        <v/>
      </c>
      <c r="BI78">
        <f>IF(AND($A78&lt;&gt;"",BI$3&gt;=$J78,BI$3&lt;=$M78),1,"")</f>
        <v/>
      </c>
      <c r="BJ78">
        <f>IF(AND($A78&lt;&gt;"",BJ$3&gt;=$J78,BJ$3&lt;=$M78),1,"")</f>
        <v/>
      </c>
      <c r="BK78">
        <f>IF(AND($A78&lt;&gt;"",BK$3&gt;=$J78,BK$3&lt;=$M78),1,"")</f>
        <v/>
      </c>
      <c r="BL78">
        <f>IF(AND($A78&lt;&gt;"",BL$3&gt;=$J78,BL$3&lt;=$M78),1,"")</f>
        <v/>
      </c>
      <c r="BM78">
        <f>IF(AND($A78&lt;&gt;"",BM$3&gt;=$J78,BM$3&lt;=$M78),1,"")</f>
        <v/>
      </c>
      <c r="BN78">
        <f>IF(AND($A78&lt;&gt;"",BN$3&gt;=$J78,BN$3&lt;=$M78),1,"")</f>
        <v/>
      </c>
      <c r="BO78">
        <f>IF(AND($A78&lt;&gt;"",BO$3&gt;=$J78,BO$3&lt;=$M78),1,"")</f>
        <v/>
      </c>
      <c r="BP78">
        <f>IF(AND($A78&lt;&gt;"",BP$3&gt;=$J78,BP$3&lt;=$M78),1,"")</f>
        <v/>
      </c>
      <c r="BQ78">
        <f>IF(AND($A78&lt;&gt;"",BQ$3&gt;=$J78,BQ$3&lt;=$M78),1,"")</f>
        <v/>
      </c>
      <c r="BR78">
        <f>IF(AND($A78&lt;&gt;"",BR$3&gt;=$J78,BR$3&lt;=$M78),1,"")</f>
        <v/>
      </c>
      <c r="BS78">
        <f>IF(AND($A78&lt;&gt;"",BS$3&gt;=$J78,BS$3&lt;=$M78),1,"")</f>
        <v/>
      </c>
      <c r="BT78">
        <f>IF(AND($A78&lt;&gt;"",BT$3&gt;=$J78,BT$3&lt;=$M78),1,"")</f>
        <v/>
      </c>
      <c r="BU78">
        <f>IF(AND($A78&lt;&gt;"",BU$3&gt;=$J78,BU$3&lt;=$M78),1,"")</f>
        <v/>
      </c>
      <c r="BV78">
        <f>IF(AND($A78&lt;&gt;"",BV$3&gt;=$J78,BV$3&lt;=$M78),1,"")</f>
        <v/>
      </c>
    </row>
    <row r="79">
      <c r="A79">
        <f>IF(Job_Master_Ring!$A79="","",Job_Master_Ring!$A79)</f>
        <v/>
      </c>
      <c r="B79">
        <f>IF($A79="","",Job_Master_Ring!B79)</f>
        <v/>
      </c>
      <c r="C79">
        <f>IF($A79="","",Job_Master_Ring!C79)</f>
        <v/>
      </c>
      <c r="D79">
        <f>IF($A79="","",Job_Master_Ring!D79)</f>
        <v/>
      </c>
      <c r="E79">
        <f>IF($A79="","",IF($I79&lt;&gt;"",$I79,IFERROR(INDEX(Machine_List!$B$64:$B$71,MATCH(1,(Machine_List!$H$64:$H$71&lt;=IFERROR(VLOOKUP($B79,CHOOSE(MATCH($C79,Settings!$L$4:$L$10,0),OPR_BR1!$A$4:$K$18,OPR_BR2!$A$4:$K$18,OPR_CR2!$A$4:$K$18,OPR_CR3!$A$4:$K$18,OPR_CR4!$A$4:$K$18,OPR_RIM!$A$4:$K$18,OPR_BPR!$A$4:$K$18),10,0),0))*(Machine_List!$I$64:$I$71&gt;=IFERROR(VLOOKUP($B79,CHOOSE(MATCH($C79,Settings!$L$4:$L$10,0),OPR_BR1!$A$4:$K$18,OPR_BR2!$A$4:$K$18,OPR_CR2!$A$4:$K$18,OPR_CR3!$A$4:$K$18,OPR_CR4!$A$4:$K$18,OPR_RIM!$A$4:$K$18,OPR_BPR!$A$4:$K$18),11,0),9999)),0)),"NO COMPATIBLE MACHINE")))</f>
        <v/>
      </c>
      <c r="F79">
        <f>IF($E79="","",IFERROR(VLOOKUP($E79,Machine_List!$B:$G,6,0),""))</f>
        <v/>
      </c>
      <c r="G79" s="17">
        <f>IF($E79="","",IFERROR(VLOOKUP($E79,Machine_List!$B:$C,2,0),""))</f>
        <v/>
      </c>
      <c r="H79">
        <f>IF($E79="","",IFERROR(VLOOKUP($E79,Machine_List!$B:$D,3,0),""))</f>
        <v/>
      </c>
      <c r="J79" s="16">
        <f>IF($A79="","",IF($I79&lt;&gt;"",$I79,MAX(ENG_Plan!$M79,IFERROR(LOOKUP(2,1/($E$3:INDIRECT("E"&amp;(ROW()-1))=$E79),$M$3:INDIRECT("M"&amp;(ROW()-1))),ENG_Plan!$M79))))</f>
        <v/>
      </c>
      <c r="K79">
        <f>IF($A79="","",IFERROR(VLOOKUP(B79,CHOOSE(MATCH($C79,Settings!$L$4:$L$10,0),OPR_BR1!$A$4:$I$18,OPR_BR2!$A$4:$I$18,OPR_CR2!$A$4:$I$18,OPR_CR3!$A$4:$I$18,OPR_CR4!$A$4:$I$18,OPR_RIM!$A$4:$I$18,OPR_BPR!$A$4:$I$18),7,0),0))</f>
        <v/>
      </c>
      <c r="L79">
        <f>IF($A79="","",K79*D79)</f>
        <v/>
      </c>
      <c r="M79" s="16">
        <f>IF($A79="","",IF(AND(ISNUMBER(G79),G79&gt;=J79,G79&lt;=(J79+(L79/(IF(F79="Contract Workman",Settings!$K$5,Settings!$K$4))))),J79+(L79/(IF(F79="Contract Workman",Settings!$K$5,Settings!$K$4)))+(H79/(IF(F79="Contract Workman",Settings!$K$5,Settings!$K$4))),J79+(L79/(IF(F79="Contract Workman",Settings!$K$5,Settings!$K$4)))))</f>
        <v/>
      </c>
      <c r="N79">
        <f>IF($A79="","",IF(F79="Contract Workman",IF(AND(MOD(M79,1)&gt;=8/24,MOD(M79,1)&lt;20/24),"Shift S1","Shift S2"),IF(AND(MOD(M79,1)&gt;=7/24,MOD(M79,1)&lt;15/24),"Shift A",IF(AND(MOD(M79,1)&gt;=15/24,MOD(M79,1)&lt;23/24),"Shift B","Shift C"))))</f>
        <v/>
      </c>
      <c r="O79">
        <f>IF(B79="","",IF(IFERROR(ISNUMBER(SEARCH(TEXT(B79,"0"),VLOOKUP(E79,Machine_List!$B:$J,9,0))),FALSE),"✅ "&amp; E79,"❌ Sug: "&amp;IFERROR(INDEX(Machine_List!$B$64:$B$71,MATCH(1,(Machine_List!$H$64:$H$71&lt;=IFERROR(VLOOKUP($B79,OPR_BR1!$A$4:$K$18,10,0),0))*(Machine_List!$I$64:$I$71&gt;=IFERROR(VLOOKUP($B79,OPR_BR1!$A$4:$K$18,11,0),9999)),0)),"?")))</f>
        <v/>
      </c>
      <c r="P79">
        <f>IF(AND($A79&lt;&gt;"",P$3&gt;=$J79,P$3&lt;=$M79),1,"")</f>
        <v/>
      </c>
      <c r="Q79">
        <f>IF(AND($A79&lt;&gt;"",Q$3&gt;=$J79,Q$3&lt;=$M79),1,"")</f>
        <v/>
      </c>
      <c r="R79">
        <f>IF(AND($A79&lt;&gt;"",R$3&gt;=$J79,R$3&lt;=$M79),1,"")</f>
        <v/>
      </c>
      <c r="S79">
        <f>IF(AND($A79&lt;&gt;"",S$3&gt;=$J79,S$3&lt;=$M79),1,"")</f>
        <v/>
      </c>
      <c r="T79">
        <f>IF(AND($A79&lt;&gt;"",T$3&gt;=$J79,T$3&lt;=$M79),1,"")</f>
        <v/>
      </c>
      <c r="U79">
        <f>IF(AND($A79&lt;&gt;"",U$3&gt;=$J79,U$3&lt;=$M79),1,"")</f>
        <v/>
      </c>
      <c r="V79">
        <f>IF(AND($A79&lt;&gt;"",V$3&gt;=$J79,V$3&lt;=$M79),1,"")</f>
        <v/>
      </c>
      <c r="W79">
        <f>IF(AND($A79&lt;&gt;"",W$3&gt;=$J79,W$3&lt;=$M79),1,"")</f>
        <v/>
      </c>
      <c r="X79">
        <f>IF(AND($A79&lt;&gt;"",X$3&gt;=$J79,X$3&lt;=$M79),1,"")</f>
        <v/>
      </c>
      <c r="Y79">
        <f>IF(AND($A79&lt;&gt;"",Y$3&gt;=$J79,Y$3&lt;=$M79),1,"")</f>
        <v/>
      </c>
      <c r="Z79">
        <f>IF(AND($A79&lt;&gt;"",Z$3&gt;=$J79,Z$3&lt;=$M79),1,"")</f>
        <v/>
      </c>
      <c r="AA79">
        <f>IF(AND($A79&lt;&gt;"",AA$3&gt;=$J79,AA$3&lt;=$M79),1,"")</f>
        <v/>
      </c>
      <c r="AB79">
        <f>IF(AND($A79&lt;&gt;"",AB$3&gt;=$J79,AB$3&lt;=$M79),1,"")</f>
        <v/>
      </c>
      <c r="AC79">
        <f>IF(AND($A79&lt;&gt;"",AC$3&gt;=$J79,AC$3&lt;=$M79),1,"")</f>
        <v/>
      </c>
      <c r="AD79">
        <f>IF(AND($A79&lt;&gt;"",AD$3&gt;=$J79,AD$3&lt;=$M79),1,"")</f>
        <v/>
      </c>
      <c r="AE79">
        <f>IF(AND($A79&lt;&gt;"",AE$3&gt;=$J79,AE$3&lt;=$M79),1,"")</f>
        <v/>
      </c>
      <c r="AF79">
        <f>IF(AND($A79&lt;&gt;"",AF$3&gt;=$J79,AF$3&lt;=$M79),1,"")</f>
        <v/>
      </c>
      <c r="AG79">
        <f>IF(AND($A79&lt;&gt;"",AG$3&gt;=$J79,AG$3&lt;=$M79),1,"")</f>
        <v/>
      </c>
      <c r="AH79">
        <f>IF(AND($A79&lt;&gt;"",AH$3&gt;=$J79,AH$3&lt;=$M79),1,"")</f>
        <v/>
      </c>
      <c r="AI79">
        <f>IF(AND($A79&lt;&gt;"",AI$3&gt;=$J79,AI$3&lt;=$M79),1,"")</f>
        <v/>
      </c>
      <c r="AJ79">
        <f>IF(AND($A79&lt;&gt;"",AJ$3&gt;=$J79,AJ$3&lt;=$M79),1,"")</f>
        <v/>
      </c>
      <c r="AK79">
        <f>IF(AND($A79&lt;&gt;"",AK$3&gt;=$J79,AK$3&lt;=$M79),1,"")</f>
        <v/>
      </c>
      <c r="AL79">
        <f>IF(AND($A79&lt;&gt;"",AL$3&gt;=$J79,AL$3&lt;=$M79),1,"")</f>
        <v/>
      </c>
      <c r="AM79">
        <f>IF(AND($A79&lt;&gt;"",AM$3&gt;=$J79,AM$3&lt;=$M79),1,"")</f>
        <v/>
      </c>
      <c r="AN79">
        <f>IF(AND($A79&lt;&gt;"",AN$3&gt;=$J79,AN$3&lt;=$M79),1,"")</f>
        <v/>
      </c>
      <c r="AO79">
        <f>IF(AND($A79&lt;&gt;"",AO$3&gt;=$J79,AO$3&lt;=$M79),1,"")</f>
        <v/>
      </c>
      <c r="AP79">
        <f>IF(AND($A79&lt;&gt;"",AP$3&gt;=$J79,AP$3&lt;=$M79),1,"")</f>
        <v/>
      </c>
      <c r="AQ79">
        <f>IF(AND($A79&lt;&gt;"",AQ$3&gt;=$J79,AQ$3&lt;=$M79),1,"")</f>
        <v/>
      </c>
      <c r="AR79">
        <f>IF(AND($A79&lt;&gt;"",AR$3&gt;=$J79,AR$3&lt;=$M79),1,"")</f>
        <v/>
      </c>
      <c r="AS79">
        <f>IF(AND($A79&lt;&gt;"",AS$3&gt;=$J79,AS$3&lt;=$M79),1,"")</f>
        <v/>
      </c>
      <c r="AT79">
        <f>IF(AND($A79&lt;&gt;"",AT$3&gt;=$J79,AT$3&lt;=$M79),1,"")</f>
        <v/>
      </c>
      <c r="AU79">
        <f>IF(AND($A79&lt;&gt;"",AU$3&gt;=$J79,AU$3&lt;=$M79),1,"")</f>
        <v/>
      </c>
      <c r="AV79">
        <f>IF(AND($A79&lt;&gt;"",AV$3&gt;=$J79,AV$3&lt;=$M79),1,"")</f>
        <v/>
      </c>
      <c r="AW79">
        <f>IF(AND($A79&lt;&gt;"",AW$3&gt;=$J79,AW$3&lt;=$M79),1,"")</f>
        <v/>
      </c>
      <c r="AX79">
        <f>IF(AND($A79&lt;&gt;"",AX$3&gt;=$J79,AX$3&lt;=$M79),1,"")</f>
        <v/>
      </c>
      <c r="AY79">
        <f>IF(AND($A79&lt;&gt;"",AY$3&gt;=$J79,AY$3&lt;=$M79),1,"")</f>
        <v/>
      </c>
      <c r="AZ79">
        <f>IF(AND($A79&lt;&gt;"",AZ$3&gt;=$J79,AZ$3&lt;=$M79),1,"")</f>
        <v/>
      </c>
      <c r="BA79">
        <f>IF(AND($A79&lt;&gt;"",BA$3&gt;=$J79,BA$3&lt;=$M79),1,"")</f>
        <v/>
      </c>
      <c r="BB79">
        <f>IF(AND($A79&lt;&gt;"",BB$3&gt;=$J79,BB$3&lt;=$M79),1,"")</f>
        <v/>
      </c>
      <c r="BC79">
        <f>IF(AND($A79&lt;&gt;"",BC$3&gt;=$J79,BC$3&lt;=$M79),1,"")</f>
        <v/>
      </c>
      <c r="BD79">
        <f>IF(AND($A79&lt;&gt;"",BD$3&gt;=$J79,BD$3&lt;=$M79),1,"")</f>
        <v/>
      </c>
      <c r="BE79">
        <f>IF(AND($A79&lt;&gt;"",BE$3&gt;=$J79,BE$3&lt;=$M79),1,"")</f>
        <v/>
      </c>
      <c r="BF79">
        <f>IF(AND($A79&lt;&gt;"",BF$3&gt;=$J79,BF$3&lt;=$M79),1,"")</f>
        <v/>
      </c>
      <c r="BG79">
        <f>IF(AND($A79&lt;&gt;"",BG$3&gt;=$J79,BG$3&lt;=$M79),1,"")</f>
        <v/>
      </c>
      <c r="BH79">
        <f>IF(AND($A79&lt;&gt;"",BH$3&gt;=$J79,BH$3&lt;=$M79),1,"")</f>
        <v/>
      </c>
      <c r="BI79">
        <f>IF(AND($A79&lt;&gt;"",BI$3&gt;=$J79,BI$3&lt;=$M79),1,"")</f>
        <v/>
      </c>
      <c r="BJ79">
        <f>IF(AND($A79&lt;&gt;"",BJ$3&gt;=$J79,BJ$3&lt;=$M79),1,"")</f>
        <v/>
      </c>
      <c r="BK79">
        <f>IF(AND($A79&lt;&gt;"",BK$3&gt;=$J79,BK$3&lt;=$M79),1,"")</f>
        <v/>
      </c>
      <c r="BL79">
        <f>IF(AND($A79&lt;&gt;"",BL$3&gt;=$J79,BL$3&lt;=$M79),1,"")</f>
        <v/>
      </c>
      <c r="BM79">
        <f>IF(AND($A79&lt;&gt;"",BM$3&gt;=$J79,BM$3&lt;=$M79),1,"")</f>
        <v/>
      </c>
      <c r="BN79">
        <f>IF(AND($A79&lt;&gt;"",BN$3&gt;=$J79,BN$3&lt;=$M79),1,"")</f>
        <v/>
      </c>
      <c r="BO79">
        <f>IF(AND($A79&lt;&gt;"",BO$3&gt;=$J79,BO$3&lt;=$M79),1,"")</f>
        <v/>
      </c>
      <c r="BP79">
        <f>IF(AND($A79&lt;&gt;"",BP$3&gt;=$J79,BP$3&lt;=$M79),1,"")</f>
        <v/>
      </c>
      <c r="BQ79">
        <f>IF(AND($A79&lt;&gt;"",BQ$3&gt;=$J79,BQ$3&lt;=$M79),1,"")</f>
        <v/>
      </c>
      <c r="BR79">
        <f>IF(AND($A79&lt;&gt;"",BR$3&gt;=$J79,BR$3&lt;=$M79),1,"")</f>
        <v/>
      </c>
      <c r="BS79">
        <f>IF(AND($A79&lt;&gt;"",BS$3&gt;=$J79,BS$3&lt;=$M79),1,"")</f>
        <v/>
      </c>
      <c r="BT79">
        <f>IF(AND($A79&lt;&gt;"",BT$3&gt;=$J79,BT$3&lt;=$M79),1,"")</f>
        <v/>
      </c>
      <c r="BU79">
        <f>IF(AND($A79&lt;&gt;"",BU$3&gt;=$J79,BU$3&lt;=$M79),1,"")</f>
        <v/>
      </c>
      <c r="BV79">
        <f>IF(AND($A79&lt;&gt;"",BV$3&gt;=$J79,BV$3&lt;=$M79),1,"")</f>
        <v/>
      </c>
    </row>
    <row r="80">
      <c r="A80">
        <f>IF(Job_Master_Ring!$A80="","",Job_Master_Ring!$A80)</f>
        <v/>
      </c>
      <c r="B80">
        <f>IF($A80="","",Job_Master_Ring!B80)</f>
        <v/>
      </c>
      <c r="C80">
        <f>IF($A80="","",Job_Master_Ring!C80)</f>
        <v/>
      </c>
      <c r="D80">
        <f>IF($A80="","",Job_Master_Ring!D80)</f>
        <v/>
      </c>
      <c r="E80">
        <f>IF($A80="","",IF($I80&lt;&gt;"",$I80,IFERROR(INDEX(Machine_List!$B$64:$B$71,MATCH(1,(Machine_List!$H$64:$H$71&lt;=IFERROR(VLOOKUP($B80,CHOOSE(MATCH($C80,Settings!$L$4:$L$10,0),OPR_BR1!$A$4:$K$18,OPR_BR2!$A$4:$K$18,OPR_CR2!$A$4:$K$18,OPR_CR3!$A$4:$K$18,OPR_CR4!$A$4:$K$18,OPR_RIM!$A$4:$K$18,OPR_BPR!$A$4:$K$18),10,0),0))*(Machine_List!$I$64:$I$71&gt;=IFERROR(VLOOKUP($B80,CHOOSE(MATCH($C80,Settings!$L$4:$L$10,0),OPR_BR1!$A$4:$K$18,OPR_BR2!$A$4:$K$18,OPR_CR2!$A$4:$K$18,OPR_CR3!$A$4:$K$18,OPR_CR4!$A$4:$K$18,OPR_RIM!$A$4:$K$18,OPR_BPR!$A$4:$K$18),11,0),9999)),0)),"NO COMPATIBLE MACHINE")))</f>
        <v/>
      </c>
      <c r="F80">
        <f>IF($E80="","",IFERROR(VLOOKUP($E80,Machine_List!$B:$G,6,0),""))</f>
        <v/>
      </c>
      <c r="G80" s="17">
        <f>IF($E80="","",IFERROR(VLOOKUP($E80,Machine_List!$B:$C,2,0),""))</f>
        <v/>
      </c>
      <c r="H80">
        <f>IF($E80="","",IFERROR(VLOOKUP($E80,Machine_List!$B:$D,3,0),""))</f>
        <v/>
      </c>
      <c r="J80" s="16">
        <f>IF($A80="","",IF($I80&lt;&gt;"",$I80,MAX(ENG_Plan!$M80,IFERROR(LOOKUP(2,1/($E$3:INDIRECT("E"&amp;(ROW()-1))=$E80),$M$3:INDIRECT("M"&amp;(ROW()-1))),ENG_Plan!$M80))))</f>
        <v/>
      </c>
      <c r="K80">
        <f>IF($A80="","",IFERROR(VLOOKUP(B80,CHOOSE(MATCH($C80,Settings!$L$4:$L$10,0),OPR_BR1!$A$4:$I$18,OPR_BR2!$A$4:$I$18,OPR_CR2!$A$4:$I$18,OPR_CR3!$A$4:$I$18,OPR_CR4!$A$4:$I$18,OPR_RIM!$A$4:$I$18,OPR_BPR!$A$4:$I$18),7,0),0))</f>
        <v/>
      </c>
      <c r="L80">
        <f>IF($A80="","",K80*D80)</f>
        <v/>
      </c>
      <c r="M80" s="16">
        <f>IF($A80="","",IF(AND(ISNUMBER(G80),G80&gt;=J80,G80&lt;=(J80+(L80/(IF(F80="Contract Workman",Settings!$K$5,Settings!$K$4))))),J80+(L80/(IF(F80="Contract Workman",Settings!$K$5,Settings!$K$4)))+(H80/(IF(F80="Contract Workman",Settings!$K$5,Settings!$K$4))),J80+(L80/(IF(F80="Contract Workman",Settings!$K$5,Settings!$K$4)))))</f>
        <v/>
      </c>
      <c r="N80">
        <f>IF($A80="","",IF(F80="Contract Workman",IF(AND(MOD(M80,1)&gt;=8/24,MOD(M80,1)&lt;20/24),"Shift S1","Shift S2"),IF(AND(MOD(M80,1)&gt;=7/24,MOD(M80,1)&lt;15/24),"Shift A",IF(AND(MOD(M80,1)&gt;=15/24,MOD(M80,1)&lt;23/24),"Shift B","Shift C"))))</f>
        <v/>
      </c>
      <c r="O80">
        <f>IF(B80="","",IF(IFERROR(ISNUMBER(SEARCH(TEXT(B80,"0"),VLOOKUP(E80,Machine_List!$B:$J,9,0))),FALSE),"✅ "&amp; E80,"❌ Sug: "&amp;IFERROR(INDEX(Machine_List!$B$64:$B$71,MATCH(1,(Machine_List!$H$64:$H$71&lt;=IFERROR(VLOOKUP($B80,OPR_BR1!$A$4:$K$18,10,0),0))*(Machine_List!$I$64:$I$71&gt;=IFERROR(VLOOKUP($B80,OPR_BR1!$A$4:$K$18,11,0),9999)),0)),"?")))</f>
        <v/>
      </c>
      <c r="P80">
        <f>IF(AND($A80&lt;&gt;"",P$3&gt;=$J80,P$3&lt;=$M80),1,"")</f>
        <v/>
      </c>
      <c r="Q80">
        <f>IF(AND($A80&lt;&gt;"",Q$3&gt;=$J80,Q$3&lt;=$M80),1,"")</f>
        <v/>
      </c>
      <c r="R80">
        <f>IF(AND($A80&lt;&gt;"",R$3&gt;=$J80,R$3&lt;=$M80),1,"")</f>
        <v/>
      </c>
      <c r="S80">
        <f>IF(AND($A80&lt;&gt;"",S$3&gt;=$J80,S$3&lt;=$M80),1,"")</f>
        <v/>
      </c>
      <c r="T80">
        <f>IF(AND($A80&lt;&gt;"",T$3&gt;=$J80,T$3&lt;=$M80),1,"")</f>
        <v/>
      </c>
      <c r="U80">
        <f>IF(AND($A80&lt;&gt;"",U$3&gt;=$J80,U$3&lt;=$M80),1,"")</f>
        <v/>
      </c>
      <c r="V80">
        <f>IF(AND($A80&lt;&gt;"",V$3&gt;=$J80,V$3&lt;=$M80),1,"")</f>
        <v/>
      </c>
      <c r="W80">
        <f>IF(AND($A80&lt;&gt;"",W$3&gt;=$J80,W$3&lt;=$M80),1,"")</f>
        <v/>
      </c>
      <c r="X80">
        <f>IF(AND($A80&lt;&gt;"",X$3&gt;=$J80,X$3&lt;=$M80),1,"")</f>
        <v/>
      </c>
      <c r="Y80">
        <f>IF(AND($A80&lt;&gt;"",Y$3&gt;=$J80,Y$3&lt;=$M80),1,"")</f>
        <v/>
      </c>
      <c r="Z80">
        <f>IF(AND($A80&lt;&gt;"",Z$3&gt;=$J80,Z$3&lt;=$M80),1,"")</f>
        <v/>
      </c>
      <c r="AA80">
        <f>IF(AND($A80&lt;&gt;"",AA$3&gt;=$J80,AA$3&lt;=$M80),1,"")</f>
        <v/>
      </c>
      <c r="AB80">
        <f>IF(AND($A80&lt;&gt;"",AB$3&gt;=$J80,AB$3&lt;=$M80),1,"")</f>
        <v/>
      </c>
      <c r="AC80">
        <f>IF(AND($A80&lt;&gt;"",AC$3&gt;=$J80,AC$3&lt;=$M80),1,"")</f>
        <v/>
      </c>
      <c r="AD80">
        <f>IF(AND($A80&lt;&gt;"",AD$3&gt;=$J80,AD$3&lt;=$M80),1,"")</f>
        <v/>
      </c>
      <c r="AE80">
        <f>IF(AND($A80&lt;&gt;"",AE$3&gt;=$J80,AE$3&lt;=$M80),1,"")</f>
        <v/>
      </c>
      <c r="AF80">
        <f>IF(AND($A80&lt;&gt;"",AF$3&gt;=$J80,AF$3&lt;=$M80),1,"")</f>
        <v/>
      </c>
      <c r="AG80">
        <f>IF(AND($A80&lt;&gt;"",AG$3&gt;=$J80,AG$3&lt;=$M80),1,"")</f>
        <v/>
      </c>
      <c r="AH80">
        <f>IF(AND($A80&lt;&gt;"",AH$3&gt;=$J80,AH$3&lt;=$M80),1,"")</f>
        <v/>
      </c>
      <c r="AI80">
        <f>IF(AND($A80&lt;&gt;"",AI$3&gt;=$J80,AI$3&lt;=$M80),1,"")</f>
        <v/>
      </c>
      <c r="AJ80">
        <f>IF(AND($A80&lt;&gt;"",AJ$3&gt;=$J80,AJ$3&lt;=$M80),1,"")</f>
        <v/>
      </c>
      <c r="AK80">
        <f>IF(AND($A80&lt;&gt;"",AK$3&gt;=$J80,AK$3&lt;=$M80),1,"")</f>
        <v/>
      </c>
      <c r="AL80">
        <f>IF(AND($A80&lt;&gt;"",AL$3&gt;=$J80,AL$3&lt;=$M80),1,"")</f>
        <v/>
      </c>
      <c r="AM80">
        <f>IF(AND($A80&lt;&gt;"",AM$3&gt;=$J80,AM$3&lt;=$M80),1,"")</f>
        <v/>
      </c>
      <c r="AN80">
        <f>IF(AND($A80&lt;&gt;"",AN$3&gt;=$J80,AN$3&lt;=$M80),1,"")</f>
        <v/>
      </c>
      <c r="AO80">
        <f>IF(AND($A80&lt;&gt;"",AO$3&gt;=$J80,AO$3&lt;=$M80),1,"")</f>
        <v/>
      </c>
      <c r="AP80">
        <f>IF(AND($A80&lt;&gt;"",AP$3&gt;=$J80,AP$3&lt;=$M80),1,"")</f>
        <v/>
      </c>
      <c r="AQ80">
        <f>IF(AND($A80&lt;&gt;"",AQ$3&gt;=$J80,AQ$3&lt;=$M80),1,"")</f>
        <v/>
      </c>
      <c r="AR80">
        <f>IF(AND($A80&lt;&gt;"",AR$3&gt;=$J80,AR$3&lt;=$M80),1,"")</f>
        <v/>
      </c>
      <c r="AS80">
        <f>IF(AND($A80&lt;&gt;"",AS$3&gt;=$J80,AS$3&lt;=$M80),1,"")</f>
        <v/>
      </c>
      <c r="AT80">
        <f>IF(AND($A80&lt;&gt;"",AT$3&gt;=$J80,AT$3&lt;=$M80),1,"")</f>
        <v/>
      </c>
      <c r="AU80">
        <f>IF(AND($A80&lt;&gt;"",AU$3&gt;=$J80,AU$3&lt;=$M80),1,"")</f>
        <v/>
      </c>
      <c r="AV80">
        <f>IF(AND($A80&lt;&gt;"",AV$3&gt;=$J80,AV$3&lt;=$M80),1,"")</f>
        <v/>
      </c>
      <c r="AW80">
        <f>IF(AND($A80&lt;&gt;"",AW$3&gt;=$J80,AW$3&lt;=$M80),1,"")</f>
        <v/>
      </c>
      <c r="AX80">
        <f>IF(AND($A80&lt;&gt;"",AX$3&gt;=$J80,AX$3&lt;=$M80),1,"")</f>
        <v/>
      </c>
      <c r="AY80">
        <f>IF(AND($A80&lt;&gt;"",AY$3&gt;=$J80,AY$3&lt;=$M80),1,"")</f>
        <v/>
      </c>
      <c r="AZ80">
        <f>IF(AND($A80&lt;&gt;"",AZ$3&gt;=$J80,AZ$3&lt;=$M80),1,"")</f>
        <v/>
      </c>
      <c r="BA80">
        <f>IF(AND($A80&lt;&gt;"",BA$3&gt;=$J80,BA$3&lt;=$M80),1,"")</f>
        <v/>
      </c>
      <c r="BB80">
        <f>IF(AND($A80&lt;&gt;"",BB$3&gt;=$J80,BB$3&lt;=$M80),1,"")</f>
        <v/>
      </c>
      <c r="BC80">
        <f>IF(AND($A80&lt;&gt;"",BC$3&gt;=$J80,BC$3&lt;=$M80),1,"")</f>
        <v/>
      </c>
      <c r="BD80">
        <f>IF(AND($A80&lt;&gt;"",BD$3&gt;=$J80,BD$3&lt;=$M80),1,"")</f>
        <v/>
      </c>
      <c r="BE80">
        <f>IF(AND($A80&lt;&gt;"",BE$3&gt;=$J80,BE$3&lt;=$M80),1,"")</f>
        <v/>
      </c>
      <c r="BF80">
        <f>IF(AND($A80&lt;&gt;"",BF$3&gt;=$J80,BF$3&lt;=$M80),1,"")</f>
        <v/>
      </c>
      <c r="BG80">
        <f>IF(AND($A80&lt;&gt;"",BG$3&gt;=$J80,BG$3&lt;=$M80),1,"")</f>
        <v/>
      </c>
      <c r="BH80">
        <f>IF(AND($A80&lt;&gt;"",BH$3&gt;=$J80,BH$3&lt;=$M80),1,"")</f>
        <v/>
      </c>
      <c r="BI80">
        <f>IF(AND($A80&lt;&gt;"",BI$3&gt;=$J80,BI$3&lt;=$M80),1,"")</f>
        <v/>
      </c>
      <c r="BJ80">
        <f>IF(AND($A80&lt;&gt;"",BJ$3&gt;=$J80,BJ$3&lt;=$M80),1,"")</f>
        <v/>
      </c>
      <c r="BK80">
        <f>IF(AND($A80&lt;&gt;"",BK$3&gt;=$J80,BK$3&lt;=$M80),1,"")</f>
        <v/>
      </c>
      <c r="BL80">
        <f>IF(AND($A80&lt;&gt;"",BL$3&gt;=$J80,BL$3&lt;=$M80),1,"")</f>
        <v/>
      </c>
      <c r="BM80">
        <f>IF(AND($A80&lt;&gt;"",BM$3&gt;=$J80,BM$3&lt;=$M80),1,"")</f>
        <v/>
      </c>
      <c r="BN80">
        <f>IF(AND($A80&lt;&gt;"",BN$3&gt;=$J80,BN$3&lt;=$M80),1,"")</f>
        <v/>
      </c>
      <c r="BO80">
        <f>IF(AND($A80&lt;&gt;"",BO$3&gt;=$J80,BO$3&lt;=$M80),1,"")</f>
        <v/>
      </c>
      <c r="BP80">
        <f>IF(AND($A80&lt;&gt;"",BP$3&gt;=$J80,BP$3&lt;=$M80),1,"")</f>
        <v/>
      </c>
      <c r="BQ80">
        <f>IF(AND($A80&lt;&gt;"",BQ$3&gt;=$J80,BQ$3&lt;=$M80),1,"")</f>
        <v/>
      </c>
      <c r="BR80">
        <f>IF(AND($A80&lt;&gt;"",BR$3&gt;=$J80,BR$3&lt;=$M80),1,"")</f>
        <v/>
      </c>
      <c r="BS80">
        <f>IF(AND($A80&lt;&gt;"",BS$3&gt;=$J80,BS$3&lt;=$M80),1,"")</f>
        <v/>
      </c>
      <c r="BT80">
        <f>IF(AND($A80&lt;&gt;"",BT$3&gt;=$J80,BT$3&lt;=$M80),1,"")</f>
        <v/>
      </c>
      <c r="BU80">
        <f>IF(AND($A80&lt;&gt;"",BU$3&gt;=$J80,BU$3&lt;=$M80),1,"")</f>
        <v/>
      </c>
      <c r="BV80">
        <f>IF(AND($A80&lt;&gt;"",BV$3&gt;=$J80,BV$3&lt;=$M80),1,"")</f>
        <v/>
      </c>
    </row>
    <row r="81">
      <c r="A81">
        <f>IF(Job_Master_Ring!$A81="","",Job_Master_Ring!$A81)</f>
        <v/>
      </c>
      <c r="B81">
        <f>IF($A81="","",Job_Master_Ring!B81)</f>
        <v/>
      </c>
      <c r="C81">
        <f>IF($A81="","",Job_Master_Ring!C81)</f>
        <v/>
      </c>
      <c r="D81">
        <f>IF($A81="","",Job_Master_Ring!D81)</f>
        <v/>
      </c>
      <c r="E81">
        <f>IF($A81="","",IF($I81&lt;&gt;"",$I81,IFERROR(INDEX(Machine_List!$B$64:$B$71,MATCH(1,(Machine_List!$H$64:$H$71&lt;=IFERROR(VLOOKUP($B81,CHOOSE(MATCH($C81,Settings!$L$4:$L$10,0),OPR_BR1!$A$4:$K$18,OPR_BR2!$A$4:$K$18,OPR_CR2!$A$4:$K$18,OPR_CR3!$A$4:$K$18,OPR_CR4!$A$4:$K$18,OPR_RIM!$A$4:$K$18,OPR_BPR!$A$4:$K$18),10,0),0))*(Machine_List!$I$64:$I$71&gt;=IFERROR(VLOOKUP($B81,CHOOSE(MATCH($C81,Settings!$L$4:$L$10,0),OPR_BR1!$A$4:$K$18,OPR_BR2!$A$4:$K$18,OPR_CR2!$A$4:$K$18,OPR_CR3!$A$4:$K$18,OPR_CR4!$A$4:$K$18,OPR_RIM!$A$4:$K$18,OPR_BPR!$A$4:$K$18),11,0),9999)),0)),"NO COMPATIBLE MACHINE")))</f>
        <v/>
      </c>
      <c r="F81">
        <f>IF($E81="","",IFERROR(VLOOKUP($E81,Machine_List!$B:$G,6,0),""))</f>
        <v/>
      </c>
      <c r="G81" s="17">
        <f>IF($E81="","",IFERROR(VLOOKUP($E81,Machine_List!$B:$C,2,0),""))</f>
        <v/>
      </c>
      <c r="H81">
        <f>IF($E81="","",IFERROR(VLOOKUP($E81,Machine_List!$B:$D,3,0),""))</f>
        <v/>
      </c>
      <c r="J81" s="16">
        <f>IF($A81="","",IF($I81&lt;&gt;"",$I81,MAX(ENG_Plan!$M81,IFERROR(LOOKUP(2,1/($E$3:INDIRECT("E"&amp;(ROW()-1))=$E81),$M$3:INDIRECT("M"&amp;(ROW()-1))),ENG_Plan!$M81))))</f>
        <v/>
      </c>
      <c r="K81">
        <f>IF($A81="","",IFERROR(VLOOKUP(B81,CHOOSE(MATCH($C81,Settings!$L$4:$L$10,0),OPR_BR1!$A$4:$I$18,OPR_BR2!$A$4:$I$18,OPR_CR2!$A$4:$I$18,OPR_CR3!$A$4:$I$18,OPR_CR4!$A$4:$I$18,OPR_RIM!$A$4:$I$18,OPR_BPR!$A$4:$I$18),7,0),0))</f>
        <v/>
      </c>
      <c r="L81">
        <f>IF($A81="","",K81*D81)</f>
        <v/>
      </c>
      <c r="M81" s="16">
        <f>IF($A81="","",IF(AND(ISNUMBER(G81),G81&gt;=J81,G81&lt;=(J81+(L81/(IF(F81="Contract Workman",Settings!$K$5,Settings!$K$4))))),J81+(L81/(IF(F81="Contract Workman",Settings!$K$5,Settings!$K$4)))+(H81/(IF(F81="Contract Workman",Settings!$K$5,Settings!$K$4))),J81+(L81/(IF(F81="Contract Workman",Settings!$K$5,Settings!$K$4)))))</f>
        <v/>
      </c>
      <c r="N81">
        <f>IF($A81="","",IF(F81="Contract Workman",IF(AND(MOD(M81,1)&gt;=8/24,MOD(M81,1)&lt;20/24),"Shift S1","Shift S2"),IF(AND(MOD(M81,1)&gt;=7/24,MOD(M81,1)&lt;15/24),"Shift A",IF(AND(MOD(M81,1)&gt;=15/24,MOD(M81,1)&lt;23/24),"Shift B","Shift C"))))</f>
        <v/>
      </c>
      <c r="O81">
        <f>IF(B81="","",IF(IFERROR(ISNUMBER(SEARCH(TEXT(B81,"0"),VLOOKUP(E81,Machine_List!$B:$J,9,0))),FALSE),"✅ "&amp; E81,"❌ Sug: "&amp;IFERROR(INDEX(Machine_List!$B$64:$B$71,MATCH(1,(Machine_List!$H$64:$H$71&lt;=IFERROR(VLOOKUP($B81,OPR_BR1!$A$4:$K$18,10,0),0))*(Machine_List!$I$64:$I$71&gt;=IFERROR(VLOOKUP($B81,OPR_BR1!$A$4:$K$18,11,0),9999)),0)),"?")))</f>
        <v/>
      </c>
      <c r="P81">
        <f>IF(AND($A81&lt;&gt;"",P$3&gt;=$J81,P$3&lt;=$M81),1,"")</f>
        <v/>
      </c>
      <c r="Q81">
        <f>IF(AND($A81&lt;&gt;"",Q$3&gt;=$J81,Q$3&lt;=$M81),1,"")</f>
        <v/>
      </c>
      <c r="R81">
        <f>IF(AND($A81&lt;&gt;"",R$3&gt;=$J81,R$3&lt;=$M81),1,"")</f>
        <v/>
      </c>
      <c r="S81">
        <f>IF(AND($A81&lt;&gt;"",S$3&gt;=$J81,S$3&lt;=$M81),1,"")</f>
        <v/>
      </c>
      <c r="T81">
        <f>IF(AND($A81&lt;&gt;"",T$3&gt;=$J81,T$3&lt;=$M81),1,"")</f>
        <v/>
      </c>
      <c r="U81">
        <f>IF(AND($A81&lt;&gt;"",U$3&gt;=$J81,U$3&lt;=$M81),1,"")</f>
        <v/>
      </c>
      <c r="V81">
        <f>IF(AND($A81&lt;&gt;"",V$3&gt;=$J81,V$3&lt;=$M81),1,"")</f>
        <v/>
      </c>
      <c r="W81">
        <f>IF(AND($A81&lt;&gt;"",W$3&gt;=$J81,W$3&lt;=$M81),1,"")</f>
        <v/>
      </c>
      <c r="X81">
        <f>IF(AND($A81&lt;&gt;"",X$3&gt;=$J81,X$3&lt;=$M81),1,"")</f>
        <v/>
      </c>
      <c r="Y81">
        <f>IF(AND($A81&lt;&gt;"",Y$3&gt;=$J81,Y$3&lt;=$M81),1,"")</f>
        <v/>
      </c>
      <c r="Z81">
        <f>IF(AND($A81&lt;&gt;"",Z$3&gt;=$J81,Z$3&lt;=$M81),1,"")</f>
        <v/>
      </c>
      <c r="AA81">
        <f>IF(AND($A81&lt;&gt;"",AA$3&gt;=$J81,AA$3&lt;=$M81),1,"")</f>
        <v/>
      </c>
      <c r="AB81">
        <f>IF(AND($A81&lt;&gt;"",AB$3&gt;=$J81,AB$3&lt;=$M81),1,"")</f>
        <v/>
      </c>
      <c r="AC81">
        <f>IF(AND($A81&lt;&gt;"",AC$3&gt;=$J81,AC$3&lt;=$M81),1,"")</f>
        <v/>
      </c>
      <c r="AD81">
        <f>IF(AND($A81&lt;&gt;"",AD$3&gt;=$J81,AD$3&lt;=$M81),1,"")</f>
        <v/>
      </c>
      <c r="AE81">
        <f>IF(AND($A81&lt;&gt;"",AE$3&gt;=$J81,AE$3&lt;=$M81),1,"")</f>
        <v/>
      </c>
      <c r="AF81">
        <f>IF(AND($A81&lt;&gt;"",AF$3&gt;=$J81,AF$3&lt;=$M81),1,"")</f>
        <v/>
      </c>
      <c r="AG81">
        <f>IF(AND($A81&lt;&gt;"",AG$3&gt;=$J81,AG$3&lt;=$M81),1,"")</f>
        <v/>
      </c>
      <c r="AH81">
        <f>IF(AND($A81&lt;&gt;"",AH$3&gt;=$J81,AH$3&lt;=$M81),1,"")</f>
        <v/>
      </c>
      <c r="AI81">
        <f>IF(AND($A81&lt;&gt;"",AI$3&gt;=$J81,AI$3&lt;=$M81),1,"")</f>
        <v/>
      </c>
      <c r="AJ81">
        <f>IF(AND($A81&lt;&gt;"",AJ$3&gt;=$J81,AJ$3&lt;=$M81),1,"")</f>
        <v/>
      </c>
      <c r="AK81">
        <f>IF(AND($A81&lt;&gt;"",AK$3&gt;=$J81,AK$3&lt;=$M81),1,"")</f>
        <v/>
      </c>
      <c r="AL81">
        <f>IF(AND($A81&lt;&gt;"",AL$3&gt;=$J81,AL$3&lt;=$M81),1,"")</f>
        <v/>
      </c>
      <c r="AM81">
        <f>IF(AND($A81&lt;&gt;"",AM$3&gt;=$J81,AM$3&lt;=$M81),1,"")</f>
        <v/>
      </c>
      <c r="AN81">
        <f>IF(AND($A81&lt;&gt;"",AN$3&gt;=$J81,AN$3&lt;=$M81),1,"")</f>
        <v/>
      </c>
      <c r="AO81">
        <f>IF(AND($A81&lt;&gt;"",AO$3&gt;=$J81,AO$3&lt;=$M81),1,"")</f>
        <v/>
      </c>
      <c r="AP81">
        <f>IF(AND($A81&lt;&gt;"",AP$3&gt;=$J81,AP$3&lt;=$M81),1,"")</f>
        <v/>
      </c>
      <c r="AQ81">
        <f>IF(AND($A81&lt;&gt;"",AQ$3&gt;=$J81,AQ$3&lt;=$M81),1,"")</f>
        <v/>
      </c>
      <c r="AR81">
        <f>IF(AND($A81&lt;&gt;"",AR$3&gt;=$J81,AR$3&lt;=$M81),1,"")</f>
        <v/>
      </c>
      <c r="AS81">
        <f>IF(AND($A81&lt;&gt;"",AS$3&gt;=$J81,AS$3&lt;=$M81),1,"")</f>
        <v/>
      </c>
      <c r="AT81">
        <f>IF(AND($A81&lt;&gt;"",AT$3&gt;=$J81,AT$3&lt;=$M81),1,"")</f>
        <v/>
      </c>
      <c r="AU81">
        <f>IF(AND($A81&lt;&gt;"",AU$3&gt;=$J81,AU$3&lt;=$M81),1,"")</f>
        <v/>
      </c>
      <c r="AV81">
        <f>IF(AND($A81&lt;&gt;"",AV$3&gt;=$J81,AV$3&lt;=$M81),1,"")</f>
        <v/>
      </c>
      <c r="AW81">
        <f>IF(AND($A81&lt;&gt;"",AW$3&gt;=$J81,AW$3&lt;=$M81),1,"")</f>
        <v/>
      </c>
      <c r="AX81">
        <f>IF(AND($A81&lt;&gt;"",AX$3&gt;=$J81,AX$3&lt;=$M81),1,"")</f>
        <v/>
      </c>
      <c r="AY81">
        <f>IF(AND($A81&lt;&gt;"",AY$3&gt;=$J81,AY$3&lt;=$M81),1,"")</f>
        <v/>
      </c>
      <c r="AZ81">
        <f>IF(AND($A81&lt;&gt;"",AZ$3&gt;=$J81,AZ$3&lt;=$M81),1,"")</f>
        <v/>
      </c>
      <c r="BA81">
        <f>IF(AND($A81&lt;&gt;"",BA$3&gt;=$J81,BA$3&lt;=$M81),1,"")</f>
        <v/>
      </c>
      <c r="BB81">
        <f>IF(AND($A81&lt;&gt;"",BB$3&gt;=$J81,BB$3&lt;=$M81),1,"")</f>
        <v/>
      </c>
      <c r="BC81">
        <f>IF(AND($A81&lt;&gt;"",BC$3&gt;=$J81,BC$3&lt;=$M81),1,"")</f>
        <v/>
      </c>
      <c r="BD81">
        <f>IF(AND($A81&lt;&gt;"",BD$3&gt;=$J81,BD$3&lt;=$M81),1,"")</f>
        <v/>
      </c>
      <c r="BE81">
        <f>IF(AND($A81&lt;&gt;"",BE$3&gt;=$J81,BE$3&lt;=$M81),1,"")</f>
        <v/>
      </c>
      <c r="BF81">
        <f>IF(AND($A81&lt;&gt;"",BF$3&gt;=$J81,BF$3&lt;=$M81),1,"")</f>
        <v/>
      </c>
      <c r="BG81">
        <f>IF(AND($A81&lt;&gt;"",BG$3&gt;=$J81,BG$3&lt;=$M81),1,"")</f>
        <v/>
      </c>
      <c r="BH81">
        <f>IF(AND($A81&lt;&gt;"",BH$3&gt;=$J81,BH$3&lt;=$M81),1,"")</f>
        <v/>
      </c>
      <c r="BI81">
        <f>IF(AND($A81&lt;&gt;"",BI$3&gt;=$J81,BI$3&lt;=$M81),1,"")</f>
        <v/>
      </c>
      <c r="BJ81">
        <f>IF(AND($A81&lt;&gt;"",BJ$3&gt;=$J81,BJ$3&lt;=$M81),1,"")</f>
        <v/>
      </c>
      <c r="BK81">
        <f>IF(AND($A81&lt;&gt;"",BK$3&gt;=$J81,BK$3&lt;=$M81),1,"")</f>
        <v/>
      </c>
      <c r="BL81">
        <f>IF(AND($A81&lt;&gt;"",BL$3&gt;=$J81,BL$3&lt;=$M81),1,"")</f>
        <v/>
      </c>
      <c r="BM81">
        <f>IF(AND($A81&lt;&gt;"",BM$3&gt;=$J81,BM$3&lt;=$M81),1,"")</f>
        <v/>
      </c>
      <c r="BN81">
        <f>IF(AND($A81&lt;&gt;"",BN$3&gt;=$J81,BN$3&lt;=$M81),1,"")</f>
        <v/>
      </c>
      <c r="BO81">
        <f>IF(AND($A81&lt;&gt;"",BO$3&gt;=$J81,BO$3&lt;=$M81),1,"")</f>
        <v/>
      </c>
      <c r="BP81">
        <f>IF(AND($A81&lt;&gt;"",BP$3&gt;=$J81,BP$3&lt;=$M81),1,"")</f>
        <v/>
      </c>
      <c r="BQ81">
        <f>IF(AND($A81&lt;&gt;"",BQ$3&gt;=$J81,BQ$3&lt;=$M81),1,"")</f>
        <v/>
      </c>
      <c r="BR81">
        <f>IF(AND($A81&lt;&gt;"",BR$3&gt;=$J81,BR$3&lt;=$M81),1,"")</f>
        <v/>
      </c>
      <c r="BS81">
        <f>IF(AND($A81&lt;&gt;"",BS$3&gt;=$J81,BS$3&lt;=$M81),1,"")</f>
        <v/>
      </c>
      <c r="BT81">
        <f>IF(AND($A81&lt;&gt;"",BT$3&gt;=$J81,BT$3&lt;=$M81),1,"")</f>
        <v/>
      </c>
      <c r="BU81">
        <f>IF(AND($A81&lt;&gt;"",BU$3&gt;=$J81,BU$3&lt;=$M81),1,"")</f>
        <v/>
      </c>
      <c r="BV81">
        <f>IF(AND($A81&lt;&gt;"",BV$3&gt;=$J81,BV$3&lt;=$M81),1,"")</f>
        <v/>
      </c>
    </row>
    <row r="82">
      <c r="A82">
        <f>IF(Job_Master_Ring!$A82="","",Job_Master_Ring!$A82)</f>
        <v/>
      </c>
      <c r="B82">
        <f>IF($A82="","",Job_Master_Ring!B82)</f>
        <v/>
      </c>
      <c r="C82">
        <f>IF($A82="","",Job_Master_Ring!C82)</f>
        <v/>
      </c>
      <c r="D82">
        <f>IF($A82="","",Job_Master_Ring!D82)</f>
        <v/>
      </c>
      <c r="E82">
        <f>IF($A82="","",IF($I82&lt;&gt;"",$I82,IFERROR(INDEX(Machine_List!$B$64:$B$71,MATCH(1,(Machine_List!$H$64:$H$71&lt;=IFERROR(VLOOKUP($B82,CHOOSE(MATCH($C82,Settings!$L$4:$L$10,0),OPR_BR1!$A$4:$K$18,OPR_BR2!$A$4:$K$18,OPR_CR2!$A$4:$K$18,OPR_CR3!$A$4:$K$18,OPR_CR4!$A$4:$K$18,OPR_RIM!$A$4:$K$18,OPR_BPR!$A$4:$K$18),10,0),0))*(Machine_List!$I$64:$I$71&gt;=IFERROR(VLOOKUP($B82,CHOOSE(MATCH($C82,Settings!$L$4:$L$10,0),OPR_BR1!$A$4:$K$18,OPR_BR2!$A$4:$K$18,OPR_CR2!$A$4:$K$18,OPR_CR3!$A$4:$K$18,OPR_CR4!$A$4:$K$18,OPR_RIM!$A$4:$K$18,OPR_BPR!$A$4:$K$18),11,0),9999)),0)),"NO COMPATIBLE MACHINE")))</f>
        <v/>
      </c>
      <c r="F82">
        <f>IF($E82="","",IFERROR(VLOOKUP($E82,Machine_List!$B:$G,6,0),""))</f>
        <v/>
      </c>
      <c r="G82" s="17">
        <f>IF($E82="","",IFERROR(VLOOKUP($E82,Machine_List!$B:$C,2,0),""))</f>
        <v/>
      </c>
      <c r="H82">
        <f>IF($E82="","",IFERROR(VLOOKUP($E82,Machine_List!$B:$D,3,0),""))</f>
        <v/>
      </c>
      <c r="J82" s="16">
        <f>IF($A82="","",IF($I82&lt;&gt;"",$I82,MAX(ENG_Plan!$M82,IFERROR(LOOKUP(2,1/($E$3:INDIRECT("E"&amp;(ROW()-1))=$E82),$M$3:INDIRECT("M"&amp;(ROW()-1))),ENG_Plan!$M82))))</f>
        <v/>
      </c>
      <c r="K82">
        <f>IF($A82="","",IFERROR(VLOOKUP(B82,CHOOSE(MATCH($C82,Settings!$L$4:$L$10,0),OPR_BR1!$A$4:$I$18,OPR_BR2!$A$4:$I$18,OPR_CR2!$A$4:$I$18,OPR_CR3!$A$4:$I$18,OPR_CR4!$A$4:$I$18,OPR_RIM!$A$4:$I$18,OPR_BPR!$A$4:$I$18),7,0),0))</f>
        <v/>
      </c>
      <c r="L82">
        <f>IF($A82="","",K82*D82)</f>
        <v/>
      </c>
      <c r="M82" s="16">
        <f>IF($A82="","",IF(AND(ISNUMBER(G82),G82&gt;=J82,G82&lt;=(J82+(L82/(IF(F82="Contract Workman",Settings!$K$5,Settings!$K$4))))),J82+(L82/(IF(F82="Contract Workman",Settings!$K$5,Settings!$K$4)))+(H82/(IF(F82="Contract Workman",Settings!$K$5,Settings!$K$4))),J82+(L82/(IF(F82="Contract Workman",Settings!$K$5,Settings!$K$4)))))</f>
        <v/>
      </c>
      <c r="N82">
        <f>IF($A82="","",IF(F82="Contract Workman",IF(AND(MOD(M82,1)&gt;=8/24,MOD(M82,1)&lt;20/24),"Shift S1","Shift S2"),IF(AND(MOD(M82,1)&gt;=7/24,MOD(M82,1)&lt;15/24),"Shift A",IF(AND(MOD(M82,1)&gt;=15/24,MOD(M82,1)&lt;23/24),"Shift B","Shift C"))))</f>
        <v/>
      </c>
      <c r="O82">
        <f>IF(B82="","",IF(IFERROR(ISNUMBER(SEARCH(TEXT(B82,"0"),VLOOKUP(E82,Machine_List!$B:$J,9,0))),FALSE),"✅ "&amp; E82,"❌ Sug: "&amp;IFERROR(INDEX(Machine_List!$B$64:$B$71,MATCH(1,(Machine_List!$H$64:$H$71&lt;=IFERROR(VLOOKUP($B82,OPR_BR1!$A$4:$K$18,10,0),0))*(Machine_List!$I$64:$I$71&gt;=IFERROR(VLOOKUP($B82,OPR_BR1!$A$4:$K$18,11,0),9999)),0)),"?")))</f>
        <v/>
      </c>
      <c r="P82">
        <f>IF(AND($A82&lt;&gt;"",P$3&gt;=$J82,P$3&lt;=$M82),1,"")</f>
        <v/>
      </c>
      <c r="Q82">
        <f>IF(AND($A82&lt;&gt;"",Q$3&gt;=$J82,Q$3&lt;=$M82),1,"")</f>
        <v/>
      </c>
      <c r="R82">
        <f>IF(AND($A82&lt;&gt;"",R$3&gt;=$J82,R$3&lt;=$M82),1,"")</f>
        <v/>
      </c>
      <c r="S82">
        <f>IF(AND($A82&lt;&gt;"",S$3&gt;=$J82,S$3&lt;=$M82),1,"")</f>
        <v/>
      </c>
      <c r="T82">
        <f>IF(AND($A82&lt;&gt;"",T$3&gt;=$J82,T$3&lt;=$M82),1,"")</f>
        <v/>
      </c>
      <c r="U82">
        <f>IF(AND($A82&lt;&gt;"",U$3&gt;=$J82,U$3&lt;=$M82),1,"")</f>
        <v/>
      </c>
      <c r="V82">
        <f>IF(AND($A82&lt;&gt;"",V$3&gt;=$J82,V$3&lt;=$M82),1,"")</f>
        <v/>
      </c>
      <c r="W82">
        <f>IF(AND($A82&lt;&gt;"",W$3&gt;=$J82,W$3&lt;=$M82),1,"")</f>
        <v/>
      </c>
      <c r="X82">
        <f>IF(AND($A82&lt;&gt;"",X$3&gt;=$J82,X$3&lt;=$M82),1,"")</f>
        <v/>
      </c>
      <c r="Y82">
        <f>IF(AND($A82&lt;&gt;"",Y$3&gt;=$J82,Y$3&lt;=$M82),1,"")</f>
        <v/>
      </c>
      <c r="Z82">
        <f>IF(AND($A82&lt;&gt;"",Z$3&gt;=$J82,Z$3&lt;=$M82),1,"")</f>
        <v/>
      </c>
      <c r="AA82">
        <f>IF(AND($A82&lt;&gt;"",AA$3&gt;=$J82,AA$3&lt;=$M82),1,"")</f>
        <v/>
      </c>
      <c r="AB82">
        <f>IF(AND($A82&lt;&gt;"",AB$3&gt;=$J82,AB$3&lt;=$M82),1,"")</f>
        <v/>
      </c>
      <c r="AC82">
        <f>IF(AND($A82&lt;&gt;"",AC$3&gt;=$J82,AC$3&lt;=$M82),1,"")</f>
        <v/>
      </c>
      <c r="AD82">
        <f>IF(AND($A82&lt;&gt;"",AD$3&gt;=$J82,AD$3&lt;=$M82),1,"")</f>
        <v/>
      </c>
      <c r="AE82">
        <f>IF(AND($A82&lt;&gt;"",AE$3&gt;=$J82,AE$3&lt;=$M82),1,"")</f>
        <v/>
      </c>
      <c r="AF82">
        <f>IF(AND($A82&lt;&gt;"",AF$3&gt;=$J82,AF$3&lt;=$M82),1,"")</f>
        <v/>
      </c>
      <c r="AG82">
        <f>IF(AND($A82&lt;&gt;"",AG$3&gt;=$J82,AG$3&lt;=$M82),1,"")</f>
        <v/>
      </c>
      <c r="AH82">
        <f>IF(AND($A82&lt;&gt;"",AH$3&gt;=$J82,AH$3&lt;=$M82),1,"")</f>
        <v/>
      </c>
      <c r="AI82">
        <f>IF(AND($A82&lt;&gt;"",AI$3&gt;=$J82,AI$3&lt;=$M82),1,"")</f>
        <v/>
      </c>
      <c r="AJ82">
        <f>IF(AND($A82&lt;&gt;"",AJ$3&gt;=$J82,AJ$3&lt;=$M82),1,"")</f>
        <v/>
      </c>
      <c r="AK82">
        <f>IF(AND($A82&lt;&gt;"",AK$3&gt;=$J82,AK$3&lt;=$M82),1,"")</f>
        <v/>
      </c>
      <c r="AL82">
        <f>IF(AND($A82&lt;&gt;"",AL$3&gt;=$J82,AL$3&lt;=$M82),1,"")</f>
        <v/>
      </c>
      <c r="AM82">
        <f>IF(AND($A82&lt;&gt;"",AM$3&gt;=$J82,AM$3&lt;=$M82),1,"")</f>
        <v/>
      </c>
      <c r="AN82">
        <f>IF(AND($A82&lt;&gt;"",AN$3&gt;=$J82,AN$3&lt;=$M82),1,"")</f>
        <v/>
      </c>
      <c r="AO82">
        <f>IF(AND($A82&lt;&gt;"",AO$3&gt;=$J82,AO$3&lt;=$M82),1,"")</f>
        <v/>
      </c>
      <c r="AP82">
        <f>IF(AND($A82&lt;&gt;"",AP$3&gt;=$J82,AP$3&lt;=$M82),1,"")</f>
        <v/>
      </c>
      <c r="AQ82">
        <f>IF(AND($A82&lt;&gt;"",AQ$3&gt;=$J82,AQ$3&lt;=$M82),1,"")</f>
        <v/>
      </c>
      <c r="AR82">
        <f>IF(AND($A82&lt;&gt;"",AR$3&gt;=$J82,AR$3&lt;=$M82),1,"")</f>
        <v/>
      </c>
      <c r="AS82">
        <f>IF(AND($A82&lt;&gt;"",AS$3&gt;=$J82,AS$3&lt;=$M82),1,"")</f>
        <v/>
      </c>
      <c r="AT82">
        <f>IF(AND($A82&lt;&gt;"",AT$3&gt;=$J82,AT$3&lt;=$M82),1,"")</f>
        <v/>
      </c>
      <c r="AU82">
        <f>IF(AND($A82&lt;&gt;"",AU$3&gt;=$J82,AU$3&lt;=$M82),1,"")</f>
        <v/>
      </c>
      <c r="AV82">
        <f>IF(AND($A82&lt;&gt;"",AV$3&gt;=$J82,AV$3&lt;=$M82),1,"")</f>
        <v/>
      </c>
      <c r="AW82">
        <f>IF(AND($A82&lt;&gt;"",AW$3&gt;=$J82,AW$3&lt;=$M82),1,"")</f>
        <v/>
      </c>
      <c r="AX82">
        <f>IF(AND($A82&lt;&gt;"",AX$3&gt;=$J82,AX$3&lt;=$M82),1,"")</f>
        <v/>
      </c>
      <c r="AY82">
        <f>IF(AND($A82&lt;&gt;"",AY$3&gt;=$J82,AY$3&lt;=$M82),1,"")</f>
        <v/>
      </c>
      <c r="AZ82">
        <f>IF(AND($A82&lt;&gt;"",AZ$3&gt;=$J82,AZ$3&lt;=$M82),1,"")</f>
        <v/>
      </c>
      <c r="BA82">
        <f>IF(AND($A82&lt;&gt;"",BA$3&gt;=$J82,BA$3&lt;=$M82),1,"")</f>
        <v/>
      </c>
      <c r="BB82">
        <f>IF(AND($A82&lt;&gt;"",BB$3&gt;=$J82,BB$3&lt;=$M82),1,"")</f>
        <v/>
      </c>
      <c r="BC82">
        <f>IF(AND($A82&lt;&gt;"",BC$3&gt;=$J82,BC$3&lt;=$M82),1,"")</f>
        <v/>
      </c>
      <c r="BD82">
        <f>IF(AND($A82&lt;&gt;"",BD$3&gt;=$J82,BD$3&lt;=$M82),1,"")</f>
        <v/>
      </c>
      <c r="BE82">
        <f>IF(AND($A82&lt;&gt;"",BE$3&gt;=$J82,BE$3&lt;=$M82),1,"")</f>
        <v/>
      </c>
      <c r="BF82">
        <f>IF(AND($A82&lt;&gt;"",BF$3&gt;=$J82,BF$3&lt;=$M82),1,"")</f>
        <v/>
      </c>
      <c r="BG82">
        <f>IF(AND($A82&lt;&gt;"",BG$3&gt;=$J82,BG$3&lt;=$M82),1,"")</f>
        <v/>
      </c>
      <c r="BH82">
        <f>IF(AND($A82&lt;&gt;"",BH$3&gt;=$J82,BH$3&lt;=$M82),1,"")</f>
        <v/>
      </c>
      <c r="BI82">
        <f>IF(AND($A82&lt;&gt;"",BI$3&gt;=$J82,BI$3&lt;=$M82),1,"")</f>
        <v/>
      </c>
      <c r="BJ82">
        <f>IF(AND($A82&lt;&gt;"",BJ$3&gt;=$J82,BJ$3&lt;=$M82),1,"")</f>
        <v/>
      </c>
      <c r="BK82">
        <f>IF(AND($A82&lt;&gt;"",BK$3&gt;=$J82,BK$3&lt;=$M82),1,"")</f>
        <v/>
      </c>
      <c r="BL82">
        <f>IF(AND($A82&lt;&gt;"",BL$3&gt;=$J82,BL$3&lt;=$M82),1,"")</f>
        <v/>
      </c>
      <c r="BM82">
        <f>IF(AND($A82&lt;&gt;"",BM$3&gt;=$J82,BM$3&lt;=$M82),1,"")</f>
        <v/>
      </c>
      <c r="BN82">
        <f>IF(AND($A82&lt;&gt;"",BN$3&gt;=$J82,BN$3&lt;=$M82),1,"")</f>
        <v/>
      </c>
      <c r="BO82">
        <f>IF(AND($A82&lt;&gt;"",BO$3&gt;=$J82,BO$3&lt;=$M82),1,"")</f>
        <v/>
      </c>
      <c r="BP82">
        <f>IF(AND($A82&lt;&gt;"",BP$3&gt;=$J82,BP$3&lt;=$M82),1,"")</f>
        <v/>
      </c>
      <c r="BQ82">
        <f>IF(AND($A82&lt;&gt;"",BQ$3&gt;=$J82,BQ$3&lt;=$M82),1,"")</f>
        <v/>
      </c>
      <c r="BR82">
        <f>IF(AND($A82&lt;&gt;"",BR$3&gt;=$J82,BR$3&lt;=$M82),1,"")</f>
        <v/>
      </c>
      <c r="BS82">
        <f>IF(AND($A82&lt;&gt;"",BS$3&gt;=$J82,BS$3&lt;=$M82),1,"")</f>
        <v/>
      </c>
      <c r="BT82">
        <f>IF(AND($A82&lt;&gt;"",BT$3&gt;=$J82,BT$3&lt;=$M82),1,"")</f>
        <v/>
      </c>
      <c r="BU82">
        <f>IF(AND($A82&lt;&gt;"",BU$3&gt;=$J82,BU$3&lt;=$M82),1,"")</f>
        <v/>
      </c>
      <c r="BV82">
        <f>IF(AND($A82&lt;&gt;"",BV$3&gt;=$J82,BV$3&lt;=$M82),1,"")</f>
        <v/>
      </c>
    </row>
    <row r="83">
      <c r="A83">
        <f>IF(Job_Master_Ring!$A83="","",Job_Master_Ring!$A83)</f>
        <v/>
      </c>
      <c r="B83">
        <f>IF($A83="","",Job_Master_Ring!B83)</f>
        <v/>
      </c>
      <c r="C83">
        <f>IF($A83="","",Job_Master_Ring!C83)</f>
        <v/>
      </c>
      <c r="D83">
        <f>IF($A83="","",Job_Master_Ring!D83)</f>
        <v/>
      </c>
      <c r="E83">
        <f>IF($A83="","",IF($I83&lt;&gt;"",$I83,IFERROR(INDEX(Machine_List!$B$64:$B$71,MATCH(1,(Machine_List!$H$64:$H$71&lt;=IFERROR(VLOOKUP($B83,CHOOSE(MATCH($C83,Settings!$L$4:$L$10,0),OPR_BR1!$A$4:$K$18,OPR_BR2!$A$4:$K$18,OPR_CR2!$A$4:$K$18,OPR_CR3!$A$4:$K$18,OPR_CR4!$A$4:$K$18,OPR_RIM!$A$4:$K$18,OPR_BPR!$A$4:$K$18),10,0),0))*(Machine_List!$I$64:$I$71&gt;=IFERROR(VLOOKUP($B83,CHOOSE(MATCH($C83,Settings!$L$4:$L$10,0),OPR_BR1!$A$4:$K$18,OPR_BR2!$A$4:$K$18,OPR_CR2!$A$4:$K$18,OPR_CR3!$A$4:$K$18,OPR_CR4!$A$4:$K$18,OPR_RIM!$A$4:$K$18,OPR_BPR!$A$4:$K$18),11,0),9999)),0)),"NO COMPATIBLE MACHINE")))</f>
        <v/>
      </c>
      <c r="F83">
        <f>IF($E83="","",IFERROR(VLOOKUP($E83,Machine_List!$B:$G,6,0),""))</f>
        <v/>
      </c>
      <c r="G83" s="17">
        <f>IF($E83="","",IFERROR(VLOOKUP($E83,Machine_List!$B:$C,2,0),""))</f>
        <v/>
      </c>
      <c r="H83">
        <f>IF($E83="","",IFERROR(VLOOKUP($E83,Machine_List!$B:$D,3,0),""))</f>
        <v/>
      </c>
      <c r="J83" s="16">
        <f>IF($A83="","",IF($I83&lt;&gt;"",$I83,MAX(ENG_Plan!$M83,IFERROR(LOOKUP(2,1/($E$3:INDIRECT("E"&amp;(ROW()-1))=$E83),$M$3:INDIRECT("M"&amp;(ROW()-1))),ENG_Plan!$M83))))</f>
        <v/>
      </c>
      <c r="K83">
        <f>IF($A83="","",IFERROR(VLOOKUP(B83,CHOOSE(MATCH($C83,Settings!$L$4:$L$10,0),OPR_BR1!$A$4:$I$18,OPR_BR2!$A$4:$I$18,OPR_CR2!$A$4:$I$18,OPR_CR3!$A$4:$I$18,OPR_CR4!$A$4:$I$18,OPR_RIM!$A$4:$I$18,OPR_BPR!$A$4:$I$18),7,0),0))</f>
        <v/>
      </c>
      <c r="L83">
        <f>IF($A83="","",K83*D83)</f>
        <v/>
      </c>
      <c r="M83" s="16">
        <f>IF($A83="","",IF(AND(ISNUMBER(G83),G83&gt;=J83,G83&lt;=(J83+(L83/(IF(F83="Contract Workman",Settings!$K$5,Settings!$K$4))))),J83+(L83/(IF(F83="Contract Workman",Settings!$K$5,Settings!$K$4)))+(H83/(IF(F83="Contract Workman",Settings!$K$5,Settings!$K$4))),J83+(L83/(IF(F83="Contract Workman",Settings!$K$5,Settings!$K$4)))))</f>
        <v/>
      </c>
      <c r="N83">
        <f>IF($A83="","",IF(F83="Contract Workman",IF(AND(MOD(M83,1)&gt;=8/24,MOD(M83,1)&lt;20/24),"Shift S1","Shift S2"),IF(AND(MOD(M83,1)&gt;=7/24,MOD(M83,1)&lt;15/24),"Shift A",IF(AND(MOD(M83,1)&gt;=15/24,MOD(M83,1)&lt;23/24),"Shift B","Shift C"))))</f>
        <v/>
      </c>
      <c r="O83">
        <f>IF(B83="","",IF(IFERROR(ISNUMBER(SEARCH(TEXT(B83,"0"),VLOOKUP(E83,Machine_List!$B:$J,9,0))),FALSE),"✅ "&amp; E83,"❌ Sug: "&amp;IFERROR(INDEX(Machine_List!$B$64:$B$71,MATCH(1,(Machine_List!$H$64:$H$71&lt;=IFERROR(VLOOKUP($B83,OPR_BR1!$A$4:$K$18,10,0),0))*(Machine_List!$I$64:$I$71&gt;=IFERROR(VLOOKUP($B83,OPR_BR1!$A$4:$K$18,11,0),9999)),0)),"?")))</f>
        <v/>
      </c>
      <c r="P83">
        <f>IF(AND($A83&lt;&gt;"",P$3&gt;=$J83,P$3&lt;=$M83),1,"")</f>
        <v/>
      </c>
      <c r="Q83">
        <f>IF(AND($A83&lt;&gt;"",Q$3&gt;=$J83,Q$3&lt;=$M83),1,"")</f>
        <v/>
      </c>
      <c r="R83">
        <f>IF(AND($A83&lt;&gt;"",R$3&gt;=$J83,R$3&lt;=$M83),1,"")</f>
        <v/>
      </c>
      <c r="S83">
        <f>IF(AND($A83&lt;&gt;"",S$3&gt;=$J83,S$3&lt;=$M83),1,"")</f>
        <v/>
      </c>
      <c r="T83">
        <f>IF(AND($A83&lt;&gt;"",T$3&gt;=$J83,T$3&lt;=$M83),1,"")</f>
        <v/>
      </c>
      <c r="U83">
        <f>IF(AND($A83&lt;&gt;"",U$3&gt;=$J83,U$3&lt;=$M83),1,"")</f>
        <v/>
      </c>
      <c r="V83">
        <f>IF(AND($A83&lt;&gt;"",V$3&gt;=$J83,V$3&lt;=$M83),1,"")</f>
        <v/>
      </c>
      <c r="W83">
        <f>IF(AND($A83&lt;&gt;"",W$3&gt;=$J83,W$3&lt;=$M83),1,"")</f>
        <v/>
      </c>
      <c r="X83">
        <f>IF(AND($A83&lt;&gt;"",X$3&gt;=$J83,X$3&lt;=$M83),1,"")</f>
        <v/>
      </c>
      <c r="Y83">
        <f>IF(AND($A83&lt;&gt;"",Y$3&gt;=$J83,Y$3&lt;=$M83),1,"")</f>
        <v/>
      </c>
      <c r="Z83">
        <f>IF(AND($A83&lt;&gt;"",Z$3&gt;=$J83,Z$3&lt;=$M83),1,"")</f>
        <v/>
      </c>
      <c r="AA83">
        <f>IF(AND($A83&lt;&gt;"",AA$3&gt;=$J83,AA$3&lt;=$M83),1,"")</f>
        <v/>
      </c>
      <c r="AB83">
        <f>IF(AND($A83&lt;&gt;"",AB$3&gt;=$J83,AB$3&lt;=$M83),1,"")</f>
        <v/>
      </c>
      <c r="AC83">
        <f>IF(AND($A83&lt;&gt;"",AC$3&gt;=$J83,AC$3&lt;=$M83),1,"")</f>
        <v/>
      </c>
      <c r="AD83">
        <f>IF(AND($A83&lt;&gt;"",AD$3&gt;=$J83,AD$3&lt;=$M83),1,"")</f>
        <v/>
      </c>
      <c r="AE83">
        <f>IF(AND($A83&lt;&gt;"",AE$3&gt;=$J83,AE$3&lt;=$M83),1,"")</f>
        <v/>
      </c>
      <c r="AF83">
        <f>IF(AND($A83&lt;&gt;"",AF$3&gt;=$J83,AF$3&lt;=$M83),1,"")</f>
        <v/>
      </c>
      <c r="AG83">
        <f>IF(AND($A83&lt;&gt;"",AG$3&gt;=$J83,AG$3&lt;=$M83),1,"")</f>
        <v/>
      </c>
      <c r="AH83">
        <f>IF(AND($A83&lt;&gt;"",AH$3&gt;=$J83,AH$3&lt;=$M83),1,"")</f>
        <v/>
      </c>
      <c r="AI83">
        <f>IF(AND($A83&lt;&gt;"",AI$3&gt;=$J83,AI$3&lt;=$M83),1,"")</f>
        <v/>
      </c>
      <c r="AJ83">
        <f>IF(AND($A83&lt;&gt;"",AJ$3&gt;=$J83,AJ$3&lt;=$M83),1,"")</f>
        <v/>
      </c>
      <c r="AK83">
        <f>IF(AND($A83&lt;&gt;"",AK$3&gt;=$J83,AK$3&lt;=$M83),1,"")</f>
        <v/>
      </c>
      <c r="AL83">
        <f>IF(AND($A83&lt;&gt;"",AL$3&gt;=$J83,AL$3&lt;=$M83),1,"")</f>
        <v/>
      </c>
      <c r="AM83">
        <f>IF(AND($A83&lt;&gt;"",AM$3&gt;=$J83,AM$3&lt;=$M83),1,"")</f>
        <v/>
      </c>
      <c r="AN83">
        <f>IF(AND($A83&lt;&gt;"",AN$3&gt;=$J83,AN$3&lt;=$M83),1,"")</f>
        <v/>
      </c>
      <c r="AO83">
        <f>IF(AND($A83&lt;&gt;"",AO$3&gt;=$J83,AO$3&lt;=$M83),1,"")</f>
        <v/>
      </c>
      <c r="AP83">
        <f>IF(AND($A83&lt;&gt;"",AP$3&gt;=$J83,AP$3&lt;=$M83),1,"")</f>
        <v/>
      </c>
      <c r="AQ83">
        <f>IF(AND($A83&lt;&gt;"",AQ$3&gt;=$J83,AQ$3&lt;=$M83),1,"")</f>
        <v/>
      </c>
      <c r="AR83">
        <f>IF(AND($A83&lt;&gt;"",AR$3&gt;=$J83,AR$3&lt;=$M83),1,"")</f>
        <v/>
      </c>
      <c r="AS83">
        <f>IF(AND($A83&lt;&gt;"",AS$3&gt;=$J83,AS$3&lt;=$M83),1,"")</f>
        <v/>
      </c>
      <c r="AT83">
        <f>IF(AND($A83&lt;&gt;"",AT$3&gt;=$J83,AT$3&lt;=$M83),1,"")</f>
        <v/>
      </c>
      <c r="AU83">
        <f>IF(AND($A83&lt;&gt;"",AU$3&gt;=$J83,AU$3&lt;=$M83),1,"")</f>
        <v/>
      </c>
      <c r="AV83">
        <f>IF(AND($A83&lt;&gt;"",AV$3&gt;=$J83,AV$3&lt;=$M83),1,"")</f>
        <v/>
      </c>
      <c r="AW83">
        <f>IF(AND($A83&lt;&gt;"",AW$3&gt;=$J83,AW$3&lt;=$M83),1,"")</f>
        <v/>
      </c>
      <c r="AX83">
        <f>IF(AND($A83&lt;&gt;"",AX$3&gt;=$J83,AX$3&lt;=$M83),1,"")</f>
        <v/>
      </c>
      <c r="AY83">
        <f>IF(AND($A83&lt;&gt;"",AY$3&gt;=$J83,AY$3&lt;=$M83),1,"")</f>
        <v/>
      </c>
      <c r="AZ83">
        <f>IF(AND($A83&lt;&gt;"",AZ$3&gt;=$J83,AZ$3&lt;=$M83),1,"")</f>
        <v/>
      </c>
      <c r="BA83">
        <f>IF(AND($A83&lt;&gt;"",BA$3&gt;=$J83,BA$3&lt;=$M83),1,"")</f>
        <v/>
      </c>
      <c r="BB83">
        <f>IF(AND($A83&lt;&gt;"",BB$3&gt;=$J83,BB$3&lt;=$M83),1,"")</f>
        <v/>
      </c>
      <c r="BC83">
        <f>IF(AND($A83&lt;&gt;"",BC$3&gt;=$J83,BC$3&lt;=$M83),1,"")</f>
        <v/>
      </c>
      <c r="BD83">
        <f>IF(AND($A83&lt;&gt;"",BD$3&gt;=$J83,BD$3&lt;=$M83),1,"")</f>
        <v/>
      </c>
      <c r="BE83">
        <f>IF(AND($A83&lt;&gt;"",BE$3&gt;=$J83,BE$3&lt;=$M83),1,"")</f>
        <v/>
      </c>
      <c r="BF83">
        <f>IF(AND($A83&lt;&gt;"",BF$3&gt;=$J83,BF$3&lt;=$M83),1,"")</f>
        <v/>
      </c>
      <c r="BG83">
        <f>IF(AND($A83&lt;&gt;"",BG$3&gt;=$J83,BG$3&lt;=$M83),1,"")</f>
        <v/>
      </c>
      <c r="BH83">
        <f>IF(AND($A83&lt;&gt;"",BH$3&gt;=$J83,BH$3&lt;=$M83),1,"")</f>
        <v/>
      </c>
      <c r="BI83">
        <f>IF(AND($A83&lt;&gt;"",BI$3&gt;=$J83,BI$3&lt;=$M83),1,"")</f>
        <v/>
      </c>
      <c r="BJ83">
        <f>IF(AND($A83&lt;&gt;"",BJ$3&gt;=$J83,BJ$3&lt;=$M83),1,"")</f>
        <v/>
      </c>
      <c r="BK83">
        <f>IF(AND($A83&lt;&gt;"",BK$3&gt;=$J83,BK$3&lt;=$M83),1,"")</f>
        <v/>
      </c>
      <c r="BL83">
        <f>IF(AND($A83&lt;&gt;"",BL$3&gt;=$J83,BL$3&lt;=$M83),1,"")</f>
        <v/>
      </c>
      <c r="BM83">
        <f>IF(AND($A83&lt;&gt;"",BM$3&gt;=$J83,BM$3&lt;=$M83),1,"")</f>
        <v/>
      </c>
      <c r="BN83">
        <f>IF(AND($A83&lt;&gt;"",BN$3&gt;=$J83,BN$3&lt;=$M83),1,"")</f>
        <v/>
      </c>
      <c r="BO83">
        <f>IF(AND($A83&lt;&gt;"",BO$3&gt;=$J83,BO$3&lt;=$M83),1,"")</f>
        <v/>
      </c>
      <c r="BP83">
        <f>IF(AND($A83&lt;&gt;"",BP$3&gt;=$J83,BP$3&lt;=$M83),1,"")</f>
        <v/>
      </c>
      <c r="BQ83">
        <f>IF(AND($A83&lt;&gt;"",BQ$3&gt;=$J83,BQ$3&lt;=$M83),1,"")</f>
        <v/>
      </c>
      <c r="BR83">
        <f>IF(AND($A83&lt;&gt;"",BR$3&gt;=$J83,BR$3&lt;=$M83),1,"")</f>
        <v/>
      </c>
      <c r="BS83">
        <f>IF(AND($A83&lt;&gt;"",BS$3&gt;=$J83,BS$3&lt;=$M83),1,"")</f>
        <v/>
      </c>
      <c r="BT83">
        <f>IF(AND($A83&lt;&gt;"",BT$3&gt;=$J83,BT$3&lt;=$M83),1,"")</f>
        <v/>
      </c>
      <c r="BU83">
        <f>IF(AND($A83&lt;&gt;"",BU$3&gt;=$J83,BU$3&lt;=$M83),1,"")</f>
        <v/>
      </c>
      <c r="BV83">
        <f>IF(AND($A83&lt;&gt;"",BV$3&gt;=$J83,BV$3&lt;=$M83),1,"")</f>
        <v/>
      </c>
    </row>
    <row r="84">
      <c r="A84">
        <f>IF(Job_Master_Ring!$A84="","",Job_Master_Ring!$A84)</f>
        <v/>
      </c>
      <c r="B84">
        <f>IF($A84="","",Job_Master_Ring!B84)</f>
        <v/>
      </c>
      <c r="C84">
        <f>IF($A84="","",Job_Master_Ring!C84)</f>
        <v/>
      </c>
      <c r="D84">
        <f>IF($A84="","",Job_Master_Ring!D84)</f>
        <v/>
      </c>
      <c r="E84">
        <f>IF($A84="","",IF($I84&lt;&gt;"",$I84,IFERROR(INDEX(Machine_List!$B$64:$B$71,MATCH(1,(Machine_List!$H$64:$H$71&lt;=IFERROR(VLOOKUP($B84,CHOOSE(MATCH($C84,Settings!$L$4:$L$10,0),OPR_BR1!$A$4:$K$18,OPR_BR2!$A$4:$K$18,OPR_CR2!$A$4:$K$18,OPR_CR3!$A$4:$K$18,OPR_CR4!$A$4:$K$18,OPR_RIM!$A$4:$K$18,OPR_BPR!$A$4:$K$18),10,0),0))*(Machine_List!$I$64:$I$71&gt;=IFERROR(VLOOKUP($B84,CHOOSE(MATCH($C84,Settings!$L$4:$L$10,0),OPR_BR1!$A$4:$K$18,OPR_BR2!$A$4:$K$18,OPR_CR2!$A$4:$K$18,OPR_CR3!$A$4:$K$18,OPR_CR4!$A$4:$K$18,OPR_RIM!$A$4:$K$18,OPR_BPR!$A$4:$K$18),11,0),9999)),0)),"NO COMPATIBLE MACHINE")))</f>
        <v/>
      </c>
      <c r="F84">
        <f>IF($E84="","",IFERROR(VLOOKUP($E84,Machine_List!$B:$G,6,0),""))</f>
        <v/>
      </c>
      <c r="G84" s="17">
        <f>IF($E84="","",IFERROR(VLOOKUP($E84,Machine_List!$B:$C,2,0),""))</f>
        <v/>
      </c>
      <c r="H84">
        <f>IF($E84="","",IFERROR(VLOOKUP($E84,Machine_List!$B:$D,3,0),""))</f>
        <v/>
      </c>
      <c r="J84" s="16">
        <f>IF($A84="","",IF($I84&lt;&gt;"",$I84,MAX(ENG_Plan!$M84,IFERROR(LOOKUP(2,1/($E$3:INDIRECT("E"&amp;(ROW()-1))=$E84),$M$3:INDIRECT("M"&amp;(ROW()-1))),ENG_Plan!$M84))))</f>
        <v/>
      </c>
      <c r="K84">
        <f>IF($A84="","",IFERROR(VLOOKUP(B84,CHOOSE(MATCH($C84,Settings!$L$4:$L$10,0),OPR_BR1!$A$4:$I$18,OPR_BR2!$A$4:$I$18,OPR_CR2!$A$4:$I$18,OPR_CR3!$A$4:$I$18,OPR_CR4!$A$4:$I$18,OPR_RIM!$A$4:$I$18,OPR_BPR!$A$4:$I$18),7,0),0))</f>
        <v/>
      </c>
      <c r="L84">
        <f>IF($A84="","",K84*D84)</f>
        <v/>
      </c>
      <c r="M84" s="16">
        <f>IF($A84="","",IF(AND(ISNUMBER(G84),G84&gt;=J84,G84&lt;=(J84+(L84/(IF(F84="Contract Workman",Settings!$K$5,Settings!$K$4))))),J84+(L84/(IF(F84="Contract Workman",Settings!$K$5,Settings!$K$4)))+(H84/(IF(F84="Contract Workman",Settings!$K$5,Settings!$K$4))),J84+(L84/(IF(F84="Contract Workman",Settings!$K$5,Settings!$K$4)))))</f>
        <v/>
      </c>
      <c r="N84">
        <f>IF($A84="","",IF(F84="Contract Workman",IF(AND(MOD(M84,1)&gt;=8/24,MOD(M84,1)&lt;20/24),"Shift S1","Shift S2"),IF(AND(MOD(M84,1)&gt;=7/24,MOD(M84,1)&lt;15/24),"Shift A",IF(AND(MOD(M84,1)&gt;=15/24,MOD(M84,1)&lt;23/24),"Shift B","Shift C"))))</f>
        <v/>
      </c>
      <c r="O84">
        <f>IF(B84="","",IF(IFERROR(ISNUMBER(SEARCH(TEXT(B84,"0"),VLOOKUP(E84,Machine_List!$B:$J,9,0))),FALSE),"✅ "&amp; E84,"❌ Sug: "&amp;IFERROR(INDEX(Machine_List!$B$64:$B$71,MATCH(1,(Machine_List!$H$64:$H$71&lt;=IFERROR(VLOOKUP($B84,OPR_BR1!$A$4:$K$18,10,0),0))*(Machine_List!$I$64:$I$71&gt;=IFERROR(VLOOKUP($B84,OPR_BR1!$A$4:$K$18,11,0),9999)),0)),"?")))</f>
        <v/>
      </c>
      <c r="P84">
        <f>IF(AND($A84&lt;&gt;"",P$3&gt;=$J84,P$3&lt;=$M84),1,"")</f>
        <v/>
      </c>
      <c r="Q84">
        <f>IF(AND($A84&lt;&gt;"",Q$3&gt;=$J84,Q$3&lt;=$M84),1,"")</f>
        <v/>
      </c>
      <c r="R84">
        <f>IF(AND($A84&lt;&gt;"",R$3&gt;=$J84,R$3&lt;=$M84),1,"")</f>
        <v/>
      </c>
      <c r="S84">
        <f>IF(AND($A84&lt;&gt;"",S$3&gt;=$J84,S$3&lt;=$M84),1,"")</f>
        <v/>
      </c>
      <c r="T84">
        <f>IF(AND($A84&lt;&gt;"",T$3&gt;=$J84,T$3&lt;=$M84),1,"")</f>
        <v/>
      </c>
      <c r="U84">
        <f>IF(AND($A84&lt;&gt;"",U$3&gt;=$J84,U$3&lt;=$M84),1,"")</f>
        <v/>
      </c>
      <c r="V84">
        <f>IF(AND($A84&lt;&gt;"",V$3&gt;=$J84,V$3&lt;=$M84),1,"")</f>
        <v/>
      </c>
      <c r="W84">
        <f>IF(AND($A84&lt;&gt;"",W$3&gt;=$J84,W$3&lt;=$M84),1,"")</f>
        <v/>
      </c>
      <c r="X84">
        <f>IF(AND($A84&lt;&gt;"",X$3&gt;=$J84,X$3&lt;=$M84),1,"")</f>
        <v/>
      </c>
      <c r="Y84">
        <f>IF(AND($A84&lt;&gt;"",Y$3&gt;=$J84,Y$3&lt;=$M84),1,"")</f>
        <v/>
      </c>
      <c r="Z84">
        <f>IF(AND($A84&lt;&gt;"",Z$3&gt;=$J84,Z$3&lt;=$M84),1,"")</f>
        <v/>
      </c>
      <c r="AA84">
        <f>IF(AND($A84&lt;&gt;"",AA$3&gt;=$J84,AA$3&lt;=$M84),1,"")</f>
        <v/>
      </c>
      <c r="AB84">
        <f>IF(AND($A84&lt;&gt;"",AB$3&gt;=$J84,AB$3&lt;=$M84),1,"")</f>
        <v/>
      </c>
      <c r="AC84">
        <f>IF(AND($A84&lt;&gt;"",AC$3&gt;=$J84,AC$3&lt;=$M84),1,"")</f>
        <v/>
      </c>
      <c r="AD84">
        <f>IF(AND($A84&lt;&gt;"",AD$3&gt;=$J84,AD$3&lt;=$M84),1,"")</f>
        <v/>
      </c>
      <c r="AE84">
        <f>IF(AND($A84&lt;&gt;"",AE$3&gt;=$J84,AE$3&lt;=$M84),1,"")</f>
        <v/>
      </c>
      <c r="AF84">
        <f>IF(AND($A84&lt;&gt;"",AF$3&gt;=$J84,AF$3&lt;=$M84),1,"")</f>
        <v/>
      </c>
      <c r="AG84">
        <f>IF(AND($A84&lt;&gt;"",AG$3&gt;=$J84,AG$3&lt;=$M84),1,"")</f>
        <v/>
      </c>
      <c r="AH84">
        <f>IF(AND($A84&lt;&gt;"",AH$3&gt;=$J84,AH$3&lt;=$M84),1,"")</f>
        <v/>
      </c>
      <c r="AI84">
        <f>IF(AND($A84&lt;&gt;"",AI$3&gt;=$J84,AI$3&lt;=$M84),1,"")</f>
        <v/>
      </c>
      <c r="AJ84">
        <f>IF(AND($A84&lt;&gt;"",AJ$3&gt;=$J84,AJ$3&lt;=$M84),1,"")</f>
        <v/>
      </c>
      <c r="AK84">
        <f>IF(AND($A84&lt;&gt;"",AK$3&gt;=$J84,AK$3&lt;=$M84),1,"")</f>
        <v/>
      </c>
      <c r="AL84">
        <f>IF(AND($A84&lt;&gt;"",AL$3&gt;=$J84,AL$3&lt;=$M84),1,"")</f>
        <v/>
      </c>
      <c r="AM84">
        <f>IF(AND($A84&lt;&gt;"",AM$3&gt;=$J84,AM$3&lt;=$M84),1,"")</f>
        <v/>
      </c>
      <c r="AN84">
        <f>IF(AND($A84&lt;&gt;"",AN$3&gt;=$J84,AN$3&lt;=$M84),1,"")</f>
        <v/>
      </c>
      <c r="AO84">
        <f>IF(AND($A84&lt;&gt;"",AO$3&gt;=$J84,AO$3&lt;=$M84),1,"")</f>
        <v/>
      </c>
      <c r="AP84">
        <f>IF(AND($A84&lt;&gt;"",AP$3&gt;=$J84,AP$3&lt;=$M84),1,"")</f>
        <v/>
      </c>
      <c r="AQ84">
        <f>IF(AND($A84&lt;&gt;"",AQ$3&gt;=$J84,AQ$3&lt;=$M84),1,"")</f>
        <v/>
      </c>
      <c r="AR84">
        <f>IF(AND($A84&lt;&gt;"",AR$3&gt;=$J84,AR$3&lt;=$M84),1,"")</f>
        <v/>
      </c>
      <c r="AS84">
        <f>IF(AND($A84&lt;&gt;"",AS$3&gt;=$J84,AS$3&lt;=$M84),1,"")</f>
        <v/>
      </c>
      <c r="AT84">
        <f>IF(AND($A84&lt;&gt;"",AT$3&gt;=$J84,AT$3&lt;=$M84),1,"")</f>
        <v/>
      </c>
      <c r="AU84">
        <f>IF(AND($A84&lt;&gt;"",AU$3&gt;=$J84,AU$3&lt;=$M84),1,"")</f>
        <v/>
      </c>
      <c r="AV84">
        <f>IF(AND($A84&lt;&gt;"",AV$3&gt;=$J84,AV$3&lt;=$M84),1,"")</f>
        <v/>
      </c>
      <c r="AW84">
        <f>IF(AND($A84&lt;&gt;"",AW$3&gt;=$J84,AW$3&lt;=$M84),1,"")</f>
        <v/>
      </c>
      <c r="AX84">
        <f>IF(AND($A84&lt;&gt;"",AX$3&gt;=$J84,AX$3&lt;=$M84),1,"")</f>
        <v/>
      </c>
      <c r="AY84">
        <f>IF(AND($A84&lt;&gt;"",AY$3&gt;=$J84,AY$3&lt;=$M84),1,"")</f>
        <v/>
      </c>
      <c r="AZ84">
        <f>IF(AND($A84&lt;&gt;"",AZ$3&gt;=$J84,AZ$3&lt;=$M84),1,"")</f>
        <v/>
      </c>
      <c r="BA84">
        <f>IF(AND($A84&lt;&gt;"",BA$3&gt;=$J84,BA$3&lt;=$M84),1,"")</f>
        <v/>
      </c>
      <c r="BB84">
        <f>IF(AND($A84&lt;&gt;"",BB$3&gt;=$J84,BB$3&lt;=$M84),1,"")</f>
        <v/>
      </c>
      <c r="BC84">
        <f>IF(AND($A84&lt;&gt;"",BC$3&gt;=$J84,BC$3&lt;=$M84),1,"")</f>
        <v/>
      </c>
      <c r="BD84">
        <f>IF(AND($A84&lt;&gt;"",BD$3&gt;=$J84,BD$3&lt;=$M84),1,"")</f>
        <v/>
      </c>
      <c r="BE84">
        <f>IF(AND($A84&lt;&gt;"",BE$3&gt;=$J84,BE$3&lt;=$M84),1,"")</f>
        <v/>
      </c>
      <c r="BF84">
        <f>IF(AND($A84&lt;&gt;"",BF$3&gt;=$J84,BF$3&lt;=$M84),1,"")</f>
        <v/>
      </c>
      <c r="BG84">
        <f>IF(AND($A84&lt;&gt;"",BG$3&gt;=$J84,BG$3&lt;=$M84),1,"")</f>
        <v/>
      </c>
      <c r="BH84">
        <f>IF(AND($A84&lt;&gt;"",BH$3&gt;=$J84,BH$3&lt;=$M84),1,"")</f>
        <v/>
      </c>
      <c r="BI84">
        <f>IF(AND($A84&lt;&gt;"",BI$3&gt;=$J84,BI$3&lt;=$M84),1,"")</f>
        <v/>
      </c>
      <c r="BJ84">
        <f>IF(AND($A84&lt;&gt;"",BJ$3&gt;=$J84,BJ$3&lt;=$M84),1,"")</f>
        <v/>
      </c>
      <c r="BK84">
        <f>IF(AND($A84&lt;&gt;"",BK$3&gt;=$J84,BK$3&lt;=$M84),1,"")</f>
        <v/>
      </c>
      <c r="BL84">
        <f>IF(AND($A84&lt;&gt;"",BL$3&gt;=$J84,BL$3&lt;=$M84),1,"")</f>
        <v/>
      </c>
      <c r="BM84">
        <f>IF(AND($A84&lt;&gt;"",BM$3&gt;=$J84,BM$3&lt;=$M84),1,"")</f>
        <v/>
      </c>
      <c r="BN84">
        <f>IF(AND($A84&lt;&gt;"",BN$3&gt;=$J84,BN$3&lt;=$M84),1,"")</f>
        <v/>
      </c>
      <c r="BO84">
        <f>IF(AND($A84&lt;&gt;"",BO$3&gt;=$J84,BO$3&lt;=$M84),1,"")</f>
        <v/>
      </c>
      <c r="BP84">
        <f>IF(AND($A84&lt;&gt;"",BP$3&gt;=$J84,BP$3&lt;=$M84),1,"")</f>
        <v/>
      </c>
      <c r="BQ84">
        <f>IF(AND($A84&lt;&gt;"",BQ$3&gt;=$J84,BQ$3&lt;=$M84),1,"")</f>
        <v/>
      </c>
      <c r="BR84">
        <f>IF(AND($A84&lt;&gt;"",BR$3&gt;=$J84,BR$3&lt;=$M84),1,"")</f>
        <v/>
      </c>
      <c r="BS84">
        <f>IF(AND($A84&lt;&gt;"",BS$3&gt;=$J84,BS$3&lt;=$M84),1,"")</f>
        <v/>
      </c>
      <c r="BT84">
        <f>IF(AND($A84&lt;&gt;"",BT$3&gt;=$J84,BT$3&lt;=$M84),1,"")</f>
        <v/>
      </c>
      <c r="BU84">
        <f>IF(AND($A84&lt;&gt;"",BU$3&gt;=$J84,BU$3&lt;=$M84),1,"")</f>
        <v/>
      </c>
      <c r="BV84">
        <f>IF(AND($A84&lt;&gt;"",BV$3&gt;=$J84,BV$3&lt;=$M84),1,"")</f>
        <v/>
      </c>
    </row>
    <row r="85">
      <c r="A85">
        <f>IF(Job_Master_Ring!$A85="","",Job_Master_Ring!$A85)</f>
        <v/>
      </c>
      <c r="B85">
        <f>IF($A85="","",Job_Master_Ring!B85)</f>
        <v/>
      </c>
      <c r="C85">
        <f>IF($A85="","",Job_Master_Ring!C85)</f>
        <v/>
      </c>
      <c r="D85">
        <f>IF($A85="","",Job_Master_Ring!D85)</f>
        <v/>
      </c>
      <c r="E85">
        <f>IF($A85="","",IF($I85&lt;&gt;"",$I85,IFERROR(INDEX(Machine_List!$B$64:$B$71,MATCH(1,(Machine_List!$H$64:$H$71&lt;=IFERROR(VLOOKUP($B85,CHOOSE(MATCH($C85,Settings!$L$4:$L$10,0),OPR_BR1!$A$4:$K$18,OPR_BR2!$A$4:$K$18,OPR_CR2!$A$4:$K$18,OPR_CR3!$A$4:$K$18,OPR_CR4!$A$4:$K$18,OPR_RIM!$A$4:$K$18,OPR_BPR!$A$4:$K$18),10,0),0))*(Machine_List!$I$64:$I$71&gt;=IFERROR(VLOOKUP($B85,CHOOSE(MATCH($C85,Settings!$L$4:$L$10,0),OPR_BR1!$A$4:$K$18,OPR_BR2!$A$4:$K$18,OPR_CR2!$A$4:$K$18,OPR_CR3!$A$4:$K$18,OPR_CR4!$A$4:$K$18,OPR_RIM!$A$4:$K$18,OPR_BPR!$A$4:$K$18),11,0),9999)),0)),"NO COMPATIBLE MACHINE")))</f>
        <v/>
      </c>
      <c r="F85">
        <f>IF($E85="","",IFERROR(VLOOKUP($E85,Machine_List!$B:$G,6,0),""))</f>
        <v/>
      </c>
      <c r="G85" s="17">
        <f>IF($E85="","",IFERROR(VLOOKUP($E85,Machine_List!$B:$C,2,0),""))</f>
        <v/>
      </c>
      <c r="H85">
        <f>IF($E85="","",IFERROR(VLOOKUP($E85,Machine_List!$B:$D,3,0),""))</f>
        <v/>
      </c>
      <c r="J85" s="16">
        <f>IF($A85="","",IF($I85&lt;&gt;"",$I85,MAX(ENG_Plan!$M85,IFERROR(LOOKUP(2,1/($E$3:INDIRECT("E"&amp;(ROW()-1))=$E85),$M$3:INDIRECT("M"&amp;(ROW()-1))),ENG_Plan!$M85))))</f>
        <v/>
      </c>
      <c r="K85">
        <f>IF($A85="","",IFERROR(VLOOKUP(B85,CHOOSE(MATCH($C85,Settings!$L$4:$L$10,0),OPR_BR1!$A$4:$I$18,OPR_BR2!$A$4:$I$18,OPR_CR2!$A$4:$I$18,OPR_CR3!$A$4:$I$18,OPR_CR4!$A$4:$I$18,OPR_RIM!$A$4:$I$18,OPR_BPR!$A$4:$I$18),7,0),0))</f>
        <v/>
      </c>
      <c r="L85">
        <f>IF($A85="","",K85*D85)</f>
        <v/>
      </c>
      <c r="M85" s="16">
        <f>IF($A85="","",IF(AND(ISNUMBER(G85),G85&gt;=J85,G85&lt;=(J85+(L85/(IF(F85="Contract Workman",Settings!$K$5,Settings!$K$4))))),J85+(L85/(IF(F85="Contract Workman",Settings!$K$5,Settings!$K$4)))+(H85/(IF(F85="Contract Workman",Settings!$K$5,Settings!$K$4))),J85+(L85/(IF(F85="Contract Workman",Settings!$K$5,Settings!$K$4)))))</f>
        <v/>
      </c>
      <c r="N85">
        <f>IF($A85="","",IF(F85="Contract Workman",IF(AND(MOD(M85,1)&gt;=8/24,MOD(M85,1)&lt;20/24),"Shift S1","Shift S2"),IF(AND(MOD(M85,1)&gt;=7/24,MOD(M85,1)&lt;15/24),"Shift A",IF(AND(MOD(M85,1)&gt;=15/24,MOD(M85,1)&lt;23/24),"Shift B","Shift C"))))</f>
        <v/>
      </c>
      <c r="O85">
        <f>IF(B85="","",IF(IFERROR(ISNUMBER(SEARCH(TEXT(B85,"0"),VLOOKUP(E85,Machine_List!$B:$J,9,0))),FALSE),"✅ "&amp; E85,"❌ Sug: "&amp;IFERROR(INDEX(Machine_List!$B$64:$B$71,MATCH(1,(Machine_List!$H$64:$H$71&lt;=IFERROR(VLOOKUP($B85,OPR_BR1!$A$4:$K$18,10,0),0))*(Machine_List!$I$64:$I$71&gt;=IFERROR(VLOOKUP($B85,OPR_BR1!$A$4:$K$18,11,0),9999)),0)),"?")))</f>
        <v/>
      </c>
      <c r="P85">
        <f>IF(AND($A85&lt;&gt;"",P$3&gt;=$J85,P$3&lt;=$M85),1,"")</f>
        <v/>
      </c>
      <c r="Q85">
        <f>IF(AND($A85&lt;&gt;"",Q$3&gt;=$J85,Q$3&lt;=$M85),1,"")</f>
        <v/>
      </c>
      <c r="R85">
        <f>IF(AND($A85&lt;&gt;"",R$3&gt;=$J85,R$3&lt;=$M85),1,"")</f>
        <v/>
      </c>
      <c r="S85">
        <f>IF(AND($A85&lt;&gt;"",S$3&gt;=$J85,S$3&lt;=$M85),1,"")</f>
        <v/>
      </c>
      <c r="T85">
        <f>IF(AND($A85&lt;&gt;"",T$3&gt;=$J85,T$3&lt;=$M85),1,"")</f>
        <v/>
      </c>
      <c r="U85">
        <f>IF(AND($A85&lt;&gt;"",U$3&gt;=$J85,U$3&lt;=$M85),1,"")</f>
        <v/>
      </c>
      <c r="V85">
        <f>IF(AND($A85&lt;&gt;"",V$3&gt;=$J85,V$3&lt;=$M85),1,"")</f>
        <v/>
      </c>
      <c r="W85">
        <f>IF(AND($A85&lt;&gt;"",W$3&gt;=$J85,W$3&lt;=$M85),1,"")</f>
        <v/>
      </c>
      <c r="X85">
        <f>IF(AND($A85&lt;&gt;"",X$3&gt;=$J85,X$3&lt;=$M85),1,"")</f>
        <v/>
      </c>
      <c r="Y85">
        <f>IF(AND($A85&lt;&gt;"",Y$3&gt;=$J85,Y$3&lt;=$M85),1,"")</f>
        <v/>
      </c>
      <c r="Z85">
        <f>IF(AND($A85&lt;&gt;"",Z$3&gt;=$J85,Z$3&lt;=$M85),1,"")</f>
        <v/>
      </c>
      <c r="AA85">
        <f>IF(AND($A85&lt;&gt;"",AA$3&gt;=$J85,AA$3&lt;=$M85),1,"")</f>
        <v/>
      </c>
      <c r="AB85">
        <f>IF(AND($A85&lt;&gt;"",AB$3&gt;=$J85,AB$3&lt;=$M85),1,"")</f>
        <v/>
      </c>
      <c r="AC85">
        <f>IF(AND($A85&lt;&gt;"",AC$3&gt;=$J85,AC$3&lt;=$M85),1,"")</f>
        <v/>
      </c>
      <c r="AD85">
        <f>IF(AND($A85&lt;&gt;"",AD$3&gt;=$J85,AD$3&lt;=$M85),1,"")</f>
        <v/>
      </c>
      <c r="AE85">
        <f>IF(AND($A85&lt;&gt;"",AE$3&gt;=$J85,AE$3&lt;=$M85),1,"")</f>
        <v/>
      </c>
      <c r="AF85">
        <f>IF(AND($A85&lt;&gt;"",AF$3&gt;=$J85,AF$3&lt;=$M85),1,"")</f>
        <v/>
      </c>
      <c r="AG85">
        <f>IF(AND($A85&lt;&gt;"",AG$3&gt;=$J85,AG$3&lt;=$M85),1,"")</f>
        <v/>
      </c>
      <c r="AH85">
        <f>IF(AND($A85&lt;&gt;"",AH$3&gt;=$J85,AH$3&lt;=$M85),1,"")</f>
        <v/>
      </c>
      <c r="AI85">
        <f>IF(AND($A85&lt;&gt;"",AI$3&gt;=$J85,AI$3&lt;=$M85),1,"")</f>
        <v/>
      </c>
      <c r="AJ85">
        <f>IF(AND($A85&lt;&gt;"",AJ$3&gt;=$J85,AJ$3&lt;=$M85),1,"")</f>
        <v/>
      </c>
      <c r="AK85">
        <f>IF(AND($A85&lt;&gt;"",AK$3&gt;=$J85,AK$3&lt;=$M85),1,"")</f>
        <v/>
      </c>
      <c r="AL85">
        <f>IF(AND($A85&lt;&gt;"",AL$3&gt;=$J85,AL$3&lt;=$M85),1,"")</f>
        <v/>
      </c>
      <c r="AM85">
        <f>IF(AND($A85&lt;&gt;"",AM$3&gt;=$J85,AM$3&lt;=$M85),1,"")</f>
        <v/>
      </c>
      <c r="AN85">
        <f>IF(AND($A85&lt;&gt;"",AN$3&gt;=$J85,AN$3&lt;=$M85),1,"")</f>
        <v/>
      </c>
      <c r="AO85">
        <f>IF(AND($A85&lt;&gt;"",AO$3&gt;=$J85,AO$3&lt;=$M85),1,"")</f>
        <v/>
      </c>
      <c r="AP85">
        <f>IF(AND($A85&lt;&gt;"",AP$3&gt;=$J85,AP$3&lt;=$M85),1,"")</f>
        <v/>
      </c>
      <c r="AQ85">
        <f>IF(AND($A85&lt;&gt;"",AQ$3&gt;=$J85,AQ$3&lt;=$M85),1,"")</f>
        <v/>
      </c>
      <c r="AR85">
        <f>IF(AND($A85&lt;&gt;"",AR$3&gt;=$J85,AR$3&lt;=$M85),1,"")</f>
        <v/>
      </c>
      <c r="AS85">
        <f>IF(AND($A85&lt;&gt;"",AS$3&gt;=$J85,AS$3&lt;=$M85),1,"")</f>
        <v/>
      </c>
      <c r="AT85">
        <f>IF(AND($A85&lt;&gt;"",AT$3&gt;=$J85,AT$3&lt;=$M85),1,"")</f>
        <v/>
      </c>
      <c r="AU85">
        <f>IF(AND($A85&lt;&gt;"",AU$3&gt;=$J85,AU$3&lt;=$M85),1,"")</f>
        <v/>
      </c>
      <c r="AV85">
        <f>IF(AND($A85&lt;&gt;"",AV$3&gt;=$J85,AV$3&lt;=$M85),1,"")</f>
        <v/>
      </c>
      <c r="AW85">
        <f>IF(AND($A85&lt;&gt;"",AW$3&gt;=$J85,AW$3&lt;=$M85),1,"")</f>
        <v/>
      </c>
      <c r="AX85">
        <f>IF(AND($A85&lt;&gt;"",AX$3&gt;=$J85,AX$3&lt;=$M85),1,"")</f>
        <v/>
      </c>
      <c r="AY85">
        <f>IF(AND($A85&lt;&gt;"",AY$3&gt;=$J85,AY$3&lt;=$M85),1,"")</f>
        <v/>
      </c>
      <c r="AZ85">
        <f>IF(AND($A85&lt;&gt;"",AZ$3&gt;=$J85,AZ$3&lt;=$M85),1,"")</f>
        <v/>
      </c>
      <c r="BA85">
        <f>IF(AND($A85&lt;&gt;"",BA$3&gt;=$J85,BA$3&lt;=$M85),1,"")</f>
        <v/>
      </c>
      <c r="BB85">
        <f>IF(AND($A85&lt;&gt;"",BB$3&gt;=$J85,BB$3&lt;=$M85),1,"")</f>
        <v/>
      </c>
      <c r="BC85">
        <f>IF(AND($A85&lt;&gt;"",BC$3&gt;=$J85,BC$3&lt;=$M85),1,"")</f>
        <v/>
      </c>
      <c r="BD85">
        <f>IF(AND($A85&lt;&gt;"",BD$3&gt;=$J85,BD$3&lt;=$M85),1,"")</f>
        <v/>
      </c>
      <c r="BE85">
        <f>IF(AND($A85&lt;&gt;"",BE$3&gt;=$J85,BE$3&lt;=$M85),1,"")</f>
        <v/>
      </c>
      <c r="BF85">
        <f>IF(AND($A85&lt;&gt;"",BF$3&gt;=$J85,BF$3&lt;=$M85),1,"")</f>
        <v/>
      </c>
      <c r="BG85">
        <f>IF(AND($A85&lt;&gt;"",BG$3&gt;=$J85,BG$3&lt;=$M85),1,"")</f>
        <v/>
      </c>
      <c r="BH85">
        <f>IF(AND($A85&lt;&gt;"",BH$3&gt;=$J85,BH$3&lt;=$M85),1,"")</f>
        <v/>
      </c>
      <c r="BI85">
        <f>IF(AND($A85&lt;&gt;"",BI$3&gt;=$J85,BI$3&lt;=$M85),1,"")</f>
        <v/>
      </c>
      <c r="BJ85">
        <f>IF(AND($A85&lt;&gt;"",BJ$3&gt;=$J85,BJ$3&lt;=$M85),1,"")</f>
        <v/>
      </c>
      <c r="BK85">
        <f>IF(AND($A85&lt;&gt;"",BK$3&gt;=$J85,BK$3&lt;=$M85),1,"")</f>
        <v/>
      </c>
      <c r="BL85">
        <f>IF(AND($A85&lt;&gt;"",BL$3&gt;=$J85,BL$3&lt;=$M85),1,"")</f>
        <v/>
      </c>
      <c r="BM85">
        <f>IF(AND($A85&lt;&gt;"",BM$3&gt;=$J85,BM$3&lt;=$M85),1,"")</f>
        <v/>
      </c>
      <c r="BN85">
        <f>IF(AND($A85&lt;&gt;"",BN$3&gt;=$J85,BN$3&lt;=$M85),1,"")</f>
        <v/>
      </c>
      <c r="BO85">
        <f>IF(AND($A85&lt;&gt;"",BO$3&gt;=$J85,BO$3&lt;=$M85),1,"")</f>
        <v/>
      </c>
      <c r="BP85">
        <f>IF(AND($A85&lt;&gt;"",BP$3&gt;=$J85,BP$3&lt;=$M85),1,"")</f>
        <v/>
      </c>
      <c r="BQ85">
        <f>IF(AND($A85&lt;&gt;"",BQ$3&gt;=$J85,BQ$3&lt;=$M85),1,"")</f>
        <v/>
      </c>
      <c r="BR85">
        <f>IF(AND($A85&lt;&gt;"",BR$3&gt;=$J85,BR$3&lt;=$M85),1,"")</f>
        <v/>
      </c>
      <c r="BS85">
        <f>IF(AND($A85&lt;&gt;"",BS$3&gt;=$J85,BS$3&lt;=$M85),1,"")</f>
        <v/>
      </c>
      <c r="BT85">
        <f>IF(AND($A85&lt;&gt;"",BT$3&gt;=$J85,BT$3&lt;=$M85),1,"")</f>
        <v/>
      </c>
      <c r="BU85">
        <f>IF(AND($A85&lt;&gt;"",BU$3&gt;=$J85,BU$3&lt;=$M85),1,"")</f>
        <v/>
      </c>
      <c r="BV85">
        <f>IF(AND($A85&lt;&gt;"",BV$3&gt;=$J85,BV$3&lt;=$M85),1,"")</f>
        <v/>
      </c>
    </row>
    <row r="86">
      <c r="A86">
        <f>IF(Job_Master_Ring!$A86="","",Job_Master_Ring!$A86)</f>
        <v/>
      </c>
      <c r="B86">
        <f>IF($A86="","",Job_Master_Ring!B86)</f>
        <v/>
      </c>
      <c r="C86">
        <f>IF($A86="","",Job_Master_Ring!C86)</f>
        <v/>
      </c>
      <c r="D86">
        <f>IF($A86="","",Job_Master_Ring!D86)</f>
        <v/>
      </c>
      <c r="E86">
        <f>IF($A86="","",IF($I86&lt;&gt;"",$I86,IFERROR(INDEX(Machine_List!$B$64:$B$71,MATCH(1,(Machine_List!$H$64:$H$71&lt;=IFERROR(VLOOKUP($B86,CHOOSE(MATCH($C86,Settings!$L$4:$L$10,0),OPR_BR1!$A$4:$K$18,OPR_BR2!$A$4:$K$18,OPR_CR2!$A$4:$K$18,OPR_CR3!$A$4:$K$18,OPR_CR4!$A$4:$K$18,OPR_RIM!$A$4:$K$18,OPR_BPR!$A$4:$K$18),10,0),0))*(Machine_List!$I$64:$I$71&gt;=IFERROR(VLOOKUP($B86,CHOOSE(MATCH($C86,Settings!$L$4:$L$10,0),OPR_BR1!$A$4:$K$18,OPR_BR2!$A$4:$K$18,OPR_CR2!$A$4:$K$18,OPR_CR3!$A$4:$K$18,OPR_CR4!$A$4:$K$18,OPR_RIM!$A$4:$K$18,OPR_BPR!$A$4:$K$18),11,0),9999)),0)),"NO COMPATIBLE MACHINE")))</f>
        <v/>
      </c>
      <c r="F86">
        <f>IF($E86="","",IFERROR(VLOOKUP($E86,Machine_List!$B:$G,6,0),""))</f>
        <v/>
      </c>
      <c r="G86" s="17">
        <f>IF($E86="","",IFERROR(VLOOKUP($E86,Machine_List!$B:$C,2,0),""))</f>
        <v/>
      </c>
      <c r="H86">
        <f>IF($E86="","",IFERROR(VLOOKUP($E86,Machine_List!$B:$D,3,0),""))</f>
        <v/>
      </c>
      <c r="J86" s="16">
        <f>IF($A86="","",IF($I86&lt;&gt;"",$I86,MAX(ENG_Plan!$M86,IFERROR(LOOKUP(2,1/($E$3:INDIRECT("E"&amp;(ROW()-1))=$E86),$M$3:INDIRECT("M"&amp;(ROW()-1))),ENG_Plan!$M86))))</f>
        <v/>
      </c>
      <c r="K86">
        <f>IF($A86="","",IFERROR(VLOOKUP(B86,CHOOSE(MATCH($C86,Settings!$L$4:$L$10,0),OPR_BR1!$A$4:$I$18,OPR_BR2!$A$4:$I$18,OPR_CR2!$A$4:$I$18,OPR_CR3!$A$4:$I$18,OPR_CR4!$A$4:$I$18,OPR_RIM!$A$4:$I$18,OPR_BPR!$A$4:$I$18),7,0),0))</f>
        <v/>
      </c>
      <c r="L86">
        <f>IF($A86="","",K86*D86)</f>
        <v/>
      </c>
      <c r="M86" s="16">
        <f>IF($A86="","",IF(AND(ISNUMBER(G86),G86&gt;=J86,G86&lt;=(J86+(L86/(IF(F86="Contract Workman",Settings!$K$5,Settings!$K$4))))),J86+(L86/(IF(F86="Contract Workman",Settings!$K$5,Settings!$K$4)))+(H86/(IF(F86="Contract Workman",Settings!$K$5,Settings!$K$4))),J86+(L86/(IF(F86="Contract Workman",Settings!$K$5,Settings!$K$4)))))</f>
        <v/>
      </c>
      <c r="N86">
        <f>IF($A86="","",IF(F86="Contract Workman",IF(AND(MOD(M86,1)&gt;=8/24,MOD(M86,1)&lt;20/24),"Shift S1","Shift S2"),IF(AND(MOD(M86,1)&gt;=7/24,MOD(M86,1)&lt;15/24),"Shift A",IF(AND(MOD(M86,1)&gt;=15/24,MOD(M86,1)&lt;23/24),"Shift B","Shift C"))))</f>
        <v/>
      </c>
      <c r="O86">
        <f>IF(B86="","",IF(IFERROR(ISNUMBER(SEARCH(TEXT(B86,"0"),VLOOKUP(E86,Machine_List!$B:$J,9,0))),FALSE),"✅ "&amp; E86,"❌ Sug: "&amp;IFERROR(INDEX(Machine_List!$B$64:$B$71,MATCH(1,(Machine_List!$H$64:$H$71&lt;=IFERROR(VLOOKUP($B86,OPR_BR1!$A$4:$K$18,10,0),0))*(Machine_List!$I$64:$I$71&gt;=IFERROR(VLOOKUP($B86,OPR_BR1!$A$4:$K$18,11,0),9999)),0)),"?")))</f>
        <v/>
      </c>
      <c r="P86">
        <f>IF(AND($A86&lt;&gt;"",P$3&gt;=$J86,P$3&lt;=$M86),1,"")</f>
        <v/>
      </c>
      <c r="Q86">
        <f>IF(AND($A86&lt;&gt;"",Q$3&gt;=$J86,Q$3&lt;=$M86),1,"")</f>
        <v/>
      </c>
      <c r="R86">
        <f>IF(AND($A86&lt;&gt;"",R$3&gt;=$J86,R$3&lt;=$M86),1,"")</f>
        <v/>
      </c>
      <c r="S86">
        <f>IF(AND($A86&lt;&gt;"",S$3&gt;=$J86,S$3&lt;=$M86),1,"")</f>
        <v/>
      </c>
      <c r="T86">
        <f>IF(AND($A86&lt;&gt;"",T$3&gt;=$J86,T$3&lt;=$M86),1,"")</f>
        <v/>
      </c>
      <c r="U86">
        <f>IF(AND($A86&lt;&gt;"",U$3&gt;=$J86,U$3&lt;=$M86),1,"")</f>
        <v/>
      </c>
      <c r="V86">
        <f>IF(AND($A86&lt;&gt;"",V$3&gt;=$J86,V$3&lt;=$M86),1,"")</f>
        <v/>
      </c>
      <c r="W86">
        <f>IF(AND($A86&lt;&gt;"",W$3&gt;=$J86,W$3&lt;=$M86),1,"")</f>
        <v/>
      </c>
      <c r="X86">
        <f>IF(AND($A86&lt;&gt;"",X$3&gt;=$J86,X$3&lt;=$M86),1,"")</f>
        <v/>
      </c>
      <c r="Y86">
        <f>IF(AND($A86&lt;&gt;"",Y$3&gt;=$J86,Y$3&lt;=$M86),1,"")</f>
        <v/>
      </c>
      <c r="Z86">
        <f>IF(AND($A86&lt;&gt;"",Z$3&gt;=$J86,Z$3&lt;=$M86),1,"")</f>
        <v/>
      </c>
      <c r="AA86">
        <f>IF(AND($A86&lt;&gt;"",AA$3&gt;=$J86,AA$3&lt;=$M86),1,"")</f>
        <v/>
      </c>
      <c r="AB86">
        <f>IF(AND($A86&lt;&gt;"",AB$3&gt;=$J86,AB$3&lt;=$M86),1,"")</f>
        <v/>
      </c>
      <c r="AC86">
        <f>IF(AND($A86&lt;&gt;"",AC$3&gt;=$J86,AC$3&lt;=$M86),1,"")</f>
        <v/>
      </c>
      <c r="AD86">
        <f>IF(AND($A86&lt;&gt;"",AD$3&gt;=$J86,AD$3&lt;=$M86),1,"")</f>
        <v/>
      </c>
      <c r="AE86">
        <f>IF(AND($A86&lt;&gt;"",AE$3&gt;=$J86,AE$3&lt;=$M86),1,"")</f>
        <v/>
      </c>
      <c r="AF86">
        <f>IF(AND($A86&lt;&gt;"",AF$3&gt;=$J86,AF$3&lt;=$M86),1,"")</f>
        <v/>
      </c>
      <c r="AG86">
        <f>IF(AND($A86&lt;&gt;"",AG$3&gt;=$J86,AG$3&lt;=$M86),1,"")</f>
        <v/>
      </c>
      <c r="AH86">
        <f>IF(AND($A86&lt;&gt;"",AH$3&gt;=$J86,AH$3&lt;=$M86),1,"")</f>
        <v/>
      </c>
      <c r="AI86">
        <f>IF(AND($A86&lt;&gt;"",AI$3&gt;=$J86,AI$3&lt;=$M86),1,"")</f>
        <v/>
      </c>
      <c r="AJ86">
        <f>IF(AND($A86&lt;&gt;"",AJ$3&gt;=$J86,AJ$3&lt;=$M86),1,"")</f>
        <v/>
      </c>
      <c r="AK86">
        <f>IF(AND($A86&lt;&gt;"",AK$3&gt;=$J86,AK$3&lt;=$M86),1,"")</f>
        <v/>
      </c>
      <c r="AL86">
        <f>IF(AND($A86&lt;&gt;"",AL$3&gt;=$J86,AL$3&lt;=$M86),1,"")</f>
        <v/>
      </c>
      <c r="AM86">
        <f>IF(AND($A86&lt;&gt;"",AM$3&gt;=$J86,AM$3&lt;=$M86),1,"")</f>
        <v/>
      </c>
      <c r="AN86">
        <f>IF(AND($A86&lt;&gt;"",AN$3&gt;=$J86,AN$3&lt;=$M86),1,"")</f>
        <v/>
      </c>
      <c r="AO86">
        <f>IF(AND($A86&lt;&gt;"",AO$3&gt;=$J86,AO$3&lt;=$M86),1,"")</f>
        <v/>
      </c>
      <c r="AP86">
        <f>IF(AND($A86&lt;&gt;"",AP$3&gt;=$J86,AP$3&lt;=$M86),1,"")</f>
        <v/>
      </c>
      <c r="AQ86">
        <f>IF(AND($A86&lt;&gt;"",AQ$3&gt;=$J86,AQ$3&lt;=$M86),1,"")</f>
        <v/>
      </c>
      <c r="AR86">
        <f>IF(AND($A86&lt;&gt;"",AR$3&gt;=$J86,AR$3&lt;=$M86),1,"")</f>
        <v/>
      </c>
      <c r="AS86">
        <f>IF(AND($A86&lt;&gt;"",AS$3&gt;=$J86,AS$3&lt;=$M86),1,"")</f>
        <v/>
      </c>
      <c r="AT86">
        <f>IF(AND($A86&lt;&gt;"",AT$3&gt;=$J86,AT$3&lt;=$M86),1,"")</f>
        <v/>
      </c>
      <c r="AU86">
        <f>IF(AND($A86&lt;&gt;"",AU$3&gt;=$J86,AU$3&lt;=$M86),1,"")</f>
        <v/>
      </c>
      <c r="AV86">
        <f>IF(AND($A86&lt;&gt;"",AV$3&gt;=$J86,AV$3&lt;=$M86),1,"")</f>
        <v/>
      </c>
      <c r="AW86">
        <f>IF(AND($A86&lt;&gt;"",AW$3&gt;=$J86,AW$3&lt;=$M86),1,"")</f>
        <v/>
      </c>
      <c r="AX86">
        <f>IF(AND($A86&lt;&gt;"",AX$3&gt;=$J86,AX$3&lt;=$M86),1,"")</f>
        <v/>
      </c>
      <c r="AY86">
        <f>IF(AND($A86&lt;&gt;"",AY$3&gt;=$J86,AY$3&lt;=$M86),1,"")</f>
        <v/>
      </c>
      <c r="AZ86">
        <f>IF(AND($A86&lt;&gt;"",AZ$3&gt;=$J86,AZ$3&lt;=$M86),1,"")</f>
        <v/>
      </c>
      <c r="BA86">
        <f>IF(AND($A86&lt;&gt;"",BA$3&gt;=$J86,BA$3&lt;=$M86),1,"")</f>
        <v/>
      </c>
      <c r="BB86">
        <f>IF(AND($A86&lt;&gt;"",BB$3&gt;=$J86,BB$3&lt;=$M86),1,"")</f>
        <v/>
      </c>
      <c r="BC86">
        <f>IF(AND($A86&lt;&gt;"",BC$3&gt;=$J86,BC$3&lt;=$M86),1,"")</f>
        <v/>
      </c>
      <c r="BD86">
        <f>IF(AND($A86&lt;&gt;"",BD$3&gt;=$J86,BD$3&lt;=$M86),1,"")</f>
        <v/>
      </c>
      <c r="BE86">
        <f>IF(AND($A86&lt;&gt;"",BE$3&gt;=$J86,BE$3&lt;=$M86),1,"")</f>
        <v/>
      </c>
      <c r="BF86">
        <f>IF(AND($A86&lt;&gt;"",BF$3&gt;=$J86,BF$3&lt;=$M86),1,"")</f>
        <v/>
      </c>
      <c r="BG86">
        <f>IF(AND($A86&lt;&gt;"",BG$3&gt;=$J86,BG$3&lt;=$M86),1,"")</f>
        <v/>
      </c>
      <c r="BH86">
        <f>IF(AND($A86&lt;&gt;"",BH$3&gt;=$J86,BH$3&lt;=$M86),1,"")</f>
        <v/>
      </c>
      <c r="BI86">
        <f>IF(AND($A86&lt;&gt;"",BI$3&gt;=$J86,BI$3&lt;=$M86),1,"")</f>
        <v/>
      </c>
      <c r="BJ86">
        <f>IF(AND($A86&lt;&gt;"",BJ$3&gt;=$J86,BJ$3&lt;=$M86),1,"")</f>
        <v/>
      </c>
      <c r="BK86">
        <f>IF(AND($A86&lt;&gt;"",BK$3&gt;=$J86,BK$3&lt;=$M86),1,"")</f>
        <v/>
      </c>
      <c r="BL86">
        <f>IF(AND($A86&lt;&gt;"",BL$3&gt;=$J86,BL$3&lt;=$M86),1,"")</f>
        <v/>
      </c>
      <c r="BM86">
        <f>IF(AND($A86&lt;&gt;"",BM$3&gt;=$J86,BM$3&lt;=$M86),1,"")</f>
        <v/>
      </c>
      <c r="BN86">
        <f>IF(AND($A86&lt;&gt;"",BN$3&gt;=$J86,BN$3&lt;=$M86),1,"")</f>
        <v/>
      </c>
      <c r="BO86">
        <f>IF(AND($A86&lt;&gt;"",BO$3&gt;=$J86,BO$3&lt;=$M86),1,"")</f>
        <v/>
      </c>
      <c r="BP86">
        <f>IF(AND($A86&lt;&gt;"",BP$3&gt;=$J86,BP$3&lt;=$M86),1,"")</f>
        <v/>
      </c>
      <c r="BQ86">
        <f>IF(AND($A86&lt;&gt;"",BQ$3&gt;=$J86,BQ$3&lt;=$M86),1,"")</f>
        <v/>
      </c>
      <c r="BR86">
        <f>IF(AND($A86&lt;&gt;"",BR$3&gt;=$J86,BR$3&lt;=$M86),1,"")</f>
        <v/>
      </c>
      <c r="BS86">
        <f>IF(AND($A86&lt;&gt;"",BS$3&gt;=$J86,BS$3&lt;=$M86),1,"")</f>
        <v/>
      </c>
      <c r="BT86">
        <f>IF(AND($A86&lt;&gt;"",BT$3&gt;=$J86,BT$3&lt;=$M86),1,"")</f>
        <v/>
      </c>
      <c r="BU86">
        <f>IF(AND($A86&lt;&gt;"",BU$3&gt;=$J86,BU$3&lt;=$M86),1,"")</f>
        <v/>
      </c>
      <c r="BV86">
        <f>IF(AND($A86&lt;&gt;"",BV$3&gt;=$J86,BV$3&lt;=$M86),1,"")</f>
        <v/>
      </c>
    </row>
    <row r="87">
      <c r="A87">
        <f>IF(Job_Master_Ring!$A87="","",Job_Master_Ring!$A87)</f>
        <v/>
      </c>
      <c r="B87">
        <f>IF($A87="","",Job_Master_Ring!B87)</f>
        <v/>
      </c>
      <c r="C87">
        <f>IF($A87="","",Job_Master_Ring!C87)</f>
        <v/>
      </c>
      <c r="D87">
        <f>IF($A87="","",Job_Master_Ring!D87)</f>
        <v/>
      </c>
      <c r="E87">
        <f>IF($A87="","",IF($I87&lt;&gt;"",$I87,IFERROR(INDEX(Machine_List!$B$64:$B$71,MATCH(1,(Machine_List!$H$64:$H$71&lt;=IFERROR(VLOOKUP($B87,CHOOSE(MATCH($C87,Settings!$L$4:$L$10,0),OPR_BR1!$A$4:$K$18,OPR_BR2!$A$4:$K$18,OPR_CR2!$A$4:$K$18,OPR_CR3!$A$4:$K$18,OPR_CR4!$A$4:$K$18,OPR_RIM!$A$4:$K$18,OPR_BPR!$A$4:$K$18),10,0),0))*(Machine_List!$I$64:$I$71&gt;=IFERROR(VLOOKUP($B87,CHOOSE(MATCH($C87,Settings!$L$4:$L$10,0),OPR_BR1!$A$4:$K$18,OPR_BR2!$A$4:$K$18,OPR_CR2!$A$4:$K$18,OPR_CR3!$A$4:$K$18,OPR_CR4!$A$4:$K$18,OPR_RIM!$A$4:$K$18,OPR_BPR!$A$4:$K$18),11,0),9999)),0)),"NO COMPATIBLE MACHINE")))</f>
        <v/>
      </c>
      <c r="F87">
        <f>IF($E87="","",IFERROR(VLOOKUP($E87,Machine_List!$B:$G,6,0),""))</f>
        <v/>
      </c>
      <c r="G87" s="17">
        <f>IF($E87="","",IFERROR(VLOOKUP($E87,Machine_List!$B:$C,2,0),""))</f>
        <v/>
      </c>
      <c r="H87">
        <f>IF($E87="","",IFERROR(VLOOKUP($E87,Machine_List!$B:$D,3,0),""))</f>
        <v/>
      </c>
      <c r="J87" s="16">
        <f>IF($A87="","",IF($I87&lt;&gt;"",$I87,MAX(ENG_Plan!$M87,IFERROR(LOOKUP(2,1/($E$3:INDIRECT("E"&amp;(ROW()-1))=$E87),$M$3:INDIRECT("M"&amp;(ROW()-1))),ENG_Plan!$M87))))</f>
        <v/>
      </c>
      <c r="K87">
        <f>IF($A87="","",IFERROR(VLOOKUP(B87,CHOOSE(MATCH($C87,Settings!$L$4:$L$10,0),OPR_BR1!$A$4:$I$18,OPR_BR2!$A$4:$I$18,OPR_CR2!$A$4:$I$18,OPR_CR3!$A$4:$I$18,OPR_CR4!$A$4:$I$18,OPR_RIM!$A$4:$I$18,OPR_BPR!$A$4:$I$18),7,0),0))</f>
        <v/>
      </c>
      <c r="L87">
        <f>IF($A87="","",K87*D87)</f>
        <v/>
      </c>
      <c r="M87" s="16">
        <f>IF($A87="","",IF(AND(ISNUMBER(G87),G87&gt;=J87,G87&lt;=(J87+(L87/(IF(F87="Contract Workman",Settings!$K$5,Settings!$K$4))))),J87+(L87/(IF(F87="Contract Workman",Settings!$K$5,Settings!$K$4)))+(H87/(IF(F87="Contract Workman",Settings!$K$5,Settings!$K$4))),J87+(L87/(IF(F87="Contract Workman",Settings!$K$5,Settings!$K$4)))))</f>
        <v/>
      </c>
      <c r="N87">
        <f>IF($A87="","",IF(F87="Contract Workman",IF(AND(MOD(M87,1)&gt;=8/24,MOD(M87,1)&lt;20/24),"Shift S1","Shift S2"),IF(AND(MOD(M87,1)&gt;=7/24,MOD(M87,1)&lt;15/24),"Shift A",IF(AND(MOD(M87,1)&gt;=15/24,MOD(M87,1)&lt;23/24),"Shift B","Shift C"))))</f>
        <v/>
      </c>
      <c r="O87">
        <f>IF(B87="","",IF(IFERROR(ISNUMBER(SEARCH(TEXT(B87,"0"),VLOOKUP(E87,Machine_List!$B:$J,9,0))),FALSE),"✅ "&amp; E87,"❌ Sug: "&amp;IFERROR(INDEX(Machine_List!$B$64:$B$71,MATCH(1,(Machine_List!$H$64:$H$71&lt;=IFERROR(VLOOKUP($B87,OPR_BR1!$A$4:$K$18,10,0),0))*(Machine_List!$I$64:$I$71&gt;=IFERROR(VLOOKUP($B87,OPR_BR1!$A$4:$K$18,11,0),9999)),0)),"?")))</f>
        <v/>
      </c>
      <c r="P87">
        <f>IF(AND($A87&lt;&gt;"",P$3&gt;=$J87,P$3&lt;=$M87),1,"")</f>
        <v/>
      </c>
      <c r="Q87">
        <f>IF(AND($A87&lt;&gt;"",Q$3&gt;=$J87,Q$3&lt;=$M87),1,"")</f>
        <v/>
      </c>
      <c r="R87">
        <f>IF(AND($A87&lt;&gt;"",R$3&gt;=$J87,R$3&lt;=$M87),1,"")</f>
        <v/>
      </c>
      <c r="S87">
        <f>IF(AND($A87&lt;&gt;"",S$3&gt;=$J87,S$3&lt;=$M87),1,"")</f>
        <v/>
      </c>
      <c r="T87">
        <f>IF(AND($A87&lt;&gt;"",T$3&gt;=$J87,T$3&lt;=$M87),1,"")</f>
        <v/>
      </c>
      <c r="U87">
        <f>IF(AND($A87&lt;&gt;"",U$3&gt;=$J87,U$3&lt;=$M87),1,"")</f>
        <v/>
      </c>
      <c r="V87">
        <f>IF(AND($A87&lt;&gt;"",V$3&gt;=$J87,V$3&lt;=$M87),1,"")</f>
        <v/>
      </c>
      <c r="W87">
        <f>IF(AND($A87&lt;&gt;"",W$3&gt;=$J87,W$3&lt;=$M87),1,"")</f>
        <v/>
      </c>
      <c r="X87">
        <f>IF(AND($A87&lt;&gt;"",X$3&gt;=$J87,X$3&lt;=$M87),1,"")</f>
        <v/>
      </c>
      <c r="Y87">
        <f>IF(AND($A87&lt;&gt;"",Y$3&gt;=$J87,Y$3&lt;=$M87),1,"")</f>
        <v/>
      </c>
      <c r="Z87">
        <f>IF(AND($A87&lt;&gt;"",Z$3&gt;=$J87,Z$3&lt;=$M87),1,"")</f>
        <v/>
      </c>
      <c r="AA87">
        <f>IF(AND($A87&lt;&gt;"",AA$3&gt;=$J87,AA$3&lt;=$M87),1,"")</f>
        <v/>
      </c>
      <c r="AB87">
        <f>IF(AND($A87&lt;&gt;"",AB$3&gt;=$J87,AB$3&lt;=$M87),1,"")</f>
        <v/>
      </c>
      <c r="AC87">
        <f>IF(AND($A87&lt;&gt;"",AC$3&gt;=$J87,AC$3&lt;=$M87),1,"")</f>
        <v/>
      </c>
      <c r="AD87">
        <f>IF(AND($A87&lt;&gt;"",AD$3&gt;=$J87,AD$3&lt;=$M87),1,"")</f>
        <v/>
      </c>
      <c r="AE87">
        <f>IF(AND($A87&lt;&gt;"",AE$3&gt;=$J87,AE$3&lt;=$M87),1,"")</f>
        <v/>
      </c>
      <c r="AF87">
        <f>IF(AND($A87&lt;&gt;"",AF$3&gt;=$J87,AF$3&lt;=$M87),1,"")</f>
        <v/>
      </c>
      <c r="AG87">
        <f>IF(AND($A87&lt;&gt;"",AG$3&gt;=$J87,AG$3&lt;=$M87),1,"")</f>
        <v/>
      </c>
      <c r="AH87">
        <f>IF(AND($A87&lt;&gt;"",AH$3&gt;=$J87,AH$3&lt;=$M87),1,"")</f>
        <v/>
      </c>
      <c r="AI87">
        <f>IF(AND($A87&lt;&gt;"",AI$3&gt;=$J87,AI$3&lt;=$M87),1,"")</f>
        <v/>
      </c>
      <c r="AJ87">
        <f>IF(AND($A87&lt;&gt;"",AJ$3&gt;=$J87,AJ$3&lt;=$M87),1,"")</f>
        <v/>
      </c>
      <c r="AK87">
        <f>IF(AND($A87&lt;&gt;"",AK$3&gt;=$J87,AK$3&lt;=$M87),1,"")</f>
        <v/>
      </c>
      <c r="AL87">
        <f>IF(AND($A87&lt;&gt;"",AL$3&gt;=$J87,AL$3&lt;=$M87),1,"")</f>
        <v/>
      </c>
      <c r="AM87">
        <f>IF(AND($A87&lt;&gt;"",AM$3&gt;=$J87,AM$3&lt;=$M87),1,"")</f>
        <v/>
      </c>
      <c r="AN87">
        <f>IF(AND($A87&lt;&gt;"",AN$3&gt;=$J87,AN$3&lt;=$M87),1,"")</f>
        <v/>
      </c>
      <c r="AO87">
        <f>IF(AND($A87&lt;&gt;"",AO$3&gt;=$J87,AO$3&lt;=$M87),1,"")</f>
        <v/>
      </c>
      <c r="AP87">
        <f>IF(AND($A87&lt;&gt;"",AP$3&gt;=$J87,AP$3&lt;=$M87),1,"")</f>
        <v/>
      </c>
      <c r="AQ87">
        <f>IF(AND($A87&lt;&gt;"",AQ$3&gt;=$J87,AQ$3&lt;=$M87),1,"")</f>
        <v/>
      </c>
      <c r="AR87">
        <f>IF(AND($A87&lt;&gt;"",AR$3&gt;=$J87,AR$3&lt;=$M87),1,"")</f>
        <v/>
      </c>
      <c r="AS87">
        <f>IF(AND($A87&lt;&gt;"",AS$3&gt;=$J87,AS$3&lt;=$M87),1,"")</f>
        <v/>
      </c>
      <c r="AT87">
        <f>IF(AND($A87&lt;&gt;"",AT$3&gt;=$J87,AT$3&lt;=$M87),1,"")</f>
        <v/>
      </c>
      <c r="AU87">
        <f>IF(AND($A87&lt;&gt;"",AU$3&gt;=$J87,AU$3&lt;=$M87),1,"")</f>
        <v/>
      </c>
      <c r="AV87">
        <f>IF(AND($A87&lt;&gt;"",AV$3&gt;=$J87,AV$3&lt;=$M87),1,"")</f>
        <v/>
      </c>
      <c r="AW87">
        <f>IF(AND($A87&lt;&gt;"",AW$3&gt;=$J87,AW$3&lt;=$M87),1,"")</f>
        <v/>
      </c>
      <c r="AX87">
        <f>IF(AND($A87&lt;&gt;"",AX$3&gt;=$J87,AX$3&lt;=$M87),1,"")</f>
        <v/>
      </c>
      <c r="AY87">
        <f>IF(AND($A87&lt;&gt;"",AY$3&gt;=$J87,AY$3&lt;=$M87),1,"")</f>
        <v/>
      </c>
      <c r="AZ87">
        <f>IF(AND($A87&lt;&gt;"",AZ$3&gt;=$J87,AZ$3&lt;=$M87),1,"")</f>
        <v/>
      </c>
      <c r="BA87">
        <f>IF(AND($A87&lt;&gt;"",BA$3&gt;=$J87,BA$3&lt;=$M87),1,"")</f>
        <v/>
      </c>
      <c r="BB87">
        <f>IF(AND($A87&lt;&gt;"",BB$3&gt;=$J87,BB$3&lt;=$M87),1,"")</f>
        <v/>
      </c>
      <c r="BC87">
        <f>IF(AND($A87&lt;&gt;"",BC$3&gt;=$J87,BC$3&lt;=$M87),1,"")</f>
        <v/>
      </c>
      <c r="BD87">
        <f>IF(AND($A87&lt;&gt;"",BD$3&gt;=$J87,BD$3&lt;=$M87),1,"")</f>
        <v/>
      </c>
      <c r="BE87">
        <f>IF(AND($A87&lt;&gt;"",BE$3&gt;=$J87,BE$3&lt;=$M87),1,"")</f>
        <v/>
      </c>
      <c r="BF87">
        <f>IF(AND($A87&lt;&gt;"",BF$3&gt;=$J87,BF$3&lt;=$M87),1,"")</f>
        <v/>
      </c>
      <c r="BG87">
        <f>IF(AND($A87&lt;&gt;"",BG$3&gt;=$J87,BG$3&lt;=$M87),1,"")</f>
        <v/>
      </c>
      <c r="BH87">
        <f>IF(AND($A87&lt;&gt;"",BH$3&gt;=$J87,BH$3&lt;=$M87),1,"")</f>
        <v/>
      </c>
      <c r="BI87">
        <f>IF(AND($A87&lt;&gt;"",BI$3&gt;=$J87,BI$3&lt;=$M87),1,"")</f>
        <v/>
      </c>
      <c r="BJ87">
        <f>IF(AND($A87&lt;&gt;"",BJ$3&gt;=$J87,BJ$3&lt;=$M87),1,"")</f>
        <v/>
      </c>
      <c r="BK87">
        <f>IF(AND($A87&lt;&gt;"",BK$3&gt;=$J87,BK$3&lt;=$M87),1,"")</f>
        <v/>
      </c>
      <c r="BL87">
        <f>IF(AND($A87&lt;&gt;"",BL$3&gt;=$J87,BL$3&lt;=$M87),1,"")</f>
        <v/>
      </c>
      <c r="BM87">
        <f>IF(AND($A87&lt;&gt;"",BM$3&gt;=$J87,BM$3&lt;=$M87),1,"")</f>
        <v/>
      </c>
      <c r="BN87">
        <f>IF(AND($A87&lt;&gt;"",BN$3&gt;=$J87,BN$3&lt;=$M87),1,"")</f>
        <v/>
      </c>
      <c r="BO87">
        <f>IF(AND($A87&lt;&gt;"",BO$3&gt;=$J87,BO$3&lt;=$M87),1,"")</f>
        <v/>
      </c>
      <c r="BP87">
        <f>IF(AND($A87&lt;&gt;"",BP$3&gt;=$J87,BP$3&lt;=$M87),1,"")</f>
        <v/>
      </c>
      <c r="BQ87">
        <f>IF(AND($A87&lt;&gt;"",BQ$3&gt;=$J87,BQ$3&lt;=$M87),1,"")</f>
        <v/>
      </c>
      <c r="BR87">
        <f>IF(AND($A87&lt;&gt;"",BR$3&gt;=$J87,BR$3&lt;=$M87),1,"")</f>
        <v/>
      </c>
      <c r="BS87">
        <f>IF(AND($A87&lt;&gt;"",BS$3&gt;=$J87,BS$3&lt;=$M87),1,"")</f>
        <v/>
      </c>
      <c r="BT87">
        <f>IF(AND($A87&lt;&gt;"",BT$3&gt;=$J87,BT$3&lt;=$M87),1,"")</f>
        <v/>
      </c>
      <c r="BU87">
        <f>IF(AND($A87&lt;&gt;"",BU$3&gt;=$J87,BU$3&lt;=$M87),1,"")</f>
        <v/>
      </c>
      <c r="BV87">
        <f>IF(AND($A87&lt;&gt;"",BV$3&gt;=$J87,BV$3&lt;=$M87),1,"")</f>
        <v/>
      </c>
    </row>
    <row r="88">
      <c r="A88">
        <f>IF(Job_Master_Ring!$A88="","",Job_Master_Ring!$A88)</f>
        <v/>
      </c>
      <c r="B88">
        <f>IF($A88="","",Job_Master_Ring!B88)</f>
        <v/>
      </c>
      <c r="C88">
        <f>IF($A88="","",Job_Master_Ring!C88)</f>
        <v/>
      </c>
      <c r="D88">
        <f>IF($A88="","",Job_Master_Ring!D88)</f>
        <v/>
      </c>
      <c r="E88">
        <f>IF($A88="","",IF($I88&lt;&gt;"",$I88,IFERROR(INDEX(Machine_List!$B$64:$B$71,MATCH(1,(Machine_List!$H$64:$H$71&lt;=IFERROR(VLOOKUP($B88,CHOOSE(MATCH($C88,Settings!$L$4:$L$10,0),OPR_BR1!$A$4:$K$18,OPR_BR2!$A$4:$K$18,OPR_CR2!$A$4:$K$18,OPR_CR3!$A$4:$K$18,OPR_CR4!$A$4:$K$18,OPR_RIM!$A$4:$K$18,OPR_BPR!$A$4:$K$18),10,0),0))*(Machine_List!$I$64:$I$71&gt;=IFERROR(VLOOKUP($B88,CHOOSE(MATCH($C88,Settings!$L$4:$L$10,0),OPR_BR1!$A$4:$K$18,OPR_BR2!$A$4:$K$18,OPR_CR2!$A$4:$K$18,OPR_CR3!$A$4:$K$18,OPR_CR4!$A$4:$K$18,OPR_RIM!$A$4:$K$18,OPR_BPR!$A$4:$K$18),11,0),9999)),0)),"NO COMPATIBLE MACHINE")))</f>
        <v/>
      </c>
      <c r="F88">
        <f>IF($E88="","",IFERROR(VLOOKUP($E88,Machine_List!$B:$G,6,0),""))</f>
        <v/>
      </c>
      <c r="G88" s="17">
        <f>IF($E88="","",IFERROR(VLOOKUP($E88,Machine_List!$B:$C,2,0),""))</f>
        <v/>
      </c>
      <c r="H88">
        <f>IF($E88="","",IFERROR(VLOOKUP($E88,Machine_List!$B:$D,3,0),""))</f>
        <v/>
      </c>
      <c r="J88" s="16">
        <f>IF($A88="","",IF($I88&lt;&gt;"",$I88,MAX(ENG_Plan!$M88,IFERROR(LOOKUP(2,1/($E$3:INDIRECT("E"&amp;(ROW()-1))=$E88),$M$3:INDIRECT("M"&amp;(ROW()-1))),ENG_Plan!$M88))))</f>
        <v/>
      </c>
      <c r="K88">
        <f>IF($A88="","",IFERROR(VLOOKUP(B88,CHOOSE(MATCH($C88,Settings!$L$4:$L$10,0),OPR_BR1!$A$4:$I$18,OPR_BR2!$A$4:$I$18,OPR_CR2!$A$4:$I$18,OPR_CR3!$A$4:$I$18,OPR_CR4!$A$4:$I$18,OPR_RIM!$A$4:$I$18,OPR_BPR!$A$4:$I$18),7,0),0))</f>
        <v/>
      </c>
      <c r="L88">
        <f>IF($A88="","",K88*D88)</f>
        <v/>
      </c>
      <c r="M88" s="16">
        <f>IF($A88="","",IF(AND(ISNUMBER(G88),G88&gt;=J88,G88&lt;=(J88+(L88/(IF(F88="Contract Workman",Settings!$K$5,Settings!$K$4))))),J88+(L88/(IF(F88="Contract Workman",Settings!$K$5,Settings!$K$4)))+(H88/(IF(F88="Contract Workman",Settings!$K$5,Settings!$K$4))),J88+(L88/(IF(F88="Contract Workman",Settings!$K$5,Settings!$K$4)))))</f>
        <v/>
      </c>
      <c r="N88">
        <f>IF($A88="","",IF(F88="Contract Workman",IF(AND(MOD(M88,1)&gt;=8/24,MOD(M88,1)&lt;20/24),"Shift S1","Shift S2"),IF(AND(MOD(M88,1)&gt;=7/24,MOD(M88,1)&lt;15/24),"Shift A",IF(AND(MOD(M88,1)&gt;=15/24,MOD(M88,1)&lt;23/24),"Shift B","Shift C"))))</f>
        <v/>
      </c>
      <c r="O88">
        <f>IF(B88="","",IF(IFERROR(ISNUMBER(SEARCH(TEXT(B88,"0"),VLOOKUP(E88,Machine_List!$B:$J,9,0))),FALSE),"✅ "&amp; E88,"❌ Sug: "&amp;IFERROR(INDEX(Machine_List!$B$64:$B$71,MATCH(1,(Machine_List!$H$64:$H$71&lt;=IFERROR(VLOOKUP($B88,OPR_BR1!$A$4:$K$18,10,0),0))*(Machine_List!$I$64:$I$71&gt;=IFERROR(VLOOKUP($B88,OPR_BR1!$A$4:$K$18,11,0),9999)),0)),"?")))</f>
        <v/>
      </c>
      <c r="P88">
        <f>IF(AND($A88&lt;&gt;"",P$3&gt;=$J88,P$3&lt;=$M88),1,"")</f>
        <v/>
      </c>
      <c r="Q88">
        <f>IF(AND($A88&lt;&gt;"",Q$3&gt;=$J88,Q$3&lt;=$M88),1,"")</f>
        <v/>
      </c>
      <c r="R88">
        <f>IF(AND($A88&lt;&gt;"",R$3&gt;=$J88,R$3&lt;=$M88),1,"")</f>
        <v/>
      </c>
      <c r="S88">
        <f>IF(AND($A88&lt;&gt;"",S$3&gt;=$J88,S$3&lt;=$M88),1,"")</f>
        <v/>
      </c>
      <c r="T88">
        <f>IF(AND($A88&lt;&gt;"",T$3&gt;=$J88,T$3&lt;=$M88),1,"")</f>
        <v/>
      </c>
      <c r="U88">
        <f>IF(AND($A88&lt;&gt;"",U$3&gt;=$J88,U$3&lt;=$M88),1,"")</f>
        <v/>
      </c>
      <c r="V88">
        <f>IF(AND($A88&lt;&gt;"",V$3&gt;=$J88,V$3&lt;=$M88),1,"")</f>
        <v/>
      </c>
      <c r="W88">
        <f>IF(AND($A88&lt;&gt;"",W$3&gt;=$J88,W$3&lt;=$M88),1,"")</f>
        <v/>
      </c>
      <c r="X88">
        <f>IF(AND($A88&lt;&gt;"",X$3&gt;=$J88,X$3&lt;=$M88),1,"")</f>
        <v/>
      </c>
      <c r="Y88">
        <f>IF(AND($A88&lt;&gt;"",Y$3&gt;=$J88,Y$3&lt;=$M88),1,"")</f>
        <v/>
      </c>
      <c r="Z88">
        <f>IF(AND($A88&lt;&gt;"",Z$3&gt;=$J88,Z$3&lt;=$M88),1,"")</f>
        <v/>
      </c>
      <c r="AA88">
        <f>IF(AND($A88&lt;&gt;"",AA$3&gt;=$J88,AA$3&lt;=$M88),1,"")</f>
        <v/>
      </c>
      <c r="AB88">
        <f>IF(AND($A88&lt;&gt;"",AB$3&gt;=$J88,AB$3&lt;=$M88),1,"")</f>
        <v/>
      </c>
      <c r="AC88">
        <f>IF(AND($A88&lt;&gt;"",AC$3&gt;=$J88,AC$3&lt;=$M88),1,"")</f>
        <v/>
      </c>
      <c r="AD88">
        <f>IF(AND($A88&lt;&gt;"",AD$3&gt;=$J88,AD$3&lt;=$M88),1,"")</f>
        <v/>
      </c>
      <c r="AE88">
        <f>IF(AND($A88&lt;&gt;"",AE$3&gt;=$J88,AE$3&lt;=$M88),1,"")</f>
        <v/>
      </c>
      <c r="AF88">
        <f>IF(AND($A88&lt;&gt;"",AF$3&gt;=$J88,AF$3&lt;=$M88),1,"")</f>
        <v/>
      </c>
      <c r="AG88">
        <f>IF(AND($A88&lt;&gt;"",AG$3&gt;=$J88,AG$3&lt;=$M88),1,"")</f>
        <v/>
      </c>
      <c r="AH88">
        <f>IF(AND($A88&lt;&gt;"",AH$3&gt;=$J88,AH$3&lt;=$M88),1,"")</f>
        <v/>
      </c>
      <c r="AI88">
        <f>IF(AND($A88&lt;&gt;"",AI$3&gt;=$J88,AI$3&lt;=$M88),1,"")</f>
        <v/>
      </c>
      <c r="AJ88">
        <f>IF(AND($A88&lt;&gt;"",AJ$3&gt;=$J88,AJ$3&lt;=$M88),1,"")</f>
        <v/>
      </c>
      <c r="AK88">
        <f>IF(AND($A88&lt;&gt;"",AK$3&gt;=$J88,AK$3&lt;=$M88),1,"")</f>
        <v/>
      </c>
      <c r="AL88">
        <f>IF(AND($A88&lt;&gt;"",AL$3&gt;=$J88,AL$3&lt;=$M88),1,"")</f>
        <v/>
      </c>
      <c r="AM88">
        <f>IF(AND($A88&lt;&gt;"",AM$3&gt;=$J88,AM$3&lt;=$M88),1,"")</f>
        <v/>
      </c>
      <c r="AN88">
        <f>IF(AND($A88&lt;&gt;"",AN$3&gt;=$J88,AN$3&lt;=$M88),1,"")</f>
        <v/>
      </c>
      <c r="AO88">
        <f>IF(AND($A88&lt;&gt;"",AO$3&gt;=$J88,AO$3&lt;=$M88),1,"")</f>
        <v/>
      </c>
      <c r="AP88">
        <f>IF(AND($A88&lt;&gt;"",AP$3&gt;=$J88,AP$3&lt;=$M88),1,"")</f>
        <v/>
      </c>
      <c r="AQ88">
        <f>IF(AND($A88&lt;&gt;"",AQ$3&gt;=$J88,AQ$3&lt;=$M88),1,"")</f>
        <v/>
      </c>
      <c r="AR88">
        <f>IF(AND($A88&lt;&gt;"",AR$3&gt;=$J88,AR$3&lt;=$M88),1,"")</f>
        <v/>
      </c>
      <c r="AS88">
        <f>IF(AND($A88&lt;&gt;"",AS$3&gt;=$J88,AS$3&lt;=$M88),1,"")</f>
        <v/>
      </c>
      <c r="AT88">
        <f>IF(AND($A88&lt;&gt;"",AT$3&gt;=$J88,AT$3&lt;=$M88),1,"")</f>
        <v/>
      </c>
      <c r="AU88">
        <f>IF(AND($A88&lt;&gt;"",AU$3&gt;=$J88,AU$3&lt;=$M88),1,"")</f>
        <v/>
      </c>
      <c r="AV88">
        <f>IF(AND($A88&lt;&gt;"",AV$3&gt;=$J88,AV$3&lt;=$M88),1,"")</f>
        <v/>
      </c>
      <c r="AW88">
        <f>IF(AND($A88&lt;&gt;"",AW$3&gt;=$J88,AW$3&lt;=$M88),1,"")</f>
        <v/>
      </c>
      <c r="AX88">
        <f>IF(AND($A88&lt;&gt;"",AX$3&gt;=$J88,AX$3&lt;=$M88),1,"")</f>
        <v/>
      </c>
      <c r="AY88">
        <f>IF(AND($A88&lt;&gt;"",AY$3&gt;=$J88,AY$3&lt;=$M88),1,"")</f>
        <v/>
      </c>
      <c r="AZ88">
        <f>IF(AND($A88&lt;&gt;"",AZ$3&gt;=$J88,AZ$3&lt;=$M88),1,"")</f>
        <v/>
      </c>
      <c r="BA88">
        <f>IF(AND($A88&lt;&gt;"",BA$3&gt;=$J88,BA$3&lt;=$M88),1,"")</f>
        <v/>
      </c>
      <c r="BB88">
        <f>IF(AND($A88&lt;&gt;"",BB$3&gt;=$J88,BB$3&lt;=$M88),1,"")</f>
        <v/>
      </c>
      <c r="BC88">
        <f>IF(AND($A88&lt;&gt;"",BC$3&gt;=$J88,BC$3&lt;=$M88),1,"")</f>
        <v/>
      </c>
      <c r="BD88">
        <f>IF(AND($A88&lt;&gt;"",BD$3&gt;=$J88,BD$3&lt;=$M88),1,"")</f>
        <v/>
      </c>
      <c r="BE88">
        <f>IF(AND($A88&lt;&gt;"",BE$3&gt;=$J88,BE$3&lt;=$M88),1,"")</f>
        <v/>
      </c>
      <c r="BF88">
        <f>IF(AND($A88&lt;&gt;"",BF$3&gt;=$J88,BF$3&lt;=$M88),1,"")</f>
        <v/>
      </c>
      <c r="BG88">
        <f>IF(AND($A88&lt;&gt;"",BG$3&gt;=$J88,BG$3&lt;=$M88),1,"")</f>
        <v/>
      </c>
      <c r="BH88">
        <f>IF(AND($A88&lt;&gt;"",BH$3&gt;=$J88,BH$3&lt;=$M88),1,"")</f>
        <v/>
      </c>
      <c r="BI88">
        <f>IF(AND($A88&lt;&gt;"",BI$3&gt;=$J88,BI$3&lt;=$M88),1,"")</f>
        <v/>
      </c>
      <c r="BJ88">
        <f>IF(AND($A88&lt;&gt;"",BJ$3&gt;=$J88,BJ$3&lt;=$M88),1,"")</f>
        <v/>
      </c>
      <c r="BK88">
        <f>IF(AND($A88&lt;&gt;"",BK$3&gt;=$J88,BK$3&lt;=$M88),1,"")</f>
        <v/>
      </c>
      <c r="BL88">
        <f>IF(AND($A88&lt;&gt;"",BL$3&gt;=$J88,BL$3&lt;=$M88),1,"")</f>
        <v/>
      </c>
      <c r="BM88">
        <f>IF(AND($A88&lt;&gt;"",BM$3&gt;=$J88,BM$3&lt;=$M88),1,"")</f>
        <v/>
      </c>
      <c r="BN88">
        <f>IF(AND($A88&lt;&gt;"",BN$3&gt;=$J88,BN$3&lt;=$M88),1,"")</f>
        <v/>
      </c>
      <c r="BO88">
        <f>IF(AND($A88&lt;&gt;"",BO$3&gt;=$J88,BO$3&lt;=$M88),1,"")</f>
        <v/>
      </c>
      <c r="BP88">
        <f>IF(AND($A88&lt;&gt;"",BP$3&gt;=$J88,BP$3&lt;=$M88),1,"")</f>
        <v/>
      </c>
      <c r="BQ88">
        <f>IF(AND($A88&lt;&gt;"",BQ$3&gt;=$J88,BQ$3&lt;=$M88),1,"")</f>
        <v/>
      </c>
      <c r="BR88">
        <f>IF(AND($A88&lt;&gt;"",BR$3&gt;=$J88,BR$3&lt;=$M88),1,"")</f>
        <v/>
      </c>
      <c r="BS88">
        <f>IF(AND($A88&lt;&gt;"",BS$3&gt;=$J88,BS$3&lt;=$M88),1,"")</f>
        <v/>
      </c>
      <c r="BT88">
        <f>IF(AND($A88&lt;&gt;"",BT$3&gt;=$J88,BT$3&lt;=$M88),1,"")</f>
        <v/>
      </c>
      <c r="BU88">
        <f>IF(AND($A88&lt;&gt;"",BU$3&gt;=$J88,BU$3&lt;=$M88),1,"")</f>
        <v/>
      </c>
      <c r="BV88">
        <f>IF(AND($A88&lt;&gt;"",BV$3&gt;=$J88,BV$3&lt;=$M88),1,"")</f>
        <v/>
      </c>
    </row>
    <row r="89">
      <c r="A89">
        <f>IF(Job_Master_Ring!$A89="","",Job_Master_Ring!$A89)</f>
        <v/>
      </c>
      <c r="B89">
        <f>IF($A89="","",Job_Master_Ring!B89)</f>
        <v/>
      </c>
      <c r="C89">
        <f>IF($A89="","",Job_Master_Ring!C89)</f>
        <v/>
      </c>
      <c r="D89">
        <f>IF($A89="","",Job_Master_Ring!D89)</f>
        <v/>
      </c>
      <c r="E89">
        <f>IF($A89="","",IF($I89&lt;&gt;"",$I89,IFERROR(INDEX(Machine_List!$B$64:$B$71,MATCH(1,(Machine_List!$H$64:$H$71&lt;=IFERROR(VLOOKUP($B89,CHOOSE(MATCH($C89,Settings!$L$4:$L$10,0),OPR_BR1!$A$4:$K$18,OPR_BR2!$A$4:$K$18,OPR_CR2!$A$4:$K$18,OPR_CR3!$A$4:$K$18,OPR_CR4!$A$4:$K$18,OPR_RIM!$A$4:$K$18,OPR_BPR!$A$4:$K$18),10,0),0))*(Machine_List!$I$64:$I$71&gt;=IFERROR(VLOOKUP($B89,CHOOSE(MATCH($C89,Settings!$L$4:$L$10,0),OPR_BR1!$A$4:$K$18,OPR_BR2!$A$4:$K$18,OPR_CR2!$A$4:$K$18,OPR_CR3!$A$4:$K$18,OPR_CR4!$A$4:$K$18,OPR_RIM!$A$4:$K$18,OPR_BPR!$A$4:$K$18),11,0),9999)),0)),"NO COMPATIBLE MACHINE")))</f>
        <v/>
      </c>
      <c r="F89">
        <f>IF($E89="","",IFERROR(VLOOKUP($E89,Machine_List!$B:$G,6,0),""))</f>
        <v/>
      </c>
      <c r="G89" s="17">
        <f>IF($E89="","",IFERROR(VLOOKUP($E89,Machine_List!$B:$C,2,0),""))</f>
        <v/>
      </c>
      <c r="H89">
        <f>IF($E89="","",IFERROR(VLOOKUP($E89,Machine_List!$B:$D,3,0),""))</f>
        <v/>
      </c>
      <c r="J89" s="16">
        <f>IF($A89="","",IF($I89&lt;&gt;"",$I89,MAX(ENG_Plan!$M89,IFERROR(LOOKUP(2,1/($E$3:INDIRECT("E"&amp;(ROW()-1))=$E89),$M$3:INDIRECT("M"&amp;(ROW()-1))),ENG_Plan!$M89))))</f>
        <v/>
      </c>
      <c r="K89">
        <f>IF($A89="","",IFERROR(VLOOKUP(B89,CHOOSE(MATCH($C89,Settings!$L$4:$L$10,0),OPR_BR1!$A$4:$I$18,OPR_BR2!$A$4:$I$18,OPR_CR2!$A$4:$I$18,OPR_CR3!$A$4:$I$18,OPR_CR4!$A$4:$I$18,OPR_RIM!$A$4:$I$18,OPR_BPR!$A$4:$I$18),7,0),0))</f>
        <v/>
      </c>
      <c r="L89">
        <f>IF($A89="","",K89*D89)</f>
        <v/>
      </c>
      <c r="M89" s="16">
        <f>IF($A89="","",IF(AND(ISNUMBER(G89),G89&gt;=J89,G89&lt;=(J89+(L89/(IF(F89="Contract Workman",Settings!$K$5,Settings!$K$4))))),J89+(L89/(IF(F89="Contract Workman",Settings!$K$5,Settings!$K$4)))+(H89/(IF(F89="Contract Workman",Settings!$K$5,Settings!$K$4))),J89+(L89/(IF(F89="Contract Workman",Settings!$K$5,Settings!$K$4)))))</f>
        <v/>
      </c>
      <c r="N89">
        <f>IF($A89="","",IF(F89="Contract Workman",IF(AND(MOD(M89,1)&gt;=8/24,MOD(M89,1)&lt;20/24),"Shift S1","Shift S2"),IF(AND(MOD(M89,1)&gt;=7/24,MOD(M89,1)&lt;15/24),"Shift A",IF(AND(MOD(M89,1)&gt;=15/24,MOD(M89,1)&lt;23/24),"Shift B","Shift C"))))</f>
        <v/>
      </c>
      <c r="O89">
        <f>IF(B89="","",IF(IFERROR(ISNUMBER(SEARCH(TEXT(B89,"0"),VLOOKUP(E89,Machine_List!$B:$J,9,0))),FALSE),"✅ "&amp; E89,"❌ Sug: "&amp;IFERROR(INDEX(Machine_List!$B$64:$B$71,MATCH(1,(Machine_List!$H$64:$H$71&lt;=IFERROR(VLOOKUP($B89,OPR_BR1!$A$4:$K$18,10,0),0))*(Machine_List!$I$64:$I$71&gt;=IFERROR(VLOOKUP($B89,OPR_BR1!$A$4:$K$18,11,0),9999)),0)),"?")))</f>
        <v/>
      </c>
      <c r="P89">
        <f>IF(AND($A89&lt;&gt;"",P$3&gt;=$J89,P$3&lt;=$M89),1,"")</f>
        <v/>
      </c>
      <c r="Q89">
        <f>IF(AND($A89&lt;&gt;"",Q$3&gt;=$J89,Q$3&lt;=$M89),1,"")</f>
        <v/>
      </c>
      <c r="R89">
        <f>IF(AND($A89&lt;&gt;"",R$3&gt;=$J89,R$3&lt;=$M89),1,"")</f>
        <v/>
      </c>
      <c r="S89">
        <f>IF(AND($A89&lt;&gt;"",S$3&gt;=$J89,S$3&lt;=$M89),1,"")</f>
        <v/>
      </c>
      <c r="T89">
        <f>IF(AND($A89&lt;&gt;"",T$3&gt;=$J89,T$3&lt;=$M89),1,"")</f>
        <v/>
      </c>
      <c r="U89">
        <f>IF(AND($A89&lt;&gt;"",U$3&gt;=$J89,U$3&lt;=$M89),1,"")</f>
        <v/>
      </c>
      <c r="V89">
        <f>IF(AND($A89&lt;&gt;"",V$3&gt;=$J89,V$3&lt;=$M89),1,"")</f>
        <v/>
      </c>
      <c r="W89">
        <f>IF(AND($A89&lt;&gt;"",W$3&gt;=$J89,W$3&lt;=$M89),1,"")</f>
        <v/>
      </c>
      <c r="X89">
        <f>IF(AND($A89&lt;&gt;"",X$3&gt;=$J89,X$3&lt;=$M89),1,"")</f>
        <v/>
      </c>
      <c r="Y89">
        <f>IF(AND($A89&lt;&gt;"",Y$3&gt;=$J89,Y$3&lt;=$M89),1,"")</f>
        <v/>
      </c>
      <c r="Z89">
        <f>IF(AND($A89&lt;&gt;"",Z$3&gt;=$J89,Z$3&lt;=$M89),1,"")</f>
        <v/>
      </c>
      <c r="AA89">
        <f>IF(AND($A89&lt;&gt;"",AA$3&gt;=$J89,AA$3&lt;=$M89),1,"")</f>
        <v/>
      </c>
      <c r="AB89">
        <f>IF(AND($A89&lt;&gt;"",AB$3&gt;=$J89,AB$3&lt;=$M89),1,"")</f>
        <v/>
      </c>
      <c r="AC89">
        <f>IF(AND($A89&lt;&gt;"",AC$3&gt;=$J89,AC$3&lt;=$M89),1,"")</f>
        <v/>
      </c>
      <c r="AD89">
        <f>IF(AND($A89&lt;&gt;"",AD$3&gt;=$J89,AD$3&lt;=$M89),1,"")</f>
        <v/>
      </c>
      <c r="AE89">
        <f>IF(AND($A89&lt;&gt;"",AE$3&gt;=$J89,AE$3&lt;=$M89),1,"")</f>
        <v/>
      </c>
      <c r="AF89">
        <f>IF(AND($A89&lt;&gt;"",AF$3&gt;=$J89,AF$3&lt;=$M89),1,"")</f>
        <v/>
      </c>
      <c r="AG89">
        <f>IF(AND($A89&lt;&gt;"",AG$3&gt;=$J89,AG$3&lt;=$M89),1,"")</f>
        <v/>
      </c>
      <c r="AH89">
        <f>IF(AND($A89&lt;&gt;"",AH$3&gt;=$J89,AH$3&lt;=$M89),1,"")</f>
        <v/>
      </c>
      <c r="AI89">
        <f>IF(AND($A89&lt;&gt;"",AI$3&gt;=$J89,AI$3&lt;=$M89),1,"")</f>
        <v/>
      </c>
      <c r="AJ89">
        <f>IF(AND($A89&lt;&gt;"",AJ$3&gt;=$J89,AJ$3&lt;=$M89),1,"")</f>
        <v/>
      </c>
      <c r="AK89">
        <f>IF(AND($A89&lt;&gt;"",AK$3&gt;=$J89,AK$3&lt;=$M89),1,"")</f>
        <v/>
      </c>
      <c r="AL89">
        <f>IF(AND($A89&lt;&gt;"",AL$3&gt;=$J89,AL$3&lt;=$M89),1,"")</f>
        <v/>
      </c>
      <c r="AM89">
        <f>IF(AND($A89&lt;&gt;"",AM$3&gt;=$J89,AM$3&lt;=$M89),1,"")</f>
        <v/>
      </c>
      <c r="AN89">
        <f>IF(AND($A89&lt;&gt;"",AN$3&gt;=$J89,AN$3&lt;=$M89),1,"")</f>
        <v/>
      </c>
      <c r="AO89">
        <f>IF(AND($A89&lt;&gt;"",AO$3&gt;=$J89,AO$3&lt;=$M89),1,"")</f>
        <v/>
      </c>
      <c r="AP89">
        <f>IF(AND($A89&lt;&gt;"",AP$3&gt;=$J89,AP$3&lt;=$M89),1,"")</f>
        <v/>
      </c>
      <c r="AQ89">
        <f>IF(AND($A89&lt;&gt;"",AQ$3&gt;=$J89,AQ$3&lt;=$M89),1,"")</f>
        <v/>
      </c>
      <c r="AR89">
        <f>IF(AND($A89&lt;&gt;"",AR$3&gt;=$J89,AR$3&lt;=$M89),1,"")</f>
        <v/>
      </c>
      <c r="AS89">
        <f>IF(AND($A89&lt;&gt;"",AS$3&gt;=$J89,AS$3&lt;=$M89),1,"")</f>
        <v/>
      </c>
      <c r="AT89">
        <f>IF(AND($A89&lt;&gt;"",AT$3&gt;=$J89,AT$3&lt;=$M89),1,"")</f>
        <v/>
      </c>
      <c r="AU89">
        <f>IF(AND($A89&lt;&gt;"",AU$3&gt;=$J89,AU$3&lt;=$M89),1,"")</f>
        <v/>
      </c>
      <c r="AV89">
        <f>IF(AND($A89&lt;&gt;"",AV$3&gt;=$J89,AV$3&lt;=$M89),1,"")</f>
        <v/>
      </c>
      <c r="AW89">
        <f>IF(AND($A89&lt;&gt;"",AW$3&gt;=$J89,AW$3&lt;=$M89),1,"")</f>
        <v/>
      </c>
      <c r="AX89">
        <f>IF(AND($A89&lt;&gt;"",AX$3&gt;=$J89,AX$3&lt;=$M89),1,"")</f>
        <v/>
      </c>
      <c r="AY89">
        <f>IF(AND($A89&lt;&gt;"",AY$3&gt;=$J89,AY$3&lt;=$M89),1,"")</f>
        <v/>
      </c>
      <c r="AZ89">
        <f>IF(AND($A89&lt;&gt;"",AZ$3&gt;=$J89,AZ$3&lt;=$M89),1,"")</f>
        <v/>
      </c>
      <c r="BA89">
        <f>IF(AND($A89&lt;&gt;"",BA$3&gt;=$J89,BA$3&lt;=$M89),1,"")</f>
        <v/>
      </c>
      <c r="BB89">
        <f>IF(AND($A89&lt;&gt;"",BB$3&gt;=$J89,BB$3&lt;=$M89),1,"")</f>
        <v/>
      </c>
      <c r="BC89">
        <f>IF(AND($A89&lt;&gt;"",BC$3&gt;=$J89,BC$3&lt;=$M89),1,"")</f>
        <v/>
      </c>
      <c r="BD89">
        <f>IF(AND($A89&lt;&gt;"",BD$3&gt;=$J89,BD$3&lt;=$M89),1,"")</f>
        <v/>
      </c>
      <c r="BE89">
        <f>IF(AND($A89&lt;&gt;"",BE$3&gt;=$J89,BE$3&lt;=$M89),1,"")</f>
        <v/>
      </c>
      <c r="BF89">
        <f>IF(AND($A89&lt;&gt;"",BF$3&gt;=$J89,BF$3&lt;=$M89),1,"")</f>
        <v/>
      </c>
      <c r="BG89">
        <f>IF(AND($A89&lt;&gt;"",BG$3&gt;=$J89,BG$3&lt;=$M89),1,"")</f>
        <v/>
      </c>
      <c r="BH89">
        <f>IF(AND($A89&lt;&gt;"",BH$3&gt;=$J89,BH$3&lt;=$M89),1,"")</f>
        <v/>
      </c>
      <c r="BI89">
        <f>IF(AND($A89&lt;&gt;"",BI$3&gt;=$J89,BI$3&lt;=$M89),1,"")</f>
        <v/>
      </c>
      <c r="BJ89">
        <f>IF(AND($A89&lt;&gt;"",BJ$3&gt;=$J89,BJ$3&lt;=$M89),1,"")</f>
        <v/>
      </c>
      <c r="BK89">
        <f>IF(AND($A89&lt;&gt;"",BK$3&gt;=$J89,BK$3&lt;=$M89),1,"")</f>
        <v/>
      </c>
      <c r="BL89">
        <f>IF(AND($A89&lt;&gt;"",BL$3&gt;=$J89,BL$3&lt;=$M89),1,"")</f>
        <v/>
      </c>
      <c r="BM89">
        <f>IF(AND($A89&lt;&gt;"",BM$3&gt;=$J89,BM$3&lt;=$M89),1,"")</f>
        <v/>
      </c>
      <c r="BN89">
        <f>IF(AND($A89&lt;&gt;"",BN$3&gt;=$J89,BN$3&lt;=$M89),1,"")</f>
        <v/>
      </c>
      <c r="BO89">
        <f>IF(AND($A89&lt;&gt;"",BO$3&gt;=$J89,BO$3&lt;=$M89),1,"")</f>
        <v/>
      </c>
      <c r="BP89">
        <f>IF(AND($A89&lt;&gt;"",BP$3&gt;=$J89,BP$3&lt;=$M89),1,"")</f>
        <v/>
      </c>
      <c r="BQ89">
        <f>IF(AND($A89&lt;&gt;"",BQ$3&gt;=$J89,BQ$3&lt;=$M89),1,"")</f>
        <v/>
      </c>
      <c r="BR89">
        <f>IF(AND($A89&lt;&gt;"",BR$3&gt;=$J89,BR$3&lt;=$M89),1,"")</f>
        <v/>
      </c>
      <c r="BS89">
        <f>IF(AND($A89&lt;&gt;"",BS$3&gt;=$J89,BS$3&lt;=$M89),1,"")</f>
        <v/>
      </c>
      <c r="BT89">
        <f>IF(AND($A89&lt;&gt;"",BT$3&gt;=$J89,BT$3&lt;=$M89),1,"")</f>
        <v/>
      </c>
      <c r="BU89">
        <f>IF(AND($A89&lt;&gt;"",BU$3&gt;=$J89,BU$3&lt;=$M89),1,"")</f>
        <v/>
      </c>
      <c r="BV89">
        <f>IF(AND($A89&lt;&gt;"",BV$3&gt;=$J89,BV$3&lt;=$M89),1,"")</f>
        <v/>
      </c>
    </row>
    <row r="90">
      <c r="A90">
        <f>IF(Job_Master_Ring!$A90="","",Job_Master_Ring!$A90)</f>
        <v/>
      </c>
      <c r="B90">
        <f>IF($A90="","",Job_Master_Ring!B90)</f>
        <v/>
      </c>
      <c r="C90">
        <f>IF($A90="","",Job_Master_Ring!C90)</f>
        <v/>
      </c>
      <c r="D90">
        <f>IF($A90="","",Job_Master_Ring!D90)</f>
        <v/>
      </c>
      <c r="E90">
        <f>IF($A90="","",IF($I90&lt;&gt;"",$I90,IFERROR(INDEX(Machine_List!$B$64:$B$71,MATCH(1,(Machine_List!$H$64:$H$71&lt;=IFERROR(VLOOKUP($B90,CHOOSE(MATCH($C90,Settings!$L$4:$L$10,0),OPR_BR1!$A$4:$K$18,OPR_BR2!$A$4:$K$18,OPR_CR2!$A$4:$K$18,OPR_CR3!$A$4:$K$18,OPR_CR4!$A$4:$K$18,OPR_RIM!$A$4:$K$18,OPR_BPR!$A$4:$K$18),10,0),0))*(Machine_List!$I$64:$I$71&gt;=IFERROR(VLOOKUP($B90,CHOOSE(MATCH($C90,Settings!$L$4:$L$10,0),OPR_BR1!$A$4:$K$18,OPR_BR2!$A$4:$K$18,OPR_CR2!$A$4:$K$18,OPR_CR3!$A$4:$K$18,OPR_CR4!$A$4:$K$18,OPR_RIM!$A$4:$K$18,OPR_BPR!$A$4:$K$18),11,0),9999)),0)),"NO COMPATIBLE MACHINE")))</f>
        <v/>
      </c>
      <c r="F90">
        <f>IF($E90="","",IFERROR(VLOOKUP($E90,Machine_List!$B:$G,6,0),""))</f>
        <v/>
      </c>
      <c r="G90" s="17">
        <f>IF($E90="","",IFERROR(VLOOKUP($E90,Machine_List!$B:$C,2,0),""))</f>
        <v/>
      </c>
      <c r="H90">
        <f>IF($E90="","",IFERROR(VLOOKUP($E90,Machine_List!$B:$D,3,0),""))</f>
        <v/>
      </c>
      <c r="J90" s="16">
        <f>IF($A90="","",IF($I90&lt;&gt;"",$I90,MAX(ENG_Plan!$M90,IFERROR(LOOKUP(2,1/($E$3:INDIRECT("E"&amp;(ROW()-1))=$E90),$M$3:INDIRECT("M"&amp;(ROW()-1))),ENG_Plan!$M90))))</f>
        <v/>
      </c>
      <c r="K90">
        <f>IF($A90="","",IFERROR(VLOOKUP(B90,CHOOSE(MATCH($C90,Settings!$L$4:$L$10,0),OPR_BR1!$A$4:$I$18,OPR_BR2!$A$4:$I$18,OPR_CR2!$A$4:$I$18,OPR_CR3!$A$4:$I$18,OPR_CR4!$A$4:$I$18,OPR_RIM!$A$4:$I$18,OPR_BPR!$A$4:$I$18),7,0),0))</f>
        <v/>
      </c>
      <c r="L90">
        <f>IF($A90="","",K90*D90)</f>
        <v/>
      </c>
      <c r="M90" s="16">
        <f>IF($A90="","",IF(AND(ISNUMBER(G90),G90&gt;=J90,G90&lt;=(J90+(L90/(IF(F90="Contract Workman",Settings!$K$5,Settings!$K$4))))),J90+(L90/(IF(F90="Contract Workman",Settings!$K$5,Settings!$K$4)))+(H90/(IF(F90="Contract Workman",Settings!$K$5,Settings!$K$4))),J90+(L90/(IF(F90="Contract Workman",Settings!$K$5,Settings!$K$4)))))</f>
        <v/>
      </c>
      <c r="N90">
        <f>IF($A90="","",IF(F90="Contract Workman",IF(AND(MOD(M90,1)&gt;=8/24,MOD(M90,1)&lt;20/24),"Shift S1","Shift S2"),IF(AND(MOD(M90,1)&gt;=7/24,MOD(M90,1)&lt;15/24),"Shift A",IF(AND(MOD(M90,1)&gt;=15/24,MOD(M90,1)&lt;23/24),"Shift B","Shift C"))))</f>
        <v/>
      </c>
      <c r="O90">
        <f>IF(B90="","",IF(IFERROR(ISNUMBER(SEARCH(TEXT(B90,"0"),VLOOKUP(E90,Machine_List!$B:$J,9,0))),FALSE),"✅ "&amp; E90,"❌ Sug: "&amp;IFERROR(INDEX(Machine_List!$B$64:$B$71,MATCH(1,(Machine_List!$H$64:$H$71&lt;=IFERROR(VLOOKUP($B90,OPR_BR1!$A$4:$K$18,10,0),0))*(Machine_List!$I$64:$I$71&gt;=IFERROR(VLOOKUP($B90,OPR_BR1!$A$4:$K$18,11,0),9999)),0)),"?")))</f>
        <v/>
      </c>
      <c r="P90">
        <f>IF(AND($A90&lt;&gt;"",P$3&gt;=$J90,P$3&lt;=$M90),1,"")</f>
        <v/>
      </c>
      <c r="Q90">
        <f>IF(AND($A90&lt;&gt;"",Q$3&gt;=$J90,Q$3&lt;=$M90),1,"")</f>
        <v/>
      </c>
      <c r="R90">
        <f>IF(AND($A90&lt;&gt;"",R$3&gt;=$J90,R$3&lt;=$M90),1,"")</f>
        <v/>
      </c>
      <c r="S90">
        <f>IF(AND($A90&lt;&gt;"",S$3&gt;=$J90,S$3&lt;=$M90),1,"")</f>
        <v/>
      </c>
      <c r="T90">
        <f>IF(AND($A90&lt;&gt;"",T$3&gt;=$J90,T$3&lt;=$M90),1,"")</f>
        <v/>
      </c>
      <c r="U90">
        <f>IF(AND($A90&lt;&gt;"",U$3&gt;=$J90,U$3&lt;=$M90),1,"")</f>
        <v/>
      </c>
      <c r="V90">
        <f>IF(AND($A90&lt;&gt;"",V$3&gt;=$J90,V$3&lt;=$M90),1,"")</f>
        <v/>
      </c>
      <c r="W90">
        <f>IF(AND($A90&lt;&gt;"",W$3&gt;=$J90,W$3&lt;=$M90),1,"")</f>
        <v/>
      </c>
      <c r="X90">
        <f>IF(AND($A90&lt;&gt;"",X$3&gt;=$J90,X$3&lt;=$M90),1,"")</f>
        <v/>
      </c>
      <c r="Y90">
        <f>IF(AND($A90&lt;&gt;"",Y$3&gt;=$J90,Y$3&lt;=$M90),1,"")</f>
        <v/>
      </c>
      <c r="Z90">
        <f>IF(AND($A90&lt;&gt;"",Z$3&gt;=$J90,Z$3&lt;=$M90),1,"")</f>
        <v/>
      </c>
      <c r="AA90">
        <f>IF(AND($A90&lt;&gt;"",AA$3&gt;=$J90,AA$3&lt;=$M90),1,"")</f>
        <v/>
      </c>
      <c r="AB90">
        <f>IF(AND($A90&lt;&gt;"",AB$3&gt;=$J90,AB$3&lt;=$M90),1,"")</f>
        <v/>
      </c>
      <c r="AC90">
        <f>IF(AND($A90&lt;&gt;"",AC$3&gt;=$J90,AC$3&lt;=$M90),1,"")</f>
        <v/>
      </c>
      <c r="AD90">
        <f>IF(AND($A90&lt;&gt;"",AD$3&gt;=$J90,AD$3&lt;=$M90),1,"")</f>
        <v/>
      </c>
      <c r="AE90">
        <f>IF(AND($A90&lt;&gt;"",AE$3&gt;=$J90,AE$3&lt;=$M90),1,"")</f>
        <v/>
      </c>
      <c r="AF90">
        <f>IF(AND($A90&lt;&gt;"",AF$3&gt;=$J90,AF$3&lt;=$M90),1,"")</f>
        <v/>
      </c>
      <c r="AG90">
        <f>IF(AND($A90&lt;&gt;"",AG$3&gt;=$J90,AG$3&lt;=$M90),1,"")</f>
        <v/>
      </c>
      <c r="AH90">
        <f>IF(AND($A90&lt;&gt;"",AH$3&gt;=$J90,AH$3&lt;=$M90),1,"")</f>
        <v/>
      </c>
      <c r="AI90">
        <f>IF(AND($A90&lt;&gt;"",AI$3&gt;=$J90,AI$3&lt;=$M90),1,"")</f>
        <v/>
      </c>
      <c r="AJ90">
        <f>IF(AND($A90&lt;&gt;"",AJ$3&gt;=$J90,AJ$3&lt;=$M90),1,"")</f>
        <v/>
      </c>
      <c r="AK90">
        <f>IF(AND($A90&lt;&gt;"",AK$3&gt;=$J90,AK$3&lt;=$M90),1,"")</f>
        <v/>
      </c>
      <c r="AL90">
        <f>IF(AND($A90&lt;&gt;"",AL$3&gt;=$J90,AL$3&lt;=$M90),1,"")</f>
        <v/>
      </c>
      <c r="AM90">
        <f>IF(AND($A90&lt;&gt;"",AM$3&gt;=$J90,AM$3&lt;=$M90),1,"")</f>
        <v/>
      </c>
      <c r="AN90">
        <f>IF(AND($A90&lt;&gt;"",AN$3&gt;=$J90,AN$3&lt;=$M90),1,"")</f>
        <v/>
      </c>
      <c r="AO90">
        <f>IF(AND($A90&lt;&gt;"",AO$3&gt;=$J90,AO$3&lt;=$M90),1,"")</f>
        <v/>
      </c>
      <c r="AP90">
        <f>IF(AND($A90&lt;&gt;"",AP$3&gt;=$J90,AP$3&lt;=$M90),1,"")</f>
        <v/>
      </c>
      <c r="AQ90">
        <f>IF(AND($A90&lt;&gt;"",AQ$3&gt;=$J90,AQ$3&lt;=$M90),1,"")</f>
        <v/>
      </c>
      <c r="AR90">
        <f>IF(AND($A90&lt;&gt;"",AR$3&gt;=$J90,AR$3&lt;=$M90),1,"")</f>
        <v/>
      </c>
      <c r="AS90">
        <f>IF(AND($A90&lt;&gt;"",AS$3&gt;=$J90,AS$3&lt;=$M90),1,"")</f>
        <v/>
      </c>
      <c r="AT90">
        <f>IF(AND($A90&lt;&gt;"",AT$3&gt;=$J90,AT$3&lt;=$M90),1,"")</f>
        <v/>
      </c>
      <c r="AU90">
        <f>IF(AND($A90&lt;&gt;"",AU$3&gt;=$J90,AU$3&lt;=$M90),1,"")</f>
        <v/>
      </c>
      <c r="AV90">
        <f>IF(AND($A90&lt;&gt;"",AV$3&gt;=$J90,AV$3&lt;=$M90),1,"")</f>
        <v/>
      </c>
      <c r="AW90">
        <f>IF(AND($A90&lt;&gt;"",AW$3&gt;=$J90,AW$3&lt;=$M90),1,"")</f>
        <v/>
      </c>
      <c r="AX90">
        <f>IF(AND($A90&lt;&gt;"",AX$3&gt;=$J90,AX$3&lt;=$M90),1,"")</f>
        <v/>
      </c>
      <c r="AY90">
        <f>IF(AND($A90&lt;&gt;"",AY$3&gt;=$J90,AY$3&lt;=$M90),1,"")</f>
        <v/>
      </c>
      <c r="AZ90">
        <f>IF(AND($A90&lt;&gt;"",AZ$3&gt;=$J90,AZ$3&lt;=$M90),1,"")</f>
        <v/>
      </c>
      <c r="BA90">
        <f>IF(AND($A90&lt;&gt;"",BA$3&gt;=$J90,BA$3&lt;=$M90),1,"")</f>
        <v/>
      </c>
      <c r="BB90">
        <f>IF(AND($A90&lt;&gt;"",BB$3&gt;=$J90,BB$3&lt;=$M90),1,"")</f>
        <v/>
      </c>
      <c r="BC90">
        <f>IF(AND($A90&lt;&gt;"",BC$3&gt;=$J90,BC$3&lt;=$M90),1,"")</f>
        <v/>
      </c>
      <c r="BD90">
        <f>IF(AND($A90&lt;&gt;"",BD$3&gt;=$J90,BD$3&lt;=$M90),1,"")</f>
        <v/>
      </c>
      <c r="BE90">
        <f>IF(AND($A90&lt;&gt;"",BE$3&gt;=$J90,BE$3&lt;=$M90),1,"")</f>
        <v/>
      </c>
      <c r="BF90">
        <f>IF(AND($A90&lt;&gt;"",BF$3&gt;=$J90,BF$3&lt;=$M90),1,"")</f>
        <v/>
      </c>
      <c r="BG90">
        <f>IF(AND($A90&lt;&gt;"",BG$3&gt;=$J90,BG$3&lt;=$M90),1,"")</f>
        <v/>
      </c>
      <c r="BH90">
        <f>IF(AND($A90&lt;&gt;"",BH$3&gt;=$J90,BH$3&lt;=$M90),1,"")</f>
        <v/>
      </c>
      <c r="BI90">
        <f>IF(AND($A90&lt;&gt;"",BI$3&gt;=$J90,BI$3&lt;=$M90),1,"")</f>
        <v/>
      </c>
      <c r="BJ90">
        <f>IF(AND($A90&lt;&gt;"",BJ$3&gt;=$J90,BJ$3&lt;=$M90),1,"")</f>
        <v/>
      </c>
      <c r="BK90">
        <f>IF(AND($A90&lt;&gt;"",BK$3&gt;=$J90,BK$3&lt;=$M90),1,"")</f>
        <v/>
      </c>
      <c r="BL90">
        <f>IF(AND($A90&lt;&gt;"",BL$3&gt;=$J90,BL$3&lt;=$M90),1,"")</f>
        <v/>
      </c>
      <c r="BM90">
        <f>IF(AND($A90&lt;&gt;"",BM$3&gt;=$J90,BM$3&lt;=$M90),1,"")</f>
        <v/>
      </c>
      <c r="BN90">
        <f>IF(AND($A90&lt;&gt;"",BN$3&gt;=$J90,BN$3&lt;=$M90),1,"")</f>
        <v/>
      </c>
      <c r="BO90">
        <f>IF(AND($A90&lt;&gt;"",BO$3&gt;=$J90,BO$3&lt;=$M90),1,"")</f>
        <v/>
      </c>
      <c r="BP90">
        <f>IF(AND($A90&lt;&gt;"",BP$3&gt;=$J90,BP$3&lt;=$M90),1,"")</f>
        <v/>
      </c>
      <c r="BQ90">
        <f>IF(AND($A90&lt;&gt;"",BQ$3&gt;=$J90,BQ$3&lt;=$M90),1,"")</f>
        <v/>
      </c>
      <c r="BR90">
        <f>IF(AND($A90&lt;&gt;"",BR$3&gt;=$J90,BR$3&lt;=$M90),1,"")</f>
        <v/>
      </c>
      <c r="BS90">
        <f>IF(AND($A90&lt;&gt;"",BS$3&gt;=$J90,BS$3&lt;=$M90),1,"")</f>
        <v/>
      </c>
      <c r="BT90">
        <f>IF(AND($A90&lt;&gt;"",BT$3&gt;=$J90,BT$3&lt;=$M90),1,"")</f>
        <v/>
      </c>
      <c r="BU90">
        <f>IF(AND($A90&lt;&gt;"",BU$3&gt;=$J90,BU$3&lt;=$M90),1,"")</f>
        <v/>
      </c>
      <c r="BV90">
        <f>IF(AND($A90&lt;&gt;"",BV$3&gt;=$J90,BV$3&lt;=$M90),1,"")</f>
        <v/>
      </c>
    </row>
    <row r="91">
      <c r="A91">
        <f>IF(Job_Master_Ring!$A91="","",Job_Master_Ring!$A91)</f>
        <v/>
      </c>
      <c r="B91">
        <f>IF($A91="","",Job_Master_Ring!B91)</f>
        <v/>
      </c>
      <c r="C91">
        <f>IF($A91="","",Job_Master_Ring!C91)</f>
        <v/>
      </c>
      <c r="D91">
        <f>IF($A91="","",Job_Master_Ring!D91)</f>
        <v/>
      </c>
      <c r="E91">
        <f>IF($A91="","",IF($I91&lt;&gt;"",$I91,IFERROR(INDEX(Machine_List!$B$64:$B$71,MATCH(1,(Machine_List!$H$64:$H$71&lt;=IFERROR(VLOOKUP($B91,CHOOSE(MATCH($C91,Settings!$L$4:$L$10,0),OPR_BR1!$A$4:$K$18,OPR_BR2!$A$4:$K$18,OPR_CR2!$A$4:$K$18,OPR_CR3!$A$4:$K$18,OPR_CR4!$A$4:$K$18,OPR_RIM!$A$4:$K$18,OPR_BPR!$A$4:$K$18),10,0),0))*(Machine_List!$I$64:$I$71&gt;=IFERROR(VLOOKUP($B91,CHOOSE(MATCH($C91,Settings!$L$4:$L$10,0),OPR_BR1!$A$4:$K$18,OPR_BR2!$A$4:$K$18,OPR_CR2!$A$4:$K$18,OPR_CR3!$A$4:$K$18,OPR_CR4!$A$4:$K$18,OPR_RIM!$A$4:$K$18,OPR_BPR!$A$4:$K$18),11,0),9999)),0)),"NO COMPATIBLE MACHINE")))</f>
        <v/>
      </c>
      <c r="F91">
        <f>IF($E91="","",IFERROR(VLOOKUP($E91,Machine_List!$B:$G,6,0),""))</f>
        <v/>
      </c>
      <c r="G91" s="17">
        <f>IF($E91="","",IFERROR(VLOOKUP($E91,Machine_List!$B:$C,2,0),""))</f>
        <v/>
      </c>
      <c r="H91">
        <f>IF($E91="","",IFERROR(VLOOKUP($E91,Machine_List!$B:$D,3,0),""))</f>
        <v/>
      </c>
      <c r="J91" s="16">
        <f>IF($A91="","",IF($I91&lt;&gt;"",$I91,MAX(ENG_Plan!$M91,IFERROR(LOOKUP(2,1/($E$3:INDIRECT("E"&amp;(ROW()-1))=$E91),$M$3:INDIRECT("M"&amp;(ROW()-1))),ENG_Plan!$M91))))</f>
        <v/>
      </c>
      <c r="K91">
        <f>IF($A91="","",IFERROR(VLOOKUP(B91,CHOOSE(MATCH($C91,Settings!$L$4:$L$10,0),OPR_BR1!$A$4:$I$18,OPR_BR2!$A$4:$I$18,OPR_CR2!$A$4:$I$18,OPR_CR3!$A$4:$I$18,OPR_CR4!$A$4:$I$18,OPR_RIM!$A$4:$I$18,OPR_BPR!$A$4:$I$18),7,0),0))</f>
        <v/>
      </c>
      <c r="L91">
        <f>IF($A91="","",K91*D91)</f>
        <v/>
      </c>
      <c r="M91" s="16">
        <f>IF($A91="","",IF(AND(ISNUMBER(G91),G91&gt;=J91,G91&lt;=(J91+(L91/(IF(F91="Contract Workman",Settings!$K$5,Settings!$K$4))))),J91+(L91/(IF(F91="Contract Workman",Settings!$K$5,Settings!$K$4)))+(H91/(IF(F91="Contract Workman",Settings!$K$5,Settings!$K$4))),J91+(L91/(IF(F91="Contract Workman",Settings!$K$5,Settings!$K$4)))))</f>
        <v/>
      </c>
      <c r="N91">
        <f>IF($A91="","",IF(F91="Contract Workman",IF(AND(MOD(M91,1)&gt;=8/24,MOD(M91,1)&lt;20/24),"Shift S1","Shift S2"),IF(AND(MOD(M91,1)&gt;=7/24,MOD(M91,1)&lt;15/24),"Shift A",IF(AND(MOD(M91,1)&gt;=15/24,MOD(M91,1)&lt;23/24),"Shift B","Shift C"))))</f>
        <v/>
      </c>
      <c r="O91">
        <f>IF(B91="","",IF(IFERROR(ISNUMBER(SEARCH(TEXT(B91,"0"),VLOOKUP(E91,Machine_List!$B:$J,9,0))),FALSE),"✅ "&amp; E91,"❌ Sug: "&amp;IFERROR(INDEX(Machine_List!$B$64:$B$71,MATCH(1,(Machine_List!$H$64:$H$71&lt;=IFERROR(VLOOKUP($B91,OPR_BR1!$A$4:$K$18,10,0),0))*(Machine_List!$I$64:$I$71&gt;=IFERROR(VLOOKUP($B91,OPR_BR1!$A$4:$K$18,11,0),9999)),0)),"?")))</f>
        <v/>
      </c>
      <c r="P91">
        <f>IF(AND($A91&lt;&gt;"",P$3&gt;=$J91,P$3&lt;=$M91),1,"")</f>
        <v/>
      </c>
      <c r="Q91">
        <f>IF(AND($A91&lt;&gt;"",Q$3&gt;=$J91,Q$3&lt;=$M91),1,"")</f>
        <v/>
      </c>
      <c r="R91">
        <f>IF(AND($A91&lt;&gt;"",R$3&gt;=$J91,R$3&lt;=$M91),1,"")</f>
        <v/>
      </c>
      <c r="S91">
        <f>IF(AND($A91&lt;&gt;"",S$3&gt;=$J91,S$3&lt;=$M91),1,"")</f>
        <v/>
      </c>
      <c r="T91">
        <f>IF(AND($A91&lt;&gt;"",T$3&gt;=$J91,T$3&lt;=$M91),1,"")</f>
        <v/>
      </c>
      <c r="U91">
        <f>IF(AND($A91&lt;&gt;"",U$3&gt;=$J91,U$3&lt;=$M91),1,"")</f>
        <v/>
      </c>
      <c r="V91">
        <f>IF(AND($A91&lt;&gt;"",V$3&gt;=$J91,V$3&lt;=$M91),1,"")</f>
        <v/>
      </c>
      <c r="W91">
        <f>IF(AND($A91&lt;&gt;"",W$3&gt;=$J91,W$3&lt;=$M91),1,"")</f>
        <v/>
      </c>
      <c r="X91">
        <f>IF(AND($A91&lt;&gt;"",X$3&gt;=$J91,X$3&lt;=$M91),1,"")</f>
        <v/>
      </c>
      <c r="Y91">
        <f>IF(AND($A91&lt;&gt;"",Y$3&gt;=$J91,Y$3&lt;=$M91),1,"")</f>
        <v/>
      </c>
      <c r="Z91">
        <f>IF(AND($A91&lt;&gt;"",Z$3&gt;=$J91,Z$3&lt;=$M91),1,"")</f>
        <v/>
      </c>
      <c r="AA91">
        <f>IF(AND($A91&lt;&gt;"",AA$3&gt;=$J91,AA$3&lt;=$M91),1,"")</f>
        <v/>
      </c>
      <c r="AB91">
        <f>IF(AND($A91&lt;&gt;"",AB$3&gt;=$J91,AB$3&lt;=$M91),1,"")</f>
        <v/>
      </c>
      <c r="AC91">
        <f>IF(AND($A91&lt;&gt;"",AC$3&gt;=$J91,AC$3&lt;=$M91),1,"")</f>
        <v/>
      </c>
      <c r="AD91">
        <f>IF(AND($A91&lt;&gt;"",AD$3&gt;=$J91,AD$3&lt;=$M91),1,"")</f>
        <v/>
      </c>
      <c r="AE91">
        <f>IF(AND($A91&lt;&gt;"",AE$3&gt;=$J91,AE$3&lt;=$M91),1,"")</f>
        <v/>
      </c>
      <c r="AF91">
        <f>IF(AND($A91&lt;&gt;"",AF$3&gt;=$J91,AF$3&lt;=$M91),1,"")</f>
        <v/>
      </c>
      <c r="AG91">
        <f>IF(AND($A91&lt;&gt;"",AG$3&gt;=$J91,AG$3&lt;=$M91),1,"")</f>
        <v/>
      </c>
      <c r="AH91">
        <f>IF(AND($A91&lt;&gt;"",AH$3&gt;=$J91,AH$3&lt;=$M91),1,"")</f>
        <v/>
      </c>
      <c r="AI91">
        <f>IF(AND($A91&lt;&gt;"",AI$3&gt;=$J91,AI$3&lt;=$M91),1,"")</f>
        <v/>
      </c>
      <c r="AJ91">
        <f>IF(AND($A91&lt;&gt;"",AJ$3&gt;=$J91,AJ$3&lt;=$M91),1,"")</f>
        <v/>
      </c>
      <c r="AK91">
        <f>IF(AND($A91&lt;&gt;"",AK$3&gt;=$J91,AK$3&lt;=$M91),1,"")</f>
        <v/>
      </c>
      <c r="AL91">
        <f>IF(AND($A91&lt;&gt;"",AL$3&gt;=$J91,AL$3&lt;=$M91),1,"")</f>
        <v/>
      </c>
      <c r="AM91">
        <f>IF(AND($A91&lt;&gt;"",AM$3&gt;=$J91,AM$3&lt;=$M91),1,"")</f>
        <v/>
      </c>
      <c r="AN91">
        <f>IF(AND($A91&lt;&gt;"",AN$3&gt;=$J91,AN$3&lt;=$M91),1,"")</f>
        <v/>
      </c>
      <c r="AO91">
        <f>IF(AND($A91&lt;&gt;"",AO$3&gt;=$J91,AO$3&lt;=$M91),1,"")</f>
        <v/>
      </c>
      <c r="AP91">
        <f>IF(AND($A91&lt;&gt;"",AP$3&gt;=$J91,AP$3&lt;=$M91),1,"")</f>
        <v/>
      </c>
      <c r="AQ91">
        <f>IF(AND($A91&lt;&gt;"",AQ$3&gt;=$J91,AQ$3&lt;=$M91),1,"")</f>
        <v/>
      </c>
      <c r="AR91">
        <f>IF(AND($A91&lt;&gt;"",AR$3&gt;=$J91,AR$3&lt;=$M91),1,"")</f>
        <v/>
      </c>
      <c r="AS91">
        <f>IF(AND($A91&lt;&gt;"",AS$3&gt;=$J91,AS$3&lt;=$M91),1,"")</f>
        <v/>
      </c>
      <c r="AT91">
        <f>IF(AND($A91&lt;&gt;"",AT$3&gt;=$J91,AT$3&lt;=$M91),1,"")</f>
        <v/>
      </c>
      <c r="AU91">
        <f>IF(AND($A91&lt;&gt;"",AU$3&gt;=$J91,AU$3&lt;=$M91),1,"")</f>
        <v/>
      </c>
      <c r="AV91">
        <f>IF(AND($A91&lt;&gt;"",AV$3&gt;=$J91,AV$3&lt;=$M91),1,"")</f>
        <v/>
      </c>
      <c r="AW91">
        <f>IF(AND($A91&lt;&gt;"",AW$3&gt;=$J91,AW$3&lt;=$M91),1,"")</f>
        <v/>
      </c>
      <c r="AX91">
        <f>IF(AND($A91&lt;&gt;"",AX$3&gt;=$J91,AX$3&lt;=$M91),1,"")</f>
        <v/>
      </c>
      <c r="AY91">
        <f>IF(AND($A91&lt;&gt;"",AY$3&gt;=$J91,AY$3&lt;=$M91),1,"")</f>
        <v/>
      </c>
      <c r="AZ91">
        <f>IF(AND($A91&lt;&gt;"",AZ$3&gt;=$J91,AZ$3&lt;=$M91),1,"")</f>
        <v/>
      </c>
      <c r="BA91">
        <f>IF(AND($A91&lt;&gt;"",BA$3&gt;=$J91,BA$3&lt;=$M91),1,"")</f>
        <v/>
      </c>
      <c r="BB91">
        <f>IF(AND($A91&lt;&gt;"",BB$3&gt;=$J91,BB$3&lt;=$M91),1,"")</f>
        <v/>
      </c>
      <c r="BC91">
        <f>IF(AND($A91&lt;&gt;"",BC$3&gt;=$J91,BC$3&lt;=$M91),1,"")</f>
        <v/>
      </c>
      <c r="BD91">
        <f>IF(AND($A91&lt;&gt;"",BD$3&gt;=$J91,BD$3&lt;=$M91),1,"")</f>
        <v/>
      </c>
      <c r="BE91">
        <f>IF(AND($A91&lt;&gt;"",BE$3&gt;=$J91,BE$3&lt;=$M91),1,"")</f>
        <v/>
      </c>
      <c r="BF91">
        <f>IF(AND($A91&lt;&gt;"",BF$3&gt;=$J91,BF$3&lt;=$M91),1,"")</f>
        <v/>
      </c>
      <c r="BG91">
        <f>IF(AND($A91&lt;&gt;"",BG$3&gt;=$J91,BG$3&lt;=$M91),1,"")</f>
        <v/>
      </c>
      <c r="BH91">
        <f>IF(AND($A91&lt;&gt;"",BH$3&gt;=$J91,BH$3&lt;=$M91),1,"")</f>
        <v/>
      </c>
      <c r="BI91">
        <f>IF(AND($A91&lt;&gt;"",BI$3&gt;=$J91,BI$3&lt;=$M91),1,"")</f>
        <v/>
      </c>
      <c r="BJ91">
        <f>IF(AND($A91&lt;&gt;"",BJ$3&gt;=$J91,BJ$3&lt;=$M91),1,"")</f>
        <v/>
      </c>
      <c r="BK91">
        <f>IF(AND($A91&lt;&gt;"",BK$3&gt;=$J91,BK$3&lt;=$M91),1,"")</f>
        <v/>
      </c>
      <c r="BL91">
        <f>IF(AND($A91&lt;&gt;"",BL$3&gt;=$J91,BL$3&lt;=$M91),1,"")</f>
        <v/>
      </c>
      <c r="BM91">
        <f>IF(AND($A91&lt;&gt;"",BM$3&gt;=$J91,BM$3&lt;=$M91),1,"")</f>
        <v/>
      </c>
      <c r="BN91">
        <f>IF(AND($A91&lt;&gt;"",BN$3&gt;=$J91,BN$3&lt;=$M91),1,"")</f>
        <v/>
      </c>
      <c r="BO91">
        <f>IF(AND($A91&lt;&gt;"",BO$3&gt;=$J91,BO$3&lt;=$M91),1,"")</f>
        <v/>
      </c>
      <c r="BP91">
        <f>IF(AND($A91&lt;&gt;"",BP$3&gt;=$J91,BP$3&lt;=$M91),1,"")</f>
        <v/>
      </c>
      <c r="BQ91">
        <f>IF(AND($A91&lt;&gt;"",BQ$3&gt;=$J91,BQ$3&lt;=$M91),1,"")</f>
        <v/>
      </c>
      <c r="BR91">
        <f>IF(AND($A91&lt;&gt;"",BR$3&gt;=$J91,BR$3&lt;=$M91),1,"")</f>
        <v/>
      </c>
      <c r="BS91">
        <f>IF(AND($A91&lt;&gt;"",BS$3&gt;=$J91,BS$3&lt;=$M91),1,"")</f>
        <v/>
      </c>
      <c r="BT91">
        <f>IF(AND($A91&lt;&gt;"",BT$3&gt;=$J91,BT$3&lt;=$M91),1,"")</f>
        <v/>
      </c>
      <c r="BU91">
        <f>IF(AND($A91&lt;&gt;"",BU$3&gt;=$J91,BU$3&lt;=$M91),1,"")</f>
        <v/>
      </c>
      <c r="BV91">
        <f>IF(AND($A91&lt;&gt;"",BV$3&gt;=$J91,BV$3&lt;=$M91),1,"")</f>
        <v/>
      </c>
    </row>
    <row r="92">
      <c r="A92">
        <f>IF(Job_Master_Ring!$A92="","",Job_Master_Ring!$A92)</f>
        <v/>
      </c>
      <c r="B92">
        <f>IF($A92="","",Job_Master_Ring!B92)</f>
        <v/>
      </c>
      <c r="C92">
        <f>IF($A92="","",Job_Master_Ring!C92)</f>
        <v/>
      </c>
      <c r="D92">
        <f>IF($A92="","",Job_Master_Ring!D92)</f>
        <v/>
      </c>
      <c r="E92">
        <f>IF($A92="","",IF($I92&lt;&gt;"",$I92,IFERROR(INDEX(Machine_List!$B$64:$B$71,MATCH(1,(Machine_List!$H$64:$H$71&lt;=IFERROR(VLOOKUP($B92,CHOOSE(MATCH($C92,Settings!$L$4:$L$10,0),OPR_BR1!$A$4:$K$18,OPR_BR2!$A$4:$K$18,OPR_CR2!$A$4:$K$18,OPR_CR3!$A$4:$K$18,OPR_CR4!$A$4:$K$18,OPR_RIM!$A$4:$K$18,OPR_BPR!$A$4:$K$18),10,0),0))*(Machine_List!$I$64:$I$71&gt;=IFERROR(VLOOKUP($B92,CHOOSE(MATCH($C92,Settings!$L$4:$L$10,0),OPR_BR1!$A$4:$K$18,OPR_BR2!$A$4:$K$18,OPR_CR2!$A$4:$K$18,OPR_CR3!$A$4:$K$18,OPR_CR4!$A$4:$K$18,OPR_RIM!$A$4:$K$18,OPR_BPR!$A$4:$K$18),11,0),9999)),0)),"NO COMPATIBLE MACHINE")))</f>
        <v/>
      </c>
      <c r="F92">
        <f>IF($E92="","",IFERROR(VLOOKUP($E92,Machine_List!$B:$G,6,0),""))</f>
        <v/>
      </c>
      <c r="G92" s="17">
        <f>IF($E92="","",IFERROR(VLOOKUP($E92,Machine_List!$B:$C,2,0),""))</f>
        <v/>
      </c>
      <c r="H92">
        <f>IF($E92="","",IFERROR(VLOOKUP($E92,Machine_List!$B:$D,3,0),""))</f>
        <v/>
      </c>
      <c r="J92" s="16">
        <f>IF($A92="","",IF($I92&lt;&gt;"",$I92,MAX(ENG_Plan!$M92,IFERROR(LOOKUP(2,1/($E$3:INDIRECT("E"&amp;(ROW()-1))=$E92),$M$3:INDIRECT("M"&amp;(ROW()-1))),ENG_Plan!$M92))))</f>
        <v/>
      </c>
      <c r="K92">
        <f>IF($A92="","",IFERROR(VLOOKUP(B92,CHOOSE(MATCH($C92,Settings!$L$4:$L$10,0),OPR_BR1!$A$4:$I$18,OPR_BR2!$A$4:$I$18,OPR_CR2!$A$4:$I$18,OPR_CR3!$A$4:$I$18,OPR_CR4!$A$4:$I$18,OPR_RIM!$A$4:$I$18,OPR_BPR!$A$4:$I$18),7,0),0))</f>
        <v/>
      </c>
      <c r="L92">
        <f>IF($A92="","",K92*D92)</f>
        <v/>
      </c>
      <c r="M92" s="16">
        <f>IF($A92="","",IF(AND(ISNUMBER(G92),G92&gt;=J92,G92&lt;=(J92+(L92/(IF(F92="Contract Workman",Settings!$K$5,Settings!$K$4))))),J92+(L92/(IF(F92="Contract Workman",Settings!$K$5,Settings!$K$4)))+(H92/(IF(F92="Contract Workman",Settings!$K$5,Settings!$K$4))),J92+(L92/(IF(F92="Contract Workman",Settings!$K$5,Settings!$K$4)))))</f>
        <v/>
      </c>
      <c r="N92">
        <f>IF($A92="","",IF(F92="Contract Workman",IF(AND(MOD(M92,1)&gt;=8/24,MOD(M92,1)&lt;20/24),"Shift S1","Shift S2"),IF(AND(MOD(M92,1)&gt;=7/24,MOD(M92,1)&lt;15/24),"Shift A",IF(AND(MOD(M92,1)&gt;=15/24,MOD(M92,1)&lt;23/24),"Shift B","Shift C"))))</f>
        <v/>
      </c>
      <c r="O92">
        <f>IF(B92="","",IF(IFERROR(ISNUMBER(SEARCH(TEXT(B92,"0"),VLOOKUP(E92,Machine_List!$B:$J,9,0))),FALSE),"✅ "&amp; E92,"❌ Sug: "&amp;IFERROR(INDEX(Machine_List!$B$64:$B$71,MATCH(1,(Machine_List!$H$64:$H$71&lt;=IFERROR(VLOOKUP($B92,OPR_BR1!$A$4:$K$18,10,0),0))*(Machine_List!$I$64:$I$71&gt;=IFERROR(VLOOKUP($B92,OPR_BR1!$A$4:$K$18,11,0),9999)),0)),"?")))</f>
        <v/>
      </c>
      <c r="P92">
        <f>IF(AND($A92&lt;&gt;"",P$3&gt;=$J92,P$3&lt;=$M92),1,"")</f>
        <v/>
      </c>
      <c r="Q92">
        <f>IF(AND($A92&lt;&gt;"",Q$3&gt;=$J92,Q$3&lt;=$M92),1,"")</f>
        <v/>
      </c>
      <c r="R92">
        <f>IF(AND($A92&lt;&gt;"",R$3&gt;=$J92,R$3&lt;=$M92),1,"")</f>
        <v/>
      </c>
      <c r="S92">
        <f>IF(AND($A92&lt;&gt;"",S$3&gt;=$J92,S$3&lt;=$M92),1,"")</f>
        <v/>
      </c>
      <c r="T92">
        <f>IF(AND($A92&lt;&gt;"",T$3&gt;=$J92,T$3&lt;=$M92),1,"")</f>
        <v/>
      </c>
      <c r="U92">
        <f>IF(AND($A92&lt;&gt;"",U$3&gt;=$J92,U$3&lt;=$M92),1,"")</f>
        <v/>
      </c>
      <c r="V92">
        <f>IF(AND($A92&lt;&gt;"",V$3&gt;=$J92,V$3&lt;=$M92),1,"")</f>
        <v/>
      </c>
      <c r="W92">
        <f>IF(AND($A92&lt;&gt;"",W$3&gt;=$J92,W$3&lt;=$M92),1,"")</f>
        <v/>
      </c>
      <c r="X92">
        <f>IF(AND($A92&lt;&gt;"",X$3&gt;=$J92,X$3&lt;=$M92),1,"")</f>
        <v/>
      </c>
      <c r="Y92">
        <f>IF(AND($A92&lt;&gt;"",Y$3&gt;=$J92,Y$3&lt;=$M92),1,"")</f>
        <v/>
      </c>
      <c r="Z92">
        <f>IF(AND($A92&lt;&gt;"",Z$3&gt;=$J92,Z$3&lt;=$M92),1,"")</f>
        <v/>
      </c>
      <c r="AA92">
        <f>IF(AND($A92&lt;&gt;"",AA$3&gt;=$J92,AA$3&lt;=$M92),1,"")</f>
        <v/>
      </c>
      <c r="AB92">
        <f>IF(AND($A92&lt;&gt;"",AB$3&gt;=$J92,AB$3&lt;=$M92),1,"")</f>
        <v/>
      </c>
      <c r="AC92">
        <f>IF(AND($A92&lt;&gt;"",AC$3&gt;=$J92,AC$3&lt;=$M92),1,"")</f>
        <v/>
      </c>
      <c r="AD92">
        <f>IF(AND($A92&lt;&gt;"",AD$3&gt;=$J92,AD$3&lt;=$M92),1,"")</f>
        <v/>
      </c>
      <c r="AE92">
        <f>IF(AND($A92&lt;&gt;"",AE$3&gt;=$J92,AE$3&lt;=$M92),1,"")</f>
        <v/>
      </c>
      <c r="AF92">
        <f>IF(AND($A92&lt;&gt;"",AF$3&gt;=$J92,AF$3&lt;=$M92),1,"")</f>
        <v/>
      </c>
      <c r="AG92">
        <f>IF(AND($A92&lt;&gt;"",AG$3&gt;=$J92,AG$3&lt;=$M92),1,"")</f>
        <v/>
      </c>
      <c r="AH92">
        <f>IF(AND($A92&lt;&gt;"",AH$3&gt;=$J92,AH$3&lt;=$M92),1,"")</f>
        <v/>
      </c>
      <c r="AI92">
        <f>IF(AND($A92&lt;&gt;"",AI$3&gt;=$J92,AI$3&lt;=$M92),1,"")</f>
        <v/>
      </c>
      <c r="AJ92">
        <f>IF(AND($A92&lt;&gt;"",AJ$3&gt;=$J92,AJ$3&lt;=$M92),1,"")</f>
        <v/>
      </c>
      <c r="AK92">
        <f>IF(AND($A92&lt;&gt;"",AK$3&gt;=$J92,AK$3&lt;=$M92),1,"")</f>
        <v/>
      </c>
      <c r="AL92">
        <f>IF(AND($A92&lt;&gt;"",AL$3&gt;=$J92,AL$3&lt;=$M92),1,"")</f>
        <v/>
      </c>
      <c r="AM92">
        <f>IF(AND($A92&lt;&gt;"",AM$3&gt;=$J92,AM$3&lt;=$M92),1,"")</f>
        <v/>
      </c>
      <c r="AN92">
        <f>IF(AND($A92&lt;&gt;"",AN$3&gt;=$J92,AN$3&lt;=$M92),1,"")</f>
        <v/>
      </c>
      <c r="AO92">
        <f>IF(AND($A92&lt;&gt;"",AO$3&gt;=$J92,AO$3&lt;=$M92),1,"")</f>
        <v/>
      </c>
      <c r="AP92">
        <f>IF(AND($A92&lt;&gt;"",AP$3&gt;=$J92,AP$3&lt;=$M92),1,"")</f>
        <v/>
      </c>
      <c r="AQ92">
        <f>IF(AND($A92&lt;&gt;"",AQ$3&gt;=$J92,AQ$3&lt;=$M92),1,"")</f>
        <v/>
      </c>
      <c r="AR92">
        <f>IF(AND($A92&lt;&gt;"",AR$3&gt;=$J92,AR$3&lt;=$M92),1,"")</f>
        <v/>
      </c>
      <c r="AS92">
        <f>IF(AND($A92&lt;&gt;"",AS$3&gt;=$J92,AS$3&lt;=$M92),1,"")</f>
        <v/>
      </c>
      <c r="AT92">
        <f>IF(AND($A92&lt;&gt;"",AT$3&gt;=$J92,AT$3&lt;=$M92),1,"")</f>
        <v/>
      </c>
      <c r="AU92">
        <f>IF(AND($A92&lt;&gt;"",AU$3&gt;=$J92,AU$3&lt;=$M92),1,"")</f>
        <v/>
      </c>
      <c r="AV92">
        <f>IF(AND($A92&lt;&gt;"",AV$3&gt;=$J92,AV$3&lt;=$M92),1,"")</f>
        <v/>
      </c>
      <c r="AW92">
        <f>IF(AND($A92&lt;&gt;"",AW$3&gt;=$J92,AW$3&lt;=$M92),1,"")</f>
        <v/>
      </c>
      <c r="AX92">
        <f>IF(AND($A92&lt;&gt;"",AX$3&gt;=$J92,AX$3&lt;=$M92),1,"")</f>
        <v/>
      </c>
      <c r="AY92">
        <f>IF(AND($A92&lt;&gt;"",AY$3&gt;=$J92,AY$3&lt;=$M92),1,"")</f>
        <v/>
      </c>
      <c r="AZ92">
        <f>IF(AND($A92&lt;&gt;"",AZ$3&gt;=$J92,AZ$3&lt;=$M92),1,"")</f>
        <v/>
      </c>
      <c r="BA92">
        <f>IF(AND($A92&lt;&gt;"",BA$3&gt;=$J92,BA$3&lt;=$M92),1,"")</f>
        <v/>
      </c>
      <c r="BB92">
        <f>IF(AND($A92&lt;&gt;"",BB$3&gt;=$J92,BB$3&lt;=$M92),1,"")</f>
        <v/>
      </c>
      <c r="BC92">
        <f>IF(AND($A92&lt;&gt;"",BC$3&gt;=$J92,BC$3&lt;=$M92),1,"")</f>
        <v/>
      </c>
      <c r="BD92">
        <f>IF(AND($A92&lt;&gt;"",BD$3&gt;=$J92,BD$3&lt;=$M92),1,"")</f>
        <v/>
      </c>
      <c r="BE92">
        <f>IF(AND($A92&lt;&gt;"",BE$3&gt;=$J92,BE$3&lt;=$M92),1,"")</f>
        <v/>
      </c>
      <c r="BF92">
        <f>IF(AND($A92&lt;&gt;"",BF$3&gt;=$J92,BF$3&lt;=$M92),1,"")</f>
        <v/>
      </c>
      <c r="BG92">
        <f>IF(AND($A92&lt;&gt;"",BG$3&gt;=$J92,BG$3&lt;=$M92),1,"")</f>
        <v/>
      </c>
      <c r="BH92">
        <f>IF(AND($A92&lt;&gt;"",BH$3&gt;=$J92,BH$3&lt;=$M92),1,"")</f>
        <v/>
      </c>
      <c r="BI92">
        <f>IF(AND($A92&lt;&gt;"",BI$3&gt;=$J92,BI$3&lt;=$M92),1,"")</f>
        <v/>
      </c>
      <c r="BJ92">
        <f>IF(AND($A92&lt;&gt;"",BJ$3&gt;=$J92,BJ$3&lt;=$M92),1,"")</f>
        <v/>
      </c>
      <c r="BK92">
        <f>IF(AND($A92&lt;&gt;"",BK$3&gt;=$J92,BK$3&lt;=$M92),1,"")</f>
        <v/>
      </c>
      <c r="BL92">
        <f>IF(AND($A92&lt;&gt;"",BL$3&gt;=$J92,BL$3&lt;=$M92),1,"")</f>
        <v/>
      </c>
      <c r="BM92">
        <f>IF(AND($A92&lt;&gt;"",BM$3&gt;=$J92,BM$3&lt;=$M92),1,"")</f>
        <v/>
      </c>
      <c r="BN92">
        <f>IF(AND($A92&lt;&gt;"",BN$3&gt;=$J92,BN$3&lt;=$M92),1,"")</f>
        <v/>
      </c>
      <c r="BO92">
        <f>IF(AND($A92&lt;&gt;"",BO$3&gt;=$J92,BO$3&lt;=$M92),1,"")</f>
        <v/>
      </c>
      <c r="BP92">
        <f>IF(AND($A92&lt;&gt;"",BP$3&gt;=$J92,BP$3&lt;=$M92),1,"")</f>
        <v/>
      </c>
      <c r="BQ92">
        <f>IF(AND($A92&lt;&gt;"",BQ$3&gt;=$J92,BQ$3&lt;=$M92),1,"")</f>
        <v/>
      </c>
      <c r="BR92">
        <f>IF(AND($A92&lt;&gt;"",BR$3&gt;=$J92,BR$3&lt;=$M92),1,"")</f>
        <v/>
      </c>
      <c r="BS92">
        <f>IF(AND($A92&lt;&gt;"",BS$3&gt;=$J92,BS$3&lt;=$M92),1,"")</f>
        <v/>
      </c>
      <c r="BT92">
        <f>IF(AND($A92&lt;&gt;"",BT$3&gt;=$J92,BT$3&lt;=$M92),1,"")</f>
        <v/>
      </c>
      <c r="BU92">
        <f>IF(AND($A92&lt;&gt;"",BU$3&gt;=$J92,BU$3&lt;=$M92),1,"")</f>
        <v/>
      </c>
      <c r="BV92">
        <f>IF(AND($A92&lt;&gt;"",BV$3&gt;=$J92,BV$3&lt;=$M92),1,"")</f>
        <v/>
      </c>
    </row>
    <row r="93">
      <c r="A93">
        <f>IF(Job_Master_Ring!$A93="","",Job_Master_Ring!$A93)</f>
        <v/>
      </c>
      <c r="B93">
        <f>IF($A93="","",Job_Master_Ring!B93)</f>
        <v/>
      </c>
      <c r="C93">
        <f>IF($A93="","",Job_Master_Ring!C93)</f>
        <v/>
      </c>
      <c r="D93">
        <f>IF($A93="","",Job_Master_Ring!D93)</f>
        <v/>
      </c>
      <c r="E93">
        <f>IF($A93="","",IF($I93&lt;&gt;"",$I93,IFERROR(INDEX(Machine_List!$B$64:$B$71,MATCH(1,(Machine_List!$H$64:$H$71&lt;=IFERROR(VLOOKUP($B93,CHOOSE(MATCH($C93,Settings!$L$4:$L$10,0),OPR_BR1!$A$4:$K$18,OPR_BR2!$A$4:$K$18,OPR_CR2!$A$4:$K$18,OPR_CR3!$A$4:$K$18,OPR_CR4!$A$4:$K$18,OPR_RIM!$A$4:$K$18,OPR_BPR!$A$4:$K$18),10,0),0))*(Machine_List!$I$64:$I$71&gt;=IFERROR(VLOOKUP($B93,CHOOSE(MATCH($C93,Settings!$L$4:$L$10,0),OPR_BR1!$A$4:$K$18,OPR_BR2!$A$4:$K$18,OPR_CR2!$A$4:$K$18,OPR_CR3!$A$4:$K$18,OPR_CR4!$A$4:$K$18,OPR_RIM!$A$4:$K$18,OPR_BPR!$A$4:$K$18),11,0),9999)),0)),"NO COMPATIBLE MACHINE")))</f>
        <v/>
      </c>
      <c r="F93">
        <f>IF($E93="","",IFERROR(VLOOKUP($E93,Machine_List!$B:$G,6,0),""))</f>
        <v/>
      </c>
      <c r="G93" s="17">
        <f>IF($E93="","",IFERROR(VLOOKUP($E93,Machine_List!$B:$C,2,0),""))</f>
        <v/>
      </c>
      <c r="H93">
        <f>IF($E93="","",IFERROR(VLOOKUP($E93,Machine_List!$B:$D,3,0),""))</f>
        <v/>
      </c>
      <c r="J93" s="16">
        <f>IF($A93="","",IF($I93&lt;&gt;"",$I93,MAX(ENG_Plan!$M93,IFERROR(LOOKUP(2,1/($E$3:INDIRECT("E"&amp;(ROW()-1))=$E93),$M$3:INDIRECT("M"&amp;(ROW()-1))),ENG_Plan!$M93))))</f>
        <v/>
      </c>
      <c r="K93">
        <f>IF($A93="","",IFERROR(VLOOKUP(B93,CHOOSE(MATCH($C93,Settings!$L$4:$L$10,0),OPR_BR1!$A$4:$I$18,OPR_BR2!$A$4:$I$18,OPR_CR2!$A$4:$I$18,OPR_CR3!$A$4:$I$18,OPR_CR4!$A$4:$I$18,OPR_RIM!$A$4:$I$18,OPR_BPR!$A$4:$I$18),7,0),0))</f>
        <v/>
      </c>
      <c r="L93">
        <f>IF($A93="","",K93*D93)</f>
        <v/>
      </c>
      <c r="M93" s="16">
        <f>IF($A93="","",IF(AND(ISNUMBER(G93),G93&gt;=J93,G93&lt;=(J93+(L93/(IF(F93="Contract Workman",Settings!$K$5,Settings!$K$4))))),J93+(L93/(IF(F93="Contract Workman",Settings!$K$5,Settings!$K$4)))+(H93/(IF(F93="Contract Workman",Settings!$K$5,Settings!$K$4))),J93+(L93/(IF(F93="Contract Workman",Settings!$K$5,Settings!$K$4)))))</f>
        <v/>
      </c>
      <c r="N93">
        <f>IF($A93="","",IF(F93="Contract Workman",IF(AND(MOD(M93,1)&gt;=8/24,MOD(M93,1)&lt;20/24),"Shift S1","Shift S2"),IF(AND(MOD(M93,1)&gt;=7/24,MOD(M93,1)&lt;15/24),"Shift A",IF(AND(MOD(M93,1)&gt;=15/24,MOD(M93,1)&lt;23/24),"Shift B","Shift C"))))</f>
        <v/>
      </c>
      <c r="O93">
        <f>IF(B93="","",IF(IFERROR(ISNUMBER(SEARCH(TEXT(B93,"0"),VLOOKUP(E93,Machine_List!$B:$J,9,0))),FALSE),"✅ "&amp; E93,"❌ Sug: "&amp;IFERROR(INDEX(Machine_List!$B$64:$B$71,MATCH(1,(Machine_List!$H$64:$H$71&lt;=IFERROR(VLOOKUP($B93,OPR_BR1!$A$4:$K$18,10,0),0))*(Machine_List!$I$64:$I$71&gt;=IFERROR(VLOOKUP($B93,OPR_BR1!$A$4:$K$18,11,0),9999)),0)),"?")))</f>
        <v/>
      </c>
      <c r="P93">
        <f>IF(AND($A93&lt;&gt;"",P$3&gt;=$J93,P$3&lt;=$M93),1,"")</f>
        <v/>
      </c>
      <c r="Q93">
        <f>IF(AND($A93&lt;&gt;"",Q$3&gt;=$J93,Q$3&lt;=$M93),1,"")</f>
        <v/>
      </c>
      <c r="R93">
        <f>IF(AND($A93&lt;&gt;"",R$3&gt;=$J93,R$3&lt;=$M93),1,"")</f>
        <v/>
      </c>
      <c r="S93">
        <f>IF(AND($A93&lt;&gt;"",S$3&gt;=$J93,S$3&lt;=$M93),1,"")</f>
        <v/>
      </c>
      <c r="T93">
        <f>IF(AND($A93&lt;&gt;"",T$3&gt;=$J93,T$3&lt;=$M93),1,"")</f>
        <v/>
      </c>
      <c r="U93">
        <f>IF(AND($A93&lt;&gt;"",U$3&gt;=$J93,U$3&lt;=$M93),1,"")</f>
        <v/>
      </c>
      <c r="V93">
        <f>IF(AND($A93&lt;&gt;"",V$3&gt;=$J93,V$3&lt;=$M93),1,"")</f>
        <v/>
      </c>
      <c r="W93">
        <f>IF(AND($A93&lt;&gt;"",W$3&gt;=$J93,W$3&lt;=$M93),1,"")</f>
        <v/>
      </c>
      <c r="X93">
        <f>IF(AND($A93&lt;&gt;"",X$3&gt;=$J93,X$3&lt;=$M93),1,"")</f>
        <v/>
      </c>
      <c r="Y93">
        <f>IF(AND($A93&lt;&gt;"",Y$3&gt;=$J93,Y$3&lt;=$M93),1,"")</f>
        <v/>
      </c>
      <c r="Z93">
        <f>IF(AND($A93&lt;&gt;"",Z$3&gt;=$J93,Z$3&lt;=$M93),1,"")</f>
        <v/>
      </c>
      <c r="AA93">
        <f>IF(AND($A93&lt;&gt;"",AA$3&gt;=$J93,AA$3&lt;=$M93),1,"")</f>
        <v/>
      </c>
      <c r="AB93">
        <f>IF(AND($A93&lt;&gt;"",AB$3&gt;=$J93,AB$3&lt;=$M93),1,"")</f>
        <v/>
      </c>
      <c r="AC93">
        <f>IF(AND($A93&lt;&gt;"",AC$3&gt;=$J93,AC$3&lt;=$M93),1,"")</f>
        <v/>
      </c>
      <c r="AD93">
        <f>IF(AND($A93&lt;&gt;"",AD$3&gt;=$J93,AD$3&lt;=$M93),1,"")</f>
        <v/>
      </c>
      <c r="AE93">
        <f>IF(AND($A93&lt;&gt;"",AE$3&gt;=$J93,AE$3&lt;=$M93),1,"")</f>
        <v/>
      </c>
      <c r="AF93">
        <f>IF(AND($A93&lt;&gt;"",AF$3&gt;=$J93,AF$3&lt;=$M93),1,"")</f>
        <v/>
      </c>
      <c r="AG93">
        <f>IF(AND($A93&lt;&gt;"",AG$3&gt;=$J93,AG$3&lt;=$M93),1,"")</f>
        <v/>
      </c>
      <c r="AH93">
        <f>IF(AND($A93&lt;&gt;"",AH$3&gt;=$J93,AH$3&lt;=$M93),1,"")</f>
        <v/>
      </c>
      <c r="AI93">
        <f>IF(AND($A93&lt;&gt;"",AI$3&gt;=$J93,AI$3&lt;=$M93),1,"")</f>
        <v/>
      </c>
      <c r="AJ93">
        <f>IF(AND($A93&lt;&gt;"",AJ$3&gt;=$J93,AJ$3&lt;=$M93),1,"")</f>
        <v/>
      </c>
      <c r="AK93">
        <f>IF(AND($A93&lt;&gt;"",AK$3&gt;=$J93,AK$3&lt;=$M93),1,"")</f>
        <v/>
      </c>
      <c r="AL93">
        <f>IF(AND($A93&lt;&gt;"",AL$3&gt;=$J93,AL$3&lt;=$M93),1,"")</f>
        <v/>
      </c>
      <c r="AM93">
        <f>IF(AND($A93&lt;&gt;"",AM$3&gt;=$J93,AM$3&lt;=$M93),1,"")</f>
        <v/>
      </c>
      <c r="AN93">
        <f>IF(AND($A93&lt;&gt;"",AN$3&gt;=$J93,AN$3&lt;=$M93),1,"")</f>
        <v/>
      </c>
      <c r="AO93">
        <f>IF(AND($A93&lt;&gt;"",AO$3&gt;=$J93,AO$3&lt;=$M93),1,"")</f>
        <v/>
      </c>
      <c r="AP93">
        <f>IF(AND($A93&lt;&gt;"",AP$3&gt;=$J93,AP$3&lt;=$M93),1,"")</f>
        <v/>
      </c>
      <c r="AQ93">
        <f>IF(AND($A93&lt;&gt;"",AQ$3&gt;=$J93,AQ$3&lt;=$M93),1,"")</f>
        <v/>
      </c>
      <c r="AR93">
        <f>IF(AND($A93&lt;&gt;"",AR$3&gt;=$J93,AR$3&lt;=$M93),1,"")</f>
        <v/>
      </c>
      <c r="AS93">
        <f>IF(AND($A93&lt;&gt;"",AS$3&gt;=$J93,AS$3&lt;=$M93),1,"")</f>
        <v/>
      </c>
      <c r="AT93">
        <f>IF(AND($A93&lt;&gt;"",AT$3&gt;=$J93,AT$3&lt;=$M93),1,"")</f>
        <v/>
      </c>
      <c r="AU93">
        <f>IF(AND($A93&lt;&gt;"",AU$3&gt;=$J93,AU$3&lt;=$M93),1,"")</f>
        <v/>
      </c>
      <c r="AV93">
        <f>IF(AND($A93&lt;&gt;"",AV$3&gt;=$J93,AV$3&lt;=$M93),1,"")</f>
        <v/>
      </c>
      <c r="AW93">
        <f>IF(AND($A93&lt;&gt;"",AW$3&gt;=$J93,AW$3&lt;=$M93),1,"")</f>
        <v/>
      </c>
      <c r="AX93">
        <f>IF(AND($A93&lt;&gt;"",AX$3&gt;=$J93,AX$3&lt;=$M93),1,"")</f>
        <v/>
      </c>
      <c r="AY93">
        <f>IF(AND($A93&lt;&gt;"",AY$3&gt;=$J93,AY$3&lt;=$M93),1,"")</f>
        <v/>
      </c>
      <c r="AZ93">
        <f>IF(AND($A93&lt;&gt;"",AZ$3&gt;=$J93,AZ$3&lt;=$M93),1,"")</f>
        <v/>
      </c>
      <c r="BA93">
        <f>IF(AND($A93&lt;&gt;"",BA$3&gt;=$J93,BA$3&lt;=$M93),1,"")</f>
        <v/>
      </c>
      <c r="BB93">
        <f>IF(AND($A93&lt;&gt;"",BB$3&gt;=$J93,BB$3&lt;=$M93),1,"")</f>
        <v/>
      </c>
      <c r="BC93">
        <f>IF(AND($A93&lt;&gt;"",BC$3&gt;=$J93,BC$3&lt;=$M93),1,"")</f>
        <v/>
      </c>
      <c r="BD93">
        <f>IF(AND($A93&lt;&gt;"",BD$3&gt;=$J93,BD$3&lt;=$M93),1,"")</f>
        <v/>
      </c>
      <c r="BE93">
        <f>IF(AND($A93&lt;&gt;"",BE$3&gt;=$J93,BE$3&lt;=$M93),1,"")</f>
        <v/>
      </c>
      <c r="BF93">
        <f>IF(AND($A93&lt;&gt;"",BF$3&gt;=$J93,BF$3&lt;=$M93),1,"")</f>
        <v/>
      </c>
      <c r="BG93">
        <f>IF(AND($A93&lt;&gt;"",BG$3&gt;=$J93,BG$3&lt;=$M93),1,"")</f>
        <v/>
      </c>
      <c r="BH93">
        <f>IF(AND($A93&lt;&gt;"",BH$3&gt;=$J93,BH$3&lt;=$M93),1,"")</f>
        <v/>
      </c>
      <c r="BI93">
        <f>IF(AND($A93&lt;&gt;"",BI$3&gt;=$J93,BI$3&lt;=$M93),1,"")</f>
        <v/>
      </c>
      <c r="BJ93">
        <f>IF(AND($A93&lt;&gt;"",BJ$3&gt;=$J93,BJ$3&lt;=$M93),1,"")</f>
        <v/>
      </c>
      <c r="BK93">
        <f>IF(AND($A93&lt;&gt;"",BK$3&gt;=$J93,BK$3&lt;=$M93),1,"")</f>
        <v/>
      </c>
      <c r="BL93">
        <f>IF(AND($A93&lt;&gt;"",BL$3&gt;=$J93,BL$3&lt;=$M93),1,"")</f>
        <v/>
      </c>
      <c r="BM93">
        <f>IF(AND($A93&lt;&gt;"",BM$3&gt;=$J93,BM$3&lt;=$M93),1,"")</f>
        <v/>
      </c>
      <c r="BN93">
        <f>IF(AND($A93&lt;&gt;"",BN$3&gt;=$J93,BN$3&lt;=$M93),1,"")</f>
        <v/>
      </c>
      <c r="BO93">
        <f>IF(AND($A93&lt;&gt;"",BO$3&gt;=$J93,BO$3&lt;=$M93),1,"")</f>
        <v/>
      </c>
      <c r="BP93">
        <f>IF(AND($A93&lt;&gt;"",BP$3&gt;=$J93,BP$3&lt;=$M93),1,"")</f>
        <v/>
      </c>
      <c r="BQ93">
        <f>IF(AND($A93&lt;&gt;"",BQ$3&gt;=$J93,BQ$3&lt;=$M93),1,"")</f>
        <v/>
      </c>
      <c r="BR93">
        <f>IF(AND($A93&lt;&gt;"",BR$3&gt;=$J93,BR$3&lt;=$M93),1,"")</f>
        <v/>
      </c>
      <c r="BS93">
        <f>IF(AND($A93&lt;&gt;"",BS$3&gt;=$J93,BS$3&lt;=$M93),1,"")</f>
        <v/>
      </c>
      <c r="BT93">
        <f>IF(AND($A93&lt;&gt;"",BT$3&gt;=$J93,BT$3&lt;=$M93),1,"")</f>
        <v/>
      </c>
      <c r="BU93">
        <f>IF(AND($A93&lt;&gt;"",BU$3&gt;=$J93,BU$3&lt;=$M93),1,"")</f>
        <v/>
      </c>
      <c r="BV93">
        <f>IF(AND($A93&lt;&gt;"",BV$3&gt;=$J93,BV$3&lt;=$M93),1,"")</f>
        <v/>
      </c>
    </row>
    <row r="94">
      <c r="A94">
        <f>IF(Job_Master_Ring!$A94="","",Job_Master_Ring!$A94)</f>
        <v/>
      </c>
      <c r="B94">
        <f>IF($A94="","",Job_Master_Ring!B94)</f>
        <v/>
      </c>
      <c r="C94">
        <f>IF($A94="","",Job_Master_Ring!C94)</f>
        <v/>
      </c>
      <c r="D94">
        <f>IF($A94="","",Job_Master_Ring!D94)</f>
        <v/>
      </c>
      <c r="E94">
        <f>IF($A94="","",IF($I94&lt;&gt;"",$I94,IFERROR(INDEX(Machine_List!$B$64:$B$71,MATCH(1,(Machine_List!$H$64:$H$71&lt;=IFERROR(VLOOKUP($B94,CHOOSE(MATCH($C94,Settings!$L$4:$L$10,0),OPR_BR1!$A$4:$K$18,OPR_BR2!$A$4:$K$18,OPR_CR2!$A$4:$K$18,OPR_CR3!$A$4:$K$18,OPR_CR4!$A$4:$K$18,OPR_RIM!$A$4:$K$18,OPR_BPR!$A$4:$K$18),10,0),0))*(Machine_List!$I$64:$I$71&gt;=IFERROR(VLOOKUP($B94,CHOOSE(MATCH($C94,Settings!$L$4:$L$10,0),OPR_BR1!$A$4:$K$18,OPR_BR2!$A$4:$K$18,OPR_CR2!$A$4:$K$18,OPR_CR3!$A$4:$K$18,OPR_CR4!$A$4:$K$18,OPR_RIM!$A$4:$K$18,OPR_BPR!$A$4:$K$18),11,0),9999)),0)),"NO COMPATIBLE MACHINE")))</f>
        <v/>
      </c>
      <c r="F94">
        <f>IF($E94="","",IFERROR(VLOOKUP($E94,Machine_List!$B:$G,6,0),""))</f>
        <v/>
      </c>
      <c r="G94" s="17">
        <f>IF($E94="","",IFERROR(VLOOKUP($E94,Machine_List!$B:$C,2,0),""))</f>
        <v/>
      </c>
      <c r="H94">
        <f>IF($E94="","",IFERROR(VLOOKUP($E94,Machine_List!$B:$D,3,0),""))</f>
        <v/>
      </c>
      <c r="J94" s="16">
        <f>IF($A94="","",IF($I94&lt;&gt;"",$I94,MAX(ENG_Plan!$M94,IFERROR(LOOKUP(2,1/($E$3:INDIRECT("E"&amp;(ROW()-1))=$E94),$M$3:INDIRECT("M"&amp;(ROW()-1))),ENG_Plan!$M94))))</f>
        <v/>
      </c>
      <c r="K94">
        <f>IF($A94="","",IFERROR(VLOOKUP(B94,CHOOSE(MATCH($C94,Settings!$L$4:$L$10,0),OPR_BR1!$A$4:$I$18,OPR_BR2!$A$4:$I$18,OPR_CR2!$A$4:$I$18,OPR_CR3!$A$4:$I$18,OPR_CR4!$A$4:$I$18,OPR_RIM!$A$4:$I$18,OPR_BPR!$A$4:$I$18),7,0),0))</f>
        <v/>
      </c>
      <c r="L94">
        <f>IF($A94="","",K94*D94)</f>
        <v/>
      </c>
      <c r="M94" s="16">
        <f>IF($A94="","",IF(AND(ISNUMBER(G94),G94&gt;=J94,G94&lt;=(J94+(L94/(IF(F94="Contract Workman",Settings!$K$5,Settings!$K$4))))),J94+(L94/(IF(F94="Contract Workman",Settings!$K$5,Settings!$K$4)))+(H94/(IF(F94="Contract Workman",Settings!$K$5,Settings!$K$4))),J94+(L94/(IF(F94="Contract Workman",Settings!$K$5,Settings!$K$4)))))</f>
        <v/>
      </c>
      <c r="N94">
        <f>IF($A94="","",IF(F94="Contract Workman",IF(AND(MOD(M94,1)&gt;=8/24,MOD(M94,1)&lt;20/24),"Shift S1","Shift S2"),IF(AND(MOD(M94,1)&gt;=7/24,MOD(M94,1)&lt;15/24),"Shift A",IF(AND(MOD(M94,1)&gt;=15/24,MOD(M94,1)&lt;23/24),"Shift B","Shift C"))))</f>
        <v/>
      </c>
      <c r="O94">
        <f>IF(B94="","",IF(IFERROR(ISNUMBER(SEARCH(TEXT(B94,"0"),VLOOKUP(E94,Machine_List!$B:$J,9,0))),FALSE),"✅ "&amp; E94,"❌ Sug: "&amp;IFERROR(INDEX(Machine_List!$B$64:$B$71,MATCH(1,(Machine_List!$H$64:$H$71&lt;=IFERROR(VLOOKUP($B94,OPR_BR1!$A$4:$K$18,10,0),0))*(Machine_List!$I$64:$I$71&gt;=IFERROR(VLOOKUP($B94,OPR_BR1!$A$4:$K$18,11,0),9999)),0)),"?")))</f>
        <v/>
      </c>
      <c r="P94">
        <f>IF(AND($A94&lt;&gt;"",P$3&gt;=$J94,P$3&lt;=$M94),1,"")</f>
        <v/>
      </c>
      <c r="Q94">
        <f>IF(AND($A94&lt;&gt;"",Q$3&gt;=$J94,Q$3&lt;=$M94),1,"")</f>
        <v/>
      </c>
      <c r="R94">
        <f>IF(AND($A94&lt;&gt;"",R$3&gt;=$J94,R$3&lt;=$M94),1,"")</f>
        <v/>
      </c>
      <c r="S94">
        <f>IF(AND($A94&lt;&gt;"",S$3&gt;=$J94,S$3&lt;=$M94),1,"")</f>
        <v/>
      </c>
      <c r="T94">
        <f>IF(AND($A94&lt;&gt;"",T$3&gt;=$J94,T$3&lt;=$M94),1,"")</f>
        <v/>
      </c>
      <c r="U94">
        <f>IF(AND($A94&lt;&gt;"",U$3&gt;=$J94,U$3&lt;=$M94),1,"")</f>
        <v/>
      </c>
      <c r="V94">
        <f>IF(AND($A94&lt;&gt;"",V$3&gt;=$J94,V$3&lt;=$M94),1,"")</f>
        <v/>
      </c>
      <c r="W94">
        <f>IF(AND($A94&lt;&gt;"",W$3&gt;=$J94,W$3&lt;=$M94),1,"")</f>
        <v/>
      </c>
      <c r="X94">
        <f>IF(AND($A94&lt;&gt;"",X$3&gt;=$J94,X$3&lt;=$M94),1,"")</f>
        <v/>
      </c>
      <c r="Y94">
        <f>IF(AND($A94&lt;&gt;"",Y$3&gt;=$J94,Y$3&lt;=$M94),1,"")</f>
        <v/>
      </c>
      <c r="Z94">
        <f>IF(AND($A94&lt;&gt;"",Z$3&gt;=$J94,Z$3&lt;=$M94),1,"")</f>
        <v/>
      </c>
      <c r="AA94">
        <f>IF(AND($A94&lt;&gt;"",AA$3&gt;=$J94,AA$3&lt;=$M94),1,"")</f>
        <v/>
      </c>
      <c r="AB94">
        <f>IF(AND($A94&lt;&gt;"",AB$3&gt;=$J94,AB$3&lt;=$M94),1,"")</f>
        <v/>
      </c>
      <c r="AC94">
        <f>IF(AND($A94&lt;&gt;"",AC$3&gt;=$J94,AC$3&lt;=$M94),1,"")</f>
        <v/>
      </c>
      <c r="AD94">
        <f>IF(AND($A94&lt;&gt;"",AD$3&gt;=$J94,AD$3&lt;=$M94),1,"")</f>
        <v/>
      </c>
      <c r="AE94">
        <f>IF(AND($A94&lt;&gt;"",AE$3&gt;=$J94,AE$3&lt;=$M94),1,"")</f>
        <v/>
      </c>
      <c r="AF94">
        <f>IF(AND($A94&lt;&gt;"",AF$3&gt;=$J94,AF$3&lt;=$M94),1,"")</f>
        <v/>
      </c>
      <c r="AG94">
        <f>IF(AND($A94&lt;&gt;"",AG$3&gt;=$J94,AG$3&lt;=$M94),1,"")</f>
        <v/>
      </c>
      <c r="AH94">
        <f>IF(AND($A94&lt;&gt;"",AH$3&gt;=$J94,AH$3&lt;=$M94),1,"")</f>
        <v/>
      </c>
      <c r="AI94">
        <f>IF(AND($A94&lt;&gt;"",AI$3&gt;=$J94,AI$3&lt;=$M94),1,"")</f>
        <v/>
      </c>
      <c r="AJ94">
        <f>IF(AND($A94&lt;&gt;"",AJ$3&gt;=$J94,AJ$3&lt;=$M94),1,"")</f>
        <v/>
      </c>
      <c r="AK94">
        <f>IF(AND($A94&lt;&gt;"",AK$3&gt;=$J94,AK$3&lt;=$M94),1,"")</f>
        <v/>
      </c>
      <c r="AL94">
        <f>IF(AND($A94&lt;&gt;"",AL$3&gt;=$J94,AL$3&lt;=$M94),1,"")</f>
        <v/>
      </c>
      <c r="AM94">
        <f>IF(AND($A94&lt;&gt;"",AM$3&gt;=$J94,AM$3&lt;=$M94),1,"")</f>
        <v/>
      </c>
      <c r="AN94">
        <f>IF(AND($A94&lt;&gt;"",AN$3&gt;=$J94,AN$3&lt;=$M94),1,"")</f>
        <v/>
      </c>
      <c r="AO94">
        <f>IF(AND($A94&lt;&gt;"",AO$3&gt;=$J94,AO$3&lt;=$M94),1,"")</f>
        <v/>
      </c>
      <c r="AP94">
        <f>IF(AND($A94&lt;&gt;"",AP$3&gt;=$J94,AP$3&lt;=$M94),1,"")</f>
        <v/>
      </c>
      <c r="AQ94">
        <f>IF(AND($A94&lt;&gt;"",AQ$3&gt;=$J94,AQ$3&lt;=$M94),1,"")</f>
        <v/>
      </c>
      <c r="AR94">
        <f>IF(AND($A94&lt;&gt;"",AR$3&gt;=$J94,AR$3&lt;=$M94),1,"")</f>
        <v/>
      </c>
      <c r="AS94">
        <f>IF(AND($A94&lt;&gt;"",AS$3&gt;=$J94,AS$3&lt;=$M94),1,"")</f>
        <v/>
      </c>
      <c r="AT94">
        <f>IF(AND($A94&lt;&gt;"",AT$3&gt;=$J94,AT$3&lt;=$M94),1,"")</f>
        <v/>
      </c>
      <c r="AU94">
        <f>IF(AND($A94&lt;&gt;"",AU$3&gt;=$J94,AU$3&lt;=$M94),1,"")</f>
        <v/>
      </c>
      <c r="AV94">
        <f>IF(AND($A94&lt;&gt;"",AV$3&gt;=$J94,AV$3&lt;=$M94),1,"")</f>
        <v/>
      </c>
      <c r="AW94">
        <f>IF(AND($A94&lt;&gt;"",AW$3&gt;=$J94,AW$3&lt;=$M94),1,"")</f>
        <v/>
      </c>
      <c r="AX94">
        <f>IF(AND($A94&lt;&gt;"",AX$3&gt;=$J94,AX$3&lt;=$M94),1,"")</f>
        <v/>
      </c>
      <c r="AY94">
        <f>IF(AND($A94&lt;&gt;"",AY$3&gt;=$J94,AY$3&lt;=$M94),1,"")</f>
        <v/>
      </c>
      <c r="AZ94">
        <f>IF(AND($A94&lt;&gt;"",AZ$3&gt;=$J94,AZ$3&lt;=$M94),1,"")</f>
        <v/>
      </c>
      <c r="BA94">
        <f>IF(AND($A94&lt;&gt;"",BA$3&gt;=$J94,BA$3&lt;=$M94),1,"")</f>
        <v/>
      </c>
      <c r="BB94">
        <f>IF(AND($A94&lt;&gt;"",BB$3&gt;=$J94,BB$3&lt;=$M94),1,"")</f>
        <v/>
      </c>
      <c r="BC94">
        <f>IF(AND($A94&lt;&gt;"",BC$3&gt;=$J94,BC$3&lt;=$M94),1,"")</f>
        <v/>
      </c>
      <c r="BD94">
        <f>IF(AND($A94&lt;&gt;"",BD$3&gt;=$J94,BD$3&lt;=$M94),1,"")</f>
        <v/>
      </c>
      <c r="BE94">
        <f>IF(AND($A94&lt;&gt;"",BE$3&gt;=$J94,BE$3&lt;=$M94),1,"")</f>
        <v/>
      </c>
      <c r="BF94">
        <f>IF(AND($A94&lt;&gt;"",BF$3&gt;=$J94,BF$3&lt;=$M94),1,"")</f>
        <v/>
      </c>
      <c r="BG94">
        <f>IF(AND($A94&lt;&gt;"",BG$3&gt;=$J94,BG$3&lt;=$M94),1,"")</f>
        <v/>
      </c>
      <c r="BH94">
        <f>IF(AND($A94&lt;&gt;"",BH$3&gt;=$J94,BH$3&lt;=$M94),1,"")</f>
        <v/>
      </c>
      <c r="BI94">
        <f>IF(AND($A94&lt;&gt;"",BI$3&gt;=$J94,BI$3&lt;=$M94),1,"")</f>
        <v/>
      </c>
      <c r="BJ94">
        <f>IF(AND($A94&lt;&gt;"",BJ$3&gt;=$J94,BJ$3&lt;=$M94),1,"")</f>
        <v/>
      </c>
      <c r="BK94">
        <f>IF(AND($A94&lt;&gt;"",BK$3&gt;=$J94,BK$3&lt;=$M94),1,"")</f>
        <v/>
      </c>
      <c r="BL94">
        <f>IF(AND($A94&lt;&gt;"",BL$3&gt;=$J94,BL$3&lt;=$M94),1,"")</f>
        <v/>
      </c>
      <c r="BM94">
        <f>IF(AND($A94&lt;&gt;"",BM$3&gt;=$J94,BM$3&lt;=$M94),1,"")</f>
        <v/>
      </c>
      <c r="BN94">
        <f>IF(AND($A94&lt;&gt;"",BN$3&gt;=$J94,BN$3&lt;=$M94),1,"")</f>
        <v/>
      </c>
      <c r="BO94">
        <f>IF(AND($A94&lt;&gt;"",BO$3&gt;=$J94,BO$3&lt;=$M94),1,"")</f>
        <v/>
      </c>
      <c r="BP94">
        <f>IF(AND($A94&lt;&gt;"",BP$3&gt;=$J94,BP$3&lt;=$M94),1,"")</f>
        <v/>
      </c>
      <c r="BQ94">
        <f>IF(AND($A94&lt;&gt;"",BQ$3&gt;=$J94,BQ$3&lt;=$M94),1,"")</f>
        <v/>
      </c>
      <c r="BR94">
        <f>IF(AND($A94&lt;&gt;"",BR$3&gt;=$J94,BR$3&lt;=$M94),1,"")</f>
        <v/>
      </c>
      <c r="BS94">
        <f>IF(AND($A94&lt;&gt;"",BS$3&gt;=$J94,BS$3&lt;=$M94),1,"")</f>
        <v/>
      </c>
      <c r="BT94">
        <f>IF(AND($A94&lt;&gt;"",BT$3&gt;=$J94,BT$3&lt;=$M94),1,"")</f>
        <v/>
      </c>
      <c r="BU94">
        <f>IF(AND($A94&lt;&gt;"",BU$3&gt;=$J94,BU$3&lt;=$M94),1,"")</f>
        <v/>
      </c>
      <c r="BV94">
        <f>IF(AND($A94&lt;&gt;"",BV$3&gt;=$J94,BV$3&lt;=$M94),1,"")</f>
        <v/>
      </c>
    </row>
    <row r="95">
      <c r="A95">
        <f>IF(Job_Master_Ring!$A95="","",Job_Master_Ring!$A95)</f>
        <v/>
      </c>
      <c r="B95">
        <f>IF($A95="","",Job_Master_Ring!B95)</f>
        <v/>
      </c>
      <c r="C95">
        <f>IF($A95="","",Job_Master_Ring!C95)</f>
        <v/>
      </c>
      <c r="D95">
        <f>IF($A95="","",Job_Master_Ring!D95)</f>
        <v/>
      </c>
      <c r="E95">
        <f>IF($A95="","",IF($I95&lt;&gt;"",$I95,IFERROR(INDEX(Machine_List!$B$64:$B$71,MATCH(1,(Machine_List!$H$64:$H$71&lt;=IFERROR(VLOOKUP($B95,CHOOSE(MATCH($C95,Settings!$L$4:$L$10,0),OPR_BR1!$A$4:$K$18,OPR_BR2!$A$4:$K$18,OPR_CR2!$A$4:$K$18,OPR_CR3!$A$4:$K$18,OPR_CR4!$A$4:$K$18,OPR_RIM!$A$4:$K$18,OPR_BPR!$A$4:$K$18),10,0),0))*(Machine_List!$I$64:$I$71&gt;=IFERROR(VLOOKUP($B95,CHOOSE(MATCH($C95,Settings!$L$4:$L$10,0),OPR_BR1!$A$4:$K$18,OPR_BR2!$A$4:$K$18,OPR_CR2!$A$4:$K$18,OPR_CR3!$A$4:$K$18,OPR_CR4!$A$4:$K$18,OPR_RIM!$A$4:$K$18,OPR_BPR!$A$4:$K$18),11,0),9999)),0)),"NO COMPATIBLE MACHINE")))</f>
        <v/>
      </c>
      <c r="F95">
        <f>IF($E95="","",IFERROR(VLOOKUP($E95,Machine_List!$B:$G,6,0),""))</f>
        <v/>
      </c>
      <c r="G95" s="17">
        <f>IF($E95="","",IFERROR(VLOOKUP($E95,Machine_List!$B:$C,2,0),""))</f>
        <v/>
      </c>
      <c r="H95">
        <f>IF($E95="","",IFERROR(VLOOKUP($E95,Machine_List!$B:$D,3,0),""))</f>
        <v/>
      </c>
      <c r="J95" s="16">
        <f>IF($A95="","",IF($I95&lt;&gt;"",$I95,MAX(ENG_Plan!$M95,IFERROR(LOOKUP(2,1/($E$3:INDIRECT("E"&amp;(ROW()-1))=$E95),$M$3:INDIRECT("M"&amp;(ROW()-1))),ENG_Plan!$M95))))</f>
        <v/>
      </c>
      <c r="K95">
        <f>IF($A95="","",IFERROR(VLOOKUP(B95,CHOOSE(MATCH($C95,Settings!$L$4:$L$10,0),OPR_BR1!$A$4:$I$18,OPR_BR2!$A$4:$I$18,OPR_CR2!$A$4:$I$18,OPR_CR3!$A$4:$I$18,OPR_CR4!$A$4:$I$18,OPR_RIM!$A$4:$I$18,OPR_BPR!$A$4:$I$18),7,0),0))</f>
        <v/>
      </c>
      <c r="L95">
        <f>IF($A95="","",K95*D95)</f>
        <v/>
      </c>
      <c r="M95" s="16">
        <f>IF($A95="","",IF(AND(ISNUMBER(G95),G95&gt;=J95,G95&lt;=(J95+(L95/(IF(F95="Contract Workman",Settings!$K$5,Settings!$K$4))))),J95+(L95/(IF(F95="Contract Workman",Settings!$K$5,Settings!$K$4)))+(H95/(IF(F95="Contract Workman",Settings!$K$5,Settings!$K$4))),J95+(L95/(IF(F95="Contract Workman",Settings!$K$5,Settings!$K$4)))))</f>
        <v/>
      </c>
      <c r="N95">
        <f>IF($A95="","",IF(F95="Contract Workman",IF(AND(MOD(M95,1)&gt;=8/24,MOD(M95,1)&lt;20/24),"Shift S1","Shift S2"),IF(AND(MOD(M95,1)&gt;=7/24,MOD(M95,1)&lt;15/24),"Shift A",IF(AND(MOD(M95,1)&gt;=15/24,MOD(M95,1)&lt;23/24),"Shift B","Shift C"))))</f>
        <v/>
      </c>
      <c r="O95">
        <f>IF(B95="","",IF(IFERROR(ISNUMBER(SEARCH(TEXT(B95,"0"),VLOOKUP(E95,Machine_List!$B:$J,9,0))),FALSE),"✅ "&amp; E95,"❌ Sug: "&amp;IFERROR(INDEX(Machine_List!$B$64:$B$71,MATCH(1,(Machine_List!$H$64:$H$71&lt;=IFERROR(VLOOKUP($B95,OPR_BR1!$A$4:$K$18,10,0),0))*(Machine_List!$I$64:$I$71&gt;=IFERROR(VLOOKUP($B95,OPR_BR1!$A$4:$K$18,11,0),9999)),0)),"?")))</f>
        <v/>
      </c>
      <c r="P95">
        <f>IF(AND($A95&lt;&gt;"",P$3&gt;=$J95,P$3&lt;=$M95),1,"")</f>
        <v/>
      </c>
      <c r="Q95">
        <f>IF(AND($A95&lt;&gt;"",Q$3&gt;=$J95,Q$3&lt;=$M95),1,"")</f>
        <v/>
      </c>
      <c r="R95">
        <f>IF(AND($A95&lt;&gt;"",R$3&gt;=$J95,R$3&lt;=$M95),1,"")</f>
        <v/>
      </c>
      <c r="S95">
        <f>IF(AND($A95&lt;&gt;"",S$3&gt;=$J95,S$3&lt;=$M95),1,"")</f>
        <v/>
      </c>
      <c r="T95">
        <f>IF(AND($A95&lt;&gt;"",T$3&gt;=$J95,T$3&lt;=$M95),1,"")</f>
        <v/>
      </c>
      <c r="U95">
        <f>IF(AND($A95&lt;&gt;"",U$3&gt;=$J95,U$3&lt;=$M95),1,"")</f>
        <v/>
      </c>
      <c r="V95">
        <f>IF(AND($A95&lt;&gt;"",V$3&gt;=$J95,V$3&lt;=$M95),1,"")</f>
        <v/>
      </c>
      <c r="W95">
        <f>IF(AND($A95&lt;&gt;"",W$3&gt;=$J95,W$3&lt;=$M95),1,"")</f>
        <v/>
      </c>
      <c r="X95">
        <f>IF(AND($A95&lt;&gt;"",X$3&gt;=$J95,X$3&lt;=$M95),1,"")</f>
        <v/>
      </c>
      <c r="Y95">
        <f>IF(AND($A95&lt;&gt;"",Y$3&gt;=$J95,Y$3&lt;=$M95),1,"")</f>
        <v/>
      </c>
      <c r="Z95">
        <f>IF(AND($A95&lt;&gt;"",Z$3&gt;=$J95,Z$3&lt;=$M95),1,"")</f>
        <v/>
      </c>
      <c r="AA95">
        <f>IF(AND($A95&lt;&gt;"",AA$3&gt;=$J95,AA$3&lt;=$M95),1,"")</f>
        <v/>
      </c>
      <c r="AB95">
        <f>IF(AND($A95&lt;&gt;"",AB$3&gt;=$J95,AB$3&lt;=$M95),1,"")</f>
        <v/>
      </c>
      <c r="AC95">
        <f>IF(AND($A95&lt;&gt;"",AC$3&gt;=$J95,AC$3&lt;=$M95),1,"")</f>
        <v/>
      </c>
      <c r="AD95">
        <f>IF(AND($A95&lt;&gt;"",AD$3&gt;=$J95,AD$3&lt;=$M95),1,"")</f>
        <v/>
      </c>
      <c r="AE95">
        <f>IF(AND($A95&lt;&gt;"",AE$3&gt;=$J95,AE$3&lt;=$M95),1,"")</f>
        <v/>
      </c>
      <c r="AF95">
        <f>IF(AND($A95&lt;&gt;"",AF$3&gt;=$J95,AF$3&lt;=$M95),1,"")</f>
        <v/>
      </c>
      <c r="AG95">
        <f>IF(AND($A95&lt;&gt;"",AG$3&gt;=$J95,AG$3&lt;=$M95),1,"")</f>
        <v/>
      </c>
      <c r="AH95">
        <f>IF(AND($A95&lt;&gt;"",AH$3&gt;=$J95,AH$3&lt;=$M95),1,"")</f>
        <v/>
      </c>
      <c r="AI95">
        <f>IF(AND($A95&lt;&gt;"",AI$3&gt;=$J95,AI$3&lt;=$M95),1,"")</f>
        <v/>
      </c>
      <c r="AJ95">
        <f>IF(AND($A95&lt;&gt;"",AJ$3&gt;=$J95,AJ$3&lt;=$M95),1,"")</f>
        <v/>
      </c>
      <c r="AK95">
        <f>IF(AND($A95&lt;&gt;"",AK$3&gt;=$J95,AK$3&lt;=$M95),1,"")</f>
        <v/>
      </c>
      <c r="AL95">
        <f>IF(AND($A95&lt;&gt;"",AL$3&gt;=$J95,AL$3&lt;=$M95),1,"")</f>
        <v/>
      </c>
      <c r="AM95">
        <f>IF(AND($A95&lt;&gt;"",AM$3&gt;=$J95,AM$3&lt;=$M95),1,"")</f>
        <v/>
      </c>
      <c r="AN95">
        <f>IF(AND($A95&lt;&gt;"",AN$3&gt;=$J95,AN$3&lt;=$M95),1,"")</f>
        <v/>
      </c>
      <c r="AO95">
        <f>IF(AND($A95&lt;&gt;"",AO$3&gt;=$J95,AO$3&lt;=$M95),1,"")</f>
        <v/>
      </c>
      <c r="AP95">
        <f>IF(AND($A95&lt;&gt;"",AP$3&gt;=$J95,AP$3&lt;=$M95),1,"")</f>
        <v/>
      </c>
      <c r="AQ95">
        <f>IF(AND($A95&lt;&gt;"",AQ$3&gt;=$J95,AQ$3&lt;=$M95),1,"")</f>
        <v/>
      </c>
      <c r="AR95">
        <f>IF(AND($A95&lt;&gt;"",AR$3&gt;=$J95,AR$3&lt;=$M95),1,"")</f>
        <v/>
      </c>
      <c r="AS95">
        <f>IF(AND($A95&lt;&gt;"",AS$3&gt;=$J95,AS$3&lt;=$M95),1,"")</f>
        <v/>
      </c>
      <c r="AT95">
        <f>IF(AND($A95&lt;&gt;"",AT$3&gt;=$J95,AT$3&lt;=$M95),1,"")</f>
        <v/>
      </c>
      <c r="AU95">
        <f>IF(AND($A95&lt;&gt;"",AU$3&gt;=$J95,AU$3&lt;=$M95),1,"")</f>
        <v/>
      </c>
      <c r="AV95">
        <f>IF(AND($A95&lt;&gt;"",AV$3&gt;=$J95,AV$3&lt;=$M95),1,"")</f>
        <v/>
      </c>
      <c r="AW95">
        <f>IF(AND($A95&lt;&gt;"",AW$3&gt;=$J95,AW$3&lt;=$M95),1,"")</f>
        <v/>
      </c>
      <c r="AX95">
        <f>IF(AND($A95&lt;&gt;"",AX$3&gt;=$J95,AX$3&lt;=$M95),1,"")</f>
        <v/>
      </c>
      <c r="AY95">
        <f>IF(AND($A95&lt;&gt;"",AY$3&gt;=$J95,AY$3&lt;=$M95),1,"")</f>
        <v/>
      </c>
      <c r="AZ95">
        <f>IF(AND($A95&lt;&gt;"",AZ$3&gt;=$J95,AZ$3&lt;=$M95),1,"")</f>
        <v/>
      </c>
      <c r="BA95">
        <f>IF(AND($A95&lt;&gt;"",BA$3&gt;=$J95,BA$3&lt;=$M95),1,"")</f>
        <v/>
      </c>
      <c r="BB95">
        <f>IF(AND($A95&lt;&gt;"",BB$3&gt;=$J95,BB$3&lt;=$M95),1,"")</f>
        <v/>
      </c>
      <c r="BC95">
        <f>IF(AND($A95&lt;&gt;"",BC$3&gt;=$J95,BC$3&lt;=$M95),1,"")</f>
        <v/>
      </c>
      <c r="BD95">
        <f>IF(AND($A95&lt;&gt;"",BD$3&gt;=$J95,BD$3&lt;=$M95),1,"")</f>
        <v/>
      </c>
      <c r="BE95">
        <f>IF(AND($A95&lt;&gt;"",BE$3&gt;=$J95,BE$3&lt;=$M95),1,"")</f>
        <v/>
      </c>
      <c r="BF95">
        <f>IF(AND($A95&lt;&gt;"",BF$3&gt;=$J95,BF$3&lt;=$M95),1,"")</f>
        <v/>
      </c>
      <c r="BG95">
        <f>IF(AND($A95&lt;&gt;"",BG$3&gt;=$J95,BG$3&lt;=$M95),1,"")</f>
        <v/>
      </c>
      <c r="BH95">
        <f>IF(AND($A95&lt;&gt;"",BH$3&gt;=$J95,BH$3&lt;=$M95),1,"")</f>
        <v/>
      </c>
      <c r="BI95">
        <f>IF(AND($A95&lt;&gt;"",BI$3&gt;=$J95,BI$3&lt;=$M95),1,"")</f>
        <v/>
      </c>
      <c r="BJ95">
        <f>IF(AND($A95&lt;&gt;"",BJ$3&gt;=$J95,BJ$3&lt;=$M95),1,"")</f>
        <v/>
      </c>
      <c r="BK95">
        <f>IF(AND($A95&lt;&gt;"",BK$3&gt;=$J95,BK$3&lt;=$M95),1,"")</f>
        <v/>
      </c>
      <c r="BL95">
        <f>IF(AND($A95&lt;&gt;"",BL$3&gt;=$J95,BL$3&lt;=$M95),1,"")</f>
        <v/>
      </c>
      <c r="BM95">
        <f>IF(AND($A95&lt;&gt;"",BM$3&gt;=$J95,BM$3&lt;=$M95),1,"")</f>
        <v/>
      </c>
      <c r="BN95">
        <f>IF(AND($A95&lt;&gt;"",BN$3&gt;=$J95,BN$3&lt;=$M95),1,"")</f>
        <v/>
      </c>
      <c r="BO95">
        <f>IF(AND($A95&lt;&gt;"",BO$3&gt;=$J95,BO$3&lt;=$M95),1,"")</f>
        <v/>
      </c>
      <c r="BP95">
        <f>IF(AND($A95&lt;&gt;"",BP$3&gt;=$J95,BP$3&lt;=$M95),1,"")</f>
        <v/>
      </c>
      <c r="BQ95">
        <f>IF(AND($A95&lt;&gt;"",BQ$3&gt;=$J95,BQ$3&lt;=$M95),1,"")</f>
        <v/>
      </c>
      <c r="BR95">
        <f>IF(AND($A95&lt;&gt;"",BR$3&gt;=$J95,BR$3&lt;=$M95),1,"")</f>
        <v/>
      </c>
      <c r="BS95">
        <f>IF(AND($A95&lt;&gt;"",BS$3&gt;=$J95,BS$3&lt;=$M95),1,"")</f>
        <v/>
      </c>
      <c r="BT95">
        <f>IF(AND($A95&lt;&gt;"",BT$3&gt;=$J95,BT$3&lt;=$M95),1,"")</f>
        <v/>
      </c>
      <c r="BU95">
        <f>IF(AND($A95&lt;&gt;"",BU$3&gt;=$J95,BU$3&lt;=$M95),1,"")</f>
        <v/>
      </c>
      <c r="BV95">
        <f>IF(AND($A95&lt;&gt;"",BV$3&gt;=$J95,BV$3&lt;=$M95),1,"")</f>
        <v/>
      </c>
    </row>
    <row r="96">
      <c r="A96">
        <f>IF(Job_Master_Ring!$A96="","",Job_Master_Ring!$A96)</f>
        <v/>
      </c>
      <c r="B96">
        <f>IF($A96="","",Job_Master_Ring!B96)</f>
        <v/>
      </c>
      <c r="C96">
        <f>IF($A96="","",Job_Master_Ring!C96)</f>
        <v/>
      </c>
      <c r="D96">
        <f>IF($A96="","",Job_Master_Ring!D96)</f>
        <v/>
      </c>
      <c r="E96">
        <f>IF($A96="","",IF($I96&lt;&gt;"",$I96,IFERROR(INDEX(Machine_List!$B$64:$B$71,MATCH(1,(Machine_List!$H$64:$H$71&lt;=IFERROR(VLOOKUP($B96,CHOOSE(MATCH($C96,Settings!$L$4:$L$10,0),OPR_BR1!$A$4:$K$18,OPR_BR2!$A$4:$K$18,OPR_CR2!$A$4:$K$18,OPR_CR3!$A$4:$K$18,OPR_CR4!$A$4:$K$18,OPR_RIM!$A$4:$K$18,OPR_BPR!$A$4:$K$18),10,0),0))*(Machine_List!$I$64:$I$71&gt;=IFERROR(VLOOKUP($B96,CHOOSE(MATCH($C96,Settings!$L$4:$L$10,0),OPR_BR1!$A$4:$K$18,OPR_BR2!$A$4:$K$18,OPR_CR2!$A$4:$K$18,OPR_CR3!$A$4:$K$18,OPR_CR4!$A$4:$K$18,OPR_RIM!$A$4:$K$18,OPR_BPR!$A$4:$K$18),11,0),9999)),0)),"NO COMPATIBLE MACHINE")))</f>
        <v/>
      </c>
      <c r="F96">
        <f>IF($E96="","",IFERROR(VLOOKUP($E96,Machine_List!$B:$G,6,0),""))</f>
        <v/>
      </c>
      <c r="G96" s="17">
        <f>IF($E96="","",IFERROR(VLOOKUP($E96,Machine_List!$B:$C,2,0),""))</f>
        <v/>
      </c>
      <c r="H96">
        <f>IF($E96="","",IFERROR(VLOOKUP($E96,Machine_List!$B:$D,3,0),""))</f>
        <v/>
      </c>
      <c r="J96" s="16">
        <f>IF($A96="","",IF($I96&lt;&gt;"",$I96,MAX(ENG_Plan!$M96,IFERROR(LOOKUP(2,1/($E$3:INDIRECT("E"&amp;(ROW()-1))=$E96),$M$3:INDIRECT("M"&amp;(ROW()-1))),ENG_Plan!$M96))))</f>
        <v/>
      </c>
      <c r="K96">
        <f>IF($A96="","",IFERROR(VLOOKUP(B96,CHOOSE(MATCH($C96,Settings!$L$4:$L$10,0),OPR_BR1!$A$4:$I$18,OPR_BR2!$A$4:$I$18,OPR_CR2!$A$4:$I$18,OPR_CR3!$A$4:$I$18,OPR_CR4!$A$4:$I$18,OPR_RIM!$A$4:$I$18,OPR_BPR!$A$4:$I$18),7,0),0))</f>
        <v/>
      </c>
      <c r="L96">
        <f>IF($A96="","",K96*D96)</f>
        <v/>
      </c>
      <c r="M96" s="16">
        <f>IF($A96="","",IF(AND(ISNUMBER(G96),G96&gt;=J96,G96&lt;=(J96+(L96/(IF(F96="Contract Workman",Settings!$K$5,Settings!$K$4))))),J96+(L96/(IF(F96="Contract Workman",Settings!$K$5,Settings!$K$4)))+(H96/(IF(F96="Contract Workman",Settings!$K$5,Settings!$K$4))),J96+(L96/(IF(F96="Contract Workman",Settings!$K$5,Settings!$K$4)))))</f>
        <v/>
      </c>
      <c r="N96">
        <f>IF($A96="","",IF(F96="Contract Workman",IF(AND(MOD(M96,1)&gt;=8/24,MOD(M96,1)&lt;20/24),"Shift S1","Shift S2"),IF(AND(MOD(M96,1)&gt;=7/24,MOD(M96,1)&lt;15/24),"Shift A",IF(AND(MOD(M96,1)&gt;=15/24,MOD(M96,1)&lt;23/24),"Shift B","Shift C"))))</f>
        <v/>
      </c>
      <c r="O96">
        <f>IF(B96="","",IF(IFERROR(ISNUMBER(SEARCH(TEXT(B96,"0"),VLOOKUP(E96,Machine_List!$B:$J,9,0))),FALSE),"✅ "&amp; E96,"❌ Sug: "&amp;IFERROR(INDEX(Machine_List!$B$64:$B$71,MATCH(1,(Machine_List!$H$64:$H$71&lt;=IFERROR(VLOOKUP($B96,OPR_BR1!$A$4:$K$18,10,0),0))*(Machine_List!$I$64:$I$71&gt;=IFERROR(VLOOKUP($B96,OPR_BR1!$A$4:$K$18,11,0),9999)),0)),"?")))</f>
        <v/>
      </c>
      <c r="P96">
        <f>IF(AND($A96&lt;&gt;"",P$3&gt;=$J96,P$3&lt;=$M96),1,"")</f>
        <v/>
      </c>
      <c r="Q96">
        <f>IF(AND($A96&lt;&gt;"",Q$3&gt;=$J96,Q$3&lt;=$M96),1,"")</f>
        <v/>
      </c>
      <c r="R96">
        <f>IF(AND($A96&lt;&gt;"",R$3&gt;=$J96,R$3&lt;=$M96),1,"")</f>
        <v/>
      </c>
      <c r="S96">
        <f>IF(AND($A96&lt;&gt;"",S$3&gt;=$J96,S$3&lt;=$M96),1,"")</f>
        <v/>
      </c>
      <c r="T96">
        <f>IF(AND($A96&lt;&gt;"",T$3&gt;=$J96,T$3&lt;=$M96),1,"")</f>
        <v/>
      </c>
      <c r="U96">
        <f>IF(AND($A96&lt;&gt;"",U$3&gt;=$J96,U$3&lt;=$M96),1,"")</f>
        <v/>
      </c>
      <c r="V96">
        <f>IF(AND($A96&lt;&gt;"",V$3&gt;=$J96,V$3&lt;=$M96),1,"")</f>
        <v/>
      </c>
      <c r="W96">
        <f>IF(AND($A96&lt;&gt;"",W$3&gt;=$J96,W$3&lt;=$M96),1,"")</f>
        <v/>
      </c>
      <c r="X96">
        <f>IF(AND($A96&lt;&gt;"",X$3&gt;=$J96,X$3&lt;=$M96),1,"")</f>
        <v/>
      </c>
      <c r="Y96">
        <f>IF(AND($A96&lt;&gt;"",Y$3&gt;=$J96,Y$3&lt;=$M96),1,"")</f>
        <v/>
      </c>
      <c r="Z96">
        <f>IF(AND($A96&lt;&gt;"",Z$3&gt;=$J96,Z$3&lt;=$M96),1,"")</f>
        <v/>
      </c>
      <c r="AA96">
        <f>IF(AND($A96&lt;&gt;"",AA$3&gt;=$J96,AA$3&lt;=$M96),1,"")</f>
        <v/>
      </c>
      <c r="AB96">
        <f>IF(AND($A96&lt;&gt;"",AB$3&gt;=$J96,AB$3&lt;=$M96),1,"")</f>
        <v/>
      </c>
      <c r="AC96">
        <f>IF(AND($A96&lt;&gt;"",AC$3&gt;=$J96,AC$3&lt;=$M96),1,"")</f>
        <v/>
      </c>
      <c r="AD96">
        <f>IF(AND($A96&lt;&gt;"",AD$3&gt;=$J96,AD$3&lt;=$M96),1,"")</f>
        <v/>
      </c>
      <c r="AE96">
        <f>IF(AND($A96&lt;&gt;"",AE$3&gt;=$J96,AE$3&lt;=$M96),1,"")</f>
        <v/>
      </c>
      <c r="AF96">
        <f>IF(AND($A96&lt;&gt;"",AF$3&gt;=$J96,AF$3&lt;=$M96),1,"")</f>
        <v/>
      </c>
      <c r="AG96">
        <f>IF(AND($A96&lt;&gt;"",AG$3&gt;=$J96,AG$3&lt;=$M96),1,"")</f>
        <v/>
      </c>
      <c r="AH96">
        <f>IF(AND($A96&lt;&gt;"",AH$3&gt;=$J96,AH$3&lt;=$M96),1,"")</f>
        <v/>
      </c>
      <c r="AI96">
        <f>IF(AND($A96&lt;&gt;"",AI$3&gt;=$J96,AI$3&lt;=$M96),1,"")</f>
        <v/>
      </c>
      <c r="AJ96">
        <f>IF(AND($A96&lt;&gt;"",AJ$3&gt;=$J96,AJ$3&lt;=$M96),1,"")</f>
        <v/>
      </c>
      <c r="AK96">
        <f>IF(AND($A96&lt;&gt;"",AK$3&gt;=$J96,AK$3&lt;=$M96),1,"")</f>
        <v/>
      </c>
      <c r="AL96">
        <f>IF(AND($A96&lt;&gt;"",AL$3&gt;=$J96,AL$3&lt;=$M96),1,"")</f>
        <v/>
      </c>
      <c r="AM96">
        <f>IF(AND($A96&lt;&gt;"",AM$3&gt;=$J96,AM$3&lt;=$M96),1,"")</f>
        <v/>
      </c>
      <c r="AN96">
        <f>IF(AND($A96&lt;&gt;"",AN$3&gt;=$J96,AN$3&lt;=$M96),1,"")</f>
        <v/>
      </c>
      <c r="AO96">
        <f>IF(AND($A96&lt;&gt;"",AO$3&gt;=$J96,AO$3&lt;=$M96),1,"")</f>
        <v/>
      </c>
      <c r="AP96">
        <f>IF(AND($A96&lt;&gt;"",AP$3&gt;=$J96,AP$3&lt;=$M96),1,"")</f>
        <v/>
      </c>
      <c r="AQ96">
        <f>IF(AND($A96&lt;&gt;"",AQ$3&gt;=$J96,AQ$3&lt;=$M96),1,"")</f>
        <v/>
      </c>
      <c r="AR96">
        <f>IF(AND($A96&lt;&gt;"",AR$3&gt;=$J96,AR$3&lt;=$M96),1,"")</f>
        <v/>
      </c>
      <c r="AS96">
        <f>IF(AND($A96&lt;&gt;"",AS$3&gt;=$J96,AS$3&lt;=$M96),1,"")</f>
        <v/>
      </c>
      <c r="AT96">
        <f>IF(AND($A96&lt;&gt;"",AT$3&gt;=$J96,AT$3&lt;=$M96),1,"")</f>
        <v/>
      </c>
      <c r="AU96">
        <f>IF(AND($A96&lt;&gt;"",AU$3&gt;=$J96,AU$3&lt;=$M96),1,"")</f>
        <v/>
      </c>
      <c r="AV96">
        <f>IF(AND($A96&lt;&gt;"",AV$3&gt;=$J96,AV$3&lt;=$M96),1,"")</f>
        <v/>
      </c>
      <c r="AW96">
        <f>IF(AND($A96&lt;&gt;"",AW$3&gt;=$J96,AW$3&lt;=$M96),1,"")</f>
        <v/>
      </c>
      <c r="AX96">
        <f>IF(AND($A96&lt;&gt;"",AX$3&gt;=$J96,AX$3&lt;=$M96),1,"")</f>
        <v/>
      </c>
      <c r="AY96">
        <f>IF(AND($A96&lt;&gt;"",AY$3&gt;=$J96,AY$3&lt;=$M96),1,"")</f>
        <v/>
      </c>
      <c r="AZ96">
        <f>IF(AND($A96&lt;&gt;"",AZ$3&gt;=$J96,AZ$3&lt;=$M96),1,"")</f>
        <v/>
      </c>
      <c r="BA96">
        <f>IF(AND($A96&lt;&gt;"",BA$3&gt;=$J96,BA$3&lt;=$M96),1,"")</f>
        <v/>
      </c>
      <c r="BB96">
        <f>IF(AND($A96&lt;&gt;"",BB$3&gt;=$J96,BB$3&lt;=$M96),1,"")</f>
        <v/>
      </c>
      <c r="BC96">
        <f>IF(AND($A96&lt;&gt;"",BC$3&gt;=$J96,BC$3&lt;=$M96),1,"")</f>
        <v/>
      </c>
      <c r="BD96">
        <f>IF(AND($A96&lt;&gt;"",BD$3&gt;=$J96,BD$3&lt;=$M96),1,"")</f>
        <v/>
      </c>
      <c r="BE96">
        <f>IF(AND($A96&lt;&gt;"",BE$3&gt;=$J96,BE$3&lt;=$M96),1,"")</f>
        <v/>
      </c>
      <c r="BF96">
        <f>IF(AND($A96&lt;&gt;"",BF$3&gt;=$J96,BF$3&lt;=$M96),1,"")</f>
        <v/>
      </c>
      <c r="BG96">
        <f>IF(AND($A96&lt;&gt;"",BG$3&gt;=$J96,BG$3&lt;=$M96),1,"")</f>
        <v/>
      </c>
      <c r="BH96">
        <f>IF(AND($A96&lt;&gt;"",BH$3&gt;=$J96,BH$3&lt;=$M96),1,"")</f>
        <v/>
      </c>
      <c r="BI96">
        <f>IF(AND($A96&lt;&gt;"",BI$3&gt;=$J96,BI$3&lt;=$M96),1,"")</f>
        <v/>
      </c>
      <c r="BJ96">
        <f>IF(AND($A96&lt;&gt;"",BJ$3&gt;=$J96,BJ$3&lt;=$M96),1,"")</f>
        <v/>
      </c>
      <c r="BK96">
        <f>IF(AND($A96&lt;&gt;"",BK$3&gt;=$J96,BK$3&lt;=$M96),1,"")</f>
        <v/>
      </c>
      <c r="BL96">
        <f>IF(AND($A96&lt;&gt;"",BL$3&gt;=$J96,BL$3&lt;=$M96),1,"")</f>
        <v/>
      </c>
      <c r="BM96">
        <f>IF(AND($A96&lt;&gt;"",BM$3&gt;=$J96,BM$3&lt;=$M96),1,"")</f>
        <v/>
      </c>
      <c r="BN96">
        <f>IF(AND($A96&lt;&gt;"",BN$3&gt;=$J96,BN$3&lt;=$M96),1,"")</f>
        <v/>
      </c>
      <c r="BO96">
        <f>IF(AND($A96&lt;&gt;"",BO$3&gt;=$J96,BO$3&lt;=$M96),1,"")</f>
        <v/>
      </c>
      <c r="BP96">
        <f>IF(AND($A96&lt;&gt;"",BP$3&gt;=$J96,BP$3&lt;=$M96),1,"")</f>
        <v/>
      </c>
      <c r="BQ96">
        <f>IF(AND($A96&lt;&gt;"",BQ$3&gt;=$J96,BQ$3&lt;=$M96),1,"")</f>
        <v/>
      </c>
      <c r="BR96">
        <f>IF(AND($A96&lt;&gt;"",BR$3&gt;=$J96,BR$3&lt;=$M96),1,"")</f>
        <v/>
      </c>
      <c r="BS96">
        <f>IF(AND($A96&lt;&gt;"",BS$3&gt;=$J96,BS$3&lt;=$M96),1,"")</f>
        <v/>
      </c>
      <c r="BT96">
        <f>IF(AND($A96&lt;&gt;"",BT$3&gt;=$J96,BT$3&lt;=$M96),1,"")</f>
        <v/>
      </c>
      <c r="BU96">
        <f>IF(AND($A96&lt;&gt;"",BU$3&gt;=$J96,BU$3&lt;=$M96),1,"")</f>
        <v/>
      </c>
      <c r="BV96">
        <f>IF(AND($A96&lt;&gt;"",BV$3&gt;=$J96,BV$3&lt;=$M96),1,"")</f>
        <v/>
      </c>
    </row>
    <row r="97">
      <c r="A97">
        <f>IF(Job_Master_Ring!$A97="","",Job_Master_Ring!$A97)</f>
        <v/>
      </c>
      <c r="B97">
        <f>IF($A97="","",Job_Master_Ring!B97)</f>
        <v/>
      </c>
      <c r="C97">
        <f>IF($A97="","",Job_Master_Ring!C97)</f>
        <v/>
      </c>
      <c r="D97">
        <f>IF($A97="","",Job_Master_Ring!D97)</f>
        <v/>
      </c>
      <c r="E97">
        <f>IF($A97="","",IF($I97&lt;&gt;"",$I97,IFERROR(INDEX(Machine_List!$B$64:$B$71,MATCH(1,(Machine_List!$H$64:$H$71&lt;=IFERROR(VLOOKUP($B97,CHOOSE(MATCH($C97,Settings!$L$4:$L$10,0),OPR_BR1!$A$4:$K$18,OPR_BR2!$A$4:$K$18,OPR_CR2!$A$4:$K$18,OPR_CR3!$A$4:$K$18,OPR_CR4!$A$4:$K$18,OPR_RIM!$A$4:$K$18,OPR_BPR!$A$4:$K$18),10,0),0))*(Machine_List!$I$64:$I$71&gt;=IFERROR(VLOOKUP($B97,CHOOSE(MATCH($C97,Settings!$L$4:$L$10,0),OPR_BR1!$A$4:$K$18,OPR_BR2!$A$4:$K$18,OPR_CR2!$A$4:$K$18,OPR_CR3!$A$4:$K$18,OPR_CR4!$A$4:$K$18,OPR_RIM!$A$4:$K$18,OPR_BPR!$A$4:$K$18),11,0),9999)),0)),"NO COMPATIBLE MACHINE")))</f>
        <v/>
      </c>
      <c r="F97">
        <f>IF($E97="","",IFERROR(VLOOKUP($E97,Machine_List!$B:$G,6,0),""))</f>
        <v/>
      </c>
      <c r="G97" s="17">
        <f>IF($E97="","",IFERROR(VLOOKUP($E97,Machine_List!$B:$C,2,0),""))</f>
        <v/>
      </c>
      <c r="H97">
        <f>IF($E97="","",IFERROR(VLOOKUP($E97,Machine_List!$B:$D,3,0),""))</f>
        <v/>
      </c>
      <c r="J97" s="16">
        <f>IF($A97="","",IF($I97&lt;&gt;"",$I97,MAX(ENG_Plan!$M97,IFERROR(LOOKUP(2,1/($E$3:INDIRECT("E"&amp;(ROW()-1))=$E97),$M$3:INDIRECT("M"&amp;(ROW()-1))),ENG_Plan!$M97))))</f>
        <v/>
      </c>
      <c r="K97">
        <f>IF($A97="","",IFERROR(VLOOKUP(B97,CHOOSE(MATCH($C97,Settings!$L$4:$L$10,0),OPR_BR1!$A$4:$I$18,OPR_BR2!$A$4:$I$18,OPR_CR2!$A$4:$I$18,OPR_CR3!$A$4:$I$18,OPR_CR4!$A$4:$I$18,OPR_RIM!$A$4:$I$18,OPR_BPR!$A$4:$I$18),7,0),0))</f>
        <v/>
      </c>
      <c r="L97">
        <f>IF($A97="","",K97*D97)</f>
        <v/>
      </c>
      <c r="M97" s="16">
        <f>IF($A97="","",IF(AND(ISNUMBER(G97),G97&gt;=J97,G97&lt;=(J97+(L97/(IF(F97="Contract Workman",Settings!$K$5,Settings!$K$4))))),J97+(L97/(IF(F97="Contract Workman",Settings!$K$5,Settings!$K$4)))+(H97/(IF(F97="Contract Workman",Settings!$K$5,Settings!$K$4))),J97+(L97/(IF(F97="Contract Workman",Settings!$K$5,Settings!$K$4)))))</f>
        <v/>
      </c>
      <c r="N97">
        <f>IF($A97="","",IF(F97="Contract Workman",IF(AND(MOD(M97,1)&gt;=8/24,MOD(M97,1)&lt;20/24),"Shift S1","Shift S2"),IF(AND(MOD(M97,1)&gt;=7/24,MOD(M97,1)&lt;15/24),"Shift A",IF(AND(MOD(M97,1)&gt;=15/24,MOD(M97,1)&lt;23/24),"Shift B","Shift C"))))</f>
        <v/>
      </c>
      <c r="O97">
        <f>IF(B97="","",IF(IFERROR(ISNUMBER(SEARCH(TEXT(B97,"0"),VLOOKUP(E97,Machine_List!$B:$J,9,0))),FALSE),"✅ "&amp; E97,"❌ Sug: "&amp;IFERROR(INDEX(Machine_List!$B$64:$B$71,MATCH(1,(Machine_List!$H$64:$H$71&lt;=IFERROR(VLOOKUP($B97,OPR_BR1!$A$4:$K$18,10,0),0))*(Machine_List!$I$64:$I$71&gt;=IFERROR(VLOOKUP($B97,OPR_BR1!$A$4:$K$18,11,0),9999)),0)),"?")))</f>
        <v/>
      </c>
      <c r="P97">
        <f>IF(AND($A97&lt;&gt;"",P$3&gt;=$J97,P$3&lt;=$M97),1,"")</f>
        <v/>
      </c>
      <c r="Q97">
        <f>IF(AND($A97&lt;&gt;"",Q$3&gt;=$J97,Q$3&lt;=$M97),1,"")</f>
        <v/>
      </c>
      <c r="R97">
        <f>IF(AND($A97&lt;&gt;"",R$3&gt;=$J97,R$3&lt;=$M97),1,"")</f>
        <v/>
      </c>
      <c r="S97">
        <f>IF(AND($A97&lt;&gt;"",S$3&gt;=$J97,S$3&lt;=$M97),1,"")</f>
        <v/>
      </c>
      <c r="T97">
        <f>IF(AND($A97&lt;&gt;"",T$3&gt;=$J97,T$3&lt;=$M97),1,"")</f>
        <v/>
      </c>
      <c r="U97">
        <f>IF(AND($A97&lt;&gt;"",U$3&gt;=$J97,U$3&lt;=$M97),1,"")</f>
        <v/>
      </c>
      <c r="V97">
        <f>IF(AND($A97&lt;&gt;"",V$3&gt;=$J97,V$3&lt;=$M97),1,"")</f>
        <v/>
      </c>
      <c r="W97">
        <f>IF(AND($A97&lt;&gt;"",W$3&gt;=$J97,W$3&lt;=$M97),1,"")</f>
        <v/>
      </c>
      <c r="X97">
        <f>IF(AND($A97&lt;&gt;"",X$3&gt;=$J97,X$3&lt;=$M97),1,"")</f>
        <v/>
      </c>
      <c r="Y97">
        <f>IF(AND($A97&lt;&gt;"",Y$3&gt;=$J97,Y$3&lt;=$M97),1,"")</f>
        <v/>
      </c>
      <c r="Z97">
        <f>IF(AND($A97&lt;&gt;"",Z$3&gt;=$J97,Z$3&lt;=$M97),1,"")</f>
        <v/>
      </c>
      <c r="AA97">
        <f>IF(AND($A97&lt;&gt;"",AA$3&gt;=$J97,AA$3&lt;=$M97),1,"")</f>
        <v/>
      </c>
      <c r="AB97">
        <f>IF(AND($A97&lt;&gt;"",AB$3&gt;=$J97,AB$3&lt;=$M97),1,"")</f>
        <v/>
      </c>
      <c r="AC97">
        <f>IF(AND($A97&lt;&gt;"",AC$3&gt;=$J97,AC$3&lt;=$M97),1,"")</f>
        <v/>
      </c>
      <c r="AD97">
        <f>IF(AND($A97&lt;&gt;"",AD$3&gt;=$J97,AD$3&lt;=$M97),1,"")</f>
        <v/>
      </c>
      <c r="AE97">
        <f>IF(AND($A97&lt;&gt;"",AE$3&gt;=$J97,AE$3&lt;=$M97),1,"")</f>
        <v/>
      </c>
      <c r="AF97">
        <f>IF(AND($A97&lt;&gt;"",AF$3&gt;=$J97,AF$3&lt;=$M97),1,"")</f>
        <v/>
      </c>
      <c r="AG97">
        <f>IF(AND($A97&lt;&gt;"",AG$3&gt;=$J97,AG$3&lt;=$M97),1,"")</f>
        <v/>
      </c>
      <c r="AH97">
        <f>IF(AND($A97&lt;&gt;"",AH$3&gt;=$J97,AH$3&lt;=$M97),1,"")</f>
        <v/>
      </c>
      <c r="AI97">
        <f>IF(AND($A97&lt;&gt;"",AI$3&gt;=$J97,AI$3&lt;=$M97),1,"")</f>
        <v/>
      </c>
      <c r="AJ97">
        <f>IF(AND($A97&lt;&gt;"",AJ$3&gt;=$J97,AJ$3&lt;=$M97),1,"")</f>
        <v/>
      </c>
      <c r="AK97">
        <f>IF(AND($A97&lt;&gt;"",AK$3&gt;=$J97,AK$3&lt;=$M97),1,"")</f>
        <v/>
      </c>
      <c r="AL97">
        <f>IF(AND($A97&lt;&gt;"",AL$3&gt;=$J97,AL$3&lt;=$M97),1,"")</f>
        <v/>
      </c>
      <c r="AM97">
        <f>IF(AND($A97&lt;&gt;"",AM$3&gt;=$J97,AM$3&lt;=$M97),1,"")</f>
        <v/>
      </c>
      <c r="AN97">
        <f>IF(AND($A97&lt;&gt;"",AN$3&gt;=$J97,AN$3&lt;=$M97),1,"")</f>
        <v/>
      </c>
      <c r="AO97">
        <f>IF(AND($A97&lt;&gt;"",AO$3&gt;=$J97,AO$3&lt;=$M97),1,"")</f>
        <v/>
      </c>
      <c r="AP97">
        <f>IF(AND($A97&lt;&gt;"",AP$3&gt;=$J97,AP$3&lt;=$M97),1,"")</f>
        <v/>
      </c>
      <c r="AQ97">
        <f>IF(AND($A97&lt;&gt;"",AQ$3&gt;=$J97,AQ$3&lt;=$M97),1,"")</f>
        <v/>
      </c>
      <c r="AR97">
        <f>IF(AND($A97&lt;&gt;"",AR$3&gt;=$J97,AR$3&lt;=$M97),1,"")</f>
        <v/>
      </c>
      <c r="AS97">
        <f>IF(AND($A97&lt;&gt;"",AS$3&gt;=$J97,AS$3&lt;=$M97),1,"")</f>
        <v/>
      </c>
      <c r="AT97">
        <f>IF(AND($A97&lt;&gt;"",AT$3&gt;=$J97,AT$3&lt;=$M97),1,"")</f>
        <v/>
      </c>
      <c r="AU97">
        <f>IF(AND($A97&lt;&gt;"",AU$3&gt;=$J97,AU$3&lt;=$M97),1,"")</f>
        <v/>
      </c>
      <c r="AV97">
        <f>IF(AND($A97&lt;&gt;"",AV$3&gt;=$J97,AV$3&lt;=$M97),1,"")</f>
        <v/>
      </c>
      <c r="AW97">
        <f>IF(AND($A97&lt;&gt;"",AW$3&gt;=$J97,AW$3&lt;=$M97),1,"")</f>
        <v/>
      </c>
      <c r="AX97">
        <f>IF(AND($A97&lt;&gt;"",AX$3&gt;=$J97,AX$3&lt;=$M97),1,"")</f>
        <v/>
      </c>
      <c r="AY97">
        <f>IF(AND($A97&lt;&gt;"",AY$3&gt;=$J97,AY$3&lt;=$M97),1,"")</f>
        <v/>
      </c>
      <c r="AZ97">
        <f>IF(AND($A97&lt;&gt;"",AZ$3&gt;=$J97,AZ$3&lt;=$M97),1,"")</f>
        <v/>
      </c>
      <c r="BA97">
        <f>IF(AND($A97&lt;&gt;"",BA$3&gt;=$J97,BA$3&lt;=$M97),1,"")</f>
        <v/>
      </c>
      <c r="BB97">
        <f>IF(AND($A97&lt;&gt;"",BB$3&gt;=$J97,BB$3&lt;=$M97),1,"")</f>
        <v/>
      </c>
      <c r="BC97">
        <f>IF(AND($A97&lt;&gt;"",BC$3&gt;=$J97,BC$3&lt;=$M97),1,"")</f>
        <v/>
      </c>
      <c r="BD97">
        <f>IF(AND($A97&lt;&gt;"",BD$3&gt;=$J97,BD$3&lt;=$M97),1,"")</f>
        <v/>
      </c>
      <c r="BE97">
        <f>IF(AND($A97&lt;&gt;"",BE$3&gt;=$J97,BE$3&lt;=$M97),1,"")</f>
        <v/>
      </c>
      <c r="BF97">
        <f>IF(AND($A97&lt;&gt;"",BF$3&gt;=$J97,BF$3&lt;=$M97),1,"")</f>
        <v/>
      </c>
      <c r="BG97">
        <f>IF(AND($A97&lt;&gt;"",BG$3&gt;=$J97,BG$3&lt;=$M97),1,"")</f>
        <v/>
      </c>
      <c r="BH97">
        <f>IF(AND($A97&lt;&gt;"",BH$3&gt;=$J97,BH$3&lt;=$M97),1,"")</f>
        <v/>
      </c>
      <c r="BI97">
        <f>IF(AND($A97&lt;&gt;"",BI$3&gt;=$J97,BI$3&lt;=$M97),1,"")</f>
        <v/>
      </c>
      <c r="BJ97">
        <f>IF(AND($A97&lt;&gt;"",BJ$3&gt;=$J97,BJ$3&lt;=$M97),1,"")</f>
        <v/>
      </c>
      <c r="BK97">
        <f>IF(AND($A97&lt;&gt;"",BK$3&gt;=$J97,BK$3&lt;=$M97),1,"")</f>
        <v/>
      </c>
      <c r="BL97">
        <f>IF(AND($A97&lt;&gt;"",BL$3&gt;=$J97,BL$3&lt;=$M97),1,"")</f>
        <v/>
      </c>
      <c r="BM97">
        <f>IF(AND($A97&lt;&gt;"",BM$3&gt;=$J97,BM$3&lt;=$M97),1,"")</f>
        <v/>
      </c>
      <c r="BN97">
        <f>IF(AND($A97&lt;&gt;"",BN$3&gt;=$J97,BN$3&lt;=$M97),1,"")</f>
        <v/>
      </c>
      <c r="BO97">
        <f>IF(AND($A97&lt;&gt;"",BO$3&gt;=$J97,BO$3&lt;=$M97),1,"")</f>
        <v/>
      </c>
      <c r="BP97">
        <f>IF(AND($A97&lt;&gt;"",BP$3&gt;=$J97,BP$3&lt;=$M97),1,"")</f>
        <v/>
      </c>
      <c r="BQ97">
        <f>IF(AND($A97&lt;&gt;"",BQ$3&gt;=$J97,BQ$3&lt;=$M97),1,"")</f>
        <v/>
      </c>
      <c r="BR97">
        <f>IF(AND($A97&lt;&gt;"",BR$3&gt;=$J97,BR$3&lt;=$M97),1,"")</f>
        <v/>
      </c>
      <c r="BS97">
        <f>IF(AND($A97&lt;&gt;"",BS$3&gt;=$J97,BS$3&lt;=$M97),1,"")</f>
        <v/>
      </c>
      <c r="BT97">
        <f>IF(AND($A97&lt;&gt;"",BT$3&gt;=$J97,BT$3&lt;=$M97),1,"")</f>
        <v/>
      </c>
      <c r="BU97">
        <f>IF(AND($A97&lt;&gt;"",BU$3&gt;=$J97,BU$3&lt;=$M97),1,"")</f>
        <v/>
      </c>
      <c r="BV97">
        <f>IF(AND($A97&lt;&gt;"",BV$3&gt;=$J97,BV$3&lt;=$M97),1,"")</f>
        <v/>
      </c>
    </row>
    <row r="98">
      <c r="A98">
        <f>IF(Job_Master_Ring!$A98="","",Job_Master_Ring!$A98)</f>
        <v/>
      </c>
      <c r="B98">
        <f>IF($A98="","",Job_Master_Ring!B98)</f>
        <v/>
      </c>
      <c r="C98">
        <f>IF($A98="","",Job_Master_Ring!C98)</f>
        <v/>
      </c>
      <c r="D98">
        <f>IF($A98="","",Job_Master_Ring!D98)</f>
        <v/>
      </c>
      <c r="E98">
        <f>IF($A98="","",IF($I98&lt;&gt;"",$I98,IFERROR(INDEX(Machine_List!$B$64:$B$71,MATCH(1,(Machine_List!$H$64:$H$71&lt;=IFERROR(VLOOKUP($B98,CHOOSE(MATCH($C98,Settings!$L$4:$L$10,0),OPR_BR1!$A$4:$K$18,OPR_BR2!$A$4:$K$18,OPR_CR2!$A$4:$K$18,OPR_CR3!$A$4:$K$18,OPR_CR4!$A$4:$K$18,OPR_RIM!$A$4:$K$18,OPR_BPR!$A$4:$K$18),10,0),0))*(Machine_List!$I$64:$I$71&gt;=IFERROR(VLOOKUP($B98,CHOOSE(MATCH($C98,Settings!$L$4:$L$10,0),OPR_BR1!$A$4:$K$18,OPR_BR2!$A$4:$K$18,OPR_CR2!$A$4:$K$18,OPR_CR3!$A$4:$K$18,OPR_CR4!$A$4:$K$18,OPR_RIM!$A$4:$K$18,OPR_BPR!$A$4:$K$18),11,0),9999)),0)),"NO COMPATIBLE MACHINE")))</f>
        <v/>
      </c>
      <c r="F98">
        <f>IF($E98="","",IFERROR(VLOOKUP($E98,Machine_List!$B:$G,6,0),""))</f>
        <v/>
      </c>
      <c r="G98" s="17">
        <f>IF($E98="","",IFERROR(VLOOKUP($E98,Machine_List!$B:$C,2,0),""))</f>
        <v/>
      </c>
      <c r="H98">
        <f>IF($E98="","",IFERROR(VLOOKUP($E98,Machine_List!$B:$D,3,0),""))</f>
        <v/>
      </c>
      <c r="J98" s="16">
        <f>IF($A98="","",IF($I98&lt;&gt;"",$I98,MAX(ENG_Plan!$M98,IFERROR(LOOKUP(2,1/($E$3:INDIRECT("E"&amp;(ROW()-1))=$E98),$M$3:INDIRECT("M"&amp;(ROW()-1))),ENG_Plan!$M98))))</f>
        <v/>
      </c>
      <c r="K98">
        <f>IF($A98="","",IFERROR(VLOOKUP(B98,CHOOSE(MATCH($C98,Settings!$L$4:$L$10,0),OPR_BR1!$A$4:$I$18,OPR_BR2!$A$4:$I$18,OPR_CR2!$A$4:$I$18,OPR_CR3!$A$4:$I$18,OPR_CR4!$A$4:$I$18,OPR_RIM!$A$4:$I$18,OPR_BPR!$A$4:$I$18),7,0),0))</f>
        <v/>
      </c>
      <c r="L98">
        <f>IF($A98="","",K98*D98)</f>
        <v/>
      </c>
      <c r="M98" s="16">
        <f>IF($A98="","",IF(AND(ISNUMBER(G98),G98&gt;=J98,G98&lt;=(J98+(L98/(IF(F98="Contract Workman",Settings!$K$5,Settings!$K$4))))),J98+(L98/(IF(F98="Contract Workman",Settings!$K$5,Settings!$K$4)))+(H98/(IF(F98="Contract Workman",Settings!$K$5,Settings!$K$4))),J98+(L98/(IF(F98="Contract Workman",Settings!$K$5,Settings!$K$4)))))</f>
        <v/>
      </c>
      <c r="N98">
        <f>IF($A98="","",IF(F98="Contract Workman",IF(AND(MOD(M98,1)&gt;=8/24,MOD(M98,1)&lt;20/24),"Shift S1","Shift S2"),IF(AND(MOD(M98,1)&gt;=7/24,MOD(M98,1)&lt;15/24),"Shift A",IF(AND(MOD(M98,1)&gt;=15/24,MOD(M98,1)&lt;23/24),"Shift B","Shift C"))))</f>
        <v/>
      </c>
      <c r="O98">
        <f>IF(B98="","",IF(IFERROR(ISNUMBER(SEARCH(TEXT(B98,"0"),VLOOKUP(E98,Machine_List!$B:$J,9,0))),FALSE),"✅ "&amp; E98,"❌ Sug: "&amp;IFERROR(INDEX(Machine_List!$B$64:$B$71,MATCH(1,(Machine_List!$H$64:$H$71&lt;=IFERROR(VLOOKUP($B98,OPR_BR1!$A$4:$K$18,10,0),0))*(Machine_List!$I$64:$I$71&gt;=IFERROR(VLOOKUP($B98,OPR_BR1!$A$4:$K$18,11,0),9999)),0)),"?")))</f>
        <v/>
      </c>
      <c r="P98">
        <f>IF(AND($A98&lt;&gt;"",P$3&gt;=$J98,P$3&lt;=$M98),1,"")</f>
        <v/>
      </c>
      <c r="Q98">
        <f>IF(AND($A98&lt;&gt;"",Q$3&gt;=$J98,Q$3&lt;=$M98),1,"")</f>
        <v/>
      </c>
      <c r="R98">
        <f>IF(AND($A98&lt;&gt;"",R$3&gt;=$J98,R$3&lt;=$M98),1,"")</f>
        <v/>
      </c>
      <c r="S98">
        <f>IF(AND($A98&lt;&gt;"",S$3&gt;=$J98,S$3&lt;=$M98),1,"")</f>
        <v/>
      </c>
      <c r="T98">
        <f>IF(AND($A98&lt;&gt;"",T$3&gt;=$J98,T$3&lt;=$M98),1,"")</f>
        <v/>
      </c>
      <c r="U98">
        <f>IF(AND($A98&lt;&gt;"",U$3&gt;=$J98,U$3&lt;=$M98),1,"")</f>
        <v/>
      </c>
      <c r="V98">
        <f>IF(AND($A98&lt;&gt;"",V$3&gt;=$J98,V$3&lt;=$M98),1,"")</f>
        <v/>
      </c>
      <c r="W98">
        <f>IF(AND($A98&lt;&gt;"",W$3&gt;=$J98,W$3&lt;=$M98),1,"")</f>
        <v/>
      </c>
      <c r="X98">
        <f>IF(AND($A98&lt;&gt;"",X$3&gt;=$J98,X$3&lt;=$M98),1,"")</f>
        <v/>
      </c>
      <c r="Y98">
        <f>IF(AND($A98&lt;&gt;"",Y$3&gt;=$J98,Y$3&lt;=$M98),1,"")</f>
        <v/>
      </c>
      <c r="Z98">
        <f>IF(AND($A98&lt;&gt;"",Z$3&gt;=$J98,Z$3&lt;=$M98),1,"")</f>
        <v/>
      </c>
      <c r="AA98">
        <f>IF(AND($A98&lt;&gt;"",AA$3&gt;=$J98,AA$3&lt;=$M98),1,"")</f>
        <v/>
      </c>
      <c r="AB98">
        <f>IF(AND($A98&lt;&gt;"",AB$3&gt;=$J98,AB$3&lt;=$M98),1,"")</f>
        <v/>
      </c>
      <c r="AC98">
        <f>IF(AND($A98&lt;&gt;"",AC$3&gt;=$J98,AC$3&lt;=$M98),1,"")</f>
        <v/>
      </c>
      <c r="AD98">
        <f>IF(AND($A98&lt;&gt;"",AD$3&gt;=$J98,AD$3&lt;=$M98),1,"")</f>
        <v/>
      </c>
      <c r="AE98">
        <f>IF(AND($A98&lt;&gt;"",AE$3&gt;=$J98,AE$3&lt;=$M98),1,"")</f>
        <v/>
      </c>
      <c r="AF98">
        <f>IF(AND($A98&lt;&gt;"",AF$3&gt;=$J98,AF$3&lt;=$M98),1,"")</f>
        <v/>
      </c>
      <c r="AG98">
        <f>IF(AND($A98&lt;&gt;"",AG$3&gt;=$J98,AG$3&lt;=$M98),1,"")</f>
        <v/>
      </c>
      <c r="AH98">
        <f>IF(AND($A98&lt;&gt;"",AH$3&gt;=$J98,AH$3&lt;=$M98),1,"")</f>
        <v/>
      </c>
      <c r="AI98">
        <f>IF(AND($A98&lt;&gt;"",AI$3&gt;=$J98,AI$3&lt;=$M98),1,"")</f>
        <v/>
      </c>
      <c r="AJ98">
        <f>IF(AND($A98&lt;&gt;"",AJ$3&gt;=$J98,AJ$3&lt;=$M98),1,"")</f>
        <v/>
      </c>
      <c r="AK98">
        <f>IF(AND($A98&lt;&gt;"",AK$3&gt;=$J98,AK$3&lt;=$M98),1,"")</f>
        <v/>
      </c>
      <c r="AL98">
        <f>IF(AND($A98&lt;&gt;"",AL$3&gt;=$J98,AL$3&lt;=$M98),1,"")</f>
        <v/>
      </c>
      <c r="AM98">
        <f>IF(AND($A98&lt;&gt;"",AM$3&gt;=$J98,AM$3&lt;=$M98),1,"")</f>
        <v/>
      </c>
      <c r="AN98">
        <f>IF(AND($A98&lt;&gt;"",AN$3&gt;=$J98,AN$3&lt;=$M98),1,"")</f>
        <v/>
      </c>
      <c r="AO98">
        <f>IF(AND($A98&lt;&gt;"",AO$3&gt;=$J98,AO$3&lt;=$M98),1,"")</f>
        <v/>
      </c>
      <c r="AP98">
        <f>IF(AND($A98&lt;&gt;"",AP$3&gt;=$J98,AP$3&lt;=$M98),1,"")</f>
        <v/>
      </c>
      <c r="AQ98">
        <f>IF(AND($A98&lt;&gt;"",AQ$3&gt;=$J98,AQ$3&lt;=$M98),1,"")</f>
        <v/>
      </c>
      <c r="AR98">
        <f>IF(AND($A98&lt;&gt;"",AR$3&gt;=$J98,AR$3&lt;=$M98),1,"")</f>
        <v/>
      </c>
      <c r="AS98">
        <f>IF(AND($A98&lt;&gt;"",AS$3&gt;=$J98,AS$3&lt;=$M98),1,"")</f>
        <v/>
      </c>
      <c r="AT98">
        <f>IF(AND($A98&lt;&gt;"",AT$3&gt;=$J98,AT$3&lt;=$M98),1,"")</f>
        <v/>
      </c>
      <c r="AU98">
        <f>IF(AND($A98&lt;&gt;"",AU$3&gt;=$J98,AU$3&lt;=$M98),1,"")</f>
        <v/>
      </c>
      <c r="AV98">
        <f>IF(AND($A98&lt;&gt;"",AV$3&gt;=$J98,AV$3&lt;=$M98),1,"")</f>
        <v/>
      </c>
      <c r="AW98">
        <f>IF(AND($A98&lt;&gt;"",AW$3&gt;=$J98,AW$3&lt;=$M98),1,"")</f>
        <v/>
      </c>
      <c r="AX98">
        <f>IF(AND($A98&lt;&gt;"",AX$3&gt;=$J98,AX$3&lt;=$M98),1,"")</f>
        <v/>
      </c>
      <c r="AY98">
        <f>IF(AND($A98&lt;&gt;"",AY$3&gt;=$J98,AY$3&lt;=$M98),1,"")</f>
        <v/>
      </c>
      <c r="AZ98">
        <f>IF(AND($A98&lt;&gt;"",AZ$3&gt;=$J98,AZ$3&lt;=$M98),1,"")</f>
        <v/>
      </c>
      <c r="BA98">
        <f>IF(AND($A98&lt;&gt;"",BA$3&gt;=$J98,BA$3&lt;=$M98),1,"")</f>
        <v/>
      </c>
      <c r="BB98">
        <f>IF(AND($A98&lt;&gt;"",BB$3&gt;=$J98,BB$3&lt;=$M98),1,"")</f>
        <v/>
      </c>
      <c r="BC98">
        <f>IF(AND($A98&lt;&gt;"",BC$3&gt;=$J98,BC$3&lt;=$M98),1,"")</f>
        <v/>
      </c>
      <c r="BD98">
        <f>IF(AND($A98&lt;&gt;"",BD$3&gt;=$J98,BD$3&lt;=$M98),1,"")</f>
        <v/>
      </c>
      <c r="BE98">
        <f>IF(AND($A98&lt;&gt;"",BE$3&gt;=$J98,BE$3&lt;=$M98),1,"")</f>
        <v/>
      </c>
      <c r="BF98">
        <f>IF(AND($A98&lt;&gt;"",BF$3&gt;=$J98,BF$3&lt;=$M98),1,"")</f>
        <v/>
      </c>
      <c r="BG98">
        <f>IF(AND($A98&lt;&gt;"",BG$3&gt;=$J98,BG$3&lt;=$M98),1,"")</f>
        <v/>
      </c>
      <c r="BH98">
        <f>IF(AND($A98&lt;&gt;"",BH$3&gt;=$J98,BH$3&lt;=$M98),1,"")</f>
        <v/>
      </c>
      <c r="BI98">
        <f>IF(AND($A98&lt;&gt;"",BI$3&gt;=$J98,BI$3&lt;=$M98),1,"")</f>
        <v/>
      </c>
      <c r="BJ98">
        <f>IF(AND($A98&lt;&gt;"",BJ$3&gt;=$J98,BJ$3&lt;=$M98),1,"")</f>
        <v/>
      </c>
      <c r="BK98">
        <f>IF(AND($A98&lt;&gt;"",BK$3&gt;=$J98,BK$3&lt;=$M98),1,"")</f>
        <v/>
      </c>
      <c r="BL98">
        <f>IF(AND($A98&lt;&gt;"",BL$3&gt;=$J98,BL$3&lt;=$M98),1,"")</f>
        <v/>
      </c>
      <c r="BM98">
        <f>IF(AND($A98&lt;&gt;"",BM$3&gt;=$J98,BM$3&lt;=$M98),1,"")</f>
        <v/>
      </c>
      <c r="BN98">
        <f>IF(AND($A98&lt;&gt;"",BN$3&gt;=$J98,BN$3&lt;=$M98),1,"")</f>
        <v/>
      </c>
      <c r="BO98">
        <f>IF(AND($A98&lt;&gt;"",BO$3&gt;=$J98,BO$3&lt;=$M98),1,"")</f>
        <v/>
      </c>
      <c r="BP98">
        <f>IF(AND($A98&lt;&gt;"",BP$3&gt;=$J98,BP$3&lt;=$M98),1,"")</f>
        <v/>
      </c>
      <c r="BQ98">
        <f>IF(AND($A98&lt;&gt;"",BQ$3&gt;=$J98,BQ$3&lt;=$M98),1,"")</f>
        <v/>
      </c>
      <c r="BR98">
        <f>IF(AND($A98&lt;&gt;"",BR$3&gt;=$J98,BR$3&lt;=$M98),1,"")</f>
        <v/>
      </c>
      <c r="BS98">
        <f>IF(AND($A98&lt;&gt;"",BS$3&gt;=$J98,BS$3&lt;=$M98),1,"")</f>
        <v/>
      </c>
      <c r="BT98">
        <f>IF(AND($A98&lt;&gt;"",BT$3&gt;=$J98,BT$3&lt;=$M98),1,"")</f>
        <v/>
      </c>
      <c r="BU98">
        <f>IF(AND($A98&lt;&gt;"",BU$3&gt;=$J98,BU$3&lt;=$M98),1,"")</f>
        <v/>
      </c>
      <c r="BV98">
        <f>IF(AND($A98&lt;&gt;"",BV$3&gt;=$J98,BV$3&lt;=$M98),1,"")</f>
        <v/>
      </c>
    </row>
    <row r="99">
      <c r="A99">
        <f>IF(Job_Master_Ring!$A99="","",Job_Master_Ring!$A99)</f>
        <v/>
      </c>
      <c r="B99">
        <f>IF($A99="","",Job_Master_Ring!B99)</f>
        <v/>
      </c>
      <c r="C99">
        <f>IF($A99="","",Job_Master_Ring!C99)</f>
        <v/>
      </c>
      <c r="D99">
        <f>IF($A99="","",Job_Master_Ring!D99)</f>
        <v/>
      </c>
      <c r="E99">
        <f>IF($A99="","",IF($I99&lt;&gt;"",$I99,IFERROR(INDEX(Machine_List!$B$64:$B$71,MATCH(1,(Machine_List!$H$64:$H$71&lt;=IFERROR(VLOOKUP($B99,CHOOSE(MATCH($C99,Settings!$L$4:$L$10,0),OPR_BR1!$A$4:$K$18,OPR_BR2!$A$4:$K$18,OPR_CR2!$A$4:$K$18,OPR_CR3!$A$4:$K$18,OPR_CR4!$A$4:$K$18,OPR_RIM!$A$4:$K$18,OPR_BPR!$A$4:$K$18),10,0),0))*(Machine_List!$I$64:$I$71&gt;=IFERROR(VLOOKUP($B99,CHOOSE(MATCH($C99,Settings!$L$4:$L$10,0),OPR_BR1!$A$4:$K$18,OPR_BR2!$A$4:$K$18,OPR_CR2!$A$4:$K$18,OPR_CR3!$A$4:$K$18,OPR_CR4!$A$4:$K$18,OPR_RIM!$A$4:$K$18,OPR_BPR!$A$4:$K$18),11,0),9999)),0)),"NO COMPATIBLE MACHINE")))</f>
        <v/>
      </c>
      <c r="F99">
        <f>IF($E99="","",IFERROR(VLOOKUP($E99,Machine_List!$B:$G,6,0),""))</f>
        <v/>
      </c>
      <c r="G99" s="17">
        <f>IF($E99="","",IFERROR(VLOOKUP($E99,Machine_List!$B:$C,2,0),""))</f>
        <v/>
      </c>
      <c r="H99">
        <f>IF($E99="","",IFERROR(VLOOKUP($E99,Machine_List!$B:$D,3,0),""))</f>
        <v/>
      </c>
      <c r="J99" s="16">
        <f>IF($A99="","",IF($I99&lt;&gt;"",$I99,MAX(ENG_Plan!$M99,IFERROR(LOOKUP(2,1/($E$3:INDIRECT("E"&amp;(ROW()-1))=$E99),$M$3:INDIRECT("M"&amp;(ROW()-1))),ENG_Plan!$M99))))</f>
        <v/>
      </c>
      <c r="K99">
        <f>IF($A99="","",IFERROR(VLOOKUP(B99,CHOOSE(MATCH($C99,Settings!$L$4:$L$10,0),OPR_BR1!$A$4:$I$18,OPR_BR2!$A$4:$I$18,OPR_CR2!$A$4:$I$18,OPR_CR3!$A$4:$I$18,OPR_CR4!$A$4:$I$18,OPR_RIM!$A$4:$I$18,OPR_BPR!$A$4:$I$18),7,0),0))</f>
        <v/>
      </c>
      <c r="L99">
        <f>IF($A99="","",K99*D99)</f>
        <v/>
      </c>
      <c r="M99" s="16">
        <f>IF($A99="","",IF(AND(ISNUMBER(G99),G99&gt;=J99,G99&lt;=(J99+(L99/(IF(F99="Contract Workman",Settings!$K$5,Settings!$K$4))))),J99+(L99/(IF(F99="Contract Workman",Settings!$K$5,Settings!$K$4)))+(H99/(IF(F99="Contract Workman",Settings!$K$5,Settings!$K$4))),J99+(L99/(IF(F99="Contract Workman",Settings!$K$5,Settings!$K$4)))))</f>
        <v/>
      </c>
      <c r="N99">
        <f>IF($A99="","",IF(F99="Contract Workman",IF(AND(MOD(M99,1)&gt;=8/24,MOD(M99,1)&lt;20/24),"Shift S1","Shift S2"),IF(AND(MOD(M99,1)&gt;=7/24,MOD(M99,1)&lt;15/24),"Shift A",IF(AND(MOD(M99,1)&gt;=15/24,MOD(M99,1)&lt;23/24),"Shift B","Shift C"))))</f>
        <v/>
      </c>
      <c r="O99">
        <f>IF(B99="","",IF(IFERROR(ISNUMBER(SEARCH(TEXT(B99,"0"),VLOOKUP(E99,Machine_List!$B:$J,9,0))),FALSE),"✅ "&amp; E99,"❌ Sug: "&amp;IFERROR(INDEX(Machine_List!$B$64:$B$71,MATCH(1,(Machine_List!$H$64:$H$71&lt;=IFERROR(VLOOKUP($B99,OPR_BR1!$A$4:$K$18,10,0),0))*(Machine_List!$I$64:$I$71&gt;=IFERROR(VLOOKUP($B99,OPR_BR1!$A$4:$K$18,11,0),9999)),0)),"?")))</f>
        <v/>
      </c>
      <c r="P99">
        <f>IF(AND($A99&lt;&gt;"",P$3&gt;=$J99,P$3&lt;=$M99),1,"")</f>
        <v/>
      </c>
      <c r="Q99">
        <f>IF(AND($A99&lt;&gt;"",Q$3&gt;=$J99,Q$3&lt;=$M99),1,"")</f>
        <v/>
      </c>
      <c r="R99">
        <f>IF(AND($A99&lt;&gt;"",R$3&gt;=$J99,R$3&lt;=$M99),1,"")</f>
        <v/>
      </c>
      <c r="S99">
        <f>IF(AND($A99&lt;&gt;"",S$3&gt;=$J99,S$3&lt;=$M99),1,"")</f>
        <v/>
      </c>
      <c r="T99">
        <f>IF(AND($A99&lt;&gt;"",T$3&gt;=$J99,T$3&lt;=$M99),1,"")</f>
        <v/>
      </c>
      <c r="U99">
        <f>IF(AND($A99&lt;&gt;"",U$3&gt;=$J99,U$3&lt;=$M99),1,"")</f>
        <v/>
      </c>
      <c r="V99">
        <f>IF(AND($A99&lt;&gt;"",V$3&gt;=$J99,V$3&lt;=$M99),1,"")</f>
        <v/>
      </c>
      <c r="W99">
        <f>IF(AND($A99&lt;&gt;"",W$3&gt;=$J99,W$3&lt;=$M99),1,"")</f>
        <v/>
      </c>
      <c r="X99">
        <f>IF(AND($A99&lt;&gt;"",X$3&gt;=$J99,X$3&lt;=$M99),1,"")</f>
        <v/>
      </c>
      <c r="Y99">
        <f>IF(AND($A99&lt;&gt;"",Y$3&gt;=$J99,Y$3&lt;=$M99),1,"")</f>
        <v/>
      </c>
      <c r="Z99">
        <f>IF(AND($A99&lt;&gt;"",Z$3&gt;=$J99,Z$3&lt;=$M99),1,"")</f>
        <v/>
      </c>
      <c r="AA99">
        <f>IF(AND($A99&lt;&gt;"",AA$3&gt;=$J99,AA$3&lt;=$M99),1,"")</f>
        <v/>
      </c>
      <c r="AB99">
        <f>IF(AND($A99&lt;&gt;"",AB$3&gt;=$J99,AB$3&lt;=$M99),1,"")</f>
        <v/>
      </c>
      <c r="AC99">
        <f>IF(AND($A99&lt;&gt;"",AC$3&gt;=$J99,AC$3&lt;=$M99),1,"")</f>
        <v/>
      </c>
      <c r="AD99">
        <f>IF(AND($A99&lt;&gt;"",AD$3&gt;=$J99,AD$3&lt;=$M99),1,"")</f>
        <v/>
      </c>
      <c r="AE99">
        <f>IF(AND($A99&lt;&gt;"",AE$3&gt;=$J99,AE$3&lt;=$M99),1,"")</f>
        <v/>
      </c>
      <c r="AF99">
        <f>IF(AND($A99&lt;&gt;"",AF$3&gt;=$J99,AF$3&lt;=$M99),1,"")</f>
        <v/>
      </c>
      <c r="AG99">
        <f>IF(AND($A99&lt;&gt;"",AG$3&gt;=$J99,AG$3&lt;=$M99),1,"")</f>
        <v/>
      </c>
      <c r="AH99">
        <f>IF(AND($A99&lt;&gt;"",AH$3&gt;=$J99,AH$3&lt;=$M99),1,"")</f>
        <v/>
      </c>
      <c r="AI99">
        <f>IF(AND($A99&lt;&gt;"",AI$3&gt;=$J99,AI$3&lt;=$M99),1,"")</f>
        <v/>
      </c>
      <c r="AJ99">
        <f>IF(AND($A99&lt;&gt;"",AJ$3&gt;=$J99,AJ$3&lt;=$M99),1,"")</f>
        <v/>
      </c>
      <c r="AK99">
        <f>IF(AND($A99&lt;&gt;"",AK$3&gt;=$J99,AK$3&lt;=$M99),1,"")</f>
        <v/>
      </c>
      <c r="AL99">
        <f>IF(AND($A99&lt;&gt;"",AL$3&gt;=$J99,AL$3&lt;=$M99),1,"")</f>
        <v/>
      </c>
      <c r="AM99">
        <f>IF(AND($A99&lt;&gt;"",AM$3&gt;=$J99,AM$3&lt;=$M99),1,"")</f>
        <v/>
      </c>
      <c r="AN99">
        <f>IF(AND($A99&lt;&gt;"",AN$3&gt;=$J99,AN$3&lt;=$M99),1,"")</f>
        <v/>
      </c>
      <c r="AO99">
        <f>IF(AND($A99&lt;&gt;"",AO$3&gt;=$J99,AO$3&lt;=$M99),1,"")</f>
        <v/>
      </c>
      <c r="AP99">
        <f>IF(AND($A99&lt;&gt;"",AP$3&gt;=$J99,AP$3&lt;=$M99),1,"")</f>
        <v/>
      </c>
      <c r="AQ99">
        <f>IF(AND($A99&lt;&gt;"",AQ$3&gt;=$J99,AQ$3&lt;=$M99),1,"")</f>
        <v/>
      </c>
      <c r="AR99">
        <f>IF(AND($A99&lt;&gt;"",AR$3&gt;=$J99,AR$3&lt;=$M99),1,"")</f>
        <v/>
      </c>
      <c r="AS99">
        <f>IF(AND($A99&lt;&gt;"",AS$3&gt;=$J99,AS$3&lt;=$M99),1,"")</f>
        <v/>
      </c>
      <c r="AT99">
        <f>IF(AND($A99&lt;&gt;"",AT$3&gt;=$J99,AT$3&lt;=$M99),1,"")</f>
        <v/>
      </c>
      <c r="AU99">
        <f>IF(AND($A99&lt;&gt;"",AU$3&gt;=$J99,AU$3&lt;=$M99),1,"")</f>
        <v/>
      </c>
      <c r="AV99">
        <f>IF(AND($A99&lt;&gt;"",AV$3&gt;=$J99,AV$3&lt;=$M99),1,"")</f>
        <v/>
      </c>
      <c r="AW99">
        <f>IF(AND($A99&lt;&gt;"",AW$3&gt;=$J99,AW$3&lt;=$M99),1,"")</f>
        <v/>
      </c>
      <c r="AX99">
        <f>IF(AND($A99&lt;&gt;"",AX$3&gt;=$J99,AX$3&lt;=$M99),1,"")</f>
        <v/>
      </c>
      <c r="AY99">
        <f>IF(AND($A99&lt;&gt;"",AY$3&gt;=$J99,AY$3&lt;=$M99),1,"")</f>
        <v/>
      </c>
      <c r="AZ99">
        <f>IF(AND($A99&lt;&gt;"",AZ$3&gt;=$J99,AZ$3&lt;=$M99),1,"")</f>
        <v/>
      </c>
      <c r="BA99">
        <f>IF(AND($A99&lt;&gt;"",BA$3&gt;=$J99,BA$3&lt;=$M99),1,"")</f>
        <v/>
      </c>
      <c r="BB99">
        <f>IF(AND($A99&lt;&gt;"",BB$3&gt;=$J99,BB$3&lt;=$M99),1,"")</f>
        <v/>
      </c>
      <c r="BC99">
        <f>IF(AND($A99&lt;&gt;"",BC$3&gt;=$J99,BC$3&lt;=$M99),1,"")</f>
        <v/>
      </c>
      <c r="BD99">
        <f>IF(AND($A99&lt;&gt;"",BD$3&gt;=$J99,BD$3&lt;=$M99),1,"")</f>
        <v/>
      </c>
      <c r="BE99">
        <f>IF(AND($A99&lt;&gt;"",BE$3&gt;=$J99,BE$3&lt;=$M99),1,"")</f>
        <v/>
      </c>
      <c r="BF99">
        <f>IF(AND($A99&lt;&gt;"",BF$3&gt;=$J99,BF$3&lt;=$M99),1,"")</f>
        <v/>
      </c>
      <c r="BG99">
        <f>IF(AND($A99&lt;&gt;"",BG$3&gt;=$J99,BG$3&lt;=$M99),1,"")</f>
        <v/>
      </c>
      <c r="BH99">
        <f>IF(AND($A99&lt;&gt;"",BH$3&gt;=$J99,BH$3&lt;=$M99),1,"")</f>
        <v/>
      </c>
      <c r="BI99">
        <f>IF(AND($A99&lt;&gt;"",BI$3&gt;=$J99,BI$3&lt;=$M99),1,"")</f>
        <v/>
      </c>
      <c r="BJ99">
        <f>IF(AND($A99&lt;&gt;"",BJ$3&gt;=$J99,BJ$3&lt;=$M99),1,"")</f>
        <v/>
      </c>
      <c r="BK99">
        <f>IF(AND($A99&lt;&gt;"",BK$3&gt;=$J99,BK$3&lt;=$M99),1,"")</f>
        <v/>
      </c>
      <c r="BL99">
        <f>IF(AND($A99&lt;&gt;"",BL$3&gt;=$J99,BL$3&lt;=$M99),1,"")</f>
        <v/>
      </c>
      <c r="BM99">
        <f>IF(AND($A99&lt;&gt;"",BM$3&gt;=$J99,BM$3&lt;=$M99),1,"")</f>
        <v/>
      </c>
      <c r="BN99">
        <f>IF(AND($A99&lt;&gt;"",BN$3&gt;=$J99,BN$3&lt;=$M99),1,"")</f>
        <v/>
      </c>
      <c r="BO99">
        <f>IF(AND($A99&lt;&gt;"",BO$3&gt;=$J99,BO$3&lt;=$M99),1,"")</f>
        <v/>
      </c>
      <c r="BP99">
        <f>IF(AND($A99&lt;&gt;"",BP$3&gt;=$J99,BP$3&lt;=$M99),1,"")</f>
        <v/>
      </c>
      <c r="BQ99">
        <f>IF(AND($A99&lt;&gt;"",BQ$3&gt;=$J99,BQ$3&lt;=$M99),1,"")</f>
        <v/>
      </c>
      <c r="BR99">
        <f>IF(AND($A99&lt;&gt;"",BR$3&gt;=$J99,BR$3&lt;=$M99),1,"")</f>
        <v/>
      </c>
      <c r="BS99">
        <f>IF(AND($A99&lt;&gt;"",BS$3&gt;=$J99,BS$3&lt;=$M99),1,"")</f>
        <v/>
      </c>
      <c r="BT99">
        <f>IF(AND($A99&lt;&gt;"",BT$3&gt;=$J99,BT$3&lt;=$M99),1,"")</f>
        <v/>
      </c>
      <c r="BU99">
        <f>IF(AND($A99&lt;&gt;"",BU$3&gt;=$J99,BU$3&lt;=$M99),1,"")</f>
        <v/>
      </c>
      <c r="BV99">
        <f>IF(AND($A99&lt;&gt;"",BV$3&gt;=$J99,BV$3&lt;=$M99),1,"")</f>
        <v/>
      </c>
    </row>
    <row r="100">
      <c r="A100">
        <f>IF(Job_Master_Ring!$A100="","",Job_Master_Ring!$A100)</f>
        <v/>
      </c>
      <c r="B100">
        <f>IF($A100="","",Job_Master_Ring!B100)</f>
        <v/>
      </c>
      <c r="C100">
        <f>IF($A100="","",Job_Master_Ring!C100)</f>
        <v/>
      </c>
      <c r="D100">
        <f>IF($A100="","",Job_Master_Ring!D100)</f>
        <v/>
      </c>
      <c r="E100">
        <f>IF($A100="","",IF($I100&lt;&gt;"",$I100,IFERROR(INDEX(Machine_List!$B$64:$B$71,MATCH(1,(Machine_List!$H$64:$H$71&lt;=IFERROR(VLOOKUP($B100,CHOOSE(MATCH($C100,Settings!$L$4:$L$10,0),OPR_BR1!$A$4:$K$18,OPR_BR2!$A$4:$K$18,OPR_CR2!$A$4:$K$18,OPR_CR3!$A$4:$K$18,OPR_CR4!$A$4:$K$18,OPR_RIM!$A$4:$K$18,OPR_BPR!$A$4:$K$18),10,0),0))*(Machine_List!$I$64:$I$71&gt;=IFERROR(VLOOKUP($B100,CHOOSE(MATCH($C100,Settings!$L$4:$L$10,0),OPR_BR1!$A$4:$K$18,OPR_BR2!$A$4:$K$18,OPR_CR2!$A$4:$K$18,OPR_CR3!$A$4:$K$18,OPR_CR4!$A$4:$K$18,OPR_RIM!$A$4:$K$18,OPR_BPR!$A$4:$K$18),11,0),9999)),0)),"NO COMPATIBLE MACHINE")))</f>
        <v/>
      </c>
      <c r="F100">
        <f>IF($E100="","",IFERROR(VLOOKUP($E100,Machine_List!$B:$G,6,0),""))</f>
        <v/>
      </c>
      <c r="G100" s="17">
        <f>IF($E100="","",IFERROR(VLOOKUP($E100,Machine_List!$B:$C,2,0),""))</f>
        <v/>
      </c>
      <c r="H100">
        <f>IF($E100="","",IFERROR(VLOOKUP($E100,Machine_List!$B:$D,3,0),""))</f>
        <v/>
      </c>
      <c r="J100" s="16">
        <f>IF($A100="","",IF($I100&lt;&gt;"",$I100,MAX(ENG_Plan!$M100,IFERROR(LOOKUP(2,1/($E$3:INDIRECT("E"&amp;(ROW()-1))=$E100),$M$3:INDIRECT("M"&amp;(ROW()-1))),ENG_Plan!$M100))))</f>
        <v/>
      </c>
      <c r="K100">
        <f>IF($A100="","",IFERROR(VLOOKUP(B100,CHOOSE(MATCH($C100,Settings!$L$4:$L$10,0),OPR_BR1!$A$4:$I$18,OPR_BR2!$A$4:$I$18,OPR_CR2!$A$4:$I$18,OPR_CR3!$A$4:$I$18,OPR_CR4!$A$4:$I$18,OPR_RIM!$A$4:$I$18,OPR_BPR!$A$4:$I$18),7,0),0))</f>
        <v/>
      </c>
      <c r="L100">
        <f>IF($A100="","",K100*D100)</f>
        <v/>
      </c>
      <c r="M100" s="16">
        <f>IF($A100="","",IF(AND(ISNUMBER(G100),G100&gt;=J100,G100&lt;=(J100+(L100/(IF(F100="Contract Workman",Settings!$K$5,Settings!$K$4))))),J100+(L100/(IF(F100="Contract Workman",Settings!$K$5,Settings!$K$4)))+(H100/(IF(F100="Contract Workman",Settings!$K$5,Settings!$K$4))),J100+(L100/(IF(F100="Contract Workman",Settings!$K$5,Settings!$K$4)))))</f>
        <v/>
      </c>
      <c r="N100">
        <f>IF($A100="","",IF(F100="Contract Workman",IF(AND(MOD(M100,1)&gt;=8/24,MOD(M100,1)&lt;20/24),"Shift S1","Shift S2"),IF(AND(MOD(M100,1)&gt;=7/24,MOD(M100,1)&lt;15/24),"Shift A",IF(AND(MOD(M100,1)&gt;=15/24,MOD(M100,1)&lt;23/24),"Shift B","Shift C"))))</f>
        <v/>
      </c>
      <c r="O100">
        <f>IF(B100="","",IF(IFERROR(ISNUMBER(SEARCH(TEXT(B100,"0"),VLOOKUP(E100,Machine_List!$B:$J,9,0))),FALSE),"✅ "&amp; E100,"❌ Sug: "&amp;IFERROR(INDEX(Machine_List!$B$64:$B$71,MATCH(1,(Machine_List!$H$64:$H$71&lt;=IFERROR(VLOOKUP($B100,OPR_BR1!$A$4:$K$18,10,0),0))*(Machine_List!$I$64:$I$71&gt;=IFERROR(VLOOKUP($B100,OPR_BR1!$A$4:$K$18,11,0),9999)),0)),"?")))</f>
        <v/>
      </c>
      <c r="P100">
        <f>IF(AND($A100&lt;&gt;"",P$3&gt;=$J100,P$3&lt;=$M100),1,"")</f>
        <v/>
      </c>
      <c r="Q100">
        <f>IF(AND($A100&lt;&gt;"",Q$3&gt;=$J100,Q$3&lt;=$M100),1,"")</f>
        <v/>
      </c>
      <c r="R100">
        <f>IF(AND($A100&lt;&gt;"",R$3&gt;=$J100,R$3&lt;=$M100),1,"")</f>
        <v/>
      </c>
      <c r="S100">
        <f>IF(AND($A100&lt;&gt;"",S$3&gt;=$J100,S$3&lt;=$M100),1,"")</f>
        <v/>
      </c>
      <c r="T100">
        <f>IF(AND($A100&lt;&gt;"",T$3&gt;=$J100,T$3&lt;=$M100),1,"")</f>
        <v/>
      </c>
      <c r="U100">
        <f>IF(AND($A100&lt;&gt;"",U$3&gt;=$J100,U$3&lt;=$M100),1,"")</f>
        <v/>
      </c>
      <c r="V100">
        <f>IF(AND($A100&lt;&gt;"",V$3&gt;=$J100,V$3&lt;=$M100),1,"")</f>
        <v/>
      </c>
      <c r="W100">
        <f>IF(AND($A100&lt;&gt;"",W$3&gt;=$J100,W$3&lt;=$M100),1,"")</f>
        <v/>
      </c>
      <c r="X100">
        <f>IF(AND($A100&lt;&gt;"",X$3&gt;=$J100,X$3&lt;=$M100),1,"")</f>
        <v/>
      </c>
      <c r="Y100">
        <f>IF(AND($A100&lt;&gt;"",Y$3&gt;=$J100,Y$3&lt;=$M100),1,"")</f>
        <v/>
      </c>
      <c r="Z100">
        <f>IF(AND($A100&lt;&gt;"",Z$3&gt;=$J100,Z$3&lt;=$M100),1,"")</f>
        <v/>
      </c>
      <c r="AA100">
        <f>IF(AND($A100&lt;&gt;"",AA$3&gt;=$J100,AA$3&lt;=$M100),1,"")</f>
        <v/>
      </c>
      <c r="AB100">
        <f>IF(AND($A100&lt;&gt;"",AB$3&gt;=$J100,AB$3&lt;=$M100),1,"")</f>
        <v/>
      </c>
      <c r="AC100">
        <f>IF(AND($A100&lt;&gt;"",AC$3&gt;=$J100,AC$3&lt;=$M100),1,"")</f>
        <v/>
      </c>
      <c r="AD100">
        <f>IF(AND($A100&lt;&gt;"",AD$3&gt;=$J100,AD$3&lt;=$M100),1,"")</f>
        <v/>
      </c>
      <c r="AE100">
        <f>IF(AND($A100&lt;&gt;"",AE$3&gt;=$J100,AE$3&lt;=$M100),1,"")</f>
        <v/>
      </c>
      <c r="AF100">
        <f>IF(AND($A100&lt;&gt;"",AF$3&gt;=$J100,AF$3&lt;=$M100),1,"")</f>
        <v/>
      </c>
      <c r="AG100">
        <f>IF(AND($A100&lt;&gt;"",AG$3&gt;=$J100,AG$3&lt;=$M100),1,"")</f>
        <v/>
      </c>
      <c r="AH100">
        <f>IF(AND($A100&lt;&gt;"",AH$3&gt;=$J100,AH$3&lt;=$M100),1,"")</f>
        <v/>
      </c>
      <c r="AI100">
        <f>IF(AND($A100&lt;&gt;"",AI$3&gt;=$J100,AI$3&lt;=$M100),1,"")</f>
        <v/>
      </c>
      <c r="AJ100">
        <f>IF(AND($A100&lt;&gt;"",AJ$3&gt;=$J100,AJ$3&lt;=$M100),1,"")</f>
        <v/>
      </c>
      <c r="AK100">
        <f>IF(AND($A100&lt;&gt;"",AK$3&gt;=$J100,AK$3&lt;=$M100),1,"")</f>
        <v/>
      </c>
      <c r="AL100">
        <f>IF(AND($A100&lt;&gt;"",AL$3&gt;=$J100,AL$3&lt;=$M100),1,"")</f>
        <v/>
      </c>
      <c r="AM100">
        <f>IF(AND($A100&lt;&gt;"",AM$3&gt;=$J100,AM$3&lt;=$M100),1,"")</f>
        <v/>
      </c>
      <c r="AN100">
        <f>IF(AND($A100&lt;&gt;"",AN$3&gt;=$J100,AN$3&lt;=$M100),1,"")</f>
        <v/>
      </c>
      <c r="AO100">
        <f>IF(AND($A100&lt;&gt;"",AO$3&gt;=$J100,AO$3&lt;=$M100),1,"")</f>
        <v/>
      </c>
      <c r="AP100">
        <f>IF(AND($A100&lt;&gt;"",AP$3&gt;=$J100,AP$3&lt;=$M100),1,"")</f>
        <v/>
      </c>
      <c r="AQ100">
        <f>IF(AND($A100&lt;&gt;"",AQ$3&gt;=$J100,AQ$3&lt;=$M100),1,"")</f>
        <v/>
      </c>
      <c r="AR100">
        <f>IF(AND($A100&lt;&gt;"",AR$3&gt;=$J100,AR$3&lt;=$M100),1,"")</f>
        <v/>
      </c>
      <c r="AS100">
        <f>IF(AND($A100&lt;&gt;"",AS$3&gt;=$J100,AS$3&lt;=$M100),1,"")</f>
        <v/>
      </c>
      <c r="AT100">
        <f>IF(AND($A100&lt;&gt;"",AT$3&gt;=$J100,AT$3&lt;=$M100),1,"")</f>
        <v/>
      </c>
      <c r="AU100">
        <f>IF(AND($A100&lt;&gt;"",AU$3&gt;=$J100,AU$3&lt;=$M100),1,"")</f>
        <v/>
      </c>
      <c r="AV100">
        <f>IF(AND($A100&lt;&gt;"",AV$3&gt;=$J100,AV$3&lt;=$M100),1,"")</f>
        <v/>
      </c>
      <c r="AW100">
        <f>IF(AND($A100&lt;&gt;"",AW$3&gt;=$J100,AW$3&lt;=$M100),1,"")</f>
        <v/>
      </c>
      <c r="AX100">
        <f>IF(AND($A100&lt;&gt;"",AX$3&gt;=$J100,AX$3&lt;=$M100),1,"")</f>
        <v/>
      </c>
      <c r="AY100">
        <f>IF(AND($A100&lt;&gt;"",AY$3&gt;=$J100,AY$3&lt;=$M100),1,"")</f>
        <v/>
      </c>
      <c r="AZ100">
        <f>IF(AND($A100&lt;&gt;"",AZ$3&gt;=$J100,AZ$3&lt;=$M100),1,"")</f>
        <v/>
      </c>
      <c r="BA100">
        <f>IF(AND($A100&lt;&gt;"",BA$3&gt;=$J100,BA$3&lt;=$M100),1,"")</f>
        <v/>
      </c>
      <c r="BB100">
        <f>IF(AND($A100&lt;&gt;"",BB$3&gt;=$J100,BB$3&lt;=$M100),1,"")</f>
        <v/>
      </c>
      <c r="BC100">
        <f>IF(AND($A100&lt;&gt;"",BC$3&gt;=$J100,BC$3&lt;=$M100),1,"")</f>
        <v/>
      </c>
      <c r="BD100">
        <f>IF(AND($A100&lt;&gt;"",BD$3&gt;=$J100,BD$3&lt;=$M100),1,"")</f>
        <v/>
      </c>
      <c r="BE100">
        <f>IF(AND($A100&lt;&gt;"",BE$3&gt;=$J100,BE$3&lt;=$M100),1,"")</f>
        <v/>
      </c>
      <c r="BF100">
        <f>IF(AND($A100&lt;&gt;"",BF$3&gt;=$J100,BF$3&lt;=$M100),1,"")</f>
        <v/>
      </c>
      <c r="BG100">
        <f>IF(AND($A100&lt;&gt;"",BG$3&gt;=$J100,BG$3&lt;=$M100),1,"")</f>
        <v/>
      </c>
      <c r="BH100">
        <f>IF(AND($A100&lt;&gt;"",BH$3&gt;=$J100,BH$3&lt;=$M100),1,"")</f>
        <v/>
      </c>
      <c r="BI100">
        <f>IF(AND($A100&lt;&gt;"",BI$3&gt;=$J100,BI$3&lt;=$M100),1,"")</f>
        <v/>
      </c>
      <c r="BJ100">
        <f>IF(AND($A100&lt;&gt;"",BJ$3&gt;=$J100,BJ$3&lt;=$M100),1,"")</f>
        <v/>
      </c>
      <c r="BK100">
        <f>IF(AND($A100&lt;&gt;"",BK$3&gt;=$J100,BK$3&lt;=$M100),1,"")</f>
        <v/>
      </c>
      <c r="BL100">
        <f>IF(AND($A100&lt;&gt;"",BL$3&gt;=$J100,BL$3&lt;=$M100),1,"")</f>
        <v/>
      </c>
      <c r="BM100">
        <f>IF(AND($A100&lt;&gt;"",BM$3&gt;=$J100,BM$3&lt;=$M100),1,"")</f>
        <v/>
      </c>
      <c r="BN100">
        <f>IF(AND($A100&lt;&gt;"",BN$3&gt;=$J100,BN$3&lt;=$M100),1,"")</f>
        <v/>
      </c>
      <c r="BO100">
        <f>IF(AND($A100&lt;&gt;"",BO$3&gt;=$J100,BO$3&lt;=$M100),1,"")</f>
        <v/>
      </c>
      <c r="BP100">
        <f>IF(AND($A100&lt;&gt;"",BP$3&gt;=$J100,BP$3&lt;=$M100),1,"")</f>
        <v/>
      </c>
      <c r="BQ100">
        <f>IF(AND($A100&lt;&gt;"",BQ$3&gt;=$J100,BQ$3&lt;=$M100),1,"")</f>
        <v/>
      </c>
      <c r="BR100">
        <f>IF(AND($A100&lt;&gt;"",BR$3&gt;=$J100,BR$3&lt;=$M100),1,"")</f>
        <v/>
      </c>
      <c r="BS100">
        <f>IF(AND($A100&lt;&gt;"",BS$3&gt;=$J100,BS$3&lt;=$M100),1,"")</f>
        <v/>
      </c>
      <c r="BT100">
        <f>IF(AND($A100&lt;&gt;"",BT$3&gt;=$J100,BT$3&lt;=$M100),1,"")</f>
        <v/>
      </c>
      <c r="BU100">
        <f>IF(AND($A100&lt;&gt;"",BU$3&gt;=$J100,BU$3&lt;=$M100),1,"")</f>
        <v/>
      </c>
      <c r="BV100">
        <f>IF(AND($A100&lt;&gt;"",BV$3&gt;=$J100,BV$3&lt;=$M100),1,"")</f>
        <v/>
      </c>
    </row>
    <row r="101">
      <c r="A101">
        <f>IF(Job_Master_Ring!$A101="","",Job_Master_Ring!$A101)</f>
        <v/>
      </c>
      <c r="B101">
        <f>IF($A101="","",Job_Master_Ring!B101)</f>
        <v/>
      </c>
      <c r="C101">
        <f>IF($A101="","",Job_Master_Ring!C101)</f>
        <v/>
      </c>
      <c r="D101">
        <f>IF($A101="","",Job_Master_Ring!D101)</f>
        <v/>
      </c>
      <c r="E101">
        <f>IF($A101="","",IF($I101&lt;&gt;"",$I101,IFERROR(INDEX(Machine_List!$B$64:$B$71,MATCH(1,(Machine_List!$H$64:$H$71&lt;=IFERROR(VLOOKUP($B101,CHOOSE(MATCH($C101,Settings!$L$4:$L$10,0),OPR_BR1!$A$4:$K$18,OPR_BR2!$A$4:$K$18,OPR_CR2!$A$4:$K$18,OPR_CR3!$A$4:$K$18,OPR_CR4!$A$4:$K$18,OPR_RIM!$A$4:$K$18,OPR_BPR!$A$4:$K$18),10,0),0))*(Machine_List!$I$64:$I$71&gt;=IFERROR(VLOOKUP($B101,CHOOSE(MATCH($C101,Settings!$L$4:$L$10,0),OPR_BR1!$A$4:$K$18,OPR_BR2!$A$4:$K$18,OPR_CR2!$A$4:$K$18,OPR_CR3!$A$4:$K$18,OPR_CR4!$A$4:$K$18,OPR_RIM!$A$4:$K$18,OPR_BPR!$A$4:$K$18),11,0),9999)),0)),"NO COMPATIBLE MACHINE")))</f>
        <v/>
      </c>
      <c r="F101">
        <f>IF($E101="","",IFERROR(VLOOKUP($E101,Machine_List!$B:$G,6,0),""))</f>
        <v/>
      </c>
      <c r="G101" s="17">
        <f>IF($E101="","",IFERROR(VLOOKUP($E101,Machine_List!$B:$C,2,0),""))</f>
        <v/>
      </c>
      <c r="H101">
        <f>IF($E101="","",IFERROR(VLOOKUP($E101,Machine_List!$B:$D,3,0),""))</f>
        <v/>
      </c>
      <c r="J101" s="16">
        <f>IF($A101="","",IF($I101&lt;&gt;"",$I101,MAX(ENG_Plan!$M101,IFERROR(LOOKUP(2,1/($E$3:INDIRECT("E"&amp;(ROW()-1))=$E101),$M$3:INDIRECT("M"&amp;(ROW()-1))),ENG_Plan!$M101))))</f>
        <v/>
      </c>
      <c r="K101">
        <f>IF($A101="","",IFERROR(VLOOKUP(B101,CHOOSE(MATCH($C101,Settings!$L$4:$L$10,0),OPR_BR1!$A$4:$I$18,OPR_BR2!$A$4:$I$18,OPR_CR2!$A$4:$I$18,OPR_CR3!$A$4:$I$18,OPR_CR4!$A$4:$I$18,OPR_RIM!$A$4:$I$18,OPR_BPR!$A$4:$I$18),7,0),0))</f>
        <v/>
      </c>
      <c r="L101">
        <f>IF($A101="","",K101*D101)</f>
        <v/>
      </c>
      <c r="M101" s="16">
        <f>IF($A101="","",IF(AND(ISNUMBER(G101),G101&gt;=J101,G101&lt;=(J101+(L101/(IF(F101="Contract Workman",Settings!$K$5,Settings!$K$4))))),J101+(L101/(IF(F101="Contract Workman",Settings!$K$5,Settings!$K$4)))+(H101/(IF(F101="Contract Workman",Settings!$K$5,Settings!$K$4))),J101+(L101/(IF(F101="Contract Workman",Settings!$K$5,Settings!$K$4)))))</f>
        <v/>
      </c>
      <c r="N101">
        <f>IF($A101="","",IF(F101="Contract Workman",IF(AND(MOD(M101,1)&gt;=8/24,MOD(M101,1)&lt;20/24),"Shift S1","Shift S2"),IF(AND(MOD(M101,1)&gt;=7/24,MOD(M101,1)&lt;15/24),"Shift A",IF(AND(MOD(M101,1)&gt;=15/24,MOD(M101,1)&lt;23/24),"Shift B","Shift C"))))</f>
        <v/>
      </c>
      <c r="O101">
        <f>IF(B101="","",IF(IFERROR(ISNUMBER(SEARCH(TEXT(B101,"0"),VLOOKUP(E101,Machine_List!$B:$J,9,0))),FALSE),"✅ "&amp; E101,"❌ Sug: "&amp;IFERROR(INDEX(Machine_List!$B$64:$B$71,MATCH(1,(Machine_List!$H$64:$H$71&lt;=IFERROR(VLOOKUP($B101,OPR_BR1!$A$4:$K$18,10,0),0))*(Machine_List!$I$64:$I$71&gt;=IFERROR(VLOOKUP($B101,OPR_BR1!$A$4:$K$18,11,0),9999)),0)),"?")))</f>
        <v/>
      </c>
      <c r="P101">
        <f>IF(AND($A101&lt;&gt;"",P$3&gt;=$J101,P$3&lt;=$M101),1,"")</f>
        <v/>
      </c>
      <c r="Q101">
        <f>IF(AND($A101&lt;&gt;"",Q$3&gt;=$J101,Q$3&lt;=$M101),1,"")</f>
        <v/>
      </c>
      <c r="R101">
        <f>IF(AND($A101&lt;&gt;"",R$3&gt;=$J101,R$3&lt;=$M101),1,"")</f>
        <v/>
      </c>
      <c r="S101">
        <f>IF(AND($A101&lt;&gt;"",S$3&gt;=$J101,S$3&lt;=$M101),1,"")</f>
        <v/>
      </c>
      <c r="T101">
        <f>IF(AND($A101&lt;&gt;"",T$3&gt;=$J101,T$3&lt;=$M101),1,"")</f>
        <v/>
      </c>
      <c r="U101">
        <f>IF(AND($A101&lt;&gt;"",U$3&gt;=$J101,U$3&lt;=$M101),1,"")</f>
        <v/>
      </c>
      <c r="V101">
        <f>IF(AND($A101&lt;&gt;"",V$3&gt;=$J101,V$3&lt;=$M101),1,"")</f>
        <v/>
      </c>
      <c r="W101">
        <f>IF(AND($A101&lt;&gt;"",W$3&gt;=$J101,W$3&lt;=$M101),1,"")</f>
        <v/>
      </c>
      <c r="X101">
        <f>IF(AND($A101&lt;&gt;"",X$3&gt;=$J101,X$3&lt;=$M101),1,"")</f>
        <v/>
      </c>
      <c r="Y101">
        <f>IF(AND($A101&lt;&gt;"",Y$3&gt;=$J101,Y$3&lt;=$M101),1,"")</f>
        <v/>
      </c>
      <c r="Z101">
        <f>IF(AND($A101&lt;&gt;"",Z$3&gt;=$J101,Z$3&lt;=$M101),1,"")</f>
        <v/>
      </c>
      <c r="AA101">
        <f>IF(AND($A101&lt;&gt;"",AA$3&gt;=$J101,AA$3&lt;=$M101),1,"")</f>
        <v/>
      </c>
      <c r="AB101">
        <f>IF(AND($A101&lt;&gt;"",AB$3&gt;=$J101,AB$3&lt;=$M101),1,"")</f>
        <v/>
      </c>
      <c r="AC101">
        <f>IF(AND($A101&lt;&gt;"",AC$3&gt;=$J101,AC$3&lt;=$M101),1,"")</f>
        <v/>
      </c>
      <c r="AD101">
        <f>IF(AND($A101&lt;&gt;"",AD$3&gt;=$J101,AD$3&lt;=$M101),1,"")</f>
        <v/>
      </c>
      <c r="AE101">
        <f>IF(AND($A101&lt;&gt;"",AE$3&gt;=$J101,AE$3&lt;=$M101),1,"")</f>
        <v/>
      </c>
      <c r="AF101">
        <f>IF(AND($A101&lt;&gt;"",AF$3&gt;=$J101,AF$3&lt;=$M101),1,"")</f>
        <v/>
      </c>
      <c r="AG101">
        <f>IF(AND($A101&lt;&gt;"",AG$3&gt;=$J101,AG$3&lt;=$M101),1,"")</f>
        <v/>
      </c>
      <c r="AH101">
        <f>IF(AND($A101&lt;&gt;"",AH$3&gt;=$J101,AH$3&lt;=$M101),1,"")</f>
        <v/>
      </c>
      <c r="AI101">
        <f>IF(AND($A101&lt;&gt;"",AI$3&gt;=$J101,AI$3&lt;=$M101),1,"")</f>
        <v/>
      </c>
      <c r="AJ101">
        <f>IF(AND($A101&lt;&gt;"",AJ$3&gt;=$J101,AJ$3&lt;=$M101),1,"")</f>
        <v/>
      </c>
      <c r="AK101">
        <f>IF(AND($A101&lt;&gt;"",AK$3&gt;=$J101,AK$3&lt;=$M101),1,"")</f>
        <v/>
      </c>
      <c r="AL101">
        <f>IF(AND($A101&lt;&gt;"",AL$3&gt;=$J101,AL$3&lt;=$M101),1,"")</f>
        <v/>
      </c>
      <c r="AM101">
        <f>IF(AND($A101&lt;&gt;"",AM$3&gt;=$J101,AM$3&lt;=$M101),1,"")</f>
        <v/>
      </c>
      <c r="AN101">
        <f>IF(AND($A101&lt;&gt;"",AN$3&gt;=$J101,AN$3&lt;=$M101),1,"")</f>
        <v/>
      </c>
      <c r="AO101">
        <f>IF(AND($A101&lt;&gt;"",AO$3&gt;=$J101,AO$3&lt;=$M101),1,"")</f>
        <v/>
      </c>
      <c r="AP101">
        <f>IF(AND($A101&lt;&gt;"",AP$3&gt;=$J101,AP$3&lt;=$M101),1,"")</f>
        <v/>
      </c>
      <c r="AQ101">
        <f>IF(AND($A101&lt;&gt;"",AQ$3&gt;=$J101,AQ$3&lt;=$M101),1,"")</f>
        <v/>
      </c>
      <c r="AR101">
        <f>IF(AND($A101&lt;&gt;"",AR$3&gt;=$J101,AR$3&lt;=$M101),1,"")</f>
        <v/>
      </c>
      <c r="AS101">
        <f>IF(AND($A101&lt;&gt;"",AS$3&gt;=$J101,AS$3&lt;=$M101),1,"")</f>
        <v/>
      </c>
      <c r="AT101">
        <f>IF(AND($A101&lt;&gt;"",AT$3&gt;=$J101,AT$3&lt;=$M101),1,"")</f>
        <v/>
      </c>
      <c r="AU101">
        <f>IF(AND($A101&lt;&gt;"",AU$3&gt;=$J101,AU$3&lt;=$M101),1,"")</f>
        <v/>
      </c>
      <c r="AV101">
        <f>IF(AND($A101&lt;&gt;"",AV$3&gt;=$J101,AV$3&lt;=$M101),1,"")</f>
        <v/>
      </c>
      <c r="AW101">
        <f>IF(AND($A101&lt;&gt;"",AW$3&gt;=$J101,AW$3&lt;=$M101),1,"")</f>
        <v/>
      </c>
      <c r="AX101">
        <f>IF(AND($A101&lt;&gt;"",AX$3&gt;=$J101,AX$3&lt;=$M101),1,"")</f>
        <v/>
      </c>
      <c r="AY101">
        <f>IF(AND($A101&lt;&gt;"",AY$3&gt;=$J101,AY$3&lt;=$M101),1,"")</f>
        <v/>
      </c>
      <c r="AZ101">
        <f>IF(AND($A101&lt;&gt;"",AZ$3&gt;=$J101,AZ$3&lt;=$M101),1,"")</f>
        <v/>
      </c>
      <c r="BA101">
        <f>IF(AND($A101&lt;&gt;"",BA$3&gt;=$J101,BA$3&lt;=$M101),1,"")</f>
        <v/>
      </c>
      <c r="BB101">
        <f>IF(AND($A101&lt;&gt;"",BB$3&gt;=$J101,BB$3&lt;=$M101),1,"")</f>
        <v/>
      </c>
      <c r="BC101">
        <f>IF(AND($A101&lt;&gt;"",BC$3&gt;=$J101,BC$3&lt;=$M101),1,"")</f>
        <v/>
      </c>
      <c r="BD101">
        <f>IF(AND($A101&lt;&gt;"",BD$3&gt;=$J101,BD$3&lt;=$M101),1,"")</f>
        <v/>
      </c>
      <c r="BE101">
        <f>IF(AND($A101&lt;&gt;"",BE$3&gt;=$J101,BE$3&lt;=$M101),1,"")</f>
        <v/>
      </c>
      <c r="BF101">
        <f>IF(AND($A101&lt;&gt;"",BF$3&gt;=$J101,BF$3&lt;=$M101),1,"")</f>
        <v/>
      </c>
      <c r="BG101">
        <f>IF(AND($A101&lt;&gt;"",BG$3&gt;=$J101,BG$3&lt;=$M101),1,"")</f>
        <v/>
      </c>
      <c r="BH101">
        <f>IF(AND($A101&lt;&gt;"",BH$3&gt;=$J101,BH$3&lt;=$M101),1,"")</f>
        <v/>
      </c>
      <c r="BI101">
        <f>IF(AND($A101&lt;&gt;"",BI$3&gt;=$J101,BI$3&lt;=$M101),1,"")</f>
        <v/>
      </c>
      <c r="BJ101">
        <f>IF(AND($A101&lt;&gt;"",BJ$3&gt;=$J101,BJ$3&lt;=$M101),1,"")</f>
        <v/>
      </c>
      <c r="BK101">
        <f>IF(AND($A101&lt;&gt;"",BK$3&gt;=$J101,BK$3&lt;=$M101),1,"")</f>
        <v/>
      </c>
      <c r="BL101">
        <f>IF(AND($A101&lt;&gt;"",BL$3&gt;=$J101,BL$3&lt;=$M101),1,"")</f>
        <v/>
      </c>
      <c r="BM101">
        <f>IF(AND($A101&lt;&gt;"",BM$3&gt;=$J101,BM$3&lt;=$M101),1,"")</f>
        <v/>
      </c>
      <c r="BN101">
        <f>IF(AND($A101&lt;&gt;"",BN$3&gt;=$J101,BN$3&lt;=$M101),1,"")</f>
        <v/>
      </c>
      <c r="BO101">
        <f>IF(AND($A101&lt;&gt;"",BO$3&gt;=$J101,BO$3&lt;=$M101),1,"")</f>
        <v/>
      </c>
      <c r="BP101">
        <f>IF(AND($A101&lt;&gt;"",BP$3&gt;=$J101,BP$3&lt;=$M101),1,"")</f>
        <v/>
      </c>
      <c r="BQ101">
        <f>IF(AND($A101&lt;&gt;"",BQ$3&gt;=$J101,BQ$3&lt;=$M101),1,"")</f>
        <v/>
      </c>
      <c r="BR101">
        <f>IF(AND($A101&lt;&gt;"",BR$3&gt;=$J101,BR$3&lt;=$M101),1,"")</f>
        <v/>
      </c>
      <c r="BS101">
        <f>IF(AND($A101&lt;&gt;"",BS$3&gt;=$J101,BS$3&lt;=$M101),1,"")</f>
        <v/>
      </c>
      <c r="BT101">
        <f>IF(AND($A101&lt;&gt;"",BT$3&gt;=$J101,BT$3&lt;=$M101),1,"")</f>
        <v/>
      </c>
      <c r="BU101">
        <f>IF(AND($A101&lt;&gt;"",BU$3&gt;=$J101,BU$3&lt;=$M101),1,"")</f>
        <v/>
      </c>
      <c r="BV101">
        <f>IF(AND($A101&lt;&gt;"",BV$3&gt;=$J101,BV$3&lt;=$M101),1,"")</f>
        <v/>
      </c>
    </row>
    <row r="102">
      <c r="A102">
        <f>IF(Job_Master_Ring!$A102="","",Job_Master_Ring!$A102)</f>
        <v/>
      </c>
      <c r="B102">
        <f>IF($A102="","",Job_Master_Ring!B102)</f>
        <v/>
      </c>
      <c r="C102">
        <f>IF($A102="","",Job_Master_Ring!C102)</f>
        <v/>
      </c>
      <c r="D102">
        <f>IF($A102="","",Job_Master_Ring!D102)</f>
        <v/>
      </c>
      <c r="E102">
        <f>IF($A102="","",IF($I102&lt;&gt;"",$I102,IFERROR(INDEX(Machine_List!$B$64:$B$71,MATCH(1,(Machine_List!$H$64:$H$71&lt;=IFERROR(VLOOKUP($B102,CHOOSE(MATCH($C102,Settings!$L$4:$L$10,0),OPR_BR1!$A$4:$K$18,OPR_BR2!$A$4:$K$18,OPR_CR2!$A$4:$K$18,OPR_CR3!$A$4:$K$18,OPR_CR4!$A$4:$K$18,OPR_RIM!$A$4:$K$18,OPR_BPR!$A$4:$K$18),10,0),0))*(Machine_List!$I$64:$I$71&gt;=IFERROR(VLOOKUP($B102,CHOOSE(MATCH($C102,Settings!$L$4:$L$10,0),OPR_BR1!$A$4:$K$18,OPR_BR2!$A$4:$K$18,OPR_CR2!$A$4:$K$18,OPR_CR3!$A$4:$K$18,OPR_CR4!$A$4:$K$18,OPR_RIM!$A$4:$K$18,OPR_BPR!$A$4:$K$18),11,0),9999)),0)),"NO COMPATIBLE MACHINE")))</f>
        <v/>
      </c>
      <c r="F102">
        <f>IF($E102="","",IFERROR(VLOOKUP($E102,Machine_List!$B:$G,6,0),""))</f>
        <v/>
      </c>
      <c r="G102" s="17">
        <f>IF($E102="","",IFERROR(VLOOKUP($E102,Machine_List!$B:$C,2,0),""))</f>
        <v/>
      </c>
      <c r="H102">
        <f>IF($E102="","",IFERROR(VLOOKUP($E102,Machine_List!$B:$D,3,0),""))</f>
        <v/>
      </c>
      <c r="J102" s="16">
        <f>IF($A102="","",IF($I102&lt;&gt;"",$I102,MAX(ENG_Plan!$M102,IFERROR(LOOKUP(2,1/($E$3:INDIRECT("E"&amp;(ROW()-1))=$E102),$M$3:INDIRECT("M"&amp;(ROW()-1))),ENG_Plan!$M102))))</f>
        <v/>
      </c>
      <c r="K102">
        <f>IF($A102="","",IFERROR(VLOOKUP(B102,CHOOSE(MATCH($C102,Settings!$L$4:$L$10,0),OPR_BR1!$A$4:$I$18,OPR_BR2!$A$4:$I$18,OPR_CR2!$A$4:$I$18,OPR_CR3!$A$4:$I$18,OPR_CR4!$A$4:$I$18,OPR_RIM!$A$4:$I$18,OPR_BPR!$A$4:$I$18),7,0),0))</f>
        <v/>
      </c>
      <c r="L102">
        <f>IF($A102="","",K102*D102)</f>
        <v/>
      </c>
      <c r="M102" s="16">
        <f>IF($A102="","",IF(AND(ISNUMBER(G102),G102&gt;=J102,G102&lt;=(J102+(L102/(IF(F102="Contract Workman",Settings!$K$5,Settings!$K$4))))),J102+(L102/(IF(F102="Contract Workman",Settings!$K$5,Settings!$K$4)))+(H102/(IF(F102="Contract Workman",Settings!$K$5,Settings!$K$4))),J102+(L102/(IF(F102="Contract Workman",Settings!$K$5,Settings!$K$4)))))</f>
        <v/>
      </c>
      <c r="N102">
        <f>IF($A102="","",IF(F102="Contract Workman",IF(AND(MOD(M102,1)&gt;=8/24,MOD(M102,1)&lt;20/24),"Shift S1","Shift S2"),IF(AND(MOD(M102,1)&gt;=7/24,MOD(M102,1)&lt;15/24),"Shift A",IF(AND(MOD(M102,1)&gt;=15/24,MOD(M102,1)&lt;23/24),"Shift B","Shift C"))))</f>
        <v/>
      </c>
      <c r="O102">
        <f>IF(B102="","",IF(IFERROR(ISNUMBER(SEARCH(TEXT(B102,"0"),VLOOKUP(E102,Machine_List!$B:$J,9,0))),FALSE),"✅ "&amp; E102,"❌ Sug: "&amp;IFERROR(INDEX(Machine_List!$B$64:$B$71,MATCH(1,(Machine_List!$H$64:$H$71&lt;=IFERROR(VLOOKUP($B102,OPR_BR1!$A$4:$K$18,10,0),0))*(Machine_List!$I$64:$I$71&gt;=IFERROR(VLOOKUP($B102,OPR_BR1!$A$4:$K$18,11,0),9999)),0)),"?")))</f>
        <v/>
      </c>
      <c r="P102">
        <f>IF(AND($A102&lt;&gt;"",P$3&gt;=$J102,P$3&lt;=$M102),1,"")</f>
        <v/>
      </c>
      <c r="Q102">
        <f>IF(AND($A102&lt;&gt;"",Q$3&gt;=$J102,Q$3&lt;=$M102),1,"")</f>
        <v/>
      </c>
      <c r="R102">
        <f>IF(AND($A102&lt;&gt;"",R$3&gt;=$J102,R$3&lt;=$M102),1,"")</f>
        <v/>
      </c>
      <c r="S102">
        <f>IF(AND($A102&lt;&gt;"",S$3&gt;=$J102,S$3&lt;=$M102),1,"")</f>
        <v/>
      </c>
      <c r="T102">
        <f>IF(AND($A102&lt;&gt;"",T$3&gt;=$J102,T$3&lt;=$M102),1,"")</f>
        <v/>
      </c>
      <c r="U102">
        <f>IF(AND($A102&lt;&gt;"",U$3&gt;=$J102,U$3&lt;=$M102),1,"")</f>
        <v/>
      </c>
      <c r="V102">
        <f>IF(AND($A102&lt;&gt;"",V$3&gt;=$J102,V$3&lt;=$M102),1,"")</f>
        <v/>
      </c>
      <c r="W102">
        <f>IF(AND($A102&lt;&gt;"",W$3&gt;=$J102,W$3&lt;=$M102),1,"")</f>
        <v/>
      </c>
      <c r="X102">
        <f>IF(AND($A102&lt;&gt;"",X$3&gt;=$J102,X$3&lt;=$M102),1,"")</f>
        <v/>
      </c>
      <c r="Y102">
        <f>IF(AND($A102&lt;&gt;"",Y$3&gt;=$J102,Y$3&lt;=$M102),1,"")</f>
        <v/>
      </c>
      <c r="Z102">
        <f>IF(AND($A102&lt;&gt;"",Z$3&gt;=$J102,Z$3&lt;=$M102),1,"")</f>
        <v/>
      </c>
      <c r="AA102">
        <f>IF(AND($A102&lt;&gt;"",AA$3&gt;=$J102,AA$3&lt;=$M102),1,"")</f>
        <v/>
      </c>
      <c r="AB102">
        <f>IF(AND($A102&lt;&gt;"",AB$3&gt;=$J102,AB$3&lt;=$M102),1,"")</f>
        <v/>
      </c>
      <c r="AC102">
        <f>IF(AND($A102&lt;&gt;"",AC$3&gt;=$J102,AC$3&lt;=$M102),1,"")</f>
        <v/>
      </c>
      <c r="AD102">
        <f>IF(AND($A102&lt;&gt;"",AD$3&gt;=$J102,AD$3&lt;=$M102),1,"")</f>
        <v/>
      </c>
      <c r="AE102">
        <f>IF(AND($A102&lt;&gt;"",AE$3&gt;=$J102,AE$3&lt;=$M102),1,"")</f>
        <v/>
      </c>
      <c r="AF102">
        <f>IF(AND($A102&lt;&gt;"",AF$3&gt;=$J102,AF$3&lt;=$M102),1,"")</f>
        <v/>
      </c>
      <c r="AG102">
        <f>IF(AND($A102&lt;&gt;"",AG$3&gt;=$J102,AG$3&lt;=$M102),1,"")</f>
        <v/>
      </c>
      <c r="AH102">
        <f>IF(AND($A102&lt;&gt;"",AH$3&gt;=$J102,AH$3&lt;=$M102),1,"")</f>
        <v/>
      </c>
      <c r="AI102">
        <f>IF(AND($A102&lt;&gt;"",AI$3&gt;=$J102,AI$3&lt;=$M102),1,"")</f>
        <v/>
      </c>
      <c r="AJ102">
        <f>IF(AND($A102&lt;&gt;"",AJ$3&gt;=$J102,AJ$3&lt;=$M102),1,"")</f>
        <v/>
      </c>
      <c r="AK102">
        <f>IF(AND($A102&lt;&gt;"",AK$3&gt;=$J102,AK$3&lt;=$M102),1,"")</f>
        <v/>
      </c>
      <c r="AL102">
        <f>IF(AND($A102&lt;&gt;"",AL$3&gt;=$J102,AL$3&lt;=$M102),1,"")</f>
        <v/>
      </c>
      <c r="AM102">
        <f>IF(AND($A102&lt;&gt;"",AM$3&gt;=$J102,AM$3&lt;=$M102),1,"")</f>
        <v/>
      </c>
      <c r="AN102">
        <f>IF(AND($A102&lt;&gt;"",AN$3&gt;=$J102,AN$3&lt;=$M102),1,"")</f>
        <v/>
      </c>
      <c r="AO102">
        <f>IF(AND($A102&lt;&gt;"",AO$3&gt;=$J102,AO$3&lt;=$M102),1,"")</f>
        <v/>
      </c>
      <c r="AP102">
        <f>IF(AND($A102&lt;&gt;"",AP$3&gt;=$J102,AP$3&lt;=$M102),1,"")</f>
        <v/>
      </c>
      <c r="AQ102">
        <f>IF(AND($A102&lt;&gt;"",AQ$3&gt;=$J102,AQ$3&lt;=$M102),1,"")</f>
        <v/>
      </c>
      <c r="AR102">
        <f>IF(AND($A102&lt;&gt;"",AR$3&gt;=$J102,AR$3&lt;=$M102),1,"")</f>
        <v/>
      </c>
      <c r="AS102">
        <f>IF(AND($A102&lt;&gt;"",AS$3&gt;=$J102,AS$3&lt;=$M102),1,"")</f>
        <v/>
      </c>
      <c r="AT102">
        <f>IF(AND($A102&lt;&gt;"",AT$3&gt;=$J102,AT$3&lt;=$M102),1,"")</f>
        <v/>
      </c>
      <c r="AU102">
        <f>IF(AND($A102&lt;&gt;"",AU$3&gt;=$J102,AU$3&lt;=$M102),1,"")</f>
        <v/>
      </c>
      <c r="AV102">
        <f>IF(AND($A102&lt;&gt;"",AV$3&gt;=$J102,AV$3&lt;=$M102),1,"")</f>
        <v/>
      </c>
      <c r="AW102">
        <f>IF(AND($A102&lt;&gt;"",AW$3&gt;=$J102,AW$3&lt;=$M102),1,"")</f>
        <v/>
      </c>
      <c r="AX102">
        <f>IF(AND($A102&lt;&gt;"",AX$3&gt;=$J102,AX$3&lt;=$M102),1,"")</f>
        <v/>
      </c>
      <c r="AY102">
        <f>IF(AND($A102&lt;&gt;"",AY$3&gt;=$J102,AY$3&lt;=$M102),1,"")</f>
        <v/>
      </c>
      <c r="AZ102">
        <f>IF(AND($A102&lt;&gt;"",AZ$3&gt;=$J102,AZ$3&lt;=$M102),1,"")</f>
        <v/>
      </c>
      <c r="BA102">
        <f>IF(AND($A102&lt;&gt;"",BA$3&gt;=$J102,BA$3&lt;=$M102),1,"")</f>
        <v/>
      </c>
      <c r="BB102">
        <f>IF(AND($A102&lt;&gt;"",BB$3&gt;=$J102,BB$3&lt;=$M102),1,"")</f>
        <v/>
      </c>
      <c r="BC102">
        <f>IF(AND($A102&lt;&gt;"",BC$3&gt;=$J102,BC$3&lt;=$M102),1,"")</f>
        <v/>
      </c>
      <c r="BD102">
        <f>IF(AND($A102&lt;&gt;"",BD$3&gt;=$J102,BD$3&lt;=$M102),1,"")</f>
        <v/>
      </c>
      <c r="BE102">
        <f>IF(AND($A102&lt;&gt;"",BE$3&gt;=$J102,BE$3&lt;=$M102),1,"")</f>
        <v/>
      </c>
      <c r="BF102">
        <f>IF(AND($A102&lt;&gt;"",BF$3&gt;=$J102,BF$3&lt;=$M102),1,"")</f>
        <v/>
      </c>
      <c r="BG102">
        <f>IF(AND($A102&lt;&gt;"",BG$3&gt;=$J102,BG$3&lt;=$M102),1,"")</f>
        <v/>
      </c>
      <c r="BH102">
        <f>IF(AND($A102&lt;&gt;"",BH$3&gt;=$J102,BH$3&lt;=$M102),1,"")</f>
        <v/>
      </c>
      <c r="BI102">
        <f>IF(AND($A102&lt;&gt;"",BI$3&gt;=$J102,BI$3&lt;=$M102),1,"")</f>
        <v/>
      </c>
      <c r="BJ102">
        <f>IF(AND($A102&lt;&gt;"",BJ$3&gt;=$J102,BJ$3&lt;=$M102),1,"")</f>
        <v/>
      </c>
      <c r="BK102">
        <f>IF(AND($A102&lt;&gt;"",BK$3&gt;=$J102,BK$3&lt;=$M102),1,"")</f>
        <v/>
      </c>
      <c r="BL102">
        <f>IF(AND($A102&lt;&gt;"",BL$3&gt;=$J102,BL$3&lt;=$M102),1,"")</f>
        <v/>
      </c>
      <c r="BM102">
        <f>IF(AND($A102&lt;&gt;"",BM$3&gt;=$J102,BM$3&lt;=$M102),1,"")</f>
        <v/>
      </c>
      <c r="BN102">
        <f>IF(AND($A102&lt;&gt;"",BN$3&gt;=$J102,BN$3&lt;=$M102),1,"")</f>
        <v/>
      </c>
      <c r="BO102">
        <f>IF(AND($A102&lt;&gt;"",BO$3&gt;=$J102,BO$3&lt;=$M102),1,"")</f>
        <v/>
      </c>
      <c r="BP102">
        <f>IF(AND($A102&lt;&gt;"",BP$3&gt;=$J102,BP$3&lt;=$M102),1,"")</f>
        <v/>
      </c>
      <c r="BQ102">
        <f>IF(AND($A102&lt;&gt;"",BQ$3&gt;=$J102,BQ$3&lt;=$M102),1,"")</f>
        <v/>
      </c>
      <c r="BR102">
        <f>IF(AND($A102&lt;&gt;"",BR$3&gt;=$J102,BR$3&lt;=$M102),1,"")</f>
        <v/>
      </c>
      <c r="BS102">
        <f>IF(AND($A102&lt;&gt;"",BS$3&gt;=$J102,BS$3&lt;=$M102),1,"")</f>
        <v/>
      </c>
      <c r="BT102">
        <f>IF(AND($A102&lt;&gt;"",BT$3&gt;=$J102,BT$3&lt;=$M102),1,"")</f>
        <v/>
      </c>
      <c r="BU102">
        <f>IF(AND($A102&lt;&gt;"",BU$3&gt;=$J102,BU$3&lt;=$M102),1,"")</f>
        <v/>
      </c>
      <c r="BV102">
        <f>IF(AND($A102&lt;&gt;"",BV$3&gt;=$J102,BV$3&lt;=$M102),1,"")</f>
        <v/>
      </c>
    </row>
    <row r="103">
      <c r="A103">
        <f>IF(Job_Master_Ring!$A103="","",Job_Master_Ring!$A103)</f>
        <v/>
      </c>
      <c r="B103">
        <f>IF($A103="","",Job_Master_Ring!B103)</f>
        <v/>
      </c>
      <c r="C103">
        <f>IF($A103="","",Job_Master_Ring!C103)</f>
        <v/>
      </c>
      <c r="D103">
        <f>IF($A103="","",Job_Master_Ring!D103)</f>
        <v/>
      </c>
      <c r="E103">
        <f>IF($A103="","",IF($I103&lt;&gt;"",$I103,IFERROR(INDEX(Machine_List!$B$64:$B$71,MATCH(1,(Machine_List!$H$64:$H$71&lt;=IFERROR(VLOOKUP($B103,CHOOSE(MATCH($C103,Settings!$L$4:$L$10,0),OPR_BR1!$A$4:$K$18,OPR_BR2!$A$4:$K$18,OPR_CR2!$A$4:$K$18,OPR_CR3!$A$4:$K$18,OPR_CR4!$A$4:$K$18,OPR_RIM!$A$4:$K$18,OPR_BPR!$A$4:$K$18),10,0),0))*(Machine_List!$I$64:$I$71&gt;=IFERROR(VLOOKUP($B103,CHOOSE(MATCH($C103,Settings!$L$4:$L$10,0),OPR_BR1!$A$4:$K$18,OPR_BR2!$A$4:$K$18,OPR_CR2!$A$4:$K$18,OPR_CR3!$A$4:$K$18,OPR_CR4!$A$4:$K$18,OPR_RIM!$A$4:$K$18,OPR_BPR!$A$4:$K$18),11,0),9999)),0)),"NO COMPATIBLE MACHINE")))</f>
        <v/>
      </c>
      <c r="F103">
        <f>IF($E103="","",IFERROR(VLOOKUP($E103,Machine_List!$B:$G,6,0),""))</f>
        <v/>
      </c>
      <c r="G103" s="17">
        <f>IF($E103="","",IFERROR(VLOOKUP($E103,Machine_List!$B:$C,2,0),""))</f>
        <v/>
      </c>
      <c r="H103">
        <f>IF($E103="","",IFERROR(VLOOKUP($E103,Machine_List!$B:$D,3,0),""))</f>
        <v/>
      </c>
      <c r="J103" s="16">
        <f>IF($A103="","",IF($I103&lt;&gt;"",$I103,MAX(ENG_Plan!$M103,IFERROR(LOOKUP(2,1/($E$3:INDIRECT("E"&amp;(ROW()-1))=$E103),$M$3:INDIRECT("M"&amp;(ROW()-1))),ENG_Plan!$M103))))</f>
        <v/>
      </c>
      <c r="K103">
        <f>IF($A103="","",IFERROR(VLOOKUP(B103,CHOOSE(MATCH($C103,Settings!$L$4:$L$10,0),OPR_BR1!$A$4:$I$18,OPR_BR2!$A$4:$I$18,OPR_CR2!$A$4:$I$18,OPR_CR3!$A$4:$I$18,OPR_CR4!$A$4:$I$18,OPR_RIM!$A$4:$I$18,OPR_BPR!$A$4:$I$18),7,0),0))</f>
        <v/>
      </c>
      <c r="L103">
        <f>IF($A103="","",K103*D103)</f>
        <v/>
      </c>
      <c r="M103" s="16">
        <f>IF($A103="","",IF(AND(ISNUMBER(G103),G103&gt;=J103,G103&lt;=(J103+(L103/(IF(F103="Contract Workman",Settings!$K$5,Settings!$K$4))))),J103+(L103/(IF(F103="Contract Workman",Settings!$K$5,Settings!$K$4)))+(H103/(IF(F103="Contract Workman",Settings!$K$5,Settings!$K$4))),J103+(L103/(IF(F103="Contract Workman",Settings!$K$5,Settings!$K$4)))))</f>
        <v/>
      </c>
      <c r="N103">
        <f>IF($A103="","",IF(F103="Contract Workman",IF(AND(MOD(M103,1)&gt;=8/24,MOD(M103,1)&lt;20/24),"Shift S1","Shift S2"),IF(AND(MOD(M103,1)&gt;=7/24,MOD(M103,1)&lt;15/24),"Shift A",IF(AND(MOD(M103,1)&gt;=15/24,MOD(M103,1)&lt;23/24),"Shift B","Shift C"))))</f>
        <v/>
      </c>
      <c r="O103">
        <f>IF(B103="","",IF(IFERROR(ISNUMBER(SEARCH(TEXT(B103,"0"),VLOOKUP(E103,Machine_List!$B:$J,9,0))),FALSE),"✅ "&amp; E103,"❌ Sug: "&amp;IFERROR(INDEX(Machine_List!$B$64:$B$71,MATCH(1,(Machine_List!$H$64:$H$71&lt;=IFERROR(VLOOKUP($B103,OPR_BR1!$A$4:$K$18,10,0),0))*(Machine_List!$I$64:$I$71&gt;=IFERROR(VLOOKUP($B103,OPR_BR1!$A$4:$K$18,11,0),9999)),0)),"?")))</f>
        <v/>
      </c>
      <c r="P103">
        <f>IF(AND($A103&lt;&gt;"",P$3&gt;=$J103,P$3&lt;=$M103),1,"")</f>
        <v/>
      </c>
      <c r="Q103">
        <f>IF(AND($A103&lt;&gt;"",Q$3&gt;=$J103,Q$3&lt;=$M103),1,"")</f>
        <v/>
      </c>
      <c r="R103">
        <f>IF(AND($A103&lt;&gt;"",R$3&gt;=$J103,R$3&lt;=$M103),1,"")</f>
        <v/>
      </c>
      <c r="S103">
        <f>IF(AND($A103&lt;&gt;"",S$3&gt;=$J103,S$3&lt;=$M103),1,"")</f>
        <v/>
      </c>
      <c r="T103">
        <f>IF(AND($A103&lt;&gt;"",T$3&gt;=$J103,T$3&lt;=$M103),1,"")</f>
        <v/>
      </c>
      <c r="U103">
        <f>IF(AND($A103&lt;&gt;"",U$3&gt;=$J103,U$3&lt;=$M103),1,"")</f>
        <v/>
      </c>
      <c r="V103">
        <f>IF(AND($A103&lt;&gt;"",V$3&gt;=$J103,V$3&lt;=$M103),1,"")</f>
        <v/>
      </c>
      <c r="W103">
        <f>IF(AND($A103&lt;&gt;"",W$3&gt;=$J103,W$3&lt;=$M103),1,"")</f>
        <v/>
      </c>
      <c r="X103">
        <f>IF(AND($A103&lt;&gt;"",X$3&gt;=$J103,X$3&lt;=$M103),1,"")</f>
        <v/>
      </c>
      <c r="Y103">
        <f>IF(AND($A103&lt;&gt;"",Y$3&gt;=$J103,Y$3&lt;=$M103),1,"")</f>
        <v/>
      </c>
      <c r="Z103">
        <f>IF(AND($A103&lt;&gt;"",Z$3&gt;=$J103,Z$3&lt;=$M103),1,"")</f>
        <v/>
      </c>
      <c r="AA103">
        <f>IF(AND($A103&lt;&gt;"",AA$3&gt;=$J103,AA$3&lt;=$M103),1,"")</f>
        <v/>
      </c>
      <c r="AB103">
        <f>IF(AND($A103&lt;&gt;"",AB$3&gt;=$J103,AB$3&lt;=$M103),1,"")</f>
        <v/>
      </c>
      <c r="AC103">
        <f>IF(AND($A103&lt;&gt;"",AC$3&gt;=$J103,AC$3&lt;=$M103),1,"")</f>
        <v/>
      </c>
      <c r="AD103">
        <f>IF(AND($A103&lt;&gt;"",AD$3&gt;=$J103,AD$3&lt;=$M103),1,"")</f>
        <v/>
      </c>
      <c r="AE103">
        <f>IF(AND($A103&lt;&gt;"",AE$3&gt;=$J103,AE$3&lt;=$M103),1,"")</f>
        <v/>
      </c>
      <c r="AF103">
        <f>IF(AND($A103&lt;&gt;"",AF$3&gt;=$J103,AF$3&lt;=$M103),1,"")</f>
        <v/>
      </c>
      <c r="AG103">
        <f>IF(AND($A103&lt;&gt;"",AG$3&gt;=$J103,AG$3&lt;=$M103),1,"")</f>
        <v/>
      </c>
      <c r="AH103">
        <f>IF(AND($A103&lt;&gt;"",AH$3&gt;=$J103,AH$3&lt;=$M103),1,"")</f>
        <v/>
      </c>
      <c r="AI103">
        <f>IF(AND($A103&lt;&gt;"",AI$3&gt;=$J103,AI$3&lt;=$M103),1,"")</f>
        <v/>
      </c>
      <c r="AJ103">
        <f>IF(AND($A103&lt;&gt;"",AJ$3&gt;=$J103,AJ$3&lt;=$M103),1,"")</f>
        <v/>
      </c>
      <c r="AK103">
        <f>IF(AND($A103&lt;&gt;"",AK$3&gt;=$J103,AK$3&lt;=$M103),1,"")</f>
        <v/>
      </c>
      <c r="AL103">
        <f>IF(AND($A103&lt;&gt;"",AL$3&gt;=$J103,AL$3&lt;=$M103),1,"")</f>
        <v/>
      </c>
      <c r="AM103">
        <f>IF(AND($A103&lt;&gt;"",AM$3&gt;=$J103,AM$3&lt;=$M103),1,"")</f>
        <v/>
      </c>
      <c r="AN103">
        <f>IF(AND($A103&lt;&gt;"",AN$3&gt;=$J103,AN$3&lt;=$M103),1,"")</f>
        <v/>
      </c>
      <c r="AO103">
        <f>IF(AND($A103&lt;&gt;"",AO$3&gt;=$J103,AO$3&lt;=$M103),1,"")</f>
        <v/>
      </c>
      <c r="AP103">
        <f>IF(AND($A103&lt;&gt;"",AP$3&gt;=$J103,AP$3&lt;=$M103),1,"")</f>
        <v/>
      </c>
      <c r="AQ103">
        <f>IF(AND($A103&lt;&gt;"",AQ$3&gt;=$J103,AQ$3&lt;=$M103),1,"")</f>
        <v/>
      </c>
      <c r="AR103">
        <f>IF(AND($A103&lt;&gt;"",AR$3&gt;=$J103,AR$3&lt;=$M103),1,"")</f>
        <v/>
      </c>
      <c r="AS103">
        <f>IF(AND($A103&lt;&gt;"",AS$3&gt;=$J103,AS$3&lt;=$M103),1,"")</f>
        <v/>
      </c>
      <c r="AT103">
        <f>IF(AND($A103&lt;&gt;"",AT$3&gt;=$J103,AT$3&lt;=$M103),1,"")</f>
        <v/>
      </c>
      <c r="AU103">
        <f>IF(AND($A103&lt;&gt;"",AU$3&gt;=$J103,AU$3&lt;=$M103),1,"")</f>
        <v/>
      </c>
      <c r="AV103">
        <f>IF(AND($A103&lt;&gt;"",AV$3&gt;=$J103,AV$3&lt;=$M103),1,"")</f>
        <v/>
      </c>
      <c r="AW103">
        <f>IF(AND($A103&lt;&gt;"",AW$3&gt;=$J103,AW$3&lt;=$M103),1,"")</f>
        <v/>
      </c>
      <c r="AX103">
        <f>IF(AND($A103&lt;&gt;"",AX$3&gt;=$J103,AX$3&lt;=$M103),1,"")</f>
        <v/>
      </c>
      <c r="AY103">
        <f>IF(AND($A103&lt;&gt;"",AY$3&gt;=$J103,AY$3&lt;=$M103),1,"")</f>
        <v/>
      </c>
      <c r="AZ103">
        <f>IF(AND($A103&lt;&gt;"",AZ$3&gt;=$J103,AZ$3&lt;=$M103),1,"")</f>
        <v/>
      </c>
      <c r="BA103">
        <f>IF(AND($A103&lt;&gt;"",BA$3&gt;=$J103,BA$3&lt;=$M103),1,"")</f>
        <v/>
      </c>
      <c r="BB103">
        <f>IF(AND($A103&lt;&gt;"",BB$3&gt;=$J103,BB$3&lt;=$M103),1,"")</f>
        <v/>
      </c>
      <c r="BC103">
        <f>IF(AND($A103&lt;&gt;"",BC$3&gt;=$J103,BC$3&lt;=$M103),1,"")</f>
        <v/>
      </c>
      <c r="BD103">
        <f>IF(AND($A103&lt;&gt;"",BD$3&gt;=$J103,BD$3&lt;=$M103),1,"")</f>
        <v/>
      </c>
      <c r="BE103">
        <f>IF(AND($A103&lt;&gt;"",BE$3&gt;=$J103,BE$3&lt;=$M103),1,"")</f>
        <v/>
      </c>
      <c r="BF103">
        <f>IF(AND($A103&lt;&gt;"",BF$3&gt;=$J103,BF$3&lt;=$M103),1,"")</f>
        <v/>
      </c>
      <c r="BG103">
        <f>IF(AND($A103&lt;&gt;"",BG$3&gt;=$J103,BG$3&lt;=$M103),1,"")</f>
        <v/>
      </c>
      <c r="BH103">
        <f>IF(AND($A103&lt;&gt;"",BH$3&gt;=$J103,BH$3&lt;=$M103),1,"")</f>
        <v/>
      </c>
      <c r="BI103">
        <f>IF(AND($A103&lt;&gt;"",BI$3&gt;=$J103,BI$3&lt;=$M103),1,"")</f>
        <v/>
      </c>
      <c r="BJ103">
        <f>IF(AND($A103&lt;&gt;"",BJ$3&gt;=$J103,BJ$3&lt;=$M103),1,"")</f>
        <v/>
      </c>
      <c r="BK103">
        <f>IF(AND($A103&lt;&gt;"",BK$3&gt;=$J103,BK$3&lt;=$M103),1,"")</f>
        <v/>
      </c>
      <c r="BL103">
        <f>IF(AND($A103&lt;&gt;"",BL$3&gt;=$J103,BL$3&lt;=$M103),1,"")</f>
        <v/>
      </c>
      <c r="BM103">
        <f>IF(AND($A103&lt;&gt;"",BM$3&gt;=$J103,BM$3&lt;=$M103),1,"")</f>
        <v/>
      </c>
      <c r="BN103">
        <f>IF(AND($A103&lt;&gt;"",BN$3&gt;=$J103,BN$3&lt;=$M103),1,"")</f>
        <v/>
      </c>
      <c r="BO103">
        <f>IF(AND($A103&lt;&gt;"",BO$3&gt;=$J103,BO$3&lt;=$M103),1,"")</f>
        <v/>
      </c>
      <c r="BP103">
        <f>IF(AND($A103&lt;&gt;"",BP$3&gt;=$J103,BP$3&lt;=$M103),1,"")</f>
        <v/>
      </c>
      <c r="BQ103">
        <f>IF(AND($A103&lt;&gt;"",BQ$3&gt;=$J103,BQ$3&lt;=$M103),1,"")</f>
        <v/>
      </c>
      <c r="BR103">
        <f>IF(AND($A103&lt;&gt;"",BR$3&gt;=$J103,BR$3&lt;=$M103),1,"")</f>
        <v/>
      </c>
      <c r="BS103">
        <f>IF(AND($A103&lt;&gt;"",BS$3&gt;=$J103,BS$3&lt;=$M103),1,"")</f>
        <v/>
      </c>
      <c r="BT103">
        <f>IF(AND($A103&lt;&gt;"",BT$3&gt;=$J103,BT$3&lt;=$M103),1,"")</f>
        <v/>
      </c>
      <c r="BU103">
        <f>IF(AND($A103&lt;&gt;"",BU$3&gt;=$J103,BU$3&lt;=$M103),1,"")</f>
        <v/>
      </c>
      <c r="BV103">
        <f>IF(AND($A103&lt;&gt;"",BV$3&gt;=$J103,BV$3&lt;=$M103),1,"")</f>
        <v/>
      </c>
    </row>
  </sheetData>
  <conditionalFormatting sqref="A4:A103">
    <cfRule type="expression" priority="1" dxfId="0">
      <formula>VLOOKUP($A4,Job_Master_Ring!$A:$G,7,0)="High"</formula>
    </cfRule>
    <cfRule type="expression" priority="2" dxfId="1">
      <formula>VLOOKUP($A4,Job_Master_Ring!$A:$G,7,0)="Medium"</formula>
    </cfRule>
    <cfRule type="expression" priority="3" dxfId="2">
      <formula>VLOOKUP($A4,Job_Master_Ring!$A:$G,7,0)="Low"</formula>
    </cfRule>
  </conditionalFormatting>
  <conditionalFormatting sqref="P4:BV103">
    <cfRule type="expression" priority="4" dxfId="7">
      <formula>P4=1</formula>
    </cfRule>
    <cfRule type="expression" priority="5" dxfId="8">
      <formula>WEEKDAY(P$3,2)&gt;=6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G103"/>
  <sheetViews>
    <sheetView workbookViewId="0">
      <pane xSplit="15" ySplit="3" topLeftCell="P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8" customWidth="1" min="3" max="3"/>
    <col width="8" customWidth="1" min="4" max="4"/>
    <col width="16" customWidth="1" min="5" max="5"/>
    <col width="14" customWidth="1" min="6" max="6"/>
    <col width="12" customWidth="1" min="7" max="7"/>
    <col width="8" customWidth="1" min="8" max="8"/>
    <col width="10" customWidth="1" min="9" max="9"/>
    <col width="14" customWidth="1" min="10" max="10"/>
    <col width="8" customWidth="1" min="11" max="11"/>
    <col width="10" customWidth="1" min="12" max="12"/>
    <col width="14" customWidth="1" min="13" max="13"/>
    <col width="12" customWidth="1" min="14" max="14"/>
    <col width="14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  <col width="3" customWidth="1" min="67" max="67"/>
    <col width="3" customWidth="1" min="68" max="68"/>
    <col width="3" customWidth="1" min="69" max="69"/>
    <col width="3" customWidth="1" min="70" max="70"/>
    <col width="3" customWidth="1" min="71" max="71"/>
    <col width="3" customWidth="1" min="72" max="72"/>
    <col width="3" customWidth="1" min="73" max="73"/>
    <col width="3" customWidth="1" min="74" max="74"/>
  </cols>
  <sheetData>
    <row r="1">
      <c r="BX1" s="24" t="inlineStr">
        <is>
          <t>FID — Monthly Load vs Capacity</t>
        </is>
      </c>
    </row>
    <row r="2">
      <c r="BX2" s="25" t="inlineStr">
        <is>
          <t>Apr-26</t>
        </is>
      </c>
      <c r="BY2" s="25" t="inlineStr">
        <is>
          <t>May-26</t>
        </is>
      </c>
      <c r="BZ2" s="25" t="inlineStr">
        <is>
          <t>Jun-26</t>
        </is>
      </c>
      <c r="CA2" s="25" t="inlineStr">
        <is>
          <t>Jul-26</t>
        </is>
      </c>
      <c r="CB2" s="25" t="inlineStr">
        <is>
          <t>Aug-26</t>
        </is>
      </c>
      <c r="CC2" s="25" t="inlineStr">
        <is>
          <t>Sep-26</t>
        </is>
      </c>
      <c r="CD2" s="25" t="inlineStr">
        <is>
          <t>Oct-26</t>
        </is>
      </c>
      <c r="CE2" s="25" t="inlineStr">
        <is>
          <t>Nov-26</t>
        </is>
      </c>
      <c r="CF2" s="25" t="inlineStr">
        <is>
          <t>Dec-26</t>
        </is>
      </c>
      <c r="CG2" s="25" t="inlineStr">
        <is>
          <t>Jan-27</t>
        </is>
      </c>
    </row>
    <row r="3" ht="40" customHeight="1">
      <c r="A3" s="5" t="inlineStr">
        <is>
          <t>Job ID</t>
        </is>
      </c>
      <c r="B3" s="5" t="inlineStr">
        <is>
          <t>Size</t>
        </is>
      </c>
      <c r="C3" s="4" t="inlineStr">
        <is>
          <t>Type</t>
        </is>
      </c>
      <c r="D3" s="5" t="inlineStr">
        <is>
          <t>Parts</t>
        </is>
      </c>
      <c r="E3" s="22" t="inlineStr">
        <is>
          <t>Allocated Machine</t>
        </is>
      </c>
      <c r="F3" s="6" t="inlineStr">
        <is>
          <t>Worker</t>
        </is>
      </c>
      <c r="G3" s="22" t="inlineStr">
        <is>
          <t>PM Date</t>
        </is>
      </c>
      <c r="H3" s="22" t="inlineStr">
        <is>
          <t>PM Hrs</t>
        </is>
      </c>
      <c r="I3" s="4" t="inlineStr">
        <is>
          <t>Override</t>
        </is>
      </c>
      <c r="J3" s="5" t="inlineStr">
        <is>
          <t>Start Date</t>
        </is>
      </c>
      <c r="K3" s="5" t="inlineStr">
        <is>
          <t>Unit CT</t>
        </is>
      </c>
      <c r="L3" s="5" t="inlineStr">
        <is>
          <t>Total Load</t>
        </is>
      </c>
      <c r="M3" s="5" t="inlineStr">
        <is>
          <t>End Date</t>
        </is>
      </c>
      <c r="N3" s="8" t="inlineStr">
        <is>
          <t>Shift | Time</t>
        </is>
      </c>
      <c r="O3" s="23" t="inlineStr">
        <is>
          <t>Machine Helper
(Pick Compatible)</t>
        </is>
      </c>
      <c r="P3" s="15" t="n">
        <v>46113</v>
      </c>
      <c r="Q3" s="15" t="n">
        <v>46114</v>
      </c>
      <c r="R3" s="15" t="n">
        <v>46115</v>
      </c>
      <c r="S3" s="15" t="n">
        <v>46116</v>
      </c>
      <c r="T3" s="15" t="n">
        <v>46118</v>
      </c>
      <c r="U3" s="15" t="n">
        <v>46119</v>
      </c>
      <c r="V3" s="15" t="n">
        <v>46120</v>
      </c>
      <c r="W3" s="15" t="n">
        <v>46121</v>
      </c>
      <c r="X3" s="15" t="n">
        <v>46122</v>
      </c>
      <c r="Y3" s="15" t="n">
        <v>46123</v>
      </c>
      <c r="Z3" s="15" t="n">
        <v>46124</v>
      </c>
      <c r="AA3" s="15" t="n">
        <v>46125</v>
      </c>
      <c r="AB3" s="15" t="n">
        <v>46126</v>
      </c>
      <c r="AC3" s="15" t="n">
        <v>46127</v>
      </c>
      <c r="AD3" s="15" t="n">
        <v>46128</v>
      </c>
      <c r="AE3" s="15" t="n">
        <v>46129</v>
      </c>
      <c r="AF3" s="15" t="n">
        <v>46130</v>
      </c>
      <c r="AG3" s="15" t="n">
        <v>46131</v>
      </c>
      <c r="AH3" s="15" t="n">
        <v>46132</v>
      </c>
      <c r="AI3" s="15" t="n">
        <v>46133</v>
      </c>
      <c r="AJ3" s="15" t="n">
        <v>46134</v>
      </c>
      <c r="AK3" s="15" t="n">
        <v>46135</v>
      </c>
      <c r="AL3" s="15" t="n">
        <v>46136</v>
      </c>
      <c r="AM3" s="15" t="n">
        <v>46137</v>
      </c>
      <c r="AN3" s="15" t="n">
        <v>46138</v>
      </c>
      <c r="AO3" s="15" t="n">
        <v>46139</v>
      </c>
      <c r="AP3" s="15" t="n">
        <v>46140</v>
      </c>
      <c r="AQ3" s="15" t="n">
        <v>46141</v>
      </c>
      <c r="AR3" s="15" t="n">
        <v>46142</v>
      </c>
      <c r="AS3" s="15" t="n">
        <v>46143</v>
      </c>
      <c r="AT3" s="15" t="n">
        <v>46144</v>
      </c>
      <c r="AU3" s="15" t="n">
        <v>46145</v>
      </c>
      <c r="AV3" s="15" t="n">
        <v>46146</v>
      </c>
      <c r="AW3" s="15" t="n">
        <v>46147</v>
      </c>
      <c r="AX3" s="15" t="n">
        <v>46148</v>
      </c>
      <c r="AY3" s="15" t="n">
        <v>46149</v>
      </c>
      <c r="AZ3" s="15" t="n">
        <v>46150</v>
      </c>
      <c r="BA3" s="15" t="n">
        <v>46151</v>
      </c>
      <c r="BB3" s="15" t="n">
        <v>46152</v>
      </c>
      <c r="BC3" s="15" t="n">
        <v>46153</v>
      </c>
      <c r="BD3" s="15" t="n">
        <v>46154</v>
      </c>
      <c r="BE3" s="15" t="n">
        <v>46155</v>
      </c>
      <c r="BF3" s="15" t="n">
        <v>46156</v>
      </c>
      <c r="BG3" s="15" t="n">
        <v>46157</v>
      </c>
      <c r="BH3" s="15" t="n">
        <v>46158</v>
      </c>
      <c r="BI3" s="15" t="n">
        <v>46159</v>
      </c>
      <c r="BJ3" s="15" t="n">
        <v>46160</v>
      </c>
      <c r="BK3" s="15" t="n">
        <v>46161</v>
      </c>
      <c r="BL3" s="15" t="n">
        <v>46162</v>
      </c>
      <c r="BM3" s="15" t="n">
        <v>46163</v>
      </c>
      <c r="BN3" s="15" t="n">
        <v>46164</v>
      </c>
      <c r="BO3" s="15" t="n">
        <v>46165</v>
      </c>
      <c r="BP3" s="15" t="n">
        <v>46166</v>
      </c>
      <c r="BQ3" s="15" t="n">
        <v>46167</v>
      </c>
      <c r="BR3" s="15" t="n">
        <v>46168</v>
      </c>
      <c r="BS3" s="15" t="n">
        <v>46169</v>
      </c>
      <c r="BT3" s="15" t="n">
        <v>46170</v>
      </c>
      <c r="BU3" s="15" t="n">
        <v>46171</v>
      </c>
      <c r="BV3" s="15" t="n">
        <v>46172</v>
      </c>
      <c r="BW3" s="26" t="inlineStr">
        <is>
          <t>Load (Hrs)</t>
        </is>
      </c>
      <c r="BX3" s="27" t="n">
        <v>0</v>
      </c>
      <c r="BY3" s="27" t="n">
        <v>0</v>
      </c>
      <c r="BZ3" s="27" t="n">
        <v>0</v>
      </c>
      <c r="CA3" s="27" t="n">
        <v>0</v>
      </c>
      <c r="CB3" s="27" t="n">
        <v>0</v>
      </c>
      <c r="CC3" s="27" t="n">
        <v>0</v>
      </c>
      <c r="CD3" s="27" t="n">
        <v>0</v>
      </c>
      <c r="CE3" s="27" t="n">
        <v>0</v>
      </c>
      <c r="CF3" s="27" t="n">
        <v>0</v>
      </c>
      <c r="CG3" s="27" t="n">
        <v>0</v>
      </c>
    </row>
    <row r="4">
      <c r="A4">
        <f>IF(Job_Master_Ring!$A4="","",Job_Master_Ring!$A4)</f>
        <v/>
      </c>
      <c r="B4">
        <f>IF($A4="","",Job_Master_Ring!B4)</f>
        <v/>
      </c>
      <c r="C4">
        <f>IF($A4="","",Job_Master_Ring!C4)</f>
        <v/>
      </c>
      <c r="D4">
        <f>IF($A4="","",Job_Master_Ring!D4)</f>
        <v/>
      </c>
      <c r="E4">
        <f>IF($A4="","",IF($I4&lt;&gt;"",$I4,IFERROR(INDEX(Machine_List!$B$72:$B$81,MATCH(1,(Machine_List!$H$72:$H$81&lt;=IFERROR(VLOOKUP($B4,CHOOSE(MATCH($C4,Settings!$L$4:$L$10,0),OPR_BR1!$A$4:$K$18,OPR_BR2!$A$4:$K$18,OPR_CR2!$A$4:$K$18,OPR_CR3!$A$4:$K$18,OPR_CR4!$A$4:$K$18,OPR_RIM!$A$4:$K$18,OPR_BPR!$A$4:$K$18),10,0),0))*(Machine_List!$I$72:$I$81&gt;=IFERROR(VLOOKUP($B4,CHOOSE(MATCH($C4,Settings!$L$4:$L$10,0),OPR_BR1!$A$4:$K$18,OPR_BR2!$A$4:$K$18,OPR_CR2!$A$4:$K$18,OPR_CR3!$A$4:$K$18,OPR_CR4!$A$4:$K$18,OPR_RIM!$A$4:$K$18,OPR_BPR!$A$4:$K$18),11,0),9999)),0)),"NO COMPATIBLE MACHINE")))</f>
        <v/>
      </c>
      <c r="F4">
        <f>IF($E4="","",IFERROR(VLOOKUP($E4,Machine_List!$B:$G,6,0),""))</f>
        <v/>
      </c>
      <c r="G4" s="17">
        <f>IF($E4="","",IFERROR(VLOOKUP($E4,Machine_List!$B:$C,2,0),""))</f>
        <v/>
      </c>
      <c r="H4">
        <f>IF($E4="","",IFERROR(VLOOKUP($E4,Machine_List!$B:$D,3,0),""))</f>
        <v/>
      </c>
      <c r="J4" s="16">
        <f>IF($A4="","",IF($I4&lt;&gt;"",$I4,MAX(VENT_Plan!$M4,IFERROR(LOOKUP(2,1/($E$3:INDIRECT("E"&amp;(ROW()-1))=$E4),$M$3:INDIRECT("M"&amp;(ROW()-1))),VENT_Plan!$M4))))</f>
        <v/>
      </c>
      <c r="K4">
        <f>IF($A4="","",IFERROR(VLOOKUP(B4,CHOOSE(MATCH($C4,Settings!$L$4:$L$10,0),OPR_BR1!$A$4:$I$18,OPR_BR2!$A$4:$I$18,OPR_CR2!$A$4:$I$18,OPR_CR3!$A$4:$I$18,OPR_CR4!$A$4:$I$18,OPR_RIM!$A$4:$I$18,OPR_BPR!$A$4:$I$18),8,0),0))</f>
        <v/>
      </c>
      <c r="L4">
        <f>IF($A4="","",K4*D4)</f>
        <v/>
      </c>
      <c r="M4" s="16">
        <f>IF($A4="","",IF(AND(ISNUMBER(G4),G4&gt;=J4,G4&lt;=(J4+(L4/(IF(F4="Contract Workman",Settings!$K$5,Settings!$K$4))))),J4+(L4/(IF(F4="Contract Workman",Settings!$K$5,Settings!$K$4)))+(H4/(IF(F4="Contract Workman",Settings!$K$5,Settings!$K$4))),J4+(L4/(IF(F4="Contract Workman",Settings!$K$5,Settings!$K$4)))))</f>
        <v/>
      </c>
      <c r="N4">
        <f>IF($A4="","",IF(F4="Contract Workman",IF(AND(MOD(M4,1)&gt;=8/24,MOD(M4,1)&lt;20/24),"Shift S1","Shift S2"),IF(AND(MOD(M4,1)&gt;=7/24,MOD(M4,1)&lt;15/24),"Shift A",IF(AND(MOD(M4,1)&gt;=15/24,MOD(M4,1)&lt;23/24),"Shift B","Shift C"))))</f>
        <v/>
      </c>
      <c r="O4">
        <f>IF(B4="","",IF(IFERROR(ISNUMBER(SEARCH(TEXT(B4,"0"),VLOOKUP(E4,Machine_List!$B:$J,9,0))),FALSE),"✅ "&amp; E4,"❌ Sug: "&amp;IFERROR(INDEX(Machine_List!$B$72:$B$81,MATCH(1,(Machine_List!$H$72:$H$81&lt;=IFERROR(VLOOKUP($B4,OPR_BR1!$A$4:$K$18,10,0),0))*(Machine_List!$I$72:$I$81&gt;=IFERROR(VLOOKUP($B4,OPR_BR1!$A$4:$K$18,11,0),9999)),0)),"?")))</f>
        <v/>
      </c>
      <c r="P4">
        <f>IF(AND($A4&lt;&gt;"",P$3&gt;=$J4,P$3&lt;=$M4),1,"")</f>
        <v/>
      </c>
      <c r="Q4">
        <f>IF(AND($A4&lt;&gt;"",Q$3&gt;=$J4,Q$3&lt;=$M4),1,"")</f>
        <v/>
      </c>
      <c r="R4">
        <f>IF(AND($A4&lt;&gt;"",R$3&gt;=$J4,R$3&lt;=$M4),1,"")</f>
        <v/>
      </c>
      <c r="S4">
        <f>IF(AND($A4&lt;&gt;"",S$3&gt;=$J4,S$3&lt;=$M4),1,"")</f>
        <v/>
      </c>
      <c r="T4">
        <f>IF(AND($A4&lt;&gt;"",T$3&gt;=$J4,T$3&lt;=$M4),1,"")</f>
        <v/>
      </c>
      <c r="U4">
        <f>IF(AND($A4&lt;&gt;"",U$3&gt;=$J4,U$3&lt;=$M4),1,"")</f>
        <v/>
      </c>
      <c r="V4">
        <f>IF(AND($A4&lt;&gt;"",V$3&gt;=$J4,V$3&lt;=$M4),1,"")</f>
        <v/>
      </c>
      <c r="W4">
        <f>IF(AND($A4&lt;&gt;"",W$3&gt;=$J4,W$3&lt;=$M4),1,"")</f>
        <v/>
      </c>
      <c r="X4">
        <f>IF(AND($A4&lt;&gt;"",X$3&gt;=$J4,X$3&lt;=$M4),1,"")</f>
        <v/>
      </c>
      <c r="Y4">
        <f>IF(AND($A4&lt;&gt;"",Y$3&gt;=$J4,Y$3&lt;=$M4),1,"")</f>
        <v/>
      </c>
      <c r="Z4">
        <f>IF(AND($A4&lt;&gt;"",Z$3&gt;=$J4,Z$3&lt;=$M4),1,"")</f>
        <v/>
      </c>
      <c r="AA4">
        <f>IF(AND($A4&lt;&gt;"",AA$3&gt;=$J4,AA$3&lt;=$M4),1,"")</f>
        <v/>
      </c>
      <c r="AB4">
        <f>IF(AND($A4&lt;&gt;"",AB$3&gt;=$J4,AB$3&lt;=$M4),1,"")</f>
        <v/>
      </c>
      <c r="AC4">
        <f>IF(AND($A4&lt;&gt;"",AC$3&gt;=$J4,AC$3&lt;=$M4),1,"")</f>
        <v/>
      </c>
      <c r="AD4">
        <f>IF(AND($A4&lt;&gt;"",AD$3&gt;=$J4,AD$3&lt;=$M4),1,"")</f>
        <v/>
      </c>
      <c r="AE4">
        <f>IF(AND($A4&lt;&gt;"",AE$3&gt;=$J4,AE$3&lt;=$M4),1,"")</f>
        <v/>
      </c>
      <c r="AF4">
        <f>IF(AND($A4&lt;&gt;"",AF$3&gt;=$J4,AF$3&lt;=$M4),1,"")</f>
        <v/>
      </c>
      <c r="AG4">
        <f>IF(AND($A4&lt;&gt;"",AG$3&gt;=$J4,AG$3&lt;=$M4),1,"")</f>
        <v/>
      </c>
      <c r="AH4">
        <f>IF(AND($A4&lt;&gt;"",AH$3&gt;=$J4,AH$3&lt;=$M4),1,"")</f>
        <v/>
      </c>
      <c r="AI4">
        <f>IF(AND($A4&lt;&gt;"",AI$3&gt;=$J4,AI$3&lt;=$M4),1,"")</f>
        <v/>
      </c>
      <c r="AJ4">
        <f>IF(AND($A4&lt;&gt;"",AJ$3&gt;=$J4,AJ$3&lt;=$M4),1,"")</f>
        <v/>
      </c>
      <c r="AK4">
        <f>IF(AND($A4&lt;&gt;"",AK$3&gt;=$J4,AK$3&lt;=$M4),1,"")</f>
        <v/>
      </c>
      <c r="AL4">
        <f>IF(AND($A4&lt;&gt;"",AL$3&gt;=$J4,AL$3&lt;=$M4),1,"")</f>
        <v/>
      </c>
      <c r="AM4">
        <f>IF(AND($A4&lt;&gt;"",AM$3&gt;=$J4,AM$3&lt;=$M4),1,"")</f>
        <v/>
      </c>
      <c r="AN4">
        <f>IF(AND($A4&lt;&gt;"",AN$3&gt;=$J4,AN$3&lt;=$M4),1,"")</f>
        <v/>
      </c>
      <c r="AO4">
        <f>IF(AND($A4&lt;&gt;"",AO$3&gt;=$J4,AO$3&lt;=$M4),1,"")</f>
        <v/>
      </c>
      <c r="AP4">
        <f>IF(AND($A4&lt;&gt;"",AP$3&gt;=$J4,AP$3&lt;=$M4),1,"")</f>
        <v/>
      </c>
      <c r="AQ4">
        <f>IF(AND($A4&lt;&gt;"",AQ$3&gt;=$J4,AQ$3&lt;=$M4),1,"")</f>
        <v/>
      </c>
      <c r="AR4">
        <f>IF(AND($A4&lt;&gt;"",AR$3&gt;=$J4,AR$3&lt;=$M4),1,"")</f>
        <v/>
      </c>
      <c r="AS4">
        <f>IF(AND($A4&lt;&gt;"",AS$3&gt;=$J4,AS$3&lt;=$M4),1,"")</f>
        <v/>
      </c>
      <c r="AT4">
        <f>IF(AND($A4&lt;&gt;"",AT$3&gt;=$J4,AT$3&lt;=$M4),1,"")</f>
        <v/>
      </c>
      <c r="AU4">
        <f>IF(AND($A4&lt;&gt;"",AU$3&gt;=$J4,AU$3&lt;=$M4),1,"")</f>
        <v/>
      </c>
      <c r="AV4">
        <f>IF(AND($A4&lt;&gt;"",AV$3&gt;=$J4,AV$3&lt;=$M4),1,"")</f>
        <v/>
      </c>
      <c r="AW4">
        <f>IF(AND($A4&lt;&gt;"",AW$3&gt;=$J4,AW$3&lt;=$M4),1,"")</f>
        <v/>
      </c>
      <c r="AX4">
        <f>IF(AND($A4&lt;&gt;"",AX$3&gt;=$J4,AX$3&lt;=$M4),1,"")</f>
        <v/>
      </c>
      <c r="AY4">
        <f>IF(AND($A4&lt;&gt;"",AY$3&gt;=$J4,AY$3&lt;=$M4),1,"")</f>
        <v/>
      </c>
      <c r="AZ4">
        <f>IF(AND($A4&lt;&gt;"",AZ$3&gt;=$J4,AZ$3&lt;=$M4),1,"")</f>
        <v/>
      </c>
      <c r="BA4">
        <f>IF(AND($A4&lt;&gt;"",BA$3&gt;=$J4,BA$3&lt;=$M4),1,"")</f>
        <v/>
      </c>
      <c r="BB4">
        <f>IF(AND($A4&lt;&gt;"",BB$3&gt;=$J4,BB$3&lt;=$M4),1,"")</f>
        <v/>
      </c>
      <c r="BC4">
        <f>IF(AND($A4&lt;&gt;"",BC$3&gt;=$J4,BC$3&lt;=$M4),1,"")</f>
        <v/>
      </c>
      <c r="BD4">
        <f>IF(AND($A4&lt;&gt;"",BD$3&gt;=$J4,BD$3&lt;=$M4),1,"")</f>
        <v/>
      </c>
      <c r="BE4">
        <f>IF(AND($A4&lt;&gt;"",BE$3&gt;=$J4,BE$3&lt;=$M4),1,"")</f>
        <v/>
      </c>
      <c r="BF4">
        <f>IF(AND($A4&lt;&gt;"",BF$3&gt;=$J4,BF$3&lt;=$M4),1,"")</f>
        <v/>
      </c>
      <c r="BG4">
        <f>IF(AND($A4&lt;&gt;"",BG$3&gt;=$J4,BG$3&lt;=$M4),1,"")</f>
        <v/>
      </c>
      <c r="BH4">
        <f>IF(AND($A4&lt;&gt;"",BH$3&gt;=$J4,BH$3&lt;=$M4),1,"")</f>
        <v/>
      </c>
      <c r="BI4">
        <f>IF(AND($A4&lt;&gt;"",BI$3&gt;=$J4,BI$3&lt;=$M4),1,"")</f>
        <v/>
      </c>
      <c r="BJ4">
        <f>IF(AND($A4&lt;&gt;"",BJ$3&gt;=$J4,BJ$3&lt;=$M4),1,"")</f>
        <v/>
      </c>
      <c r="BK4">
        <f>IF(AND($A4&lt;&gt;"",BK$3&gt;=$J4,BK$3&lt;=$M4),1,"")</f>
        <v/>
      </c>
      <c r="BL4">
        <f>IF(AND($A4&lt;&gt;"",BL$3&gt;=$J4,BL$3&lt;=$M4),1,"")</f>
        <v/>
      </c>
      <c r="BM4">
        <f>IF(AND($A4&lt;&gt;"",BM$3&gt;=$J4,BM$3&lt;=$M4),1,"")</f>
        <v/>
      </c>
      <c r="BN4">
        <f>IF(AND($A4&lt;&gt;"",BN$3&gt;=$J4,BN$3&lt;=$M4),1,"")</f>
        <v/>
      </c>
      <c r="BO4">
        <f>IF(AND($A4&lt;&gt;"",BO$3&gt;=$J4,BO$3&lt;=$M4),1,"")</f>
        <v/>
      </c>
      <c r="BP4">
        <f>IF(AND($A4&lt;&gt;"",BP$3&gt;=$J4,BP$3&lt;=$M4),1,"")</f>
        <v/>
      </c>
      <c r="BQ4">
        <f>IF(AND($A4&lt;&gt;"",BQ$3&gt;=$J4,BQ$3&lt;=$M4),1,"")</f>
        <v/>
      </c>
      <c r="BR4">
        <f>IF(AND($A4&lt;&gt;"",BR$3&gt;=$J4,BR$3&lt;=$M4),1,"")</f>
        <v/>
      </c>
      <c r="BS4">
        <f>IF(AND($A4&lt;&gt;"",BS$3&gt;=$J4,BS$3&lt;=$M4),1,"")</f>
        <v/>
      </c>
      <c r="BT4">
        <f>IF(AND($A4&lt;&gt;"",BT$3&gt;=$J4,BT$3&lt;=$M4),1,"")</f>
        <v/>
      </c>
      <c r="BU4">
        <f>IF(AND($A4&lt;&gt;"",BU$3&gt;=$J4,BU$3&lt;=$M4),1,"")</f>
        <v/>
      </c>
      <c r="BV4">
        <f>IF(AND($A4&lt;&gt;"",BV$3&gt;=$J4,BV$3&lt;=$M4),1,"")</f>
        <v/>
      </c>
      <c r="BW4" s="26" t="inlineStr">
        <is>
          <t>Capacity (Hrs)</t>
        </is>
      </c>
      <c r="BX4" s="27" t="n">
        <v>6480</v>
      </c>
      <c r="BY4" s="27" t="n">
        <v>6696</v>
      </c>
      <c r="BZ4" s="27" t="n">
        <v>6480</v>
      </c>
      <c r="CA4" s="27" t="n">
        <v>6696</v>
      </c>
      <c r="CB4" s="27" t="n">
        <v>6696</v>
      </c>
      <c r="CC4" s="27" t="n">
        <v>6480</v>
      </c>
      <c r="CD4" s="27" t="n">
        <v>6696</v>
      </c>
      <c r="CE4" s="27" t="n">
        <v>6480</v>
      </c>
      <c r="CF4" s="27" t="n">
        <v>6696</v>
      </c>
      <c r="CG4" s="27" t="n">
        <v>6696</v>
      </c>
    </row>
    <row r="5">
      <c r="A5">
        <f>IF(Job_Master_Ring!$A5="","",Job_Master_Ring!$A5)</f>
        <v/>
      </c>
      <c r="B5">
        <f>IF($A5="","",Job_Master_Ring!B5)</f>
        <v/>
      </c>
      <c r="C5">
        <f>IF($A5="","",Job_Master_Ring!C5)</f>
        <v/>
      </c>
      <c r="D5">
        <f>IF($A5="","",Job_Master_Ring!D5)</f>
        <v/>
      </c>
      <c r="E5">
        <f>IF($A5="","",IF($I5&lt;&gt;"",$I5,IFERROR(INDEX(Machine_List!$B$72:$B$81,MATCH(1,(Machine_List!$H$72:$H$81&lt;=IFERROR(VLOOKUP($B5,CHOOSE(MATCH($C5,Settings!$L$4:$L$10,0),OPR_BR1!$A$4:$K$18,OPR_BR2!$A$4:$K$18,OPR_CR2!$A$4:$K$18,OPR_CR3!$A$4:$K$18,OPR_CR4!$A$4:$K$18,OPR_RIM!$A$4:$K$18,OPR_BPR!$A$4:$K$18),10,0),0))*(Machine_List!$I$72:$I$81&gt;=IFERROR(VLOOKUP($B5,CHOOSE(MATCH($C5,Settings!$L$4:$L$10,0),OPR_BR1!$A$4:$K$18,OPR_BR2!$A$4:$K$18,OPR_CR2!$A$4:$K$18,OPR_CR3!$A$4:$K$18,OPR_CR4!$A$4:$K$18,OPR_RIM!$A$4:$K$18,OPR_BPR!$A$4:$K$18),11,0),9999)),0)),"NO COMPATIBLE MACHINE")))</f>
        <v/>
      </c>
      <c r="F5">
        <f>IF($E5="","",IFERROR(VLOOKUP($E5,Machine_List!$B:$G,6,0),""))</f>
        <v/>
      </c>
      <c r="G5" s="17">
        <f>IF($E5="","",IFERROR(VLOOKUP($E5,Machine_List!$B:$C,2,0),""))</f>
        <v/>
      </c>
      <c r="H5">
        <f>IF($E5="","",IFERROR(VLOOKUP($E5,Machine_List!$B:$D,3,0),""))</f>
        <v/>
      </c>
      <c r="J5" s="16">
        <f>IF($A5="","",IF($I5&lt;&gt;"",$I5,MAX(VENT_Plan!$M5,IFERROR(LOOKUP(2,1/($E$3:INDIRECT("E"&amp;(ROW()-1))=$E5),$M$3:INDIRECT("M"&amp;(ROW()-1))),VENT_Plan!$M5))))</f>
        <v/>
      </c>
      <c r="K5">
        <f>IF($A5="","",IFERROR(VLOOKUP(B5,CHOOSE(MATCH($C5,Settings!$L$4:$L$10,0),OPR_BR1!$A$4:$I$18,OPR_BR2!$A$4:$I$18,OPR_CR2!$A$4:$I$18,OPR_CR3!$A$4:$I$18,OPR_CR4!$A$4:$I$18,OPR_RIM!$A$4:$I$18,OPR_BPR!$A$4:$I$18),8,0),0))</f>
        <v/>
      </c>
      <c r="L5">
        <f>IF($A5="","",K5*D5)</f>
        <v/>
      </c>
      <c r="M5" s="16">
        <f>IF($A5="","",IF(AND(ISNUMBER(G5),G5&gt;=J5,G5&lt;=(J5+(L5/(IF(F5="Contract Workman",Settings!$K$5,Settings!$K$4))))),J5+(L5/(IF(F5="Contract Workman",Settings!$K$5,Settings!$K$4)))+(H5/(IF(F5="Contract Workman",Settings!$K$5,Settings!$K$4))),J5+(L5/(IF(F5="Contract Workman",Settings!$K$5,Settings!$K$4)))))</f>
        <v/>
      </c>
      <c r="N5">
        <f>IF($A5="","",IF(F5="Contract Workman",IF(AND(MOD(M5,1)&gt;=8/24,MOD(M5,1)&lt;20/24),"Shift S1","Shift S2"),IF(AND(MOD(M5,1)&gt;=7/24,MOD(M5,1)&lt;15/24),"Shift A",IF(AND(MOD(M5,1)&gt;=15/24,MOD(M5,1)&lt;23/24),"Shift B","Shift C"))))</f>
        <v/>
      </c>
      <c r="O5">
        <f>IF(B5="","",IF(IFERROR(ISNUMBER(SEARCH(TEXT(B5,"0"),VLOOKUP(E5,Machine_List!$B:$J,9,0))),FALSE),"✅ "&amp; E5,"❌ Sug: "&amp;IFERROR(INDEX(Machine_List!$B$72:$B$81,MATCH(1,(Machine_List!$H$72:$H$81&lt;=IFERROR(VLOOKUP($B5,OPR_BR1!$A$4:$K$18,10,0),0))*(Machine_List!$I$72:$I$81&gt;=IFERROR(VLOOKUP($B5,OPR_BR1!$A$4:$K$18,11,0),9999)),0)),"?")))</f>
        <v/>
      </c>
      <c r="P5">
        <f>IF(AND($A5&lt;&gt;"",P$3&gt;=$J5,P$3&lt;=$M5),1,"")</f>
        <v/>
      </c>
      <c r="Q5">
        <f>IF(AND($A5&lt;&gt;"",Q$3&gt;=$J5,Q$3&lt;=$M5),1,"")</f>
        <v/>
      </c>
      <c r="R5">
        <f>IF(AND($A5&lt;&gt;"",R$3&gt;=$J5,R$3&lt;=$M5),1,"")</f>
        <v/>
      </c>
      <c r="S5">
        <f>IF(AND($A5&lt;&gt;"",S$3&gt;=$J5,S$3&lt;=$M5),1,"")</f>
        <v/>
      </c>
      <c r="T5">
        <f>IF(AND($A5&lt;&gt;"",T$3&gt;=$J5,T$3&lt;=$M5),1,"")</f>
        <v/>
      </c>
      <c r="U5">
        <f>IF(AND($A5&lt;&gt;"",U$3&gt;=$J5,U$3&lt;=$M5),1,"")</f>
        <v/>
      </c>
      <c r="V5">
        <f>IF(AND($A5&lt;&gt;"",V$3&gt;=$J5,V$3&lt;=$M5),1,"")</f>
        <v/>
      </c>
      <c r="W5">
        <f>IF(AND($A5&lt;&gt;"",W$3&gt;=$J5,W$3&lt;=$M5),1,"")</f>
        <v/>
      </c>
      <c r="X5">
        <f>IF(AND($A5&lt;&gt;"",X$3&gt;=$J5,X$3&lt;=$M5),1,"")</f>
        <v/>
      </c>
      <c r="Y5">
        <f>IF(AND($A5&lt;&gt;"",Y$3&gt;=$J5,Y$3&lt;=$M5),1,"")</f>
        <v/>
      </c>
      <c r="Z5">
        <f>IF(AND($A5&lt;&gt;"",Z$3&gt;=$J5,Z$3&lt;=$M5),1,"")</f>
        <v/>
      </c>
      <c r="AA5">
        <f>IF(AND($A5&lt;&gt;"",AA$3&gt;=$J5,AA$3&lt;=$M5),1,"")</f>
        <v/>
      </c>
      <c r="AB5">
        <f>IF(AND($A5&lt;&gt;"",AB$3&gt;=$J5,AB$3&lt;=$M5),1,"")</f>
        <v/>
      </c>
      <c r="AC5">
        <f>IF(AND($A5&lt;&gt;"",AC$3&gt;=$J5,AC$3&lt;=$M5),1,"")</f>
        <v/>
      </c>
      <c r="AD5">
        <f>IF(AND($A5&lt;&gt;"",AD$3&gt;=$J5,AD$3&lt;=$M5),1,"")</f>
        <v/>
      </c>
      <c r="AE5">
        <f>IF(AND($A5&lt;&gt;"",AE$3&gt;=$J5,AE$3&lt;=$M5),1,"")</f>
        <v/>
      </c>
      <c r="AF5">
        <f>IF(AND($A5&lt;&gt;"",AF$3&gt;=$J5,AF$3&lt;=$M5),1,"")</f>
        <v/>
      </c>
      <c r="AG5">
        <f>IF(AND($A5&lt;&gt;"",AG$3&gt;=$J5,AG$3&lt;=$M5),1,"")</f>
        <v/>
      </c>
      <c r="AH5">
        <f>IF(AND($A5&lt;&gt;"",AH$3&gt;=$J5,AH$3&lt;=$M5),1,"")</f>
        <v/>
      </c>
      <c r="AI5">
        <f>IF(AND($A5&lt;&gt;"",AI$3&gt;=$J5,AI$3&lt;=$M5),1,"")</f>
        <v/>
      </c>
      <c r="AJ5">
        <f>IF(AND($A5&lt;&gt;"",AJ$3&gt;=$J5,AJ$3&lt;=$M5),1,"")</f>
        <v/>
      </c>
      <c r="AK5">
        <f>IF(AND($A5&lt;&gt;"",AK$3&gt;=$J5,AK$3&lt;=$M5),1,"")</f>
        <v/>
      </c>
      <c r="AL5">
        <f>IF(AND($A5&lt;&gt;"",AL$3&gt;=$J5,AL$3&lt;=$M5),1,"")</f>
        <v/>
      </c>
      <c r="AM5">
        <f>IF(AND($A5&lt;&gt;"",AM$3&gt;=$J5,AM$3&lt;=$M5),1,"")</f>
        <v/>
      </c>
      <c r="AN5">
        <f>IF(AND($A5&lt;&gt;"",AN$3&gt;=$J5,AN$3&lt;=$M5),1,"")</f>
        <v/>
      </c>
      <c r="AO5">
        <f>IF(AND($A5&lt;&gt;"",AO$3&gt;=$J5,AO$3&lt;=$M5),1,"")</f>
        <v/>
      </c>
      <c r="AP5">
        <f>IF(AND($A5&lt;&gt;"",AP$3&gt;=$J5,AP$3&lt;=$M5),1,"")</f>
        <v/>
      </c>
      <c r="AQ5">
        <f>IF(AND($A5&lt;&gt;"",AQ$3&gt;=$J5,AQ$3&lt;=$M5),1,"")</f>
        <v/>
      </c>
      <c r="AR5">
        <f>IF(AND($A5&lt;&gt;"",AR$3&gt;=$J5,AR$3&lt;=$M5),1,"")</f>
        <v/>
      </c>
      <c r="AS5">
        <f>IF(AND($A5&lt;&gt;"",AS$3&gt;=$J5,AS$3&lt;=$M5),1,"")</f>
        <v/>
      </c>
      <c r="AT5">
        <f>IF(AND($A5&lt;&gt;"",AT$3&gt;=$J5,AT$3&lt;=$M5),1,"")</f>
        <v/>
      </c>
      <c r="AU5">
        <f>IF(AND($A5&lt;&gt;"",AU$3&gt;=$J5,AU$3&lt;=$M5),1,"")</f>
        <v/>
      </c>
      <c r="AV5">
        <f>IF(AND($A5&lt;&gt;"",AV$3&gt;=$J5,AV$3&lt;=$M5),1,"")</f>
        <v/>
      </c>
      <c r="AW5">
        <f>IF(AND($A5&lt;&gt;"",AW$3&gt;=$J5,AW$3&lt;=$M5),1,"")</f>
        <v/>
      </c>
      <c r="AX5">
        <f>IF(AND($A5&lt;&gt;"",AX$3&gt;=$J5,AX$3&lt;=$M5),1,"")</f>
        <v/>
      </c>
      <c r="AY5">
        <f>IF(AND($A5&lt;&gt;"",AY$3&gt;=$J5,AY$3&lt;=$M5),1,"")</f>
        <v/>
      </c>
      <c r="AZ5">
        <f>IF(AND($A5&lt;&gt;"",AZ$3&gt;=$J5,AZ$3&lt;=$M5),1,"")</f>
        <v/>
      </c>
      <c r="BA5">
        <f>IF(AND($A5&lt;&gt;"",BA$3&gt;=$J5,BA$3&lt;=$M5),1,"")</f>
        <v/>
      </c>
      <c r="BB5">
        <f>IF(AND($A5&lt;&gt;"",BB$3&gt;=$J5,BB$3&lt;=$M5),1,"")</f>
        <v/>
      </c>
      <c r="BC5">
        <f>IF(AND($A5&lt;&gt;"",BC$3&gt;=$J5,BC$3&lt;=$M5),1,"")</f>
        <v/>
      </c>
      <c r="BD5">
        <f>IF(AND($A5&lt;&gt;"",BD$3&gt;=$J5,BD$3&lt;=$M5),1,"")</f>
        <v/>
      </c>
      <c r="BE5">
        <f>IF(AND($A5&lt;&gt;"",BE$3&gt;=$J5,BE$3&lt;=$M5),1,"")</f>
        <v/>
      </c>
      <c r="BF5">
        <f>IF(AND($A5&lt;&gt;"",BF$3&gt;=$J5,BF$3&lt;=$M5),1,"")</f>
        <v/>
      </c>
      <c r="BG5">
        <f>IF(AND($A5&lt;&gt;"",BG$3&gt;=$J5,BG$3&lt;=$M5),1,"")</f>
        <v/>
      </c>
      <c r="BH5">
        <f>IF(AND($A5&lt;&gt;"",BH$3&gt;=$J5,BH$3&lt;=$M5),1,"")</f>
        <v/>
      </c>
      <c r="BI5">
        <f>IF(AND($A5&lt;&gt;"",BI$3&gt;=$J5,BI$3&lt;=$M5),1,"")</f>
        <v/>
      </c>
      <c r="BJ5">
        <f>IF(AND($A5&lt;&gt;"",BJ$3&gt;=$J5,BJ$3&lt;=$M5),1,"")</f>
        <v/>
      </c>
      <c r="BK5">
        <f>IF(AND($A5&lt;&gt;"",BK$3&gt;=$J5,BK$3&lt;=$M5),1,"")</f>
        <v/>
      </c>
      <c r="BL5">
        <f>IF(AND($A5&lt;&gt;"",BL$3&gt;=$J5,BL$3&lt;=$M5),1,"")</f>
        <v/>
      </c>
      <c r="BM5">
        <f>IF(AND($A5&lt;&gt;"",BM$3&gt;=$J5,BM$3&lt;=$M5),1,"")</f>
        <v/>
      </c>
      <c r="BN5">
        <f>IF(AND($A5&lt;&gt;"",BN$3&gt;=$J5,BN$3&lt;=$M5),1,"")</f>
        <v/>
      </c>
      <c r="BO5">
        <f>IF(AND($A5&lt;&gt;"",BO$3&gt;=$J5,BO$3&lt;=$M5),1,"")</f>
        <v/>
      </c>
      <c r="BP5">
        <f>IF(AND($A5&lt;&gt;"",BP$3&gt;=$J5,BP$3&lt;=$M5),1,"")</f>
        <v/>
      </c>
      <c r="BQ5">
        <f>IF(AND($A5&lt;&gt;"",BQ$3&gt;=$J5,BQ$3&lt;=$M5),1,"")</f>
        <v/>
      </c>
      <c r="BR5">
        <f>IF(AND($A5&lt;&gt;"",BR$3&gt;=$J5,BR$3&lt;=$M5),1,"")</f>
        <v/>
      </c>
      <c r="BS5">
        <f>IF(AND($A5&lt;&gt;"",BS$3&gt;=$J5,BS$3&lt;=$M5),1,"")</f>
        <v/>
      </c>
      <c r="BT5">
        <f>IF(AND($A5&lt;&gt;"",BT$3&gt;=$J5,BT$3&lt;=$M5),1,"")</f>
        <v/>
      </c>
      <c r="BU5">
        <f>IF(AND($A5&lt;&gt;"",BU$3&gt;=$J5,BU$3&lt;=$M5),1,"")</f>
        <v/>
      </c>
      <c r="BV5">
        <f>IF(AND($A5&lt;&gt;"",BV$3&gt;=$J5,BV$3&lt;=$M5),1,"")</f>
        <v/>
      </c>
    </row>
    <row r="6">
      <c r="A6">
        <f>IF(Job_Master_Ring!$A6="","",Job_Master_Ring!$A6)</f>
        <v/>
      </c>
      <c r="B6">
        <f>IF($A6="","",Job_Master_Ring!B6)</f>
        <v/>
      </c>
      <c r="C6">
        <f>IF($A6="","",Job_Master_Ring!C6)</f>
        <v/>
      </c>
      <c r="D6">
        <f>IF($A6="","",Job_Master_Ring!D6)</f>
        <v/>
      </c>
      <c r="E6">
        <f>IF($A6="","",IF($I6&lt;&gt;"",$I6,IFERROR(INDEX(Machine_List!$B$72:$B$81,MATCH(1,(Machine_List!$H$72:$H$81&lt;=IFERROR(VLOOKUP($B6,CHOOSE(MATCH($C6,Settings!$L$4:$L$10,0),OPR_BR1!$A$4:$K$18,OPR_BR2!$A$4:$K$18,OPR_CR2!$A$4:$K$18,OPR_CR3!$A$4:$K$18,OPR_CR4!$A$4:$K$18,OPR_RIM!$A$4:$K$18,OPR_BPR!$A$4:$K$18),10,0),0))*(Machine_List!$I$72:$I$81&gt;=IFERROR(VLOOKUP($B6,CHOOSE(MATCH($C6,Settings!$L$4:$L$10,0),OPR_BR1!$A$4:$K$18,OPR_BR2!$A$4:$K$18,OPR_CR2!$A$4:$K$18,OPR_CR3!$A$4:$K$18,OPR_CR4!$A$4:$K$18,OPR_RIM!$A$4:$K$18,OPR_BPR!$A$4:$K$18),11,0),9999)),0)),"NO COMPATIBLE MACHINE")))</f>
        <v/>
      </c>
      <c r="F6">
        <f>IF($E6="","",IFERROR(VLOOKUP($E6,Machine_List!$B:$G,6,0),""))</f>
        <v/>
      </c>
      <c r="G6" s="17">
        <f>IF($E6="","",IFERROR(VLOOKUP($E6,Machine_List!$B:$C,2,0),""))</f>
        <v/>
      </c>
      <c r="H6">
        <f>IF($E6="","",IFERROR(VLOOKUP($E6,Machine_List!$B:$D,3,0),""))</f>
        <v/>
      </c>
      <c r="J6" s="16">
        <f>IF($A6="","",IF($I6&lt;&gt;"",$I6,MAX(VENT_Plan!$M6,IFERROR(LOOKUP(2,1/($E$3:INDIRECT("E"&amp;(ROW()-1))=$E6),$M$3:INDIRECT("M"&amp;(ROW()-1))),VENT_Plan!$M6))))</f>
        <v/>
      </c>
      <c r="K6">
        <f>IF($A6="","",IFERROR(VLOOKUP(B6,CHOOSE(MATCH($C6,Settings!$L$4:$L$10,0),OPR_BR1!$A$4:$I$18,OPR_BR2!$A$4:$I$18,OPR_CR2!$A$4:$I$18,OPR_CR3!$A$4:$I$18,OPR_CR4!$A$4:$I$18,OPR_RIM!$A$4:$I$18,OPR_BPR!$A$4:$I$18),8,0),0))</f>
        <v/>
      </c>
      <c r="L6">
        <f>IF($A6="","",K6*D6)</f>
        <v/>
      </c>
      <c r="M6" s="16">
        <f>IF($A6="","",IF(AND(ISNUMBER(G6),G6&gt;=J6,G6&lt;=(J6+(L6/(IF(F6="Contract Workman",Settings!$K$5,Settings!$K$4))))),J6+(L6/(IF(F6="Contract Workman",Settings!$K$5,Settings!$K$4)))+(H6/(IF(F6="Contract Workman",Settings!$K$5,Settings!$K$4))),J6+(L6/(IF(F6="Contract Workman",Settings!$K$5,Settings!$K$4)))))</f>
        <v/>
      </c>
      <c r="N6">
        <f>IF($A6="","",IF(F6="Contract Workman",IF(AND(MOD(M6,1)&gt;=8/24,MOD(M6,1)&lt;20/24),"Shift S1","Shift S2"),IF(AND(MOD(M6,1)&gt;=7/24,MOD(M6,1)&lt;15/24),"Shift A",IF(AND(MOD(M6,1)&gt;=15/24,MOD(M6,1)&lt;23/24),"Shift B","Shift C"))))</f>
        <v/>
      </c>
      <c r="O6">
        <f>IF(B6="","",IF(IFERROR(ISNUMBER(SEARCH(TEXT(B6,"0"),VLOOKUP(E6,Machine_List!$B:$J,9,0))),FALSE),"✅ "&amp; E6,"❌ Sug: "&amp;IFERROR(INDEX(Machine_List!$B$72:$B$81,MATCH(1,(Machine_List!$H$72:$H$81&lt;=IFERROR(VLOOKUP($B6,OPR_BR1!$A$4:$K$18,10,0),0))*(Machine_List!$I$72:$I$81&gt;=IFERROR(VLOOKUP($B6,OPR_BR1!$A$4:$K$18,11,0),9999)),0)),"?")))</f>
        <v/>
      </c>
      <c r="P6">
        <f>IF(AND($A6&lt;&gt;"",P$3&gt;=$J6,P$3&lt;=$M6),1,"")</f>
        <v/>
      </c>
      <c r="Q6">
        <f>IF(AND($A6&lt;&gt;"",Q$3&gt;=$J6,Q$3&lt;=$M6),1,"")</f>
        <v/>
      </c>
      <c r="R6">
        <f>IF(AND($A6&lt;&gt;"",R$3&gt;=$J6,R$3&lt;=$M6),1,"")</f>
        <v/>
      </c>
      <c r="S6">
        <f>IF(AND($A6&lt;&gt;"",S$3&gt;=$J6,S$3&lt;=$M6),1,"")</f>
        <v/>
      </c>
      <c r="T6">
        <f>IF(AND($A6&lt;&gt;"",T$3&gt;=$J6,T$3&lt;=$M6),1,"")</f>
        <v/>
      </c>
      <c r="U6">
        <f>IF(AND($A6&lt;&gt;"",U$3&gt;=$J6,U$3&lt;=$M6),1,"")</f>
        <v/>
      </c>
      <c r="V6">
        <f>IF(AND($A6&lt;&gt;"",V$3&gt;=$J6,V$3&lt;=$M6),1,"")</f>
        <v/>
      </c>
      <c r="W6">
        <f>IF(AND($A6&lt;&gt;"",W$3&gt;=$J6,W$3&lt;=$M6),1,"")</f>
        <v/>
      </c>
      <c r="X6">
        <f>IF(AND($A6&lt;&gt;"",X$3&gt;=$J6,X$3&lt;=$M6),1,"")</f>
        <v/>
      </c>
      <c r="Y6">
        <f>IF(AND($A6&lt;&gt;"",Y$3&gt;=$J6,Y$3&lt;=$M6),1,"")</f>
        <v/>
      </c>
      <c r="Z6">
        <f>IF(AND($A6&lt;&gt;"",Z$3&gt;=$J6,Z$3&lt;=$M6),1,"")</f>
        <v/>
      </c>
      <c r="AA6">
        <f>IF(AND($A6&lt;&gt;"",AA$3&gt;=$J6,AA$3&lt;=$M6),1,"")</f>
        <v/>
      </c>
      <c r="AB6">
        <f>IF(AND($A6&lt;&gt;"",AB$3&gt;=$J6,AB$3&lt;=$M6),1,"")</f>
        <v/>
      </c>
      <c r="AC6">
        <f>IF(AND($A6&lt;&gt;"",AC$3&gt;=$J6,AC$3&lt;=$M6),1,"")</f>
        <v/>
      </c>
      <c r="AD6">
        <f>IF(AND($A6&lt;&gt;"",AD$3&gt;=$J6,AD$3&lt;=$M6),1,"")</f>
        <v/>
      </c>
      <c r="AE6">
        <f>IF(AND($A6&lt;&gt;"",AE$3&gt;=$J6,AE$3&lt;=$M6),1,"")</f>
        <v/>
      </c>
      <c r="AF6">
        <f>IF(AND($A6&lt;&gt;"",AF$3&gt;=$J6,AF$3&lt;=$M6),1,"")</f>
        <v/>
      </c>
      <c r="AG6">
        <f>IF(AND($A6&lt;&gt;"",AG$3&gt;=$J6,AG$3&lt;=$M6),1,"")</f>
        <v/>
      </c>
      <c r="AH6">
        <f>IF(AND($A6&lt;&gt;"",AH$3&gt;=$J6,AH$3&lt;=$M6),1,"")</f>
        <v/>
      </c>
      <c r="AI6">
        <f>IF(AND($A6&lt;&gt;"",AI$3&gt;=$J6,AI$3&lt;=$M6),1,"")</f>
        <v/>
      </c>
      <c r="AJ6">
        <f>IF(AND($A6&lt;&gt;"",AJ$3&gt;=$J6,AJ$3&lt;=$M6),1,"")</f>
        <v/>
      </c>
      <c r="AK6">
        <f>IF(AND($A6&lt;&gt;"",AK$3&gt;=$J6,AK$3&lt;=$M6),1,"")</f>
        <v/>
      </c>
      <c r="AL6">
        <f>IF(AND($A6&lt;&gt;"",AL$3&gt;=$J6,AL$3&lt;=$M6),1,"")</f>
        <v/>
      </c>
      <c r="AM6">
        <f>IF(AND($A6&lt;&gt;"",AM$3&gt;=$J6,AM$3&lt;=$M6),1,"")</f>
        <v/>
      </c>
      <c r="AN6">
        <f>IF(AND($A6&lt;&gt;"",AN$3&gt;=$J6,AN$3&lt;=$M6),1,"")</f>
        <v/>
      </c>
      <c r="AO6">
        <f>IF(AND($A6&lt;&gt;"",AO$3&gt;=$J6,AO$3&lt;=$M6),1,"")</f>
        <v/>
      </c>
      <c r="AP6">
        <f>IF(AND($A6&lt;&gt;"",AP$3&gt;=$J6,AP$3&lt;=$M6),1,"")</f>
        <v/>
      </c>
      <c r="AQ6">
        <f>IF(AND($A6&lt;&gt;"",AQ$3&gt;=$J6,AQ$3&lt;=$M6),1,"")</f>
        <v/>
      </c>
      <c r="AR6">
        <f>IF(AND($A6&lt;&gt;"",AR$3&gt;=$J6,AR$3&lt;=$M6),1,"")</f>
        <v/>
      </c>
      <c r="AS6">
        <f>IF(AND($A6&lt;&gt;"",AS$3&gt;=$J6,AS$3&lt;=$M6),1,"")</f>
        <v/>
      </c>
      <c r="AT6">
        <f>IF(AND($A6&lt;&gt;"",AT$3&gt;=$J6,AT$3&lt;=$M6),1,"")</f>
        <v/>
      </c>
      <c r="AU6">
        <f>IF(AND($A6&lt;&gt;"",AU$3&gt;=$J6,AU$3&lt;=$M6),1,"")</f>
        <v/>
      </c>
      <c r="AV6">
        <f>IF(AND($A6&lt;&gt;"",AV$3&gt;=$J6,AV$3&lt;=$M6),1,"")</f>
        <v/>
      </c>
      <c r="AW6">
        <f>IF(AND($A6&lt;&gt;"",AW$3&gt;=$J6,AW$3&lt;=$M6),1,"")</f>
        <v/>
      </c>
      <c r="AX6">
        <f>IF(AND($A6&lt;&gt;"",AX$3&gt;=$J6,AX$3&lt;=$M6),1,"")</f>
        <v/>
      </c>
      <c r="AY6">
        <f>IF(AND($A6&lt;&gt;"",AY$3&gt;=$J6,AY$3&lt;=$M6),1,"")</f>
        <v/>
      </c>
      <c r="AZ6">
        <f>IF(AND($A6&lt;&gt;"",AZ$3&gt;=$J6,AZ$3&lt;=$M6),1,"")</f>
        <v/>
      </c>
      <c r="BA6">
        <f>IF(AND($A6&lt;&gt;"",BA$3&gt;=$J6,BA$3&lt;=$M6),1,"")</f>
        <v/>
      </c>
      <c r="BB6">
        <f>IF(AND($A6&lt;&gt;"",BB$3&gt;=$J6,BB$3&lt;=$M6),1,"")</f>
        <v/>
      </c>
      <c r="BC6">
        <f>IF(AND($A6&lt;&gt;"",BC$3&gt;=$J6,BC$3&lt;=$M6),1,"")</f>
        <v/>
      </c>
      <c r="BD6">
        <f>IF(AND($A6&lt;&gt;"",BD$3&gt;=$J6,BD$3&lt;=$M6),1,"")</f>
        <v/>
      </c>
      <c r="BE6">
        <f>IF(AND($A6&lt;&gt;"",BE$3&gt;=$J6,BE$3&lt;=$M6),1,"")</f>
        <v/>
      </c>
      <c r="BF6">
        <f>IF(AND($A6&lt;&gt;"",BF$3&gt;=$J6,BF$3&lt;=$M6),1,"")</f>
        <v/>
      </c>
      <c r="BG6">
        <f>IF(AND($A6&lt;&gt;"",BG$3&gt;=$J6,BG$3&lt;=$M6),1,"")</f>
        <v/>
      </c>
      <c r="BH6">
        <f>IF(AND($A6&lt;&gt;"",BH$3&gt;=$J6,BH$3&lt;=$M6),1,"")</f>
        <v/>
      </c>
      <c r="BI6">
        <f>IF(AND($A6&lt;&gt;"",BI$3&gt;=$J6,BI$3&lt;=$M6),1,"")</f>
        <v/>
      </c>
      <c r="BJ6">
        <f>IF(AND($A6&lt;&gt;"",BJ$3&gt;=$J6,BJ$3&lt;=$M6),1,"")</f>
        <v/>
      </c>
      <c r="BK6">
        <f>IF(AND($A6&lt;&gt;"",BK$3&gt;=$J6,BK$3&lt;=$M6),1,"")</f>
        <v/>
      </c>
      <c r="BL6">
        <f>IF(AND($A6&lt;&gt;"",BL$3&gt;=$J6,BL$3&lt;=$M6),1,"")</f>
        <v/>
      </c>
      <c r="BM6">
        <f>IF(AND($A6&lt;&gt;"",BM$3&gt;=$J6,BM$3&lt;=$M6),1,"")</f>
        <v/>
      </c>
      <c r="BN6">
        <f>IF(AND($A6&lt;&gt;"",BN$3&gt;=$J6,BN$3&lt;=$M6),1,"")</f>
        <v/>
      </c>
      <c r="BO6">
        <f>IF(AND($A6&lt;&gt;"",BO$3&gt;=$J6,BO$3&lt;=$M6),1,"")</f>
        <v/>
      </c>
      <c r="BP6">
        <f>IF(AND($A6&lt;&gt;"",BP$3&gt;=$J6,BP$3&lt;=$M6),1,"")</f>
        <v/>
      </c>
      <c r="BQ6">
        <f>IF(AND($A6&lt;&gt;"",BQ$3&gt;=$J6,BQ$3&lt;=$M6),1,"")</f>
        <v/>
      </c>
      <c r="BR6">
        <f>IF(AND($A6&lt;&gt;"",BR$3&gt;=$J6,BR$3&lt;=$M6),1,"")</f>
        <v/>
      </c>
      <c r="BS6">
        <f>IF(AND($A6&lt;&gt;"",BS$3&gt;=$J6,BS$3&lt;=$M6),1,"")</f>
        <v/>
      </c>
      <c r="BT6">
        <f>IF(AND($A6&lt;&gt;"",BT$3&gt;=$J6,BT$3&lt;=$M6),1,"")</f>
        <v/>
      </c>
      <c r="BU6">
        <f>IF(AND($A6&lt;&gt;"",BU$3&gt;=$J6,BU$3&lt;=$M6),1,"")</f>
        <v/>
      </c>
      <c r="BV6">
        <f>IF(AND($A6&lt;&gt;"",BV$3&gt;=$J6,BV$3&lt;=$M6),1,"")</f>
        <v/>
      </c>
    </row>
    <row r="7">
      <c r="A7">
        <f>IF(Job_Master_Ring!$A7="","",Job_Master_Ring!$A7)</f>
        <v/>
      </c>
      <c r="B7">
        <f>IF($A7="","",Job_Master_Ring!B7)</f>
        <v/>
      </c>
      <c r="C7">
        <f>IF($A7="","",Job_Master_Ring!C7)</f>
        <v/>
      </c>
      <c r="D7">
        <f>IF($A7="","",Job_Master_Ring!D7)</f>
        <v/>
      </c>
      <c r="E7">
        <f>IF($A7="","",IF($I7&lt;&gt;"",$I7,IFERROR(INDEX(Machine_List!$B$72:$B$81,MATCH(1,(Machine_List!$H$72:$H$81&lt;=IFERROR(VLOOKUP($B7,CHOOSE(MATCH($C7,Settings!$L$4:$L$10,0),OPR_BR1!$A$4:$K$18,OPR_BR2!$A$4:$K$18,OPR_CR2!$A$4:$K$18,OPR_CR3!$A$4:$K$18,OPR_CR4!$A$4:$K$18,OPR_RIM!$A$4:$K$18,OPR_BPR!$A$4:$K$18),10,0),0))*(Machine_List!$I$72:$I$81&gt;=IFERROR(VLOOKUP($B7,CHOOSE(MATCH($C7,Settings!$L$4:$L$10,0),OPR_BR1!$A$4:$K$18,OPR_BR2!$A$4:$K$18,OPR_CR2!$A$4:$K$18,OPR_CR3!$A$4:$K$18,OPR_CR4!$A$4:$K$18,OPR_RIM!$A$4:$K$18,OPR_BPR!$A$4:$K$18),11,0),9999)),0)),"NO COMPATIBLE MACHINE")))</f>
        <v/>
      </c>
      <c r="F7">
        <f>IF($E7="","",IFERROR(VLOOKUP($E7,Machine_List!$B:$G,6,0),""))</f>
        <v/>
      </c>
      <c r="G7" s="17">
        <f>IF($E7="","",IFERROR(VLOOKUP($E7,Machine_List!$B:$C,2,0),""))</f>
        <v/>
      </c>
      <c r="H7">
        <f>IF($E7="","",IFERROR(VLOOKUP($E7,Machine_List!$B:$D,3,0),""))</f>
        <v/>
      </c>
      <c r="J7" s="16">
        <f>IF($A7="","",IF($I7&lt;&gt;"",$I7,MAX(VENT_Plan!$M7,IFERROR(LOOKUP(2,1/($E$3:INDIRECT("E"&amp;(ROW()-1))=$E7),$M$3:INDIRECT("M"&amp;(ROW()-1))),VENT_Plan!$M7))))</f>
        <v/>
      </c>
      <c r="K7">
        <f>IF($A7="","",IFERROR(VLOOKUP(B7,CHOOSE(MATCH($C7,Settings!$L$4:$L$10,0),OPR_BR1!$A$4:$I$18,OPR_BR2!$A$4:$I$18,OPR_CR2!$A$4:$I$18,OPR_CR3!$A$4:$I$18,OPR_CR4!$A$4:$I$18,OPR_RIM!$A$4:$I$18,OPR_BPR!$A$4:$I$18),8,0),0))</f>
        <v/>
      </c>
      <c r="L7">
        <f>IF($A7="","",K7*D7)</f>
        <v/>
      </c>
      <c r="M7" s="16">
        <f>IF($A7="","",IF(AND(ISNUMBER(G7),G7&gt;=J7,G7&lt;=(J7+(L7/(IF(F7="Contract Workman",Settings!$K$5,Settings!$K$4))))),J7+(L7/(IF(F7="Contract Workman",Settings!$K$5,Settings!$K$4)))+(H7/(IF(F7="Contract Workman",Settings!$K$5,Settings!$K$4))),J7+(L7/(IF(F7="Contract Workman",Settings!$K$5,Settings!$K$4)))))</f>
        <v/>
      </c>
      <c r="N7">
        <f>IF($A7="","",IF(F7="Contract Workman",IF(AND(MOD(M7,1)&gt;=8/24,MOD(M7,1)&lt;20/24),"Shift S1","Shift S2"),IF(AND(MOD(M7,1)&gt;=7/24,MOD(M7,1)&lt;15/24),"Shift A",IF(AND(MOD(M7,1)&gt;=15/24,MOD(M7,1)&lt;23/24),"Shift B","Shift C"))))</f>
        <v/>
      </c>
      <c r="O7">
        <f>IF(B7="","",IF(IFERROR(ISNUMBER(SEARCH(TEXT(B7,"0"),VLOOKUP(E7,Machine_List!$B:$J,9,0))),FALSE),"✅ "&amp; E7,"❌ Sug: "&amp;IFERROR(INDEX(Machine_List!$B$72:$B$81,MATCH(1,(Machine_List!$H$72:$H$81&lt;=IFERROR(VLOOKUP($B7,OPR_BR1!$A$4:$K$18,10,0),0))*(Machine_List!$I$72:$I$81&gt;=IFERROR(VLOOKUP($B7,OPR_BR1!$A$4:$K$18,11,0),9999)),0)),"?")))</f>
        <v/>
      </c>
      <c r="P7">
        <f>IF(AND($A7&lt;&gt;"",P$3&gt;=$J7,P$3&lt;=$M7),1,"")</f>
        <v/>
      </c>
      <c r="Q7">
        <f>IF(AND($A7&lt;&gt;"",Q$3&gt;=$J7,Q$3&lt;=$M7),1,"")</f>
        <v/>
      </c>
      <c r="R7">
        <f>IF(AND($A7&lt;&gt;"",R$3&gt;=$J7,R$3&lt;=$M7),1,"")</f>
        <v/>
      </c>
      <c r="S7">
        <f>IF(AND($A7&lt;&gt;"",S$3&gt;=$J7,S$3&lt;=$M7),1,"")</f>
        <v/>
      </c>
      <c r="T7">
        <f>IF(AND($A7&lt;&gt;"",T$3&gt;=$J7,T$3&lt;=$M7),1,"")</f>
        <v/>
      </c>
      <c r="U7">
        <f>IF(AND($A7&lt;&gt;"",U$3&gt;=$J7,U$3&lt;=$M7),1,"")</f>
        <v/>
      </c>
      <c r="V7">
        <f>IF(AND($A7&lt;&gt;"",V$3&gt;=$J7,V$3&lt;=$M7),1,"")</f>
        <v/>
      </c>
      <c r="W7">
        <f>IF(AND($A7&lt;&gt;"",W$3&gt;=$J7,W$3&lt;=$M7),1,"")</f>
        <v/>
      </c>
      <c r="X7">
        <f>IF(AND($A7&lt;&gt;"",X$3&gt;=$J7,X$3&lt;=$M7),1,"")</f>
        <v/>
      </c>
      <c r="Y7">
        <f>IF(AND($A7&lt;&gt;"",Y$3&gt;=$J7,Y$3&lt;=$M7),1,"")</f>
        <v/>
      </c>
      <c r="Z7">
        <f>IF(AND($A7&lt;&gt;"",Z$3&gt;=$J7,Z$3&lt;=$M7),1,"")</f>
        <v/>
      </c>
      <c r="AA7">
        <f>IF(AND($A7&lt;&gt;"",AA$3&gt;=$J7,AA$3&lt;=$M7),1,"")</f>
        <v/>
      </c>
      <c r="AB7">
        <f>IF(AND($A7&lt;&gt;"",AB$3&gt;=$J7,AB$3&lt;=$M7),1,"")</f>
        <v/>
      </c>
      <c r="AC7">
        <f>IF(AND($A7&lt;&gt;"",AC$3&gt;=$J7,AC$3&lt;=$M7),1,"")</f>
        <v/>
      </c>
      <c r="AD7">
        <f>IF(AND($A7&lt;&gt;"",AD$3&gt;=$J7,AD$3&lt;=$M7),1,"")</f>
        <v/>
      </c>
      <c r="AE7">
        <f>IF(AND($A7&lt;&gt;"",AE$3&gt;=$J7,AE$3&lt;=$M7),1,"")</f>
        <v/>
      </c>
      <c r="AF7">
        <f>IF(AND($A7&lt;&gt;"",AF$3&gt;=$J7,AF$3&lt;=$M7),1,"")</f>
        <v/>
      </c>
      <c r="AG7">
        <f>IF(AND($A7&lt;&gt;"",AG$3&gt;=$J7,AG$3&lt;=$M7),1,"")</f>
        <v/>
      </c>
      <c r="AH7">
        <f>IF(AND($A7&lt;&gt;"",AH$3&gt;=$J7,AH$3&lt;=$M7),1,"")</f>
        <v/>
      </c>
      <c r="AI7">
        <f>IF(AND($A7&lt;&gt;"",AI$3&gt;=$J7,AI$3&lt;=$M7),1,"")</f>
        <v/>
      </c>
      <c r="AJ7">
        <f>IF(AND($A7&lt;&gt;"",AJ$3&gt;=$J7,AJ$3&lt;=$M7),1,"")</f>
        <v/>
      </c>
      <c r="AK7">
        <f>IF(AND($A7&lt;&gt;"",AK$3&gt;=$J7,AK$3&lt;=$M7),1,"")</f>
        <v/>
      </c>
      <c r="AL7">
        <f>IF(AND($A7&lt;&gt;"",AL$3&gt;=$J7,AL$3&lt;=$M7),1,"")</f>
        <v/>
      </c>
      <c r="AM7">
        <f>IF(AND($A7&lt;&gt;"",AM$3&gt;=$J7,AM$3&lt;=$M7),1,"")</f>
        <v/>
      </c>
      <c r="AN7">
        <f>IF(AND($A7&lt;&gt;"",AN$3&gt;=$J7,AN$3&lt;=$M7),1,"")</f>
        <v/>
      </c>
      <c r="AO7">
        <f>IF(AND($A7&lt;&gt;"",AO$3&gt;=$J7,AO$3&lt;=$M7),1,"")</f>
        <v/>
      </c>
      <c r="AP7">
        <f>IF(AND($A7&lt;&gt;"",AP$3&gt;=$J7,AP$3&lt;=$M7),1,"")</f>
        <v/>
      </c>
      <c r="AQ7">
        <f>IF(AND($A7&lt;&gt;"",AQ$3&gt;=$J7,AQ$3&lt;=$M7),1,"")</f>
        <v/>
      </c>
      <c r="AR7">
        <f>IF(AND($A7&lt;&gt;"",AR$3&gt;=$J7,AR$3&lt;=$M7),1,"")</f>
        <v/>
      </c>
      <c r="AS7">
        <f>IF(AND($A7&lt;&gt;"",AS$3&gt;=$J7,AS$3&lt;=$M7),1,"")</f>
        <v/>
      </c>
      <c r="AT7">
        <f>IF(AND($A7&lt;&gt;"",AT$3&gt;=$J7,AT$3&lt;=$M7),1,"")</f>
        <v/>
      </c>
      <c r="AU7">
        <f>IF(AND($A7&lt;&gt;"",AU$3&gt;=$J7,AU$3&lt;=$M7),1,"")</f>
        <v/>
      </c>
      <c r="AV7">
        <f>IF(AND($A7&lt;&gt;"",AV$3&gt;=$J7,AV$3&lt;=$M7),1,"")</f>
        <v/>
      </c>
      <c r="AW7">
        <f>IF(AND($A7&lt;&gt;"",AW$3&gt;=$J7,AW$3&lt;=$M7),1,"")</f>
        <v/>
      </c>
      <c r="AX7">
        <f>IF(AND($A7&lt;&gt;"",AX$3&gt;=$J7,AX$3&lt;=$M7),1,"")</f>
        <v/>
      </c>
      <c r="AY7">
        <f>IF(AND($A7&lt;&gt;"",AY$3&gt;=$J7,AY$3&lt;=$M7),1,"")</f>
        <v/>
      </c>
      <c r="AZ7">
        <f>IF(AND($A7&lt;&gt;"",AZ$3&gt;=$J7,AZ$3&lt;=$M7),1,"")</f>
        <v/>
      </c>
      <c r="BA7">
        <f>IF(AND($A7&lt;&gt;"",BA$3&gt;=$J7,BA$3&lt;=$M7),1,"")</f>
        <v/>
      </c>
      <c r="BB7">
        <f>IF(AND($A7&lt;&gt;"",BB$3&gt;=$J7,BB$3&lt;=$M7),1,"")</f>
        <v/>
      </c>
      <c r="BC7">
        <f>IF(AND($A7&lt;&gt;"",BC$3&gt;=$J7,BC$3&lt;=$M7),1,"")</f>
        <v/>
      </c>
      <c r="BD7">
        <f>IF(AND($A7&lt;&gt;"",BD$3&gt;=$J7,BD$3&lt;=$M7),1,"")</f>
        <v/>
      </c>
      <c r="BE7">
        <f>IF(AND($A7&lt;&gt;"",BE$3&gt;=$J7,BE$3&lt;=$M7),1,"")</f>
        <v/>
      </c>
      <c r="BF7">
        <f>IF(AND($A7&lt;&gt;"",BF$3&gt;=$J7,BF$3&lt;=$M7),1,"")</f>
        <v/>
      </c>
      <c r="BG7">
        <f>IF(AND($A7&lt;&gt;"",BG$3&gt;=$J7,BG$3&lt;=$M7),1,"")</f>
        <v/>
      </c>
      <c r="BH7">
        <f>IF(AND($A7&lt;&gt;"",BH$3&gt;=$J7,BH$3&lt;=$M7),1,"")</f>
        <v/>
      </c>
      <c r="BI7">
        <f>IF(AND($A7&lt;&gt;"",BI$3&gt;=$J7,BI$3&lt;=$M7),1,"")</f>
        <v/>
      </c>
      <c r="BJ7">
        <f>IF(AND($A7&lt;&gt;"",BJ$3&gt;=$J7,BJ$3&lt;=$M7),1,"")</f>
        <v/>
      </c>
      <c r="BK7">
        <f>IF(AND($A7&lt;&gt;"",BK$3&gt;=$J7,BK$3&lt;=$M7),1,"")</f>
        <v/>
      </c>
      <c r="BL7">
        <f>IF(AND($A7&lt;&gt;"",BL$3&gt;=$J7,BL$3&lt;=$M7),1,"")</f>
        <v/>
      </c>
      <c r="BM7">
        <f>IF(AND($A7&lt;&gt;"",BM$3&gt;=$J7,BM$3&lt;=$M7),1,"")</f>
        <v/>
      </c>
      <c r="BN7">
        <f>IF(AND($A7&lt;&gt;"",BN$3&gt;=$J7,BN$3&lt;=$M7),1,"")</f>
        <v/>
      </c>
      <c r="BO7">
        <f>IF(AND($A7&lt;&gt;"",BO$3&gt;=$J7,BO$3&lt;=$M7),1,"")</f>
        <v/>
      </c>
      <c r="BP7">
        <f>IF(AND($A7&lt;&gt;"",BP$3&gt;=$J7,BP$3&lt;=$M7),1,"")</f>
        <v/>
      </c>
      <c r="BQ7">
        <f>IF(AND($A7&lt;&gt;"",BQ$3&gt;=$J7,BQ$3&lt;=$M7),1,"")</f>
        <v/>
      </c>
      <c r="BR7">
        <f>IF(AND($A7&lt;&gt;"",BR$3&gt;=$J7,BR$3&lt;=$M7),1,"")</f>
        <v/>
      </c>
      <c r="BS7">
        <f>IF(AND($A7&lt;&gt;"",BS$3&gt;=$J7,BS$3&lt;=$M7),1,"")</f>
        <v/>
      </c>
      <c r="BT7">
        <f>IF(AND($A7&lt;&gt;"",BT$3&gt;=$J7,BT$3&lt;=$M7),1,"")</f>
        <v/>
      </c>
      <c r="BU7">
        <f>IF(AND($A7&lt;&gt;"",BU$3&gt;=$J7,BU$3&lt;=$M7),1,"")</f>
        <v/>
      </c>
      <c r="BV7">
        <f>IF(AND($A7&lt;&gt;"",BV$3&gt;=$J7,BV$3&lt;=$M7),1,"")</f>
        <v/>
      </c>
    </row>
    <row r="8">
      <c r="A8">
        <f>IF(Job_Master_Ring!$A8="","",Job_Master_Ring!$A8)</f>
        <v/>
      </c>
      <c r="B8">
        <f>IF($A8="","",Job_Master_Ring!B8)</f>
        <v/>
      </c>
      <c r="C8">
        <f>IF($A8="","",Job_Master_Ring!C8)</f>
        <v/>
      </c>
      <c r="D8">
        <f>IF($A8="","",Job_Master_Ring!D8)</f>
        <v/>
      </c>
      <c r="E8">
        <f>IF($A8="","",IF($I8&lt;&gt;"",$I8,IFERROR(INDEX(Machine_List!$B$72:$B$81,MATCH(1,(Machine_List!$H$72:$H$81&lt;=IFERROR(VLOOKUP($B8,CHOOSE(MATCH($C8,Settings!$L$4:$L$10,0),OPR_BR1!$A$4:$K$18,OPR_BR2!$A$4:$K$18,OPR_CR2!$A$4:$K$18,OPR_CR3!$A$4:$K$18,OPR_CR4!$A$4:$K$18,OPR_RIM!$A$4:$K$18,OPR_BPR!$A$4:$K$18),10,0),0))*(Machine_List!$I$72:$I$81&gt;=IFERROR(VLOOKUP($B8,CHOOSE(MATCH($C8,Settings!$L$4:$L$10,0),OPR_BR1!$A$4:$K$18,OPR_BR2!$A$4:$K$18,OPR_CR2!$A$4:$K$18,OPR_CR3!$A$4:$K$18,OPR_CR4!$A$4:$K$18,OPR_RIM!$A$4:$K$18,OPR_BPR!$A$4:$K$18),11,0),9999)),0)),"NO COMPATIBLE MACHINE")))</f>
        <v/>
      </c>
      <c r="F8">
        <f>IF($E8="","",IFERROR(VLOOKUP($E8,Machine_List!$B:$G,6,0),""))</f>
        <v/>
      </c>
      <c r="G8" s="17">
        <f>IF($E8="","",IFERROR(VLOOKUP($E8,Machine_List!$B:$C,2,0),""))</f>
        <v/>
      </c>
      <c r="H8">
        <f>IF($E8="","",IFERROR(VLOOKUP($E8,Machine_List!$B:$D,3,0),""))</f>
        <v/>
      </c>
      <c r="J8" s="16">
        <f>IF($A8="","",IF($I8&lt;&gt;"",$I8,MAX(VENT_Plan!$M8,IFERROR(LOOKUP(2,1/($E$3:INDIRECT("E"&amp;(ROW()-1))=$E8),$M$3:INDIRECT("M"&amp;(ROW()-1))),VENT_Plan!$M8))))</f>
        <v/>
      </c>
      <c r="K8">
        <f>IF($A8="","",IFERROR(VLOOKUP(B8,CHOOSE(MATCH($C8,Settings!$L$4:$L$10,0),OPR_BR1!$A$4:$I$18,OPR_BR2!$A$4:$I$18,OPR_CR2!$A$4:$I$18,OPR_CR3!$A$4:$I$18,OPR_CR4!$A$4:$I$18,OPR_RIM!$A$4:$I$18,OPR_BPR!$A$4:$I$18),8,0),0))</f>
        <v/>
      </c>
      <c r="L8">
        <f>IF($A8="","",K8*D8)</f>
        <v/>
      </c>
      <c r="M8" s="16">
        <f>IF($A8="","",IF(AND(ISNUMBER(G8),G8&gt;=J8,G8&lt;=(J8+(L8/(IF(F8="Contract Workman",Settings!$K$5,Settings!$K$4))))),J8+(L8/(IF(F8="Contract Workman",Settings!$K$5,Settings!$K$4)))+(H8/(IF(F8="Contract Workman",Settings!$K$5,Settings!$K$4))),J8+(L8/(IF(F8="Contract Workman",Settings!$K$5,Settings!$K$4)))))</f>
        <v/>
      </c>
      <c r="N8">
        <f>IF($A8="","",IF(F8="Contract Workman",IF(AND(MOD(M8,1)&gt;=8/24,MOD(M8,1)&lt;20/24),"Shift S1","Shift S2"),IF(AND(MOD(M8,1)&gt;=7/24,MOD(M8,1)&lt;15/24),"Shift A",IF(AND(MOD(M8,1)&gt;=15/24,MOD(M8,1)&lt;23/24),"Shift B","Shift C"))))</f>
        <v/>
      </c>
      <c r="O8">
        <f>IF(B8="","",IF(IFERROR(ISNUMBER(SEARCH(TEXT(B8,"0"),VLOOKUP(E8,Machine_List!$B:$J,9,0))),FALSE),"✅ "&amp; E8,"❌ Sug: "&amp;IFERROR(INDEX(Machine_List!$B$72:$B$81,MATCH(1,(Machine_List!$H$72:$H$81&lt;=IFERROR(VLOOKUP($B8,OPR_BR1!$A$4:$K$18,10,0),0))*(Machine_List!$I$72:$I$81&gt;=IFERROR(VLOOKUP($B8,OPR_BR1!$A$4:$K$18,11,0),9999)),0)),"?")))</f>
        <v/>
      </c>
      <c r="P8">
        <f>IF(AND($A8&lt;&gt;"",P$3&gt;=$J8,P$3&lt;=$M8),1,"")</f>
        <v/>
      </c>
      <c r="Q8">
        <f>IF(AND($A8&lt;&gt;"",Q$3&gt;=$J8,Q$3&lt;=$M8),1,"")</f>
        <v/>
      </c>
      <c r="R8">
        <f>IF(AND($A8&lt;&gt;"",R$3&gt;=$J8,R$3&lt;=$M8),1,"")</f>
        <v/>
      </c>
      <c r="S8">
        <f>IF(AND($A8&lt;&gt;"",S$3&gt;=$J8,S$3&lt;=$M8),1,"")</f>
        <v/>
      </c>
      <c r="T8">
        <f>IF(AND($A8&lt;&gt;"",T$3&gt;=$J8,T$3&lt;=$M8),1,"")</f>
        <v/>
      </c>
      <c r="U8">
        <f>IF(AND($A8&lt;&gt;"",U$3&gt;=$J8,U$3&lt;=$M8),1,"")</f>
        <v/>
      </c>
      <c r="V8">
        <f>IF(AND($A8&lt;&gt;"",V$3&gt;=$J8,V$3&lt;=$M8),1,"")</f>
        <v/>
      </c>
      <c r="W8">
        <f>IF(AND($A8&lt;&gt;"",W$3&gt;=$J8,W$3&lt;=$M8),1,"")</f>
        <v/>
      </c>
      <c r="X8">
        <f>IF(AND($A8&lt;&gt;"",X$3&gt;=$J8,X$3&lt;=$M8),1,"")</f>
        <v/>
      </c>
      <c r="Y8">
        <f>IF(AND($A8&lt;&gt;"",Y$3&gt;=$J8,Y$3&lt;=$M8),1,"")</f>
        <v/>
      </c>
      <c r="Z8">
        <f>IF(AND($A8&lt;&gt;"",Z$3&gt;=$J8,Z$3&lt;=$M8),1,"")</f>
        <v/>
      </c>
      <c r="AA8">
        <f>IF(AND($A8&lt;&gt;"",AA$3&gt;=$J8,AA$3&lt;=$M8),1,"")</f>
        <v/>
      </c>
      <c r="AB8">
        <f>IF(AND($A8&lt;&gt;"",AB$3&gt;=$J8,AB$3&lt;=$M8),1,"")</f>
        <v/>
      </c>
      <c r="AC8">
        <f>IF(AND($A8&lt;&gt;"",AC$3&gt;=$J8,AC$3&lt;=$M8),1,"")</f>
        <v/>
      </c>
      <c r="AD8">
        <f>IF(AND($A8&lt;&gt;"",AD$3&gt;=$J8,AD$3&lt;=$M8),1,"")</f>
        <v/>
      </c>
      <c r="AE8">
        <f>IF(AND($A8&lt;&gt;"",AE$3&gt;=$J8,AE$3&lt;=$M8),1,"")</f>
        <v/>
      </c>
      <c r="AF8">
        <f>IF(AND($A8&lt;&gt;"",AF$3&gt;=$J8,AF$3&lt;=$M8),1,"")</f>
        <v/>
      </c>
      <c r="AG8">
        <f>IF(AND($A8&lt;&gt;"",AG$3&gt;=$J8,AG$3&lt;=$M8),1,"")</f>
        <v/>
      </c>
      <c r="AH8">
        <f>IF(AND($A8&lt;&gt;"",AH$3&gt;=$J8,AH$3&lt;=$M8),1,"")</f>
        <v/>
      </c>
      <c r="AI8">
        <f>IF(AND($A8&lt;&gt;"",AI$3&gt;=$J8,AI$3&lt;=$M8),1,"")</f>
        <v/>
      </c>
      <c r="AJ8">
        <f>IF(AND($A8&lt;&gt;"",AJ$3&gt;=$J8,AJ$3&lt;=$M8),1,"")</f>
        <v/>
      </c>
      <c r="AK8">
        <f>IF(AND($A8&lt;&gt;"",AK$3&gt;=$J8,AK$3&lt;=$M8),1,"")</f>
        <v/>
      </c>
      <c r="AL8">
        <f>IF(AND($A8&lt;&gt;"",AL$3&gt;=$J8,AL$3&lt;=$M8),1,"")</f>
        <v/>
      </c>
      <c r="AM8">
        <f>IF(AND($A8&lt;&gt;"",AM$3&gt;=$J8,AM$3&lt;=$M8),1,"")</f>
        <v/>
      </c>
      <c r="AN8">
        <f>IF(AND($A8&lt;&gt;"",AN$3&gt;=$J8,AN$3&lt;=$M8),1,"")</f>
        <v/>
      </c>
      <c r="AO8">
        <f>IF(AND($A8&lt;&gt;"",AO$3&gt;=$J8,AO$3&lt;=$M8),1,"")</f>
        <v/>
      </c>
      <c r="AP8">
        <f>IF(AND($A8&lt;&gt;"",AP$3&gt;=$J8,AP$3&lt;=$M8),1,"")</f>
        <v/>
      </c>
      <c r="AQ8">
        <f>IF(AND($A8&lt;&gt;"",AQ$3&gt;=$J8,AQ$3&lt;=$M8),1,"")</f>
        <v/>
      </c>
      <c r="AR8">
        <f>IF(AND($A8&lt;&gt;"",AR$3&gt;=$J8,AR$3&lt;=$M8),1,"")</f>
        <v/>
      </c>
      <c r="AS8">
        <f>IF(AND($A8&lt;&gt;"",AS$3&gt;=$J8,AS$3&lt;=$M8),1,"")</f>
        <v/>
      </c>
      <c r="AT8">
        <f>IF(AND($A8&lt;&gt;"",AT$3&gt;=$J8,AT$3&lt;=$M8),1,"")</f>
        <v/>
      </c>
      <c r="AU8">
        <f>IF(AND($A8&lt;&gt;"",AU$3&gt;=$J8,AU$3&lt;=$M8),1,"")</f>
        <v/>
      </c>
      <c r="AV8">
        <f>IF(AND($A8&lt;&gt;"",AV$3&gt;=$J8,AV$3&lt;=$M8),1,"")</f>
        <v/>
      </c>
      <c r="AW8">
        <f>IF(AND($A8&lt;&gt;"",AW$3&gt;=$J8,AW$3&lt;=$M8),1,"")</f>
        <v/>
      </c>
      <c r="AX8">
        <f>IF(AND($A8&lt;&gt;"",AX$3&gt;=$J8,AX$3&lt;=$M8),1,"")</f>
        <v/>
      </c>
      <c r="AY8">
        <f>IF(AND($A8&lt;&gt;"",AY$3&gt;=$J8,AY$3&lt;=$M8),1,"")</f>
        <v/>
      </c>
      <c r="AZ8">
        <f>IF(AND($A8&lt;&gt;"",AZ$3&gt;=$J8,AZ$3&lt;=$M8),1,"")</f>
        <v/>
      </c>
      <c r="BA8">
        <f>IF(AND($A8&lt;&gt;"",BA$3&gt;=$J8,BA$3&lt;=$M8),1,"")</f>
        <v/>
      </c>
      <c r="BB8">
        <f>IF(AND($A8&lt;&gt;"",BB$3&gt;=$J8,BB$3&lt;=$M8),1,"")</f>
        <v/>
      </c>
      <c r="BC8">
        <f>IF(AND($A8&lt;&gt;"",BC$3&gt;=$J8,BC$3&lt;=$M8),1,"")</f>
        <v/>
      </c>
      <c r="BD8">
        <f>IF(AND($A8&lt;&gt;"",BD$3&gt;=$J8,BD$3&lt;=$M8),1,"")</f>
        <v/>
      </c>
      <c r="BE8">
        <f>IF(AND($A8&lt;&gt;"",BE$3&gt;=$J8,BE$3&lt;=$M8),1,"")</f>
        <v/>
      </c>
      <c r="BF8">
        <f>IF(AND($A8&lt;&gt;"",BF$3&gt;=$J8,BF$3&lt;=$M8),1,"")</f>
        <v/>
      </c>
      <c r="BG8">
        <f>IF(AND($A8&lt;&gt;"",BG$3&gt;=$J8,BG$3&lt;=$M8),1,"")</f>
        <v/>
      </c>
      <c r="BH8">
        <f>IF(AND($A8&lt;&gt;"",BH$3&gt;=$J8,BH$3&lt;=$M8),1,"")</f>
        <v/>
      </c>
      <c r="BI8">
        <f>IF(AND($A8&lt;&gt;"",BI$3&gt;=$J8,BI$3&lt;=$M8),1,"")</f>
        <v/>
      </c>
      <c r="BJ8">
        <f>IF(AND($A8&lt;&gt;"",BJ$3&gt;=$J8,BJ$3&lt;=$M8),1,"")</f>
        <v/>
      </c>
      <c r="BK8">
        <f>IF(AND($A8&lt;&gt;"",BK$3&gt;=$J8,BK$3&lt;=$M8),1,"")</f>
        <v/>
      </c>
      <c r="BL8">
        <f>IF(AND($A8&lt;&gt;"",BL$3&gt;=$J8,BL$3&lt;=$M8),1,"")</f>
        <v/>
      </c>
      <c r="BM8">
        <f>IF(AND($A8&lt;&gt;"",BM$3&gt;=$J8,BM$3&lt;=$M8),1,"")</f>
        <v/>
      </c>
      <c r="BN8">
        <f>IF(AND($A8&lt;&gt;"",BN$3&gt;=$J8,BN$3&lt;=$M8),1,"")</f>
        <v/>
      </c>
      <c r="BO8">
        <f>IF(AND($A8&lt;&gt;"",BO$3&gt;=$J8,BO$3&lt;=$M8),1,"")</f>
        <v/>
      </c>
      <c r="BP8">
        <f>IF(AND($A8&lt;&gt;"",BP$3&gt;=$J8,BP$3&lt;=$M8),1,"")</f>
        <v/>
      </c>
      <c r="BQ8">
        <f>IF(AND($A8&lt;&gt;"",BQ$3&gt;=$J8,BQ$3&lt;=$M8),1,"")</f>
        <v/>
      </c>
      <c r="BR8">
        <f>IF(AND($A8&lt;&gt;"",BR$3&gt;=$J8,BR$3&lt;=$M8),1,"")</f>
        <v/>
      </c>
      <c r="BS8">
        <f>IF(AND($A8&lt;&gt;"",BS$3&gt;=$J8,BS$3&lt;=$M8),1,"")</f>
        <v/>
      </c>
      <c r="BT8">
        <f>IF(AND($A8&lt;&gt;"",BT$3&gt;=$J8,BT$3&lt;=$M8),1,"")</f>
        <v/>
      </c>
      <c r="BU8">
        <f>IF(AND($A8&lt;&gt;"",BU$3&gt;=$J8,BU$3&lt;=$M8),1,"")</f>
        <v/>
      </c>
      <c r="BV8">
        <f>IF(AND($A8&lt;&gt;"",BV$3&gt;=$J8,BV$3&lt;=$M8),1,"")</f>
        <v/>
      </c>
    </row>
    <row r="9">
      <c r="A9">
        <f>IF(Job_Master_Ring!$A9="","",Job_Master_Ring!$A9)</f>
        <v/>
      </c>
      <c r="B9">
        <f>IF($A9="","",Job_Master_Ring!B9)</f>
        <v/>
      </c>
      <c r="C9">
        <f>IF($A9="","",Job_Master_Ring!C9)</f>
        <v/>
      </c>
      <c r="D9">
        <f>IF($A9="","",Job_Master_Ring!D9)</f>
        <v/>
      </c>
      <c r="E9">
        <f>IF($A9="","",IF($I9&lt;&gt;"",$I9,IFERROR(INDEX(Machine_List!$B$72:$B$81,MATCH(1,(Machine_List!$H$72:$H$81&lt;=IFERROR(VLOOKUP($B9,CHOOSE(MATCH($C9,Settings!$L$4:$L$10,0),OPR_BR1!$A$4:$K$18,OPR_BR2!$A$4:$K$18,OPR_CR2!$A$4:$K$18,OPR_CR3!$A$4:$K$18,OPR_CR4!$A$4:$K$18,OPR_RIM!$A$4:$K$18,OPR_BPR!$A$4:$K$18),10,0),0))*(Machine_List!$I$72:$I$81&gt;=IFERROR(VLOOKUP($B9,CHOOSE(MATCH($C9,Settings!$L$4:$L$10,0),OPR_BR1!$A$4:$K$18,OPR_BR2!$A$4:$K$18,OPR_CR2!$A$4:$K$18,OPR_CR3!$A$4:$K$18,OPR_CR4!$A$4:$K$18,OPR_RIM!$A$4:$K$18,OPR_BPR!$A$4:$K$18),11,0),9999)),0)),"NO COMPATIBLE MACHINE")))</f>
        <v/>
      </c>
      <c r="F9">
        <f>IF($E9="","",IFERROR(VLOOKUP($E9,Machine_List!$B:$G,6,0),""))</f>
        <v/>
      </c>
      <c r="G9" s="17">
        <f>IF($E9="","",IFERROR(VLOOKUP($E9,Machine_List!$B:$C,2,0),""))</f>
        <v/>
      </c>
      <c r="H9">
        <f>IF($E9="","",IFERROR(VLOOKUP($E9,Machine_List!$B:$D,3,0),""))</f>
        <v/>
      </c>
      <c r="J9" s="16">
        <f>IF($A9="","",IF($I9&lt;&gt;"",$I9,MAX(VENT_Plan!$M9,IFERROR(LOOKUP(2,1/($E$3:INDIRECT("E"&amp;(ROW()-1))=$E9),$M$3:INDIRECT("M"&amp;(ROW()-1))),VENT_Plan!$M9))))</f>
        <v/>
      </c>
      <c r="K9">
        <f>IF($A9="","",IFERROR(VLOOKUP(B9,CHOOSE(MATCH($C9,Settings!$L$4:$L$10,0),OPR_BR1!$A$4:$I$18,OPR_BR2!$A$4:$I$18,OPR_CR2!$A$4:$I$18,OPR_CR3!$A$4:$I$18,OPR_CR4!$A$4:$I$18,OPR_RIM!$A$4:$I$18,OPR_BPR!$A$4:$I$18),8,0),0))</f>
        <v/>
      </c>
      <c r="L9">
        <f>IF($A9="","",K9*D9)</f>
        <v/>
      </c>
      <c r="M9" s="16">
        <f>IF($A9="","",IF(AND(ISNUMBER(G9),G9&gt;=J9,G9&lt;=(J9+(L9/(IF(F9="Contract Workman",Settings!$K$5,Settings!$K$4))))),J9+(L9/(IF(F9="Contract Workman",Settings!$K$5,Settings!$K$4)))+(H9/(IF(F9="Contract Workman",Settings!$K$5,Settings!$K$4))),J9+(L9/(IF(F9="Contract Workman",Settings!$K$5,Settings!$K$4)))))</f>
        <v/>
      </c>
      <c r="N9">
        <f>IF($A9="","",IF(F9="Contract Workman",IF(AND(MOD(M9,1)&gt;=8/24,MOD(M9,1)&lt;20/24),"Shift S1","Shift S2"),IF(AND(MOD(M9,1)&gt;=7/24,MOD(M9,1)&lt;15/24),"Shift A",IF(AND(MOD(M9,1)&gt;=15/24,MOD(M9,1)&lt;23/24),"Shift B","Shift C"))))</f>
        <v/>
      </c>
      <c r="O9">
        <f>IF(B9="","",IF(IFERROR(ISNUMBER(SEARCH(TEXT(B9,"0"),VLOOKUP(E9,Machine_List!$B:$J,9,0))),FALSE),"✅ "&amp; E9,"❌ Sug: "&amp;IFERROR(INDEX(Machine_List!$B$72:$B$81,MATCH(1,(Machine_List!$H$72:$H$81&lt;=IFERROR(VLOOKUP($B9,OPR_BR1!$A$4:$K$18,10,0),0))*(Machine_List!$I$72:$I$81&gt;=IFERROR(VLOOKUP($B9,OPR_BR1!$A$4:$K$18,11,0),9999)),0)),"?")))</f>
        <v/>
      </c>
      <c r="P9">
        <f>IF(AND($A9&lt;&gt;"",P$3&gt;=$J9,P$3&lt;=$M9),1,"")</f>
        <v/>
      </c>
      <c r="Q9">
        <f>IF(AND($A9&lt;&gt;"",Q$3&gt;=$J9,Q$3&lt;=$M9),1,"")</f>
        <v/>
      </c>
      <c r="R9">
        <f>IF(AND($A9&lt;&gt;"",R$3&gt;=$J9,R$3&lt;=$M9),1,"")</f>
        <v/>
      </c>
      <c r="S9">
        <f>IF(AND($A9&lt;&gt;"",S$3&gt;=$J9,S$3&lt;=$M9),1,"")</f>
        <v/>
      </c>
      <c r="T9">
        <f>IF(AND($A9&lt;&gt;"",T$3&gt;=$J9,T$3&lt;=$M9),1,"")</f>
        <v/>
      </c>
      <c r="U9">
        <f>IF(AND($A9&lt;&gt;"",U$3&gt;=$J9,U$3&lt;=$M9),1,"")</f>
        <v/>
      </c>
      <c r="V9">
        <f>IF(AND($A9&lt;&gt;"",V$3&gt;=$J9,V$3&lt;=$M9),1,"")</f>
        <v/>
      </c>
      <c r="W9">
        <f>IF(AND($A9&lt;&gt;"",W$3&gt;=$J9,W$3&lt;=$M9),1,"")</f>
        <v/>
      </c>
      <c r="X9">
        <f>IF(AND($A9&lt;&gt;"",X$3&gt;=$J9,X$3&lt;=$M9),1,"")</f>
        <v/>
      </c>
      <c r="Y9">
        <f>IF(AND($A9&lt;&gt;"",Y$3&gt;=$J9,Y$3&lt;=$M9),1,"")</f>
        <v/>
      </c>
      <c r="Z9">
        <f>IF(AND($A9&lt;&gt;"",Z$3&gt;=$J9,Z$3&lt;=$M9),1,"")</f>
        <v/>
      </c>
      <c r="AA9">
        <f>IF(AND($A9&lt;&gt;"",AA$3&gt;=$J9,AA$3&lt;=$M9),1,"")</f>
        <v/>
      </c>
      <c r="AB9">
        <f>IF(AND($A9&lt;&gt;"",AB$3&gt;=$J9,AB$3&lt;=$M9),1,"")</f>
        <v/>
      </c>
      <c r="AC9">
        <f>IF(AND($A9&lt;&gt;"",AC$3&gt;=$J9,AC$3&lt;=$M9),1,"")</f>
        <v/>
      </c>
      <c r="AD9">
        <f>IF(AND($A9&lt;&gt;"",AD$3&gt;=$J9,AD$3&lt;=$M9),1,"")</f>
        <v/>
      </c>
      <c r="AE9">
        <f>IF(AND($A9&lt;&gt;"",AE$3&gt;=$J9,AE$3&lt;=$M9),1,"")</f>
        <v/>
      </c>
      <c r="AF9">
        <f>IF(AND($A9&lt;&gt;"",AF$3&gt;=$J9,AF$3&lt;=$M9),1,"")</f>
        <v/>
      </c>
      <c r="AG9">
        <f>IF(AND($A9&lt;&gt;"",AG$3&gt;=$J9,AG$3&lt;=$M9),1,"")</f>
        <v/>
      </c>
      <c r="AH9">
        <f>IF(AND($A9&lt;&gt;"",AH$3&gt;=$J9,AH$3&lt;=$M9),1,"")</f>
        <v/>
      </c>
      <c r="AI9">
        <f>IF(AND($A9&lt;&gt;"",AI$3&gt;=$J9,AI$3&lt;=$M9),1,"")</f>
        <v/>
      </c>
      <c r="AJ9">
        <f>IF(AND($A9&lt;&gt;"",AJ$3&gt;=$J9,AJ$3&lt;=$M9),1,"")</f>
        <v/>
      </c>
      <c r="AK9">
        <f>IF(AND($A9&lt;&gt;"",AK$3&gt;=$J9,AK$3&lt;=$M9),1,"")</f>
        <v/>
      </c>
      <c r="AL9">
        <f>IF(AND($A9&lt;&gt;"",AL$3&gt;=$J9,AL$3&lt;=$M9),1,"")</f>
        <v/>
      </c>
      <c r="AM9">
        <f>IF(AND($A9&lt;&gt;"",AM$3&gt;=$J9,AM$3&lt;=$M9),1,"")</f>
        <v/>
      </c>
      <c r="AN9">
        <f>IF(AND($A9&lt;&gt;"",AN$3&gt;=$J9,AN$3&lt;=$M9),1,"")</f>
        <v/>
      </c>
      <c r="AO9">
        <f>IF(AND($A9&lt;&gt;"",AO$3&gt;=$J9,AO$3&lt;=$M9),1,"")</f>
        <v/>
      </c>
      <c r="AP9">
        <f>IF(AND($A9&lt;&gt;"",AP$3&gt;=$J9,AP$3&lt;=$M9),1,"")</f>
        <v/>
      </c>
      <c r="AQ9">
        <f>IF(AND($A9&lt;&gt;"",AQ$3&gt;=$J9,AQ$3&lt;=$M9),1,"")</f>
        <v/>
      </c>
      <c r="AR9">
        <f>IF(AND($A9&lt;&gt;"",AR$3&gt;=$J9,AR$3&lt;=$M9),1,"")</f>
        <v/>
      </c>
      <c r="AS9">
        <f>IF(AND($A9&lt;&gt;"",AS$3&gt;=$J9,AS$3&lt;=$M9),1,"")</f>
        <v/>
      </c>
      <c r="AT9">
        <f>IF(AND($A9&lt;&gt;"",AT$3&gt;=$J9,AT$3&lt;=$M9),1,"")</f>
        <v/>
      </c>
      <c r="AU9">
        <f>IF(AND($A9&lt;&gt;"",AU$3&gt;=$J9,AU$3&lt;=$M9),1,"")</f>
        <v/>
      </c>
      <c r="AV9">
        <f>IF(AND($A9&lt;&gt;"",AV$3&gt;=$J9,AV$3&lt;=$M9),1,"")</f>
        <v/>
      </c>
      <c r="AW9">
        <f>IF(AND($A9&lt;&gt;"",AW$3&gt;=$J9,AW$3&lt;=$M9),1,"")</f>
        <v/>
      </c>
      <c r="AX9">
        <f>IF(AND($A9&lt;&gt;"",AX$3&gt;=$J9,AX$3&lt;=$M9),1,"")</f>
        <v/>
      </c>
      <c r="AY9">
        <f>IF(AND($A9&lt;&gt;"",AY$3&gt;=$J9,AY$3&lt;=$M9),1,"")</f>
        <v/>
      </c>
      <c r="AZ9">
        <f>IF(AND($A9&lt;&gt;"",AZ$3&gt;=$J9,AZ$3&lt;=$M9),1,"")</f>
        <v/>
      </c>
      <c r="BA9">
        <f>IF(AND($A9&lt;&gt;"",BA$3&gt;=$J9,BA$3&lt;=$M9),1,"")</f>
        <v/>
      </c>
      <c r="BB9">
        <f>IF(AND($A9&lt;&gt;"",BB$3&gt;=$J9,BB$3&lt;=$M9),1,"")</f>
        <v/>
      </c>
      <c r="BC9">
        <f>IF(AND($A9&lt;&gt;"",BC$3&gt;=$J9,BC$3&lt;=$M9),1,"")</f>
        <v/>
      </c>
      <c r="BD9">
        <f>IF(AND($A9&lt;&gt;"",BD$3&gt;=$J9,BD$3&lt;=$M9),1,"")</f>
        <v/>
      </c>
      <c r="BE9">
        <f>IF(AND($A9&lt;&gt;"",BE$3&gt;=$J9,BE$3&lt;=$M9),1,"")</f>
        <v/>
      </c>
      <c r="BF9">
        <f>IF(AND($A9&lt;&gt;"",BF$3&gt;=$J9,BF$3&lt;=$M9),1,"")</f>
        <v/>
      </c>
      <c r="BG9">
        <f>IF(AND($A9&lt;&gt;"",BG$3&gt;=$J9,BG$3&lt;=$M9),1,"")</f>
        <v/>
      </c>
      <c r="BH9">
        <f>IF(AND($A9&lt;&gt;"",BH$3&gt;=$J9,BH$3&lt;=$M9),1,"")</f>
        <v/>
      </c>
      <c r="BI9">
        <f>IF(AND($A9&lt;&gt;"",BI$3&gt;=$J9,BI$3&lt;=$M9),1,"")</f>
        <v/>
      </c>
      <c r="BJ9">
        <f>IF(AND($A9&lt;&gt;"",BJ$3&gt;=$J9,BJ$3&lt;=$M9),1,"")</f>
        <v/>
      </c>
      <c r="BK9">
        <f>IF(AND($A9&lt;&gt;"",BK$3&gt;=$J9,BK$3&lt;=$M9),1,"")</f>
        <v/>
      </c>
      <c r="BL9">
        <f>IF(AND($A9&lt;&gt;"",BL$3&gt;=$J9,BL$3&lt;=$M9),1,"")</f>
        <v/>
      </c>
      <c r="BM9">
        <f>IF(AND($A9&lt;&gt;"",BM$3&gt;=$J9,BM$3&lt;=$M9),1,"")</f>
        <v/>
      </c>
      <c r="BN9">
        <f>IF(AND($A9&lt;&gt;"",BN$3&gt;=$J9,BN$3&lt;=$M9),1,"")</f>
        <v/>
      </c>
      <c r="BO9">
        <f>IF(AND($A9&lt;&gt;"",BO$3&gt;=$J9,BO$3&lt;=$M9),1,"")</f>
        <v/>
      </c>
      <c r="BP9">
        <f>IF(AND($A9&lt;&gt;"",BP$3&gt;=$J9,BP$3&lt;=$M9),1,"")</f>
        <v/>
      </c>
      <c r="BQ9">
        <f>IF(AND($A9&lt;&gt;"",BQ$3&gt;=$J9,BQ$3&lt;=$M9),1,"")</f>
        <v/>
      </c>
      <c r="BR9">
        <f>IF(AND($A9&lt;&gt;"",BR$3&gt;=$J9,BR$3&lt;=$M9),1,"")</f>
        <v/>
      </c>
      <c r="BS9">
        <f>IF(AND($A9&lt;&gt;"",BS$3&gt;=$J9,BS$3&lt;=$M9),1,"")</f>
        <v/>
      </c>
      <c r="BT9">
        <f>IF(AND($A9&lt;&gt;"",BT$3&gt;=$J9,BT$3&lt;=$M9),1,"")</f>
        <v/>
      </c>
      <c r="BU9">
        <f>IF(AND($A9&lt;&gt;"",BU$3&gt;=$J9,BU$3&lt;=$M9),1,"")</f>
        <v/>
      </c>
      <c r="BV9">
        <f>IF(AND($A9&lt;&gt;"",BV$3&gt;=$J9,BV$3&lt;=$M9),1,"")</f>
        <v/>
      </c>
    </row>
    <row r="10">
      <c r="A10">
        <f>IF(Job_Master_Ring!$A10="","",Job_Master_Ring!$A10)</f>
        <v/>
      </c>
      <c r="B10">
        <f>IF($A10="","",Job_Master_Ring!B10)</f>
        <v/>
      </c>
      <c r="C10">
        <f>IF($A10="","",Job_Master_Ring!C10)</f>
        <v/>
      </c>
      <c r="D10">
        <f>IF($A10="","",Job_Master_Ring!D10)</f>
        <v/>
      </c>
      <c r="E10">
        <f>IF($A10="","",IF($I10&lt;&gt;"",$I10,IFERROR(INDEX(Machine_List!$B$72:$B$81,MATCH(1,(Machine_List!$H$72:$H$81&lt;=IFERROR(VLOOKUP($B10,CHOOSE(MATCH($C10,Settings!$L$4:$L$10,0),OPR_BR1!$A$4:$K$18,OPR_BR2!$A$4:$K$18,OPR_CR2!$A$4:$K$18,OPR_CR3!$A$4:$K$18,OPR_CR4!$A$4:$K$18,OPR_RIM!$A$4:$K$18,OPR_BPR!$A$4:$K$18),10,0),0))*(Machine_List!$I$72:$I$81&gt;=IFERROR(VLOOKUP($B10,CHOOSE(MATCH($C10,Settings!$L$4:$L$10,0),OPR_BR1!$A$4:$K$18,OPR_BR2!$A$4:$K$18,OPR_CR2!$A$4:$K$18,OPR_CR3!$A$4:$K$18,OPR_CR4!$A$4:$K$18,OPR_RIM!$A$4:$K$18,OPR_BPR!$A$4:$K$18),11,0),9999)),0)),"NO COMPATIBLE MACHINE")))</f>
        <v/>
      </c>
      <c r="F10">
        <f>IF($E10="","",IFERROR(VLOOKUP($E10,Machine_List!$B:$G,6,0),""))</f>
        <v/>
      </c>
      <c r="G10" s="17">
        <f>IF($E10="","",IFERROR(VLOOKUP($E10,Machine_List!$B:$C,2,0),""))</f>
        <v/>
      </c>
      <c r="H10">
        <f>IF($E10="","",IFERROR(VLOOKUP($E10,Machine_List!$B:$D,3,0),""))</f>
        <v/>
      </c>
      <c r="J10" s="16">
        <f>IF($A10="","",IF($I10&lt;&gt;"",$I10,MAX(VENT_Plan!$M10,IFERROR(LOOKUP(2,1/($E$3:INDIRECT("E"&amp;(ROW()-1))=$E10),$M$3:INDIRECT("M"&amp;(ROW()-1))),VENT_Plan!$M10))))</f>
        <v/>
      </c>
      <c r="K10">
        <f>IF($A10="","",IFERROR(VLOOKUP(B10,CHOOSE(MATCH($C10,Settings!$L$4:$L$10,0),OPR_BR1!$A$4:$I$18,OPR_BR2!$A$4:$I$18,OPR_CR2!$A$4:$I$18,OPR_CR3!$A$4:$I$18,OPR_CR4!$A$4:$I$18,OPR_RIM!$A$4:$I$18,OPR_BPR!$A$4:$I$18),8,0),0))</f>
        <v/>
      </c>
      <c r="L10">
        <f>IF($A10="","",K10*D10)</f>
        <v/>
      </c>
      <c r="M10" s="16">
        <f>IF($A10="","",IF(AND(ISNUMBER(G10),G10&gt;=J10,G10&lt;=(J10+(L10/(IF(F10="Contract Workman",Settings!$K$5,Settings!$K$4))))),J10+(L10/(IF(F10="Contract Workman",Settings!$K$5,Settings!$K$4)))+(H10/(IF(F10="Contract Workman",Settings!$K$5,Settings!$K$4))),J10+(L10/(IF(F10="Contract Workman",Settings!$K$5,Settings!$K$4)))))</f>
        <v/>
      </c>
      <c r="N10">
        <f>IF($A10="","",IF(F10="Contract Workman",IF(AND(MOD(M10,1)&gt;=8/24,MOD(M10,1)&lt;20/24),"Shift S1","Shift S2"),IF(AND(MOD(M10,1)&gt;=7/24,MOD(M10,1)&lt;15/24),"Shift A",IF(AND(MOD(M10,1)&gt;=15/24,MOD(M10,1)&lt;23/24),"Shift B","Shift C"))))</f>
        <v/>
      </c>
      <c r="O10">
        <f>IF(B10="","",IF(IFERROR(ISNUMBER(SEARCH(TEXT(B10,"0"),VLOOKUP(E10,Machine_List!$B:$J,9,0))),FALSE),"✅ "&amp; E10,"❌ Sug: "&amp;IFERROR(INDEX(Machine_List!$B$72:$B$81,MATCH(1,(Machine_List!$H$72:$H$81&lt;=IFERROR(VLOOKUP($B10,OPR_BR1!$A$4:$K$18,10,0),0))*(Machine_List!$I$72:$I$81&gt;=IFERROR(VLOOKUP($B10,OPR_BR1!$A$4:$K$18,11,0),9999)),0)),"?")))</f>
        <v/>
      </c>
      <c r="P10">
        <f>IF(AND($A10&lt;&gt;"",P$3&gt;=$J10,P$3&lt;=$M10),1,"")</f>
        <v/>
      </c>
      <c r="Q10">
        <f>IF(AND($A10&lt;&gt;"",Q$3&gt;=$J10,Q$3&lt;=$M10),1,"")</f>
        <v/>
      </c>
      <c r="R10">
        <f>IF(AND($A10&lt;&gt;"",R$3&gt;=$J10,R$3&lt;=$M10),1,"")</f>
        <v/>
      </c>
      <c r="S10">
        <f>IF(AND($A10&lt;&gt;"",S$3&gt;=$J10,S$3&lt;=$M10),1,"")</f>
        <v/>
      </c>
      <c r="T10">
        <f>IF(AND($A10&lt;&gt;"",T$3&gt;=$J10,T$3&lt;=$M10),1,"")</f>
        <v/>
      </c>
      <c r="U10">
        <f>IF(AND($A10&lt;&gt;"",U$3&gt;=$J10,U$3&lt;=$M10),1,"")</f>
        <v/>
      </c>
      <c r="V10">
        <f>IF(AND($A10&lt;&gt;"",V$3&gt;=$J10,V$3&lt;=$M10),1,"")</f>
        <v/>
      </c>
      <c r="W10">
        <f>IF(AND($A10&lt;&gt;"",W$3&gt;=$J10,W$3&lt;=$M10),1,"")</f>
        <v/>
      </c>
      <c r="X10">
        <f>IF(AND($A10&lt;&gt;"",X$3&gt;=$J10,X$3&lt;=$M10),1,"")</f>
        <v/>
      </c>
      <c r="Y10">
        <f>IF(AND($A10&lt;&gt;"",Y$3&gt;=$J10,Y$3&lt;=$M10),1,"")</f>
        <v/>
      </c>
      <c r="Z10">
        <f>IF(AND($A10&lt;&gt;"",Z$3&gt;=$J10,Z$3&lt;=$M10),1,"")</f>
        <v/>
      </c>
      <c r="AA10">
        <f>IF(AND($A10&lt;&gt;"",AA$3&gt;=$J10,AA$3&lt;=$M10),1,"")</f>
        <v/>
      </c>
      <c r="AB10">
        <f>IF(AND($A10&lt;&gt;"",AB$3&gt;=$J10,AB$3&lt;=$M10),1,"")</f>
        <v/>
      </c>
      <c r="AC10">
        <f>IF(AND($A10&lt;&gt;"",AC$3&gt;=$J10,AC$3&lt;=$M10),1,"")</f>
        <v/>
      </c>
      <c r="AD10">
        <f>IF(AND($A10&lt;&gt;"",AD$3&gt;=$J10,AD$3&lt;=$M10),1,"")</f>
        <v/>
      </c>
      <c r="AE10">
        <f>IF(AND($A10&lt;&gt;"",AE$3&gt;=$J10,AE$3&lt;=$M10),1,"")</f>
        <v/>
      </c>
      <c r="AF10">
        <f>IF(AND($A10&lt;&gt;"",AF$3&gt;=$J10,AF$3&lt;=$M10),1,"")</f>
        <v/>
      </c>
      <c r="AG10">
        <f>IF(AND($A10&lt;&gt;"",AG$3&gt;=$J10,AG$3&lt;=$M10),1,"")</f>
        <v/>
      </c>
      <c r="AH10">
        <f>IF(AND($A10&lt;&gt;"",AH$3&gt;=$J10,AH$3&lt;=$M10),1,"")</f>
        <v/>
      </c>
      <c r="AI10">
        <f>IF(AND($A10&lt;&gt;"",AI$3&gt;=$J10,AI$3&lt;=$M10),1,"")</f>
        <v/>
      </c>
      <c r="AJ10">
        <f>IF(AND($A10&lt;&gt;"",AJ$3&gt;=$J10,AJ$3&lt;=$M10),1,"")</f>
        <v/>
      </c>
      <c r="AK10">
        <f>IF(AND($A10&lt;&gt;"",AK$3&gt;=$J10,AK$3&lt;=$M10),1,"")</f>
        <v/>
      </c>
      <c r="AL10">
        <f>IF(AND($A10&lt;&gt;"",AL$3&gt;=$J10,AL$3&lt;=$M10),1,"")</f>
        <v/>
      </c>
      <c r="AM10">
        <f>IF(AND($A10&lt;&gt;"",AM$3&gt;=$J10,AM$3&lt;=$M10),1,"")</f>
        <v/>
      </c>
      <c r="AN10">
        <f>IF(AND($A10&lt;&gt;"",AN$3&gt;=$J10,AN$3&lt;=$M10),1,"")</f>
        <v/>
      </c>
      <c r="AO10">
        <f>IF(AND($A10&lt;&gt;"",AO$3&gt;=$J10,AO$3&lt;=$M10),1,"")</f>
        <v/>
      </c>
      <c r="AP10">
        <f>IF(AND($A10&lt;&gt;"",AP$3&gt;=$J10,AP$3&lt;=$M10),1,"")</f>
        <v/>
      </c>
      <c r="AQ10">
        <f>IF(AND($A10&lt;&gt;"",AQ$3&gt;=$J10,AQ$3&lt;=$M10),1,"")</f>
        <v/>
      </c>
      <c r="AR10">
        <f>IF(AND($A10&lt;&gt;"",AR$3&gt;=$J10,AR$3&lt;=$M10),1,"")</f>
        <v/>
      </c>
      <c r="AS10">
        <f>IF(AND($A10&lt;&gt;"",AS$3&gt;=$J10,AS$3&lt;=$M10),1,"")</f>
        <v/>
      </c>
      <c r="AT10">
        <f>IF(AND($A10&lt;&gt;"",AT$3&gt;=$J10,AT$3&lt;=$M10),1,"")</f>
        <v/>
      </c>
      <c r="AU10">
        <f>IF(AND($A10&lt;&gt;"",AU$3&gt;=$J10,AU$3&lt;=$M10),1,"")</f>
        <v/>
      </c>
      <c r="AV10">
        <f>IF(AND($A10&lt;&gt;"",AV$3&gt;=$J10,AV$3&lt;=$M10),1,"")</f>
        <v/>
      </c>
      <c r="AW10">
        <f>IF(AND($A10&lt;&gt;"",AW$3&gt;=$J10,AW$3&lt;=$M10),1,"")</f>
        <v/>
      </c>
      <c r="AX10">
        <f>IF(AND($A10&lt;&gt;"",AX$3&gt;=$J10,AX$3&lt;=$M10),1,"")</f>
        <v/>
      </c>
      <c r="AY10">
        <f>IF(AND($A10&lt;&gt;"",AY$3&gt;=$J10,AY$3&lt;=$M10),1,"")</f>
        <v/>
      </c>
      <c r="AZ10">
        <f>IF(AND($A10&lt;&gt;"",AZ$3&gt;=$J10,AZ$3&lt;=$M10),1,"")</f>
        <v/>
      </c>
      <c r="BA10">
        <f>IF(AND($A10&lt;&gt;"",BA$3&gt;=$J10,BA$3&lt;=$M10),1,"")</f>
        <v/>
      </c>
      <c r="BB10">
        <f>IF(AND($A10&lt;&gt;"",BB$3&gt;=$J10,BB$3&lt;=$M10),1,"")</f>
        <v/>
      </c>
      <c r="BC10">
        <f>IF(AND($A10&lt;&gt;"",BC$3&gt;=$J10,BC$3&lt;=$M10),1,"")</f>
        <v/>
      </c>
      <c r="BD10">
        <f>IF(AND($A10&lt;&gt;"",BD$3&gt;=$J10,BD$3&lt;=$M10),1,"")</f>
        <v/>
      </c>
      <c r="BE10">
        <f>IF(AND($A10&lt;&gt;"",BE$3&gt;=$J10,BE$3&lt;=$M10),1,"")</f>
        <v/>
      </c>
      <c r="BF10">
        <f>IF(AND($A10&lt;&gt;"",BF$3&gt;=$J10,BF$3&lt;=$M10),1,"")</f>
        <v/>
      </c>
      <c r="BG10">
        <f>IF(AND($A10&lt;&gt;"",BG$3&gt;=$J10,BG$3&lt;=$M10),1,"")</f>
        <v/>
      </c>
      <c r="BH10">
        <f>IF(AND($A10&lt;&gt;"",BH$3&gt;=$J10,BH$3&lt;=$M10),1,"")</f>
        <v/>
      </c>
      <c r="BI10">
        <f>IF(AND($A10&lt;&gt;"",BI$3&gt;=$J10,BI$3&lt;=$M10),1,"")</f>
        <v/>
      </c>
      <c r="BJ10">
        <f>IF(AND($A10&lt;&gt;"",BJ$3&gt;=$J10,BJ$3&lt;=$M10),1,"")</f>
        <v/>
      </c>
      <c r="BK10">
        <f>IF(AND($A10&lt;&gt;"",BK$3&gt;=$J10,BK$3&lt;=$M10),1,"")</f>
        <v/>
      </c>
      <c r="BL10">
        <f>IF(AND($A10&lt;&gt;"",BL$3&gt;=$J10,BL$3&lt;=$M10),1,"")</f>
        <v/>
      </c>
      <c r="BM10">
        <f>IF(AND($A10&lt;&gt;"",BM$3&gt;=$J10,BM$3&lt;=$M10),1,"")</f>
        <v/>
      </c>
      <c r="BN10">
        <f>IF(AND($A10&lt;&gt;"",BN$3&gt;=$J10,BN$3&lt;=$M10),1,"")</f>
        <v/>
      </c>
      <c r="BO10">
        <f>IF(AND($A10&lt;&gt;"",BO$3&gt;=$J10,BO$3&lt;=$M10),1,"")</f>
        <v/>
      </c>
      <c r="BP10">
        <f>IF(AND($A10&lt;&gt;"",BP$3&gt;=$J10,BP$3&lt;=$M10),1,"")</f>
        <v/>
      </c>
      <c r="BQ10">
        <f>IF(AND($A10&lt;&gt;"",BQ$3&gt;=$J10,BQ$3&lt;=$M10),1,"")</f>
        <v/>
      </c>
      <c r="BR10">
        <f>IF(AND($A10&lt;&gt;"",BR$3&gt;=$J10,BR$3&lt;=$M10),1,"")</f>
        <v/>
      </c>
      <c r="BS10">
        <f>IF(AND($A10&lt;&gt;"",BS$3&gt;=$J10,BS$3&lt;=$M10),1,"")</f>
        <v/>
      </c>
      <c r="BT10">
        <f>IF(AND($A10&lt;&gt;"",BT$3&gt;=$J10,BT$3&lt;=$M10),1,"")</f>
        <v/>
      </c>
      <c r="BU10">
        <f>IF(AND($A10&lt;&gt;"",BU$3&gt;=$J10,BU$3&lt;=$M10),1,"")</f>
        <v/>
      </c>
      <c r="BV10">
        <f>IF(AND($A10&lt;&gt;"",BV$3&gt;=$J10,BV$3&lt;=$M10),1,"")</f>
        <v/>
      </c>
    </row>
    <row r="11">
      <c r="A11">
        <f>IF(Job_Master_Ring!$A11="","",Job_Master_Ring!$A11)</f>
        <v/>
      </c>
      <c r="B11">
        <f>IF($A11="","",Job_Master_Ring!B11)</f>
        <v/>
      </c>
      <c r="C11">
        <f>IF($A11="","",Job_Master_Ring!C11)</f>
        <v/>
      </c>
      <c r="D11">
        <f>IF($A11="","",Job_Master_Ring!D11)</f>
        <v/>
      </c>
      <c r="E11">
        <f>IF($A11="","",IF($I11&lt;&gt;"",$I11,IFERROR(INDEX(Machine_List!$B$72:$B$81,MATCH(1,(Machine_List!$H$72:$H$81&lt;=IFERROR(VLOOKUP($B11,CHOOSE(MATCH($C11,Settings!$L$4:$L$10,0),OPR_BR1!$A$4:$K$18,OPR_BR2!$A$4:$K$18,OPR_CR2!$A$4:$K$18,OPR_CR3!$A$4:$K$18,OPR_CR4!$A$4:$K$18,OPR_RIM!$A$4:$K$18,OPR_BPR!$A$4:$K$18),10,0),0))*(Machine_List!$I$72:$I$81&gt;=IFERROR(VLOOKUP($B11,CHOOSE(MATCH($C11,Settings!$L$4:$L$10,0),OPR_BR1!$A$4:$K$18,OPR_BR2!$A$4:$K$18,OPR_CR2!$A$4:$K$18,OPR_CR3!$A$4:$K$18,OPR_CR4!$A$4:$K$18,OPR_RIM!$A$4:$K$18,OPR_BPR!$A$4:$K$18),11,0),9999)),0)),"NO COMPATIBLE MACHINE")))</f>
        <v/>
      </c>
      <c r="F11">
        <f>IF($E11="","",IFERROR(VLOOKUP($E11,Machine_List!$B:$G,6,0),""))</f>
        <v/>
      </c>
      <c r="G11" s="17">
        <f>IF($E11="","",IFERROR(VLOOKUP($E11,Machine_List!$B:$C,2,0),""))</f>
        <v/>
      </c>
      <c r="H11">
        <f>IF($E11="","",IFERROR(VLOOKUP($E11,Machine_List!$B:$D,3,0),""))</f>
        <v/>
      </c>
      <c r="J11" s="16">
        <f>IF($A11="","",IF($I11&lt;&gt;"",$I11,MAX(VENT_Plan!$M11,IFERROR(LOOKUP(2,1/($E$3:INDIRECT("E"&amp;(ROW()-1))=$E11),$M$3:INDIRECT("M"&amp;(ROW()-1))),VENT_Plan!$M11))))</f>
        <v/>
      </c>
      <c r="K11">
        <f>IF($A11="","",IFERROR(VLOOKUP(B11,CHOOSE(MATCH($C11,Settings!$L$4:$L$10,0),OPR_BR1!$A$4:$I$18,OPR_BR2!$A$4:$I$18,OPR_CR2!$A$4:$I$18,OPR_CR3!$A$4:$I$18,OPR_CR4!$A$4:$I$18,OPR_RIM!$A$4:$I$18,OPR_BPR!$A$4:$I$18),8,0),0))</f>
        <v/>
      </c>
      <c r="L11">
        <f>IF($A11="","",K11*D11)</f>
        <v/>
      </c>
      <c r="M11" s="16">
        <f>IF($A11="","",IF(AND(ISNUMBER(G11),G11&gt;=J11,G11&lt;=(J11+(L11/(IF(F11="Contract Workman",Settings!$K$5,Settings!$K$4))))),J11+(L11/(IF(F11="Contract Workman",Settings!$K$5,Settings!$K$4)))+(H11/(IF(F11="Contract Workman",Settings!$K$5,Settings!$K$4))),J11+(L11/(IF(F11="Contract Workman",Settings!$K$5,Settings!$K$4)))))</f>
        <v/>
      </c>
      <c r="N11">
        <f>IF($A11="","",IF(F11="Contract Workman",IF(AND(MOD(M11,1)&gt;=8/24,MOD(M11,1)&lt;20/24),"Shift S1","Shift S2"),IF(AND(MOD(M11,1)&gt;=7/24,MOD(M11,1)&lt;15/24),"Shift A",IF(AND(MOD(M11,1)&gt;=15/24,MOD(M11,1)&lt;23/24),"Shift B","Shift C"))))</f>
        <v/>
      </c>
      <c r="O11">
        <f>IF(B11="","",IF(IFERROR(ISNUMBER(SEARCH(TEXT(B11,"0"),VLOOKUP(E11,Machine_List!$B:$J,9,0))),FALSE),"✅ "&amp; E11,"❌ Sug: "&amp;IFERROR(INDEX(Machine_List!$B$72:$B$81,MATCH(1,(Machine_List!$H$72:$H$81&lt;=IFERROR(VLOOKUP($B11,OPR_BR1!$A$4:$K$18,10,0),0))*(Machine_List!$I$72:$I$81&gt;=IFERROR(VLOOKUP($B11,OPR_BR1!$A$4:$K$18,11,0),9999)),0)),"?")))</f>
        <v/>
      </c>
      <c r="P11">
        <f>IF(AND($A11&lt;&gt;"",P$3&gt;=$J11,P$3&lt;=$M11),1,"")</f>
        <v/>
      </c>
      <c r="Q11">
        <f>IF(AND($A11&lt;&gt;"",Q$3&gt;=$J11,Q$3&lt;=$M11),1,"")</f>
        <v/>
      </c>
      <c r="R11">
        <f>IF(AND($A11&lt;&gt;"",R$3&gt;=$J11,R$3&lt;=$M11),1,"")</f>
        <v/>
      </c>
      <c r="S11">
        <f>IF(AND($A11&lt;&gt;"",S$3&gt;=$J11,S$3&lt;=$M11),1,"")</f>
        <v/>
      </c>
      <c r="T11">
        <f>IF(AND($A11&lt;&gt;"",T$3&gt;=$J11,T$3&lt;=$M11),1,"")</f>
        <v/>
      </c>
      <c r="U11">
        <f>IF(AND($A11&lt;&gt;"",U$3&gt;=$J11,U$3&lt;=$M11),1,"")</f>
        <v/>
      </c>
      <c r="V11">
        <f>IF(AND($A11&lt;&gt;"",V$3&gt;=$J11,V$3&lt;=$M11),1,"")</f>
        <v/>
      </c>
      <c r="W11">
        <f>IF(AND($A11&lt;&gt;"",W$3&gt;=$J11,W$3&lt;=$M11),1,"")</f>
        <v/>
      </c>
      <c r="X11">
        <f>IF(AND($A11&lt;&gt;"",X$3&gt;=$J11,X$3&lt;=$M11),1,"")</f>
        <v/>
      </c>
      <c r="Y11">
        <f>IF(AND($A11&lt;&gt;"",Y$3&gt;=$J11,Y$3&lt;=$M11),1,"")</f>
        <v/>
      </c>
      <c r="Z11">
        <f>IF(AND($A11&lt;&gt;"",Z$3&gt;=$J11,Z$3&lt;=$M11),1,"")</f>
        <v/>
      </c>
      <c r="AA11">
        <f>IF(AND($A11&lt;&gt;"",AA$3&gt;=$J11,AA$3&lt;=$M11),1,"")</f>
        <v/>
      </c>
      <c r="AB11">
        <f>IF(AND($A11&lt;&gt;"",AB$3&gt;=$J11,AB$3&lt;=$M11),1,"")</f>
        <v/>
      </c>
      <c r="AC11">
        <f>IF(AND($A11&lt;&gt;"",AC$3&gt;=$J11,AC$3&lt;=$M11),1,"")</f>
        <v/>
      </c>
      <c r="AD11">
        <f>IF(AND($A11&lt;&gt;"",AD$3&gt;=$J11,AD$3&lt;=$M11),1,"")</f>
        <v/>
      </c>
      <c r="AE11">
        <f>IF(AND($A11&lt;&gt;"",AE$3&gt;=$J11,AE$3&lt;=$M11),1,"")</f>
        <v/>
      </c>
      <c r="AF11">
        <f>IF(AND($A11&lt;&gt;"",AF$3&gt;=$J11,AF$3&lt;=$M11),1,"")</f>
        <v/>
      </c>
      <c r="AG11">
        <f>IF(AND($A11&lt;&gt;"",AG$3&gt;=$J11,AG$3&lt;=$M11),1,"")</f>
        <v/>
      </c>
      <c r="AH11">
        <f>IF(AND($A11&lt;&gt;"",AH$3&gt;=$J11,AH$3&lt;=$M11),1,"")</f>
        <v/>
      </c>
      <c r="AI11">
        <f>IF(AND($A11&lt;&gt;"",AI$3&gt;=$J11,AI$3&lt;=$M11),1,"")</f>
        <v/>
      </c>
      <c r="AJ11">
        <f>IF(AND($A11&lt;&gt;"",AJ$3&gt;=$J11,AJ$3&lt;=$M11),1,"")</f>
        <v/>
      </c>
      <c r="AK11">
        <f>IF(AND($A11&lt;&gt;"",AK$3&gt;=$J11,AK$3&lt;=$M11),1,"")</f>
        <v/>
      </c>
      <c r="AL11">
        <f>IF(AND($A11&lt;&gt;"",AL$3&gt;=$J11,AL$3&lt;=$M11),1,"")</f>
        <v/>
      </c>
      <c r="AM11">
        <f>IF(AND($A11&lt;&gt;"",AM$3&gt;=$J11,AM$3&lt;=$M11),1,"")</f>
        <v/>
      </c>
      <c r="AN11">
        <f>IF(AND($A11&lt;&gt;"",AN$3&gt;=$J11,AN$3&lt;=$M11),1,"")</f>
        <v/>
      </c>
      <c r="AO11">
        <f>IF(AND($A11&lt;&gt;"",AO$3&gt;=$J11,AO$3&lt;=$M11),1,"")</f>
        <v/>
      </c>
      <c r="AP11">
        <f>IF(AND($A11&lt;&gt;"",AP$3&gt;=$J11,AP$3&lt;=$M11),1,"")</f>
        <v/>
      </c>
      <c r="AQ11">
        <f>IF(AND($A11&lt;&gt;"",AQ$3&gt;=$J11,AQ$3&lt;=$M11),1,"")</f>
        <v/>
      </c>
      <c r="AR11">
        <f>IF(AND($A11&lt;&gt;"",AR$3&gt;=$J11,AR$3&lt;=$M11),1,"")</f>
        <v/>
      </c>
      <c r="AS11">
        <f>IF(AND($A11&lt;&gt;"",AS$3&gt;=$J11,AS$3&lt;=$M11),1,"")</f>
        <v/>
      </c>
      <c r="AT11">
        <f>IF(AND($A11&lt;&gt;"",AT$3&gt;=$J11,AT$3&lt;=$M11),1,"")</f>
        <v/>
      </c>
      <c r="AU11">
        <f>IF(AND($A11&lt;&gt;"",AU$3&gt;=$J11,AU$3&lt;=$M11),1,"")</f>
        <v/>
      </c>
      <c r="AV11">
        <f>IF(AND($A11&lt;&gt;"",AV$3&gt;=$J11,AV$3&lt;=$M11),1,"")</f>
        <v/>
      </c>
      <c r="AW11">
        <f>IF(AND($A11&lt;&gt;"",AW$3&gt;=$J11,AW$3&lt;=$M11),1,"")</f>
        <v/>
      </c>
      <c r="AX11">
        <f>IF(AND($A11&lt;&gt;"",AX$3&gt;=$J11,AX$3&lt;=$M11),1,"")</f>
        <v/>
      </c>
      <c r="AY11">
        <f>IF(AND($A11&lt;&gt;"",AY$3&gt;=$J11,AY$3&lt;=$M11),1,"")</f>
        <v/>
      </c>
      <c r="AZ11">
        <f>IF(AND($A11&lt;&gt;"",AZ$3&gt;=$J11,AZ$3&lt;=$M11),1,"")</f>
        <v/>
      </c>
      <c r="BA11">
        <f>IF(AND($A11&lt;&gt;"",BA$3&gt;=$J11,BA$3&lt;=$M11),1,"")</f>
        <v/>
      </c>
      <c r="BB11">
        <f>IF(AND($A11&lt;&gt;"",BB$3&gt;=$J11,BB$3&lt;=$M11),1,"")</f>
        <v/>
      </c>
      <c r="BC11">
        <f>IF(AND($A11&lt;&gt;"",BC$3&gt;=$J11,BC$3&lt;=$M11),1,"")</f>
        <v/>
      </c>
      <c r="BD11">
        <f>IF(AND($A11&lt;&gt;"",BD$3&gt;=$J11,BD$3&lt;=$M11),1,"")</f>
        <v/>
      </c>
      <c r="BE11">
        <f>IF(AND($A11&lt;&gt;"",BE$3&gt;=$J11,BE$3&lt;=$M11),1,"")</f>
        <v/>
      </c>
      <c r="BF11">
        <f>IF(AND($A11&lt;&gt;"",BF$3&gt;=$J11,BF$3&lt;=$M11),1,"")</f>
        <v/>
      </c>
      <c r="BG11">
        <f>IF(AND($A11&lt;&gt;"",BG$3&gt;=$J11,BG$3&lt;=$M11),1,"")</f>
        <v/>
      </c>
      <c r="BH11">
        <f>IF(AND($A11&lt;&gt;"",BH$3&gt;=$J11,BH$3&lt;=$M11),1,"")</f>
        <v/>
      </c>
      <c r="BI11">
        <f>IF(AND($A11&lt;&gt;"",BI$3&gt;=$J11,BI$3&lt;=$M11),1,"")</f>
        <v/>
      </c>
      <c r="BJ11">
        <f>IF(AND($A11&lt;&gt;"",BJ$3&gt;=$J11,BJ$3&lt;=$M11),1,"")</f>
        <v/>
      </c>
      <c r="BK11">
        <f>IF(AND($A11&lt;&gt;"",BK$3&gt;=$J11,BK$3&lt;=$M11),1,"")</f>
        <v/>
      </c>
      <c r="BL11">
        <f>IF(AND($A11&lt;&gt;"",BL$3&gt;=$J11,BL$3&lt;=$M11),1,"")</f>
        <v/>
      </c>
      <c r="BM11">
        <f>IF(AND($A11&lt;&gt;"",BM$3&gt;=$J11,BM$3&lt;=$M11),1,"")</f>
        <v/>
      </c>
      <c r="BN11">
        <f>IF(AND($A11&lt;&gt;"",BN$3&gt;=$J11,BN$3&lt;=$M11),1,"")</f>
        <v/>
      </c>
      <c r="BO11">
        <f>IF(AND($A11&lt;&gt;"",BO$3&gt;=$J11,BO$3&lt;=$M11),1,"")</f>
        <v/>
      </c>
      <c r="BP11">
        <f>IF(AND($A11&lt;&gt;"",BP$3&gt;=$J11,BP$3&lt;=$M11),1,"")</f>
        <v/>
      </c>
      <c r="BQ11">
        <f>IF(AND($A11&lt;&gt;"",BQ$3&gt;=$J11,BQ$3&lt;=$M11),1,"")</f>
        <v/>
      </c>
      <c r="BR11">
        <f>IF(AND($A11&lt;&gt;"",BR$3&gt;=$J11,BR$3&lt;=$M11),1,"")</f>
        <v/>
      </c>
      <c r="BS11">
        <f>IF(AND($A11&lt;&gt;"",BS$3&gt;=$J11,BS$3&lt;=$M11),1,"")</f>
        <v/>
      </c>
      <c r="BT11">
        <f>IF(AND($A11&lt;&gt;"",BT$3&gt;=$J11,BT$3&lt;=$M11),1,"")</f>
        <v/>
      </c>
      <c r="BU11">
        <f>IF(AND($A11&lt;&gt;"",BU$3&gt;=$J11,BU$3&lt;=$M11),1,"")</f>
        <v/>
      </c>
      <c r="BV11">
        <f>IF(AND($A11&lt;&gt;"",BV$3&gt;=$J11,BV$3&lt;=$M11),1,"")</f>
        <v/>
      </c>
    </row>
    <row r="12">
      <c r="A12">
        <f>IF(Job_Master_Ring!$A12="","",Job_Master_Ring!$A12)</f>
        <v/>
      </c>
      <c r="B12">
        <f>IF($A12="","",Job_Master_Ring!B12)</f>
        <v/>
      </c>
      <c r="C12">
        <f>IF($A12="","",Job_Master_Ring!C12)</f>
        <v/>
      </c>
      <c r="D12">
        <f>IF($A12="","",Job_Master_Ring!D12)</f>
        <v/>
      </c>
      <c r="E12">
        <f>IF($A12="","",IF($I12&lt;&gt;"",$I12,IFERROR(INDEX(Machine_List!$B$72:$B$81,MATCH(1,(Machine_List!$H$72:$H$81&lt;=IFERROR(VLOOKUP($B12,CHOOSE(MATCH($C12,Settings!$L$4:$L$10,0),OPR_BR1!$A$4:$K$18,OPR_BR2!$A$4:$K$18,OPR_CR2!$A$4:$K$18,OPR_CR3!$A$4:$K$18,OPR_CR4!$A$4:$K$18,OPR_RIM!$A$4:$K$18,OPR_BPR!$A$4:$K$18),10,0),0))*(Machine_List!$I$72:$I$81&gt;=IFERROR(VLOOKUP($B12,CHOOSE(MATCH($C12,Settings!$L$4:$L$10,0),OPR_BR1!$A$4:$K$18,OPR_BR2!$A$4:$K$18,OPR_CR2!$A$4:$K$18,OPR_CR3!$A$4:$K$18,OPR_CR4!$A$4:$K$18,OPR_RIM!$A$4:$K$18,OPR_BPR!$A$4:$K$18),11,0),9999)),0)),"NO COMPATIBLE MACHINE")))</f>
        <v/>
      </c>
      <c r="F12">
        <f>IF($E12="","",IFERROR(VLOOKUP($E12,Machine_List!$B:$G,6,0),""))</f>
        <v/>
      </c>
      <c r="G12" s="17">
        <f>IF($E12="","",IFERROR(VLOOKUP($E12,Machine_List!$B:$C,2,0),""))</f>
        <v/>
      </c>
      <c r="H12">
        <f>IF($E12="","",IFERROR(VLOOKUP($E12,Machine_List!$B:$D,3,0),""))</f>
        <v/>
      </c>
      <c r="J12" s="16">
        <f>IF($A12="","",IF($I12&lt;&gt;"",$I12,MAX(VENT_Plan!$M12,IFERROR(LOOKUP(2,1/($E$3:INDIRECT("E"&amp;(ROW()-1))=$E12),$M$3:INDIRECT("M"&amp;(ROW()-1))),VENT_Plan!$M12))))</f>
        <v/>
      </c>
      <c r="K12">
        <f>IF($A12="","",IFERROR(VLOOKUP(B12,CHOOSE(MATCH($C12,Settings!$L$4:$L$10,0),OPR_BR1!$A$4:$I$18,OPR_BR2!$A$4:$I$18,OPR_CR2!$A$4:$I$18,OPR_CR3!$A$4:$I$18,OPR_CR4!$A$4:$I$18,OPR_RIM!$A$4:$I$18,OPR_BPR!$A$4:$I$18),8,0),0))</f>
        <v/>
      </c>
      <c r="L12">
        <f>IF($A12="","",K12*D12)</f>
        <v/>
      </c>
      <c r="M12" s="16">
        <f>IF($A12="","",IF(AND(ISNUMBER(G12),G12&gt;=J12,G12&lt;=(J12+(L12/(IF(F12="Contract Workman",Settings!$K$5,Settings!$K$4))))),J12+(L12/(IF(F12="Contract Workman",Settings!$K$5,Settings!$K$4)))+(H12/(IF(F12="Contract Workman",Settings!$K$5,Settings!$K$4))),J12+(L12/(IF(F12="Contract Workman",Settings!$K$5,Settings!$K$4)))))</f>
        <v/>
      </c>
      <c r="N12">
        <f>IF($A12="","",IF(F12="Contract Workman",IF(AND(MOD(M12,1)&gt;=8/24,MOD(M12,1)&lt;20/24),"Shift S1","Shift S2"),IF(AND(MOD(M12,1)&gt;=7/24,MOD(M12,1)&lt;15/24),"Shift A",IF(AND(MOD(M12,1)&gt;=15/24,MOD(M12,1)&lt;23/24),"Shift B","Shift C"))))</f>
        <v/>
      </c>
      <c r="O12">
        <f>IF(B12="","",IF(IFERROR(ISNUMBER(SEARCH(TEXT(B12,"0"),VLOOKUP(E12,Machine_List!$B:$J,9,0))),FALSE),"✅ "&amp; E12,"❌ Sug: "&amp;IFERROR(INDEX(Machine_List!$B$72:$B$81,MATCH(1,(Machine_List!$H$72:$H$81&lt;=IFERROR(VLOOKUP($B12,OPR_BR1!$A$4:$K$18,10,0),0))*(Machine_List!$I$72:$I$81&gt;=IFERROR(VLOOKUP($B12,OPR_BR1!$A$4:$K$18,11,0),9999)),0)),"?")))</f>
        <v/>
      </c>
      <c r="P12">
        <f>IF(AND($A12&lt;&gt;"",P$3&gt;=$J12,P$3&lt;=$M12),1,"")</f>
        <v/>
      </c>
      <c r="Q12">
        <f>IF(AND($A12&lt;&gt;"",Q$3&gt;=$J12,Q$3&lt;=$M12),1,"")</f>
        <v/>
      </c>
      <c r="R12">
        <f>IF(AND($A12&lt;&gt;"",R$3&gt;=$J12,R$3&lt;=$M12),1,"")</f>
        <v/>
      </c>
      <c r="S12">
        <f>IF(AND($A12&lt;&gt;"",S$3&gt;=$J12,S$3&lt;=$M12),1,"")</f>
        <v/>
      </c>
      <c r="T12">
        <f>IF(AND($A12&lt;&gt;"",T$3&gt;=$J12,T$3&lt;=$M12),1,"")</f>
        <v/>
      </c>
      <c r="U12">
        <f>IF(AND($A12&lt;&gt;"",U$3&gt;=$J12,U$3&lt;=$M12),1,"")</f>
        <v/>
      </c>
      <c r="V12">
        <f>IF(AND($A12&lt;&gt;"",V$3&gt;=$J12,V$3&lt;=$M12),1,"")</f>
        <v/>
      </c>
      <c r="W12">
        <f>IF(AND($A12&lt;&gt;"",W$3&gt;=$J12,W$3&lt;=$M12),1,"")</f>
        <v/>
      </c>
      <c r="X12">
        <f>IF(AND($A12&lt;&gt;"",X$3&gt;=$J12,X$3&lt;=$M12),1,"")</f>
        <v/>
      </c>
      <c r="Y12">
        <f>IF(AND($A12&lt;&gt;"",Y$3&gt;=$J12,Y$3&lt;=$M12),1,"")</f>
        <v/>
      </c>
      <c r="Z12">
        <f>IF(AND($A12&lt;&gt;"",Z$3&gt;=$J12,Z$3&lt;=$M12),1,"")</f>
        <v/>
      </c>
      <c r="AA12">
        <f>IF(AND($A12&lt;&gt;"",AA$3&gt;=$J12,AA$3&lt;=$M12),1,"")</f>
        <v/>
      </c>
      <c r="AB12">
        <f>IF(AND($A12&lt;&gt;"",AB$3&gt;=$J12,AB$3&lt;=$M12),1,"")</f>
        <v/>
      </c>
      <c r="AC12">
        <f>IF(AND($A12&lt;&gt;"",AC$3&gt;=$J12,AC$3&lt;=$M12),1,"")</f>
        <v/>
      </c>
      <c r="AD12">
        <f>IF(AND($A12&lt;&gt;"",AD$3&gt;=$J12,AD$3&lt;=$M12),1,"")</f>
        <v/>
      </c>
      <c r="AE12">
        <f>IF(AND($A12&lt;&gt;"",AE$3&gt;=$J12,AE$3&lt;=$M12),1,"")</f>
        <v/>
      </c>
      <c r="AF12">
        <f>IF(AND($A12&lt;&gt;"",AF$3&gt;=$J12,AF$3&lt;=$M12),1,"")</f>
        <v/>
      </c>
      <c r="AG12">
        <f>IF(AND($A12&lt;&gt;"",AG$3&gt;=$J12,AG$3&lt;=$M12),1,"")</f>
        <v/>
      </c>
      <c r="AH12">
        <f>IF(AND($A12&lt;&gt;"",AH$3&gt;=$J12,AH$3&lt;=$M12),1,"")</f>
        <v/>
      </c>
      <c r="AI12">
        <f>IF(AND($A12&lt;&gt;"",AI$3&gt;=$J12,AI$3&lt;=$M12),1,"")</f>
        <v/>
      </c>
      <c r="AJ12">
        <f>IF(AND($A12&lt;&gt;"",AJ$3&gt;=$J12,AJ$3&lt;=$M12),1,"")</f>
        <v/>
      </c>
      <c r="AK12">
        <f>IF(AND($A12&lt;&gt;"",AK$3&gt;=$J12,AK$3&lt;=$M12),1,"")</f>
        <v/>
      </c>
      <c r="AL12">
        <f>IF(AND($A12&lt;&gt;"",AL$3&gt;=$J12,AL$3&lt;=$M12),1,"")</f>
        <v/>
      </c>
      <c r="AM12">
        <f>IF(AND($A12&lt;&gt;"",AM$3&gt;=$J12,AM$3&lt;=$M12),1,"")</f>
        <v/>
      </c>
      <c r="AN12">
        <f>IF(AND($A12&lt;&gt;"",AN$3&gt;=$J12,AN$3&lt;=$M12),1,"")</f>
        <v/>
      </c>
      <c r="AO12">
        <f>IF(AND($A12&lt;&gt;"",AO$3&gt;=$J12,AO$3&lt;=$M12),1,"")</f>
        <v/>
      </c>
      <c r="AP12">
        <f>IF(AND($A12&lt;&gt;"",AP$3&gt;=$J12,AP$3&lt;=$M12),1,"")</f>
        <v/>
      </c>
      <c r="AQ12">
        <f>IF(AND($A12&lt;&gt;"",AQ$3&gt;=$J12,AQ$3&lt;=$M12),1,"")</f>
        <v/>
      </c>
      <c r="AR12">
        <f>IF(AND($A12&lt;&gt;"",AR$3&gt;=$J12,AR$3&lt;=$M12),1,"")</f>
        <v/>
      </c>
      <c r="AS12">
        <f>IF(AND($A12&lt;&gt;"",AS$3&gt;=$J12,AS$3&lt;=$M12),1,"")</f>
        <v/>
      </c>
      <c r="AT12">
        <f>IF(AND($A12&lt;&gt;"",AT$3&gt;=$J12,AT$3&lt;=$M12),1,"")</f>
        <v/>
      </c>
      <c r="AU12">
        <f>IF(AND($A12&lt;&gt;"",AU$3&gt;=$J12,AU$3&lt;=$M12),1,"")</f>
        <v/>
      </c>
      <c r="AV12">
        <f>IF(AND($A12&lt;&gt;"",AV$3&gt;=$J12,AV$3&lt;=$M12),1,"")</f>
        <v/>
      </c>
      <c r="AW12">
        <f>IF(AND($A12&lt;&gt;"",AW$3&gt;=$J12,AW$3&lt;=$M12),1,"")</f>
        <v/>
      </c>
      <c r="AX12">
        <f>IF(AND($A12&lt;&gt;"",AX$3&gt;=$J12,AX$3&lt;=$M12),1,"")</f>
        <v/>
      </c>
      <c r="AY12">
        <f>IF(AND($A12&lt;&gt;"",AY$3&gt;=$J12,AY$3&lt;=$M12),1,"")</f>
        <v/>
      </c>
      <c r="AZ12">
        <f>IF(AND($A12&lt;&gt;"",AZ$3&gt;=$J12,AZ$3&lt;=$M12),1,"")</f>
        <v/>
      </c>
      <c r="BA12">
        <f>IF(AND($A12&lt;&gt;"",BA$3&gt;=$J12,BA$3&lt;=$M12),1,"")</f>
        <v/>
      </c>
      <c r="BB12">
        <f>IF(AND($A12&lt;&gt;"",BB$3&gt;=$J12,BB$3&lt;=$M12),1,"")</f>
        <v/>
      </c>
      <c r="BC12">
        <f>IF(AND($A12&lt;&gt;"",BC$3&gt;=$J12,BC$3&lt;=$M12),1,"")</f>
        <v/>
      </c>
      <c r="BD12">
        <f>IF(AND($A12&lt;&gt;"",BD$3&gt;=$J12,BD$3&lt;=$M12),1,"")</f>
        <v/>
      </c>
      <c r="BE12">
        <f>IF(AND($A12&lt;&gt;"",BE$3&gt;=$J12,BE$3&lt;=$M12),1,"")</f>
        <v/>
      </c>
      <c r="BF12">
        <f>IF(AND($A12&lt;&gt;"",BF$3&gt;=$J12,BF$3&lt;=$M12),1,"")</f>
        <v/>
      </c>
      <c r="BG12">
        <f>IF(AND($A12&lt;&gt;"",BG$3&gt;=$J12,BG$3&lt;=$M12),1,"")</f>
        <v/>
      </c>
      <c r="BH12">
        <f>IF(AND($A12&lt;&gt;"",BH$3&gt;=$J12,BH$3&lt;=$M12),1,"")</f>
        <v/>
      </c>
      <c r="BI12">
        <f>IF(AND($A12&lt;&gt;"",BI$3&gt;=$J12,BI$3&lt;=$M12),1,"")</f>
        <v/>
      </c>
      <c r="BJ12">
        <f>IF(AND($A12&lt;&gt;"",BJ$3&gt;=$J12,BJ$3&lt;=$M12),1,"")</f>
        <v/>
      </c>
      <c r="BK12">
        <f>IF(AND($A12&lt;&gt;"",BK$3&gt;=$J12,BK$3&lt;=$M12),1,"")</f>
        <v/>
      </c>
      <c r="BL12">
        <f>IF(AND($A12&lt;&gt;"",BL$3&gt;=$J12,BL$3&lt;=$M12),1,"")</f>
        <v/>
      </c>
      <c r="BM12">
        <f>IF(AND($A12&lt;&gt;"",BM$3&gt;=$J12,BM$3&lt;=$M12),1,"")</f>
        <v/>
      </c>
      <c r="BN12">
        <f>IF(AND($A12&lt;&gt;"",BN$3&gt;=$J12,BN$3&lt;=$M12),1,"")</f>
        <v/>
      </c>
      <c r="BO12">
        <f>IF(AND($A12&lt;&gt;"",BO$3&gt;=$J12,BO$3&lt;=$M12),1,"")</f>
        <v/>
      </c>
      <c r="BP12">
        <f>IF(AND($A12&lt;&gt;"",BP$3&gt;=$J12,BP$3&lt;=$M12),1,"")</f>
        <v/>
      </c>
      <c r="BQ12">
        <f>IF(AND($A12&lt;&gt;"",BQ$3&gt;=$J12,BQ$3&lt;=$M12),1,"")</f>
        <v/>
      </c>
      <c r="BR12">
        <f>IF(AND($A12&lt;&gt;"",BR$3&gt;=$J12,BR$3&lt;=$M12),1,"")</f>
        <v/>
      </c>
      <c r="BS12">
        <f>IF(AND($A12&lt;&gt;"",BS$3&gt;=$J12,BS$3&lt;=$M12),1,"")</f>
        <v/>
      </c>
      <c r="BT12">
        <f>IF(AND($A12&lt;&gt;"",BT$3&gt;=$J12,BT$3&lt;=$M12),1,"")</f>
        <v/>
      </c>
      <c r="BU12">
        <f>IF(AND($A12&lt;&gt;"",BU$3&gt;=$J12,BU$3&lt;=$M12),1,"")</f>
        <v/>
      </c>
      <c r="BV12">
        <f>IF(AND($A12&lt;&gt;"",BV$3&gt;=$J12,BV$3&lt;=$M12),1,"")</f>
        <v/>
      </c>
    </row>
    <row r="13">
      <c r="A13">
        <f>IF(Job_Master_Ring!$A13="","",Job_Master_Ring!$A13)</f>
        <v/>
      </c>
      <c r="B13">
        <f>IF($A13="","",Job_Master_Ring!B13)</f>
        <v/>
      </c>
      <c r="C13">
        <f>IF($A13="","",Job_Master_Ring!C13)</f>
        <v/>
      </c>
      <c r="D13">
        <f>IF($A13="","",Job_Master_Ring!D13)</f>
        <v/>
      </c>
      <c r="E13">
        <f>IF($A13="","",IF($I13&lt;&gt;"",$I13,IFERROR(INDEX(Machine_List!$B$72:$B$81,MATCH(1,(Machine_List!$H$72:$H$81&lt;=IFERROR(VLOOKUP($B13,CHOOSE(MATCH($C13,Settings!$L$4:$L$10,0),OPR_BR1!$A$4:$K$18,OPR_BR2!$A$4:$K$18,OPR_CR2!$A$4:$K$18,OPR_CR3!$A$4:$K$18,OPR_CR4!$A$4:$K$18,OPR_RIM!$A$4:$K$18,OPR_BPR!$A$4:$K$18),10,0),0))*(Machine_List!$I$72:$I$81&gt;=IFERROR(VLOOKUP($B13,CHOOSE(MATCH($C13,Settings!$L$4:$L$10,0),OPR_BR1!$A$4:$K$18,OPR_BR2!$A$4:$K$18,OPR_CR2!$A$4:$K$18,OPR_CR3!$A$4:$K$18,OPR_CR4!$A$4:$K$18,OPR_RIM!$A$4:$K$18,OPR_BPR!$A$4:$K$18),11,0),9999)),0)),"NO COMPATIBLE MACHINE")))</f>
        <v/>
      </c>
      <c r="F13">
        <f>IF($E13="","",IFERROR(VLOOKUP($E13,Machine_List!$B:$G,6,0),""))</f>
        <v/>
      </c>
      <c r="G13" s="17">
        <f>IF($E13="","",IFERROR(VLOOKUP($E13,Machine_List!$B:$C,2,0),""))</f>
        <v/>
      </c>
      <c r="H13">
        <f>IF($E13="","",IFERROR(VLOOKUP($E13,Machine_List!$B:$D,3,0),""))</f>
        <v/>
      </c>
      <c r="J13" s="16">
        <f>IF($A13="","",IF($I13&lt;&gt;"",$I13,MAX(VENT_Plan!$M13,IFERROR(LOOKUP(2,1/($E$3:INDIRECT("E"&amp;(ROW()-1))=$E13),$M$3:INDIRECT("M"&amp;(ROW()-1))),VENT_Plan!$M13))))</f>
        <v/>
      </c>
      <c r="K13">
        <f>IF($A13="","",IFERROR(VLOOKUP(B13,CHOOSE(MATCH($C13,Settings!$L$4:$L$10,0),OPR_BR1!$A$4:$I$18,OPR_BR2!$A$4:$I$18,OPR_CR2!$A$4:$I$18,OPR_CR3!$A$4:$I$18,OPR_CR4!$A$4:$I$18,OPR_RIM!$A$4:$I$18,OPR_BPR!$A$4:$I$18),8,0),0))</f>
        <v/>
      </c>
      <c r="L13">
        <f>IF($A13="","",K13*D13)</f>
        <v/>
      </c>
      <c r="M13" s="16">
        <f>IF($A13="","",IF(AND(ISNUMBER(G13),G13&gt;=J13,G13&lt;=(J13+(L13/(IF(F13="Contract Workman",Settings!$K$5,Settings!$K$4))))),J13+(L13/(IF(F13="Contract Workman",Settings!$K$5,Settings!$K$4)))+(H13/(IF(F13="Contract Workman",Settings!$K$5,Settings!$K$4))),J13+(L13/(IF(F13="Contract Workman",Settings!$K$5,Settings!$K$4)))))</f>
        <v/>
      </c>
      <c r="N13">
        <f>IF($A13="","",IF(F13="Contract Workman",IF(AND(MOD(M13,1)&gt;=8/24,MOD(M13,1)&lt;20/24),"Shift S1","Shift S2"),IF(AND(MOD(M13,1)&gt;=7/24,MOD(M13,1)&lt;15/24),"Shift A",IF(AND(MOD(M13,1)&gt;=15/24,MOD(M13,1)&lt;23/24),"Shift B","Shift C"))))</f>
        <v/>
      </c>
      <c r="O13">
        <f>IF(B13="","",IF(IFERROR(ISNUMBER(SEARCH(TEXT(B13,"0"),VLOOKUP(E13,Machine_List!$B:$J,9,0))),FALSE),"✅ "&amp; E13,"❌ Sug: "&amp;IFERROR(INDEX(Machine_List!$B$72:$B$81,MATCH(1,(Machine_List!$H$72:$H$81&lt;=IFERROR(VLOOKUP($B13,OPR_BR1!$A$4:$K$18,10,0),0))*(Machine_List!$I$72:$I$81&gt;=IFERROR(VLOOKUP($B13,OPR_BR1!$A$4:$K$18,11,0),9999)),0)),"?")))</f>
        <v/>
      </c>
      <c r="P13">
        <f>IF(AND($A13&lt;&gt;"",P$3&gt;=$J13,P$3&lt;=$M13),1,"")</f>
        <v/>
      </c>
      <c r="Q13">
        <f>IF(AND($A13&lt;&gt;"",Q$3&gt;=$J13,Q$3&lt;=$M13),1,"")</f>
        <v/>
      </c>
      <c r="R13">
        <f>IF(AND($A13&lt;&gt;"",R$3&gt;=$J13,R$3&lt;=$M13),1,"")</f>
        <v/>
      </c>
      <c r="S13">
        <f>IF(AND($A13&lt;&gt;"",S$3&gt;=$J13,S$3&lt;=$M13),1,"")</f>
        <v/>
      </c>
      <c r="T13">
        <f>IF(AND($A13&lt;&gt;"",T$3&gt;=$J13,T$3&lt;=$M13),1,"")</f>
        <v/>
      </c>
      <c r="U13">
        <f>IF(AND($A13&lt;&gt;"",U$3&gt;=$J13,U$3&lt;=$M13),1,"")</f>
        <v/>
      </c>
      <c r="V13">
        <f>IF(AND($A13&lt;&gt;"",V$3&gt;=$J13,V$3&lt;=$M13),1,"")</f>
        <v/>
      </c>
      <c r="W13">
        <f>IF(AND($A13&lt;&gt;"",W$3&gt;=$J13,W$3&lt;=$M13),1,"")</f>
        <v/>
      </c>
      <c r="X13">
        <f>IF(AND($A13&lt;&gt;"",X$3&gt;=$J13,X$3&lt;=$M13),1,"")</f>
        <v/>
      </c>
      <c r="Y13">
        <f>IF(AND($A13&lt;&gt;"",Y$3&gt;=$J13,Y$3&lt;=$M13),1,"")</f>
        <v/>
      </c>
      <c r="Z13">
        <f>IF(AND($A13&lt;&gt;"",Z$3&gt;=$J13,Z$3&lt;=$M13),1,"")</f>
        <v/>
      </c>
      <c r="AA13">
        <f>IF(AND($A13&lt;&gt;"",AA$3&gt;=$J13,AA$3&lt;=$M13),1,"")</f>
        <v/>
      </c>
      <c r="AB13">
        <f>IF(AND($A13&lt;&gt;"",AB$3&gt;=$J13,AB$3&lt;=$M13),1,"")</f>
        <v/>
      </c>
      <c r="AC13">
        <f>IF(AND($A13&lt;&gt;"",AC$3&gt;=$J13,AC$3&lt;=$M13),1,"")</f>
        <v/>
      </c>
      <c r="AD13">
        <f>IF(AND($A13&lt;&gt;"",AD$3&gt;=$J13,AD$3&lt;=$M13),1,"")</f>
        <v/>
      </c>
      <c r="AE13">
        <f>IF(AND($A13&lt;&gt;"",AE$3&gt;=$J13,AE$3&lt;=$M13),1,"")</f>
        <v/>
      </c>
      <c r="AF13">
        <f>IF(AND($A13&lt;&gt;"",AF$3&gt;=$J13,AF$3&lt;=$M13),1,"")</f>
        <v/>
      </c>
      <c r="AG13">
        <f>IF(AND($A13&lt;&gt;"",AG$3&gt;=$J13,AG$3&lt;=$M13),1,"")</f>
        <v/>
      </c>
      <c r="AH13">
        <f>IF(AND($A13&lt;&gt;"",AH$3&gt;=$J13,AH$3&lt;=$M13),1,"")</f>
        <v/>
      </c>
      <c r="AI13">
        <f>IF(AND($A13&lt;&gt;"",AI$3&gt;=$J13,AI$3&lt;=$M13),1,"")</f>
        <v/>
      </c>
      <c r="AJ13">
        <f>IF(AND($A13&lt;&gt;"",AJ$3&gt;=$J13,AJ$3&lt;=$M13),1,"")</f>
        <v/>
      </c>
      <c r="AK13">
        <f>IF(AND($A13&lt;&gt;"",AK$3&gt;=$J13,AK$3&lt;=$M13),1,"")</f>
        <v/>
      </c>
      <c r="AL13">
        <f>IF(AND($A13&lt;&gt;"",AL$3&gt;=$J13,AL$3&lt;=$M13),1,"")</f>
        <v/>
      </c>
      <c r="AM13">
        <f>IF(AND($A13&lt;&gt;"",AM$3&gt;=$J13,AM$3&lt;=$M13),1,"")</f>
        <v/>
      </c>
      <c r="AN13">
        <f>IF(AND($A13&lt;&gt;"",AN$3&gt;=$J13,AN$3&lt;=$M13),1,"")</f>
        <v/>
      </c>
      <c r="AO13">
        <f>IF(AND($A13&lt;&gt;"",AO$3&gt;=$J13,AO$3&lt;=$M13),1,"")</f>
        <v/>
      </c>
      <c r="AP13">
        <f>IF(AND($A13&lt;&gt;"",AP$3&gt;=$J13,AP$3&lt;=$M13),1,"")</f>
        <v/>
      </c>
      <c r="AQ13">
        <f>IF(AND($A13&lt;&gt;"",AQ$3&gt;=$J13,AQ$3&lt;=$M13),1,"")</f>
        <v/>
      </c>
      <c r="AR13">
        <f>IF(AND($A13&lt;&gt;"",AR$3&gt;=$J13,AR$3&lt;=$M13),1,"")</f>
        <v/>
      </c>
      <c r="AS13">
        <f>IF(AND($A13&lt;&gt;"",AS$3&gt;=$J13,AS$3&lt;=$M13),1,"")</f>
        <v/>
      </c>
      <c r="AT13">
        <f>IF(AND($A13&lt;&gt;"",AT$3&gt;=$J13,AT$3&lt;=$M13),1,"")</f>
        <v/>
      </c>
      <c r="AU13">
        <f>IF(AND($A13&lt;&gt;"",AU$3&gt;=$J13,AU$3&lt;=$M13),1,"")</f>
        <v/>
      </c>
      <c r="AV13">
        <f>IF(AND($A13&lt;&gt;"",AV$3&gt;=$J13,AV$3&lt;=$M13),1,"")</f>
        <v/>
      </c>
      <c r="AW13">
        <f>IF(AND($A13&lt;&gt;"",AW$3&gt;=$J13,AW$3&lt;=$M13),1,"")</f>
        <v/>
      </c>
      <c r="AX13">
        <f>IF(AND($A13&lt;&gt;"",AX$3&gt;=$J13,AX$3&lt;=$M13),1,"")</f>
        <v/>
      </c>
      <c r="AY13">
        <f>IF(AND($A13&lt;&gt;"",AY$3&gt;=$J13,AY$3&lt;=$M13),1,"")</f>
        <v/>
      </c>
      <c r="AZ13">
        <f>IF(AND($A13&lt;&gt;"",AZ$3&gt;=$J13,AZ$3&lt;=$M13),1,"")</f>
        <v/>
      </c>
      <c r="BA13">
        <f>IF(AND($A13&lt;&gt;"",BA$3&gt;=$J13,BA$3&lt;=$M13),1,"")</f>
        <v/>
      </c>
      <c r="BB13">
        <f>IF(AND($A13&lt;&gt;"",BB$3&gt;=$J13,BB$3&lt;=$M13),1,"")</f>
        <v/>
      </c>
      <c r="BC13">
        <f>IF(AND($A13&lt;&gt;"",BC$3&gt;=$J13,BC$3&lt;=$M13),1,"")</f>
        <v/>
      </c>
      <c r="BD13">
        <f>IF(AND($A13&lt;&gt;"",BD$3&gt;=$J13,BD$3&lt;=$M13),1,"")</f>
        <v/>
      </c>
      <c r="BE13">
        <f>IF(AND($A13&lt;&gt;"",BE$3&gt;=$J13,BE$3&lt;=$M13),1,"")</f>
        <v/>
      </c>
      <c r="BF13">
        <f>IF(AND($A13&lt;&gt;"",BF$3&gt;=$J13,BF$3&lt;=$M13),1,"")</f>
        <v/>
      </c>
      <c r="BG13">
        <f>IF(AND($A13&lt;&gt;"",BG$3&gt;=$J13,BG$3&lt;=$M13),1,"")</f>
        <v/>
      </c>
      <c r="BH13">
        <f>IF(AND($A13&lt;&gt;"",BH$3&gt;=$J13,BH$3&lt;=$M13),1,"")</f>
        <v/>
      </c>
      <c r="BI13">
        <f>IF(AND($A13&lt;&gt;"",BI$3&gt;=$J13,BI$3&lt;=$M13),1,"")</f>
        <v/>
      </c>
      <c r="BJ13">
        <f>IF(AND($A13&lt;&gt;"",BJ$3&gt;=$J13,BJ$3&lt;=$M13),1,"")</f>
        <v/>
      </c>
      <c r="BK13">
        <f>IF(AND($A13&lt;&gt;"",BK$3&gt;=$J13,BK$3&lt;=$M13),1,"")</f>
        <v/>
      </c>
      <c r="BL13">
        <f>IF(AND($A13&lt;&gt;"",BL$3&gt;=$J13,BL$3&lt;=$M13),1,"")</f>
        <v/>
      </c>
      <c r="BM13">
        <f>IF(AND($A13&lt;&gt;"",BM$3&gt;=$J13,BM$3&lt;=$M13),1,"")</f>
        <v/>
      </c>
      <c r="BN13">
        <f>IF(AND($A13&lt;&gt;"",BN$3&gt;=$J13,BN$3&lt;=$M13),1,"")</f>
        <v/>
      </c>
      <c r="BO13">
        <f>IF(AND($A13&lt;&gt;"",BO$3&gt;=$J13,BO$3&lt;=$M13),1,"")</f>
        <v/>
      </c>
      <c r="BP13">
        <f>IF(AND($A13&lt;&gt;"",BP$3&gt;=$J13,BP$3&lt;=$M13),1,"")</f>
        <v/>
      </c>
      <c r="BQ13">
        <f>IF(AND($A13&lt;&gt;"",BQ$3&gt;=$J13,BQ$3&lt;=$M13),1,"")</f>
        <v/>
      </c>
      <c r="BR13">
        <f>IF(AND($A13&lt;&gt;"",BR$3&gt;=$J13,BR$3&lt;=$M13),1,"")</f>
        <v/>
      </c>
      <c r="BS13">
        <f>IF(AND($A13&lt;&gt;"",BS$3&gt;=$J13,BS$3&lt;=$M13),1,"")</f>
        <v/>
      </c>
      <c r="BT13">
        <f>IF(AND($A13&lt;&gt;"",BT$3&gt;=$J13,BT$3&lt;=$M13),1,"")</f>
        <v/>
      </c>
      <c r="BU13">
        <f>IF(AND($A13&lt;&gt;"",BU$3&gt;=$J13,BU$3&lt;=$M13),1,"")</f>
        <v/>
      </c>
      <c r="BV13">
        <f>IF(AND($A13&lt;&gt;"",BV$3&gt;=$J13,BV$3&lt;=$M13),1,"")</f>
        <v/>
      </c>
    </row>
    <row r="14">
      <c r="A14">
        <f>IF(Job_Master_Ring!$A14="","",Job_Master_Ring!$A14)</f>
        <v/>
      </c>
      <c r="B14">
        <f>IF($A14="","",Job_Master_Ring!B14)</f>
        <v/>
      </c>
      <c r="C14">
        <f>IF($A14="","",Job_Master_Ring!C14)</f>
        <v/>
      </c>
      <c r="D14">
        <f>IF($A14="","",Job_Master_Ring!D14)</f>
        <v/>
      </c>
      <c r="E14">
        <f>IF($A14="","",IF($I14&lt;&gt;"",$I14,IFERROR(INDEX(Machine_List!$B$72:$B$81,MATCH(1,(Machine_List!$H$72:$H$81&lt;=IFERROR(VLOOKUP($B14,CHOOSE(MATCH($C14,Settings!$L$4:$L$10,0),OPR_BR1!$A$4:$K$18,OPR_BR2!$A$4:$K$18,OPR_CR2!$A$4:$K$18,OPR_CR3!$A$4:$K$18,OPR_CR4!$A$4:$K$18,OPR_RIM!$A$4:$K$18,OPR_BPR!$A$4:$K$18),10,0),0))*(Machine_List!$I$72:$I$81&gt;=IFERROR(VLOOKUP($B14,CHOOSE(MATCH($C14,Settings!$L$4:$L$10,0),OPR_BR1!$A$4:$K$18,OPR_BR2!$A$4:$K$18,OPR_CR2!$A$4:$K$18,OPR_CR3!$A$4:$K$18,OPR_CR4!$A$4:$K$18,OPR_RIM!$A$4:$K$18,OPR_BPR!$A$4:$K$18),11,0),9999)),0)),"NO COMPATIBLE MACHINE")))</f>
        <v/>
      </c>
      <c r="F14">
        <f>IF($E14="","",IFERROR(VLOOKUP($E14,Machine_List!$B:$G,6,0),""))</f>
        <v/>
      </c>
      <c r="G14" s="17">
        <f>IF($E14="","",IFERROR(VLOOKUP($E14,Machine_List!$B:$C,2,0),""))</f>
        <v/>
      </c>
      <c r="H14">
        <f>IF($E14="","",IFERROR(VLOOKUP($E14,Machine_List!$B:$D,3,0),""))</f>
        <v/>
      </c>
      <c r="J14" s="16">
        <f>IF($A14="","",IF($I14&lt;&gt;"",$I14,MAX(VENT_Plan!$M14,IFERROR(LOOKUP(2,1/($E$3:INDIRECT("E"&amp;(ROW()-1))=$E14),$M$3:INDIRECT("M"&amp;(ROW()-1))),VENT_Plan!$M14))))</f>
        <v/>
      </c>
      <c r="K14">
        <f>IF($A14="","",IFERROR(VLOOKUP(B14,CHOOSE(MATCH($C14,Settings!$L$4:$L$10,0),OPR_BR1!$A$4:$I$18,OPR_BR2!$A$4:$I$18,OPR_CR2!$A$4:$I$18,OPR_CR3!$A$4:$I$18,OPR_CR4!$A$4:$I$18,OPR_RIM!$A$4:$I$18,OPR_BPR!$A$4:$I$18),8,0),0))</f>
        <v/>
      </c>
      <c r="L14">
        <f>IF($A14="","",K14*D14)</f>
        <v/>
      </c>
      <c r="M14" s="16">
        <f>IF($A14="","",IF(AND(ISNUMBER(G14),G14&gt;=J14,G14&lt;=(J14+(L14/(IF(F14="Contract Workman",Settings!$K$5,Settings!$K$4))))),J14+(L14/(IF(F14="Contract Workman",Settings!$K$5,Settings!$K$4)))+(H14/(IF(F14="Contract Workman",Settings!$K$5,Settings!$K$4))),J14+(L14/(IF(F14="Contract Workman",Settings!$K$5,Settings!$K$4)))))</f>
        <v/>
      </c>
      <c r="N14">
        <f>IF($A14="","",IF(F14="Contract Workman",IF(AND(MOD(M14,1)&gt;=8/24,MOD(M14,1)&lt;20/24),"Shift S1","Shift S2"),IF(AND(MOD(M14,1)&gt;=7/24,MOD(M14,1)&lt;15/24),"Shift A",IF(AND(MOD(M14,1)&gt;=15/24,MOD(M14,1)&lt;23/24),"Shift B","Shift C"))))</f>
        <v/>
      </c>
      <c r="O14">
        <f>IF(B14="","",IF(IFERROR(ISNUMBER(SEARCH(TEXT(B14,"0"),VLOOKUP(E14,Machine_List!$B:$J,9,0))),FALSE),"✅ "&amp; E14,"❌ Sug: "&amp;IFERROR(INDEX(Machine_List!$B$72:$B$81,MATCH(1,(Machine_List!$H$72:$H$81&lt;=IFERROR(VLOOKUP($B14,OPR_BR1!$A$4:$K$18,10,0),0))*(Machine_List!$I$72:$I$81&gt;=IFERROR(VLOOKUP($B14,OPR_BR1!$A$4:$K$18,11,0),9999)),0)),"?")))</f>
        <v/>
      </c>
      <c r="P14">
        <f>IF(AND($A14&lt;&gt;"",P$3&gt;=$J14,P$3&lt;=$M14),1,"")</f>
        <v/>
      </c>
      <c r="Q14">
        <f>IF(AND($A14&lt;&gt;"",Q$3&gt;=$J14,Q$3&lt;=$M14),1,"")</f>
        <v/>
      </c>
      <c r="R14">
        <f>IF(AND($A14&lt;&gt;"",R$3&gt;=$J14,R$3&lt;=$M14),1,"")</f>
        <v/>
      </c>
      <c r="S14">
        <f>IF(AND($A14&lt;&gt;"",S$3&gt;=$J14,S$3&lt;=$M14),1,"")</f>
        <v/>
      </c>
      <c r="T14">
        <f>IF(AND($A14&lt;&gt;"",T$3&gt;=$J14,T$3&lt;=$M14),1,"")</f>
        <v/>
      </c>
      <c r="U14">
        <f>IF(AND($A14&lt;&gt;"",U$3&gt;=$J14,U$3&lt;=$M14),1,"")</f>
        <v/>
      </c>
      <c r="V14">
        <f>IF(AND($A14&lt;&gt;"",V$3&gt;=$J14,V$3&lt;=$M14),1,"")</f>
        <v/>
      </c>
      <c r="W14">
        <f>IF(AND($A14&lt;&gt;"",W$3&gt;=$J14,W$3&lt;=$M14),1,"")</f>
        <v/>
      </c>
      <c r="X14">
        <f>IF(AND($A14&lt;&gt;"",X$3&gt;=$J14,X$3&lt;=$M14),1,"")</f>
        <v/>
      </c>
      <c r="Y14">
        <f>IF(AND($A14&lt;&gt;"",Y$3&gt;=$J14,Y$3&lt;=$M14),1,"")</f>
        <v/>
      </c>
      <c r="Z14">
        <f>IF(AND($A14&lt;&gt;"",Z$3&gt;=$J14,Z$3&lt;=$M14),1,"")</f>
        <v/>
      </c>
      <c r="AA14">
        <f>IF(AND($A14&lt;&gt;"",AA$3&gt;=$J14,AA$3&lt;=$M14),1,"")</f>
        <v/>
      </c>
      <c r="AB14">
        <f>IF(AND($A14&lt;&gt;"",AB$3&gt;=$J14,AB$3&lt;=$M14),1,"")</f>
        <v/>
      </c>
      <c r="AC14">
        <f>IF(AND($A14&lt;&gt;"",AC$3&gt;=$J14,AC$3&lt;=$M14),1,"")</f>
        <v/>
      </c>
      <c r="AD14">
        <f>IF(AND($A14&lt;&gt;"",AD$3&gt;=$J14,AD$3&lt;=$M14),1,"")</f>
        <v/>
      </c>
      <c r="AE14">
        <f>IF(AND($A14&lt;&gt;"",AE$3&gt;=$J14,AE$3&lt;=$M14),1,"")</f>
        <v/>
      </c>
      <c r="AF14">
        <f>IF(AND($A14&lt;&gt;"",AF$3&gt;=$J14,AF$3&lt;=$M14),1,"")</f>
        <v/>
      </c>
      <c r="AG14">
        <f>IF(AND($A14&lt;&gt;"",AG$3&gt;=$J14,AG$3&lt;=$M14),1,"")</f>
        <v/>
      </c>
      <c r="AH14">
        <f>IF(AND($A14&lt;&gt;"",AH$3&gt;=$J14,AH$3&lt;=$M14),1,"")</f>
        <v/>
      </c>
      <c r="AI14">
        <f>IF(AND($A14&lt;&gt;"",AI$3&gt;=$J14,AI$3&lt;=$M14),1,"")</f>
        <v/>
      </c>
      <c r="AJ14">
        <f>IF(AND($A14&lt;&gt;"",AJ$3&gt;=$J14,AJ$3&lt;=$M14),1,"")</f>
        <v/>
      </c>
      <c r="AK14">
        <f>IF(AND($A14&lt;&gt;"",AK$3&gt;=$J14,AK$3&lt;=$M14),1,"")</f>
        <v/>
      </c>
      <c r="AL14">
        <f>IF(AND($A14&lt;&gt;"",AL$3&gt;=$J14,AL$3&lt;=$M14),1,"")</f>
        <v/>
      </c>
      <c r="AM14">
        <f>IF(AND($A14&lt;&gt;"",AM$3&gt;=$J14,AM$3&lt;=$M14),1,"")</f>
        <v/>
      </c>
      <c r="AN14">
        <f>IF(AND($A14&lt;&gt;"",AN$3&gt;=$J14,AN$3&lt;=$M14),1,"")</f>
        <v/>
      </c>
      <c r="AO14">
        <f>IF(AND($A14&lt;&gt;"",AO$3&gt;=$J14,AO$3&lt;=$M14),1,"")</f>
        <v/>
      </c>
      <c r="AP14">
        <f>IF(AND($A14&lt;&gt;"",AP$3&gt;=$J14,AP$3&lt;=$M14),1,"")</f>
        <v/>
      </c>
      <c r="AQ14">
        <f>IF(AND($A14&lt;&gt;"",AQ$3&gt;=$J14,AQ$3&lt;=$M14),1,"")</f>
        <v/>
      </c>
      <c r="AR14">
        <f>IF(AND($A14&lt;&gt;"",AR$3&gt;=$J14,AR$3&lt;=$M14),1,"")</f>
        <v/>
      </c>
      <c r="AS14">
        <f>IF(AND($A14&lt;&gt;"",AS$3&gt;=$J14,AS$3&lt;=$M14),1,"")</f>
        <v/>
      </c>
      <c r="AT14">
        <f>IF(AND($A14&lt;&gt;"",AT$3&gt;=$J14,AT$3&lt;=$M14),1,"")</f>
        <v/>
      </c>
      <c r="AU14">
        <f>IF(AND($A14&lt;&gt;"",AU$3&gt;=$J14,AU$3&lt;=$M14),1,"")</f>
        <v/>
      </c>
      <c r="AV14">
        <f>IF(AND($A14&lt;&gt;"",AV$3&gt;=$J14,AV$3&lt;=$M14),1,"")</f>
        <v/>
      </c>
      <c r="AW14">
        <f>IF(AND($A14&lt;&gt;"",AW$3&gt;=$J14,AW$3&lt;=$M14),1,"")</f>
        <v/>
      </c>
      <c r="AX14">
        <f>IF(AND($A14&lt;&gt;"",AX$3&gt;=$J14,AX$3&lt;=$M14),1,"")</f>
        <v/>
      </c>
      <c r="AY14">
        <f>IF(AND($A14&lt;&gt;"",AY$3&gt;=$J14,AY$3&lt;=$M14),1,"")</f>
        <v/>
      </c>
      <c r="AZ14">
        <f>IF(AND($A14&lt;&gt;"",AZ$3&gt;=$J14,AZ$3&lt;=$M14),1,"")</f>
        <v/>
      </c>
      <c r="BA14">
        <f>IF(AND($A14&lt;&gt;"",BA$3&gt;=$J14,BA$3&lt;=$M14),1,"")</f>
        <v/>
      </c>
      <c r="BB14">
        <f>IF(AND($A14&lt;&gt;"",BB$3&gt;=$J14,BB$3&lt;=$M14),1,"")</f>
        <v/>
      </c>
      <c r="BC14">
        <f>IF(AND($A14&lt;&gt;"",BC$3&gt;=$J14,BC$3&lt;=$M14),1,"")</f>
        <v/>
      </c>
      <c r="BD14">
        <f>IF(AND($A14&lt;&gt;"",BD$3&gt;=$J14,BD$3&lt;=$M14),1,"")</f>
        <v/>
      </c>
      <c r="BE14">
        <f>IF(AND($A14&lt;&gt;"",BE$3&gt;=$J14,BE$3&lt;=$M14),1,"")</f>
        <v/>
      </c>
      <c r="BF14">
        <f>IF(AND($A14&lt;&gt;"",BF$3&gt;=$J14,BF$3&lt;=$M14),1,"")</f>
        <v/>
      </c>
      <c r="BG14">
        <f>IF(AND($A14&lt;&gt;"",BG$3&gt;=$J14,BG$3&lt;=$M14),1,"")</f>
        <v/>
      </c>
      <c r="BH14">
        <f>IF(AND($A14&lt;&gt;"",BH$3&gt;=$J14,BH$3&lt;=$M14),1,"")</f>
        <v/>
      </c>
      <c r="BI14">
        <f>IF(AND($A14&lt;&gt;"",BI$3&gt;=$J14,BI$3&lt;=$M14),1,"")</f>
        <v/>
      </c>
      <c r="BJ14">
        <f>IF(AND($A14&lt;&gt;"",BJ$3&gt;=$J14,BJ$3&lt;=$M14),1,"")</f>
        <v/>
      </c>
      <c r="BK14">
        <f>IF(AND($A14&lt;&gt;"",BK$3&gt;=$J14,BK$3&lt;=$M14),1,"")</f>
        <v/>
      </c>
      <c r="BL14">
        <f>IF(AND($A14&lt;&gt;"",BL$3&gt;=$J14,BL$3&lt;=$M14),1,"")</f>
        <v/>
      </c>
      <c r="BM14">
        <f>IF(AND($A14&lt;&gt;"",BM$3&gt;=$J14,BM$3&lt;=$M14),1,"")</f>
        <v/>
      </c>
      <c r="BN14">
        <f>IF(AND($A14&lt;&gt;"",BN$3&gt;=$J14,BN$3&lt;=$M14),1,"")</f>
        <v/>
      </c>
      <c r="BO14">
        <f>IF(AND($A14&lt;&gt;"",BO$3&gt;=$J14,BO$3&lt;=$M14),1,"")</f>
        <v/>
      </c>
      <c r="BP14">
        <f>IF(AND($A14&lt;&gt;"",BP$3&gt;=$J14,BP$3&lt;=$M14),1,"")</f>
        <v/>
      </c>
      <c r="BQ14">
        <f>IF(AND($A14&lt;&gt;"",BQ$3&gt;=$J14,BQ$3&lt;=$M14),1,"")</f>
        <v/>
      </c>
      <c r="BR14">
        <f>IF(AND($A14&lt;&gt;"",BR$3&gt;=$J14,BR$3&lt;=$M14),1,"")</f>
        <v/>
      </c>
      <c r="BS14">
        <f>IF(AND($A14&lt;&gt;"",BS$3&gt;=$J14,BS$3&lt;=$M14),1,"")</f>
        <v/>
      </c>
      <c r="BT14">
        <f>IF(AND($A14&lt;&gt;"",BT$3&gt;=$J14,BT$3&lt;=$M14),1,"")</f>
        <v/>
      </c>
      <c r="BU14">
        <f>IF(AND($A14&lt;&gt;"",BU$3&gt;=$J14,BU$3&lt;=$M14),1,"")</f>
        <v/>
      </c>
      <c r="BV14">
        <f>IF(AND($A14&lt;&gt;"",BV$3&gt;=$J14,BV$3&lt;=$M14),1,"")</f>
        <v/>
      </c>
    </row>
    <row r="15">
      <c r="A15">
        <f>IF(Job_Master_Ring!$A15="","",Job_Master_Ring!$A15)</f>
        <v/>
      </c>
      <c r="B15">
        <f>IF($A15="","",Job_Master_Ring!B15)</f>
        <v/>
      </c>
      <c r="C15">
        <f>IF($A15="","",Job_Master_Ring!C15)</f>
        <v/>
      </c>
      <c r="D15">
        <f>IF($A15="","",Job_Master_Ring!D15)</f>
        <v/>
      </c>
      <c r="E15">
        <f>IF($A15="","",IF($I15&lt;&gt;"",$I15,IFERROR(INDEX(Machine_List!$B$72:$B$81,MATCH(1,(Machine_List!$H$72:$H$81&lt;=IFERROR(VLOOKUP($B15,CHOOSE(MATCH($C15,Settings!$L$4:$L$10,0),OPR_BR1!$A$4:$K$18,OPR_BR2!$A$4:$K$18,OPR_CR2!$A$4:$K$18,OPR_CR3!$A$4:$K$18,OPR_CR4!$A$4:$K$18,OPR_RIM!$A$4:$K$18,OPR_BPR!$A$4:$K$18),10,0),0))*(Machine_List!$I$72:$I$81&gt;=IFERROR(VLOOKUP($B15,CHOOSE(MATCH($C15,Settings!$L$4:$L$10,0),OPR_BR1!$A$4:$K$18,OPR_BR2!$A$4:$K$18,OPR_CR2!$A$4:$K$18,OPR_CR3!$A$4:$K$18,OPR_CR4!$A$4:$K$18,OPR_RIM!$A$4:$K$18,OPR_BPR!$A$4:$K$18),11,0),9999)),0)),"NO COMPATIBLE MACHINE")))</f>
        <v/>
      </c>
      <c r="F15">
        <f>IF($E15="","",IFERROR(VLOOKUP($E15,Machine_List!$B:$G,6,0),""))</f>
        <v/>
      </c>
      <c r="G15" s="17">
        <f>IF($E15="","",IFERROR(VLOOKUP($E15,Machine_List!$B:$C,2,0),""))</f>
        <v/>
      </c>
      <c r="H15">
        <f>IF($E15="","",IFERROR(VLOOKUP($E15,Machine_List!$B:$D,3,0),""))</f>
        <v/>
      </c>
      <c r="J15" s="16">
        <f>IF($A15="","",IF($I15&lt;&gt;"",$I15,MAX(VENT_Plan!$M15,IFERROR(LOOKUP(2,1/($E$3:INDIRECT("E"&amp;(ROW()-1))=$E15),$M$3:INDIRECT("M"&amp;(ROW()-1))),VENT_Plan!$M15))))</f>
        <v/>
      </c>
      <c r="K15">
        <f>IF($A15="","",IFERROR(VLOOKUP(B15,CHOOSE(MATCH($C15,Settings!$L$4:$L$10,0),OPR_BR1!$A$4:$I$18,OPR_BR2!$A$4:$I$18,OPR_CR2!$A$4:$I$18,OPR_CR3!$A$4:$I$18,OPR_CR4!$A$4:$I$18,OPR_RIM!$A$4:$I$18,OPR_BPR!$A$4:$I$18),8,0),0))</f>
        <v/>
      </c>
      <c r="L15">
        <f>IF($A15="","",K15*D15)</f>
        <v/>
      </c>
      <c r="M15" s="16">
        <f>IF($A15="","",IF(AND(ISNUMBER(G15),G15&gt;=J15,G15&lt;=(J15+(L15/(IF(F15="Contract Workman",Settings!$K$5,Settings!$K$4))))),J15+(L15/(IF(F15="Contract Workman",Settings!$K$5,Settings!$K$4)))+(H15/(IF(F15="Contract Workman",Settings!$K$5,Settings!$K$4))),J15+(L15/(IF(F15="Contract Workman",Settings!$K$5,Settings!$K$4)))))</f>
        <v/>
      </c>
      <c r="N15">
        <f>IF($A15="","",IF(F15="Contract Workman",IF(AND(MOD(M15,1)&gt;=8/24,MOD(M15,1)&lt;20/24),"Shift S1","Shift S2"),IF(AND(MOD(M15,1)&gt;=7/24,MOD(M15,1)&lt;15/24),"Shift A",IF(AND(MOD(M15,1)&gt;=15/24,MOD(M15,1)&lt;23/24),"Shift B","Shift C"))))</f>
        <v/>
      </c>
      <c r="O15">
        <f>IF(B15="","",IF(IFERROR(ISNUMBER(SEARCH(TEXT(B15,"0"),VLOOKUP(E15,Machine_List!$B:$J,9,0))),FALSE),"✅ "&amp; E15,"❌ Sug: "&amp;IFERROR(INDEX(Machine_List!$B$72:$B$81,MATCH(1,(Machine_List!$H$72:$H$81&lt;=IFERROR(VLOOKUP($B15,OPR_BR1!$A$4:$K$18,10,0),0))*(Machine_List!$I$72:$I$81&gt;=IFERROR(VLOOKUP($B15,OPR_BR1!$A$4:$K$18,11,0),9999)),0)),"?")))</f>
        <v/>
      </c>
      <c r="P15">
        <f>IF(AND($A15&lt;&gt;"",P$3&gt;=$J15,P$3&lt;=$M15),1,"")</f>
        <v/>
      </c>
      <c r="Q15">
        <f>IF(AND($A15&lt;&gt;"",Q$3&gt;=$J15,Q$3&lt;=$M15),1,"")</f>
        <v/>
      </c>
      <c r="R15">
        <f>IF(AND($A15&lt;&gt;"",R$3&gt;=$J15,R$3&lt;=$M15),1,"")</f>
        <v/>
      </c>
      <c r="S15">
        <f>IF(AND($A15&lt;&gt;"",S$3&gt;=$J15,S$3&lt;=$M15),1,"")</f>
        <v/>
      </c>
      <c r="T15">
        <f>IF(AND($A15&lt;&gt;"",T$3&gt;=$J15,T$3&lt;=$M15),1,"")</f>
        <v/>
      </c>
      <c r="U15">
        <f>IF(AND($A15&lt;&gt;"",U$3&gt;=$J15,U$3&lt;=$M15),1,"")</f>
        <v/>
      </c>
      <c r="V15">
        <f>IF(AND($A15&lt;&gt;"",V$3&gt;=$J15,V$3&lt;=$M15),1,"")</f>
        <v/>
      </c>
      <c r="W15">
        <f>IF(AND($A15&lt;&gt;"",W$3&gt;=$J15,W$3&lt;=$M15),1,"")</f>
        <v/>
      </c>
      <c r="X15">
        <f>IF(AND($A15&lt;&gt;"",X$3&gt;=$J15,X$3&lt;=$M15),1,"")</f>
        <v/>
      </c>
      <c r="Y15">
        <f>IF(AND($A15&lt;&gt;"",Y$3&gt;=$J15,Y$3&lt;=$M15),1,"")</f>
        <v/>
      </c>
      <c r="Z15">
        <f>IF(AND($A15&lt;&gt;"",Z$3&gt;=$J15,Z$3&lt;=$M15),1,"")</f>
        <v/>
      </c>
      <c r="AA15">
        <f>IF(AND($A15&lt;&gt;"",AA$3&gt;=$J15,AA$3&lt;=$M15),1,"")</f>
        <v/>
      </c>
      <c r="AB15">
        <f>IF(AND($A15&lt;&gt;"",AB$3&gt;=$J15,AB$3&lt;=$M15),1,"")</f>
        <v/>
      </c>
      <c r="AC15">
        <f>IF(AND($A15&lt;&gt;"",AC$3&gt;=$J15,AC$3&lt;=$M15),1,"")</f>
        <v/>
      </c>
      <c r="AD15">
        <f>IF(AND($A15&lt;&gt;"",AD$3&gt;=$J15,AD$3&lt;=$M15),1,"")</f>
        <v/>
      </c>
      <c r="AE15">
        <f>IF(AND($A15&lt;&gt;"",AE$3&gt;=$J15,AE$3&lt;=$M15),1,"")</f>
        <v/>
      </c>
      <c r="AF15">
        <f>IF(AND($A15&lt;&gt;"",AF$3&gt;=$J15,AF$3&lt;=$M15),1,"")</f>
        <v/>
      </c>
      <c r="AG15">
        <f>IF(AND($A15&lt;&gt;"",AG$3&gt;=$J15,AG$3&lt;=$M15),1,"")</f>
        <v/>
      </c>
      <c r="AH15">
        <f>IF(AND($A15&lt;&gt;"",AH$3&gt;=$J15,AH$3&lt;=$M15),1,"")</f>
        <v/>
      </c>
      <c r="AI15">
        <f>IF(AND($A15&lt;&gt;"",AI$3&gt;=$J15,AI$3&lt;=$M15),1,"")</f>
        <v/>
      </c>
      <c r="AJ15">
        <f>IF(AND($A15&lt;&gt;"",AJ$3&gt;=$J15,AJ$3&lt;=$M15),1,"")</f>
        <v/>
      </c>
      <c r="AK15">
        <f>IF(AND($A15&lt;&gt;"",AK$3&gt;=$J15,AK$3&lt;=$M15),1,"")</f>
        <v/>
      </c>
      <c r="AL15">
        <f>IF(AND($A15&lt;&gt;"",AL$3&gt;=$J15,AL$3&lt;=$M15),1,"")</f>
        <v/>
      </c>
      <c r="AM15">
        <f>IF(AND($A15&lt;&gt;"",AM$3&gt;=$J15,AM$3&lt;=$M15),1,"")</f>
        <v/>
      </c>
      <c r="AN15">
        <f>IF(AND($A15&lt;&gt;"",AN$3&gt;=$J15,AN$3&lt;=$M15),1,"")</f>
        <v/>
      </c>
      <c r="AO15">
        <f>IF(AND($A15&lt;&gt;"",AO$3&gt;=$J15,AO$3&lt;=$M15),1,"")</f>
        <v/>
      </c>
      <c r="AP15">
        <f>IF(AND($A15&lt;&gt;"",AP$3&gt;=$J15,AP$3&lt;=$M15),1,"")</f>
        <v/>
      </c>
      <c r="AQ15">
        <f>IF(AND($A15&lt;&gt;"",AQ$3&gt;=$J15,AQ$3&lt;=$M15),1,"")</f>
        <v/>
      </c>
      <c r="AR15">
        <f>IF(AND($A15&lt;&gt;"",AR$3&gt;=$J15,AR$3&lt;=$M15),1,"")</f>
        <v/>
      </c>
      <c r="AS15">
        <f>IF(AND($A15&lt;&gt;"",AS$3&gt;=$J15,AS$3&lt;=$M15),1,"")</f>
        <v/>
      </c>
      <c r="AT15">
        <f>IF(AND($A15&lt;&gt;"",AT$3&gt;=$J15,AT$3&lt;=$M15),1,"")</f>
        <v/>
      </c>
      <c r="AU15">
        <f>IF(AND($A15&lt;&gt;"",AU$3&gt;=$J15,AU$3&lt;=$M15),1,"")</f>
        <v/>
      </c>
      <c r="AV15">
        <f>IF(AND($A15&lt;&gt;"",AV$3&gt;=$J15,AV$3&lt;=$M15),1,"")</f>
        <v/>
      </c>
      <c r="AW15">
        <f>IF(AND($A15&lt;&gt;"",AW$3&gt;=$J15,AW$3&lt;=$M15),1,"")</f>
        <v/>
      </c>
      <c r="AX15">
        <f>IF(AND($A15&lt;&gt;"",AX$3&gt;=$J15,AX$3&lt;=$M15),1,"")</f>
        <v/>
      </c>
      <c r="AY15">
        <f>IF(AND($A15&lt;&gt;"",AY$3&gt;=$J15,AY$3&lt;=$M15),1,"")</f>
        <v/>
      </c>
      <c r="AZ15">
        <f>IF(AND($A15&lt;&gt;"",AZ$3&gt;=$J15,AZ$3&lt;=$M15),1,"")</f>
        <v/>
      </c>
      <c r="BA15">
        <f>IF(AND($A15&lt;&gt;"",BA$3&gt;=$J15,BA$3&lt;=$M15),1,"")</f>
        <v/>
      </c>
      <c r="BB15">
        <f>IF(AND($A15&lt;&gt;"",BB$3&gt;=$J15,BB$3&lt;=$M15),1,"")</f>
        <v/>
      </c>
      <c r="BC15">
        <f>IF(AND($A15&lt;&gt;"",BC$3&gt;=$J15,BC$3&lt;=$M15),1,"")</f>
        <v/>
      </c>
      <c r="BD15">
        <f>IF(AND($A15&lt;&gt;"",BD$3&gt;=$J15,BD$3&lt;=$M15),1,"")</f>
        <v/>
      </c>
      <c r="BE15">
        <f>IF(AND($A15&lt;&gt;"",BE$3&gt;=$J15,BE$3&lt;=$M15),1,"")</f>
        <v/>
      </c>
      <c r="BF15">
        <f>IF(AND($A15&lt;&gt;"",BF$3&gt;=$J15,BF$3&lt;=$M15),1,"")</f>
        <v/>
      </c>
      <c r="BG15">
        <f>IF(AND($A15&lt;&gt;"",BG$3&gt;=$J15,BG$3&lt;=$M15),1,"")</f>
        <v/>
      </c>
      <c r="BH15">
        <f>IF(AND($A15&lt;&gt;"",BH$3&gt;=$J15,BH$3&lt;=$M15),1,"")</f>
        <v/>
      </c>
      <c r="BI15">
        <f>IF(AND($A15&lt;&gt;"",BI$3&gt;=$J15,BI$3&lt;=$M15),1,"")</f>
        <v/>
      </c>
      <c r="BJ15">
        <f>IF(AND($A15&lt;&gt;"",BJ$3&gt;=$J15,BJ$3&lt;=$M15),1,"")</f>
        <v/>
      </c>
      <c r="BK15">
        <f>IF(AND($A15&lt;&gt;"",BK$3&gt;=$J15,BK$3&lt;=$M15),1,"")</f>
        <v/>
      </c>
      <c r="BL15">
        <f>IF(AND($A15&lt;&gt;"",BL$3&gt;=$J15,BL$3&lt;=$M15),1,"")</f>
        <v/>
      </c>
      <c r="BM15">
        <f>IF(AND($A15&lt;&gt;"",BM$3&gt;=$J15,BM$3&lt;=$M15),1,"")</f>
        <v/>
      </c>
      <c r="BN15">
        <f>IF(AND($A15&lt;&gt;"",BN$3&gt;=$J15,BN$3&lt;=$M15),1,"")</f>
        <v/>
      </c>
      <c r="BO15">
        <f>IF(AND($A15&lt;&gt;"",BO$3&gt;=$J15,BO$3&lt;=$M15),1,"")</f>
        <v/>
      </c>
      <c r="BP15">
        <f>IF(AND($A15&lt;&gt;"",BP$3&gt;=$J15,BP$3&lt;=$M15),1,"")</f>
        <v/>
      </c>
      <c r="BQ15">
        <f>IF(AND($A15&lt;&gt;"",BQ$3&gt;=$J15,BQ$3&lt;=$M15),1,"")</f>
        <v/>
      </c>
      <c r="BR15">
        <f>IF(AND($A15&lt;&gt;"",BR$3&gt;=$J15,BR$3&lt;=$M15),1,"")</f>
        <v/>
      </c>
      <c r="BS15">
        <f>IF(AND($A15&lt;&gt;"",BS$3&gt;=$J15,BS$3&lt;=$M15),1,"")</f>
        <v/>
      </c>
      <c r="BT15">
        <f>IF(AND($A15&lt;&gt;"",BT$3&gt;=$J15,BT$3&lt;=$M15),1,"")</f>
        <v/>
      </c>
      <c r="BU15">
        <f>IF(AND($A15&lt;&gt;"",BU$3&gt;=$J15,BU$3&lt;=$M15),1,"")</f>
        <v/>
      </c>
      <c r="BV15">
        <f>IF(AND($A15&lt;&gt;"",BV$3&gt;=$J15,BV$3&lt;=$M15),1,"")</f>
        <v/>
      </c>
    </row>
    <row r="16">
      <c r="A16">
        <f>IF(Job_Master_Ring!$A16="","",Job_Master_Ring!$A16)</f>
        <v/>
      </c>
      <c r="B16">
        <f>IF($A16="","",Job_Master_Ring!B16)</f>
        <v/>
      </c>
      <c r="C16">
        <f>IF($A16="","",Job_Master_Ring!C16)</f>
        <v/>
      </c>
      <c r="D16">
        <f>IF($A16="","",Job_Master_Ring!D16)</f>
        <v/>
      </c>
      <c r="E16">
        <f>IF($A16="","",IF($I16&lt;&gt;"",$I16,IFERROR(INDEX(Machine_List!$B$72:$B$81,MATCH(1,(Machine_List!$H$72:$H$81&lt;=IFERROR(VLOOKUP($B16,CHOOSE(MATCH($C16,Settings!$L$4:$L$10,0),OPR_BR1!$A$4:$K$18,OPR_BR2!$A$4:$K$18,OPR_CR2!$A$4:$K$18,OPR_CR3!$A$4:$K$18,OPR_CR4!$A$4:$K$18,OPR_RIM!$A$4:$K$18,OPR_BPR!$A$4:$K$18),10,0),0))*(Machine_List!$I$72:$I$81&gt;=IFERROR(VLOOKUP($B16,CHOOSE(MATCH($C16,Settings!$L$4:$L$10,0),OPR_BR1!$A$4:$K$18,OPR_BR2!$A$4:$K$18,OPR_CR2!$A$4:$K$18,OPR_CR3!$A$4:$K$18,OPR_CR4!$A$4:$K$18,OPR_RIM!$A$4:$K$18,OPR_BPR!$A$4:$K$18),11,0),9999)),0)),"NO COMPATIBLE MACHINE")))</f>
        <v/>
      </c>
      <c r="F16">
        <f>IF($E16="","",IFERROR(VLOOKUP($E16,Machine_List!$B:$G,6,0),""))</f>
        <v/>
      </c>
      <c r="G16" s="17">
        <f>IF($E16="","",IFERROR(VLOOKUP($E16,Machine_List!$B:$C,2,0),""))</f>
        <v/>
      </c>
      <c r="H16">
        <f>IF($E16="","",IFERROR(VLOOKUP($E16,Machine_List!$B:$D,3,0),""))</f>
        <v/>
      </c>
      <c r="J16" s="16">
        <f>IF($A16="","",IF($I16&lt;&gt;"",$I16,MAX(VENT_Plan!$M16,IFERROR(LOOKUP(2,1/($E$3:INDIRECT("E"&amp;(ROW()-1))=$E16),$M$3:INDIRECT("M"&amp;(ROW()-1))),VENT_Plan!$M16))))</f>
        <v/>
      </c>
      <c r="K16">
        <f>IF($A16="","",IFERROR(VLOOKUP(B16,CHOOSE(MATCH($C16,Settings!$L$4:$L$10,0),OPR_BR1!$A$4:$I$18,OPR_BR2!$A$4:$I$18,OPR_CR2!$A$4:$I$18,OPR_CR3!$A$4:$I$18,OPR_CR4!$A$4:$I$18,OPR_RIM!$A$4:$I$18,OPR_BPR!$A$4:$I$18),8,0),0))</f>
        <v/>
      </c>
      <c r="L16">
        <f>IF($A16="","",K16*D16)</f>
        <v/>
      </c>
      <c r="M16" s="16">
        <f>IF($A16="","",IF(AND(ISNUMBER(G16),G16&gt;=J16,G16&lt;=(J16+(L16/(IF(F16="Contract Workman",Settings!$K$5,Settings!$K$4))))),J16+(L16/(IF(F16="Contract Workman",Settings!$K$5,Settings!$K$4)))+(H16/(IF(F16="Contract Workman",Settings!$K$5,Settings!$K$4))),J16+(L16/(IF(F16="Contract Workman",Settings!$K$5,Settings!$K$4)))))</f>
        <v/>
      </c>
      <c r="N16">
        <f>IF($A16="","",IF(F16="Contract Workman",IF(AND(MOD(M16,1)&gt;=8/24,MOD(M16,1)&lt;20/24),"Shift S1","Shift S2"),IF(AND(MOD(M16,1)&gt;=7/24,MOD(M16,1)&lt;15/24),"Shift A",IF(AND(MOD(M16,1)&gt;=15/24,MOD(M16,1)&lt;23/24),"Shift B","Shift C"))))</f>
        <v/>
      </c>
      <c r="O16">
        <f>IF(B16="","",IF(IFERROR(ISNUMBER(SEARCH(TEXT(B16,"0"),VLOOKUP(E16,Machine_List!$B:$J,9,0))),FALSE),"✅ "&amp; E16,"❌ Sug: "&amp;IFERROR(INDEX(Machine_List!$B$72:$B$81,MATCH(1,(Machine_List!$H$72:$H$81&lt;=IFERROR(VLOOKUP($B16,OPR_BR1!$A$4:$K$18,10,0),0))*(Machine_List!$I$72:$I$81&gt;=IFERROR(VLOOKUP($B16,OPR_BR1!$A$4:$K$18,11,0),9999)),0)),"?")))</f>
        <v/>
      </c>
      <c r="P16">
        <f>IF(AND($A16&lt;&gt;"",P$3&gt;=$J16,P$3&lt;=$M16),1,"")</f>
        <v/>
      </c>
      <c r="Q16">
        <f>IF(AND($A16&lt;&gt;"",Q$3&gt;=$J16,Q$3&lt;=$M16),1,"")</f>
        <v/>
      </c>
      <c r="R16">
        <f>IF(AND($A16&lt;&gt;"",R$3&gt;=$J16,R$3&lt;=$M16),1,"")</f>
        <v/>
      </c>
      <c r="S16">
        <f>IF(AND($A16&lt;&gt;"",S$3&gt;=$J16,S$3&lt;=$M16),1,"")</f>
        <v/>
      </c>
      <c r="T16">
        <f>IF(AND($A16&lt;&gt;"",T$3&gt;=$J16,T$3&lt;=$M16),1,"")</f>
        <v/>
      </c>
      <c r="U16">
        <f>IF(AND($A16&lt;&gt;"",U$3&gt;=$J16,U$3&lt;=$M16),1,"")</f>
        <v/>
      </c>
      <c r="V16">
        <f>IF(AND($A16&lt;&gt;"",V$3&gt;=$J16,V$3&lt;=$M16),1,"")</f>
        <v/>
      </c>
      <c r="W16">
        <f>IF(AND($A16&lt;&gt;"",W$3&gt;=$J16,W$3&lt;=$M16),1,"")</f>
        <v/>
      </c>
      <c r="X16">
        <f>IF(AND($A16&lt;&gt;"",X$3&gt;=$J16,X$3&lt;=$M16),1,"")</f>
        <v/>
      </c>
      <c r="Y16">
        <f>IF(AND($A16&lt;&gt;"",Y$3&gt;=$J16,Y$3&lt;=$M16),1,"")</f>
        <v/>
      </c>
      <c r="Z16">
        <f>IF(AND($A16&lt;&gt;"",Z$3&gt;=$J16,Z$3&lt;=$M16),1,"")</f>
        <v/>
      </c>
      <c r="AA16">
        <f>IF(AND($A16&lt;&gt;"",AA$3&gt;=$J16,AA$3&lt;=$M16),1,"")</f>
        <v/>
      </c>
      <c r="AB16">
        <f>IF(AND($A16&lt;&gt;"",AB$3&gt;=$J16,AB$3&lt;=$M16),1,"")</f>
        <v/>
      </c>
      <c r="AC16">
        <f>IF(AND($A16&lt;&gt;"",AC$3&gt;=$J16,AC$3&lt;=$M16),1,"")</f>
        <v/>
      </c>
      <c r="AD16">
        <f>IF(AND($A16&lt;&gt;"",AD$3&gt;=$J16,AD$3&lt;=$M16),1,"")</f>
        <v/>
      </c>
      <c r="AE16">
        <f>IF(AND($A16&lt;&gt;"",AE$3&gt;=$J16,AE$3&lt;=$M16),1,"")</f>
        <v/>
      </c>
      <c r="AF16">
        <f>IF(AND($A16&lt;&gt;"",AF$3&gt;=$J16,AF$3&lt;=$M16),1,"")</f>
        <v/>
      </c>
      <c r="AG16">
        <f>IF(AND($A16&lt;&gt;"",AG$3&gt;=$J16,AG$3&lt;=$M16),1,"")</f>
        <v/>
      </c>
      <c r="AH16">
        <f>IF(AND($A16&lt;&gt;"",AH$3&gt;=$J16,AH$3&lt;=$M16),1,"")</f>
        <v/>
      </c>
      <c r="AI16">
        <f>IF(AND($A16&lt;&gt;"",AI$3&gt;=$J16,AI$3&lt;=$M16),1,"")</f>
        <v/>
      </c>
      <c r="AJ16">
        <f>IF(AND($A16&lt;&gt;"",AJ$3&gt;=$J16,AJ$3&lt;=$M16),1,"")</f>
        <v/>
      </c>
      <c r="AK16">
        <f>IF(AND($A16&lt;&gt;"",AK$3&gt;=$J16,AK$3&lt;=$M16),1,"")</f>
        <v/>
      </c>
      <c r="AL16">
        <f>IF(AND($A16&lt;&gt;"",AL$3&gt;=$J16,AL$3&lt;=$M16),1,"")</f>
        <v/>
      </c>
      <c r="AM16">
        <f>IF(AND($A16&lt;&gt;"",AM$3&gt;=$J16,AM$3&lt;=$M16),1,"")</f>
        <v/>
      </c>
      <c r="AN16">
        <f>IF(AND($A16&lt;&gt;"",AN$3&gt;=$J16,AN$3&lt;=$M16),1,"")</f>
        <v/>
      </c>
      <c r="AO16">
        <f>IF(AND($A16&lt;&gt;"",AO$3&gt;=$J16,AO$3&lt;=$M16),1,"")</f>
        <v/>
      </c>
      <c r="AP16">
        <f>IF(AND($A16&lt;&gt;"",AP$3&gt;=$J16,AP$3&lt;=$M16),1,"")</f>
        <v/>
      </c>
      <c r="AQ16">
        <f>IF(AND($A16&lt;&gt;"",AQ$3&gt;=$J16,AQ$3&lt;=$M16),1,"")</f>
        <v/>
      </c>
      <c r="AR16">
        <f>IF(AND($A16&lt;&gt;"",AR$3&gt;=$J16,AR$3&lt;=$M16),1,"")</f>
        <v/>
      </c>
      <c r="AS16">
        <f>IF(AND($A16&lt;&gt;"",AS$3&gt;=$J16,AS$3&lt;=$M16),1,"")</f>
        <v/>
      </c>
      <c r="AT16">
        <f>IF(AND($A16&lt;&gt;"",AT$3&gt;=$J16,AT$3&lt;=$M16),1,"")</f>
        <v/>
      </c>
      <c r="AU16">
        <f>IF(AND($A16&lt;&gt;"",AU$3&gt;=$J16,AU$3&lt;=$M16),1,"")</f>
        <v/>
      </c>
      <c r="AV16">
        <f>IF(AND($A16&lt;&gt;"",AV$3&gt;=$J16,AV$3&lt;=$M16),1,"")</f>
        <v/>
      </c>
      <c r="AW16">
        <f>IF(AND($A16&lt;&gt;"",AW$3&gt;=$J16,AW$3&lt;=$M16),1,"")</f>
        <v/>
      </c>
      <c r="AX16">
        <f>IF(AND($A16&lt;&gt;"",AX$3&gt;=$J16,AX$3&lt;=$M16),1,"")</f>
        <v/>
      </c>
      <c r="AY16">
        <f>IF(AND($A16&lt;&gt;"",AY$3&gt;=$J16,AY$3&lt;=$M16),1,"")</f>
        <v/>
      </c>
      <c r="AZ16">
        <f>IF(AND($A16&lt;&gt;"",AZ$3&gt;=$J16,AZ$3&lt;=$M16),1,"")</f>
        <v/>
      </c>
      <c r="BA16">
        <f>IF(AND($A16&lt;&gt;"",BA$3&gt;=$J16,BA$3&lt;=$M16),1,"")</f>
        <v/>
      </c>
      <c r="BB16">
        <f>IF(AND($A16&lt;&gt;"",BB$3&gt;=$J16,BB$3&lt;=$M16),1,"")</f>
        <v/>
      </c>
      <c r="BC16">
        <f>IF(AND($A16&lt;&gt;"",BC$3&gt;=$J16,BC$3&lt;=$M16),1,"")</f>
        <v/>
      </c>
      <c r="BD16">
        <f>IF(AND($A16&lt;&gt;"",BD$3&gt;=$J16,BD$3&lt;=$M16),1,"")</f>
        <v/>
      </c>
      <c r="BE16">
        <f>IF(AND($A16&lt;&gt;"",BE$3&gt;=$J16,BE$3&lt;=$M16),1,"")</f>
        <v/>
      </c>
      <c r="BF16">
        <f>IF(AND($A16&lt;&gt;"",BF$3&gt;=$J16,BF$3&lt;=$M16),1,"")</f>
        <v/>
      </c>
      <c r="BG16">
        <f>IF(AND($A16&lt;&gt;"",BG$3&gt;=$J16,BG$3&lt;=$M16),1,"")</f>
        <v/>
      </c>
      <c r="BH16">
        <f>IF(AND($A16&lt;&gt;"",BH$3&gt;=$J16,BH$3&lt;=$M16),1,"")</f>
        <v/>
      </c>
      <c r="BI16">
        <f>IF(AND($A16&lt;&gt;"",BI$3&gt;=$J16,BI$3&lt;=$M16),1,"")</f>
        <v/>
      </c>
      <c r="BJ16">
        <f>IF(AND($A16&lt;&gt;"",BJ$3&gt;=$J16,BJ$3&lt;=$M16),1,"")</f>
        <v/>
      </c>
      <c r="BK16">
        <f>IF(AND($A16&lt;&gt;"",BK$3&gt;=$J16,BK$3&lt;=$M16),1,"")</f>
        <v/>
      </c>
      <c r="BL16">
        <f>IF(AND($A16&lt;&gt;"",BL$3&gt;=$J16,BL$3&lt;=$M16),1,"")</f>
        <v/>
      </c>
      <c r="BM16">
        <f>IF(AND($A16&lt;&gt;"",BM$3&gt;=$J16,BM$3&lt;=$M16),1,"")</f>
        <v/>
      </c>
      <c r="BN16">
        <f>IF(AND($A16&lt;&gt;"",BN$3&gt;=$J16,BN$3&lt;=$M16),1,"")</f>
        <v/>
      </c>
      <c r="BO16">
        <f>IF(AND($A16&lt;&gt;"",BO$3&gt;=$J16,BO$3&lt;=$M16),1,"")</f>
        <v/>
      </c>
      <c r="BP16">
        <f>IF(AND($A16&lt;&gt;"",BP$3&gt;=$J16,BP$3&lt;=$M16),1,"")</f>
        <v/>
      </c>
      <c r="BQ16">
        <f>IF(AND($A16&lt;&gt;"",BQ$3&gt;=$J16,BQ$3&lt;=$M16),1,"")</f>
        <v/>
      </c>
      <c r="BR16">
        <f>IF(AND($A16&lt;&gt;"",BR$3&gt;=$J16,BR$3&lt;=$M16),1,"")</f>
        <v/>
      </c>
      <c r="BS16">
        <f>IF(AND($A16&lt;&gt;"",BS$3&gt;=$J16,BS$3&lt;=$M16),1,"")</f>
        <v/>
      </c>
      <c r="BT16">
        <f>IF(AND($A16&lt;&gt;"",BT$3&gt;=$J16,BT$3&lt;=$M16),1,"")</f>
        <v/>
      </c>
      <c r="BU16">
        <f>IF(AND($A16&lt;&gt;"",BU$3&gt;=$J16,BU$3&lt;=$M16),1,"")</f>
        <v/>
      </c>
      <c r="BV16">
        <f>IF(AND($A16&lt;&gt;"",BV$3&gt;=$J16,BV$3&lt;=$M16),1,"")</f>
        <v/>
      </c>
    </row>
    <row r="17">
      <c r="A17">
        <f>IF(Job_Master_Ring!$A17="","",Job_Master_Ring!$A17)</f>
        <v/>
      </c>
      <c r="B17">
        <f>IF($A17="","",Job_Master_Ring!B17)</f>
        <v/>
      </c>
      <c r="C17">
        <f>IF($A17="","",Job_Master_Ring!C17)</f>
        <v/>
      </c>
      <c r="D17">
        <f>IF($A17="","",Job_Master_Ring!D17)</f>
        <v/>
      </c>
      <c r="E17">
        <f>IF($A17="","",IF($I17&lt;&gt;"",$I17,IFERROR(INDEX(Machine_List!$B$72:$B$81,MATCH(1,(Machine_List!$H$72:$H$81&lt;=IFERROR(VLOOKUP($B17,CHOOSE(MATCH($C17,Settings!$L$4:$L$10,0),OPR_BR1!$A$4:$K$18,OPR_BR2!$A$4:$K$18,OPR_CR2!$A$4:$K$18,OPR_CR3!$A$4:$K$18,OPR_CR4!$A$4:$K$18,OPR_RIM!$A$4:$K$18,OPR_BPR!$A$4:$K$18),10,0),0))*(Machine_List!$I$72:$I$81&gt;=IFERROR(VLOOKUP($B17,CHOOSE(MATCH($C17,Settings!$L$4:$L$10,0),OPR_BR1!$A$4:$K$18,OPR_BR2!$A$4:$K$18,OPR_CR2!$A$4:$K$18,OPR_CR3!$A$4:$K$18,OPR_CR4!$A$4:$K$18,OPR_RIM!$A$4:$K$18,OPR_BPR!$A$4:$K$18),11,0),9999)),0)),"NO COMPATIBLE MACHINE")))</f>
        <v/>
      </c>
      <c r="F17">
        <f>IF($E17="","",IFERROR(VLOOKUP($E17,Machine_List!$B:$G,6,0),""))</f>
        <v/>
      </c>
      <c r="G17" s="17">
        <f>IF($E17="","",IFERROR(VLOOKUP($E17,Machine_List!$B:$C,2,0),""))</f>
        <v/>
      </c>
      <c r="H17">
        <f>IF($E17="","",IFERROR(VLOOKUP($E17,Machine_List!$B:$D,3,0),""))</f>
        <v/>
      </c>
      <c r="J17" s="16">
        <f>IF($A17="","",IF($I17&lt;&gt;"",$I17,MAX(VENT_Plan!$M17,IFERROR(LOOKUP(2,1/($E$3:INDIRECT("E"&amp;(ROW()-1))=$E17),$M$3:INDIRECT("M"&amp;(ROW()-1))),VENT_Plan!$M17))))</f>
        <v/>
      </c>
      <c r="K17">
        <f>IF($A17="","",IFERROR(VLOOKUP(B17,CHOOSE(MATCH($C17,Settings!$L$4:$L$10,0),OPR_BR1!$A$4:$I$18,OPR_BR2!$A$4:$I$18,OPR_CR2!$A$4:$I$18,OPR_CR3!$A$4:$I$18,OPR_CR4!$A$4:$I$18,OPR_RIM!$A$4:$I$18,OPR_BPR!$A$4:$I$18),8,0),0))</f>
        <v/>
      </c>
      <c r="L17">
        <f>IF($A17="","",K17*D17)</f>
        <v/>
      </c>
      <c r="M17" s="16">
        <f>IF($A17="","",IF(AND(ISNUMBER(G17),G17&gt;=J17,G17&lt;=(J17+(L17/(IF(F17="Contract Workman",Settings!$K$5,Settings!$K$4))))),J17+(L17/(IF(F17="Contract Workman",Settings!$K$5,Settings!$K$4)))+(H17/(IF(F17="Contract Workman",Settings!$K$5,Settings!$K$4))),J17+(L17/(IF(F17="Contract Workman",Settings!$K$5,Settings!$K$4)))))</f>
        <v/>
      </c>
      <c r="N17">
        <f>IF($A17="","",IF(F17="Contract Workman",IF(AND(MOD(M17,1)&gt;=8/24,MOD(M17,1)&lt;20/24),"Shift S1","Shift S2"),IF(AND(MOD(M17,1)&gt;=7/24,MOD(M17,1)&lt;15/24),"Shift A",IF(AND(MOD(M17,1)&gt;=15/24,MOD(M17,1)&lt;23/24),"Shift B","Shift C"))))</f>
        <v/>
      </c>
      <c r="O17">
        <f>IF(B17="","",IF(IFERROR(ISNUMBER(SEARCH(TEXT(B17,"0"),VLOOKUP(E17,Machine_List!$B:$J,9,0))),FALSE),"✅ "&amp; E17,"❌ Sug: "&amp;IFERROR(INDEX(Machine_List!$B$72:$B$81,MATCH(1,(Machine_List!$H$72:$H$81&lt;=IFERROR(VLOOKUP($B17,OPR_BR1!$A$4:$K$18,10,0),0))*(Machine_List!$I$72:$I$81&gt;=IFERROR(VLOOKUP($B17,OPR_BR1!$A$4:$K$18,11,0),9999)),0)),"?")))</f>
        <v/>
      </c>
      <c r="P17">
        <f>IF(AND($A17&lt;&gt;"",P$3&gt;=$J17,P$3&lt;=$M17),1,"")</f>
        <v/>
      </c>
      <c r="Q17">
        <f>IF(AND($A17&lt;&gt;"",Q$3&gt;=$J17,Q$3&lt;=$M17),1,"")</f>
        <v/>
      </c>
      <c r="R17">
        <f>IF(AND($A17&lt;&gt;"",R$3&gt;=$J17,R$3&lt;=$M17),1,"")</f>
        <v/>
      </c>
      <c r="S17">
        <f>IF(AND($A17&lt;&gt;"",S$3&gt;=$J17,S$3&lt;=$M17),1,"")</f>
        <v/>
      </c>
      <c r="T17">
        <f>IF(AND($A17&lt;&gt;"",T$3&gt;=$J17,T$3&lt;=$M17),1,"")</f>
        <v/>
      </c>
      <c r="U17">
        <f>IF(AND($A17&lt;&gt;"",U$3&gt;=$J17,U$3&lt;=$M17),1,"")</f>
        <v/>
      </c>
      <c r="V17">
        <f>IF(AND($A17&lt;&gt;"",V$3&gt;=$J17,V$3&lt;=$M17),1,"")</f>
        <v/>
      </c>
      <c r="W17">
        <f>IF(AND($A17&lt;&gt;"",W$3&gt;=$J17,W$3&lt;=$M17),1,"")</f>
        <v/>
      </c>
      <c r="X17">
        <f>IF(AND($A17&lt;&gt;"",X$3&gt;=$J17,X$3&lt;=$M17),1,"")</f>
        <v/>
      </c>
      <c r="Y17">
        <f>IF(AND($A17&lt;&gt;"",Y$3&gt;=$J17,Y$3&lt;=$M17),1,"")</f>
        <v/>
      </c>
      <c r="Z17">
        <f>IF(AND($A17&lt;&gt;"",Z$3&gt;=$J17,Z$3&lt;=$M17),1,"")</f>
        <v/>
      </c>
      <c r="AA17">
        <f>IF(AND($A17&lt;&gt;"",AA$3&gt;=$J17,AA$3&lt;=$M17),1,"")</f>
        <v/>
      </c>
      <c r="AB17">
        <f>IF(AND($A17&lt;&gt;"",AB$3&gt;=$J17,AB$3&lt;=$M17),1,"")</f>
        <v/>
      </c>
      <c r="AC17">
        <f>IF(AND($A17&lt;&gt;"",AC$3&gt;=$J17,AC$3&lt;=$M17),1,"")</f>
        <v/>
      </c>
      <c r="AD17">
        <f>IF(AND($A17&lt;&gt;"",AD$3&gt;=$J17,AD$3&lt;=$M17),1,"")</f>
        <v/>
      </c>
      <c r="AE17">
        <f>IF(AND($A17&lt;&gt;"",AE$3&gt;=$J17,AE$3&lt;=$M17),1,"")</f>
        <v/>
      </c>
      <c r="AF17">
        <f>IF(AND($A17&lt;&gt;"",AF$3&gt;=$J17,AF$3&lt;=$M17),1,"")</f>
        <v/>
      </c>
      <c r="AG17">
        <f>IF(AND($A17&lt;&gt;"",AG$3&gt;=$J17,AG$3&lt;=$M17),1,"")</f>
        <v/>
      </c>
      <c r="AH17">
        <f>IF(AND($A17&lt;&gt;"",AH$3&gt;=$J17,AH$3&lt;=$M17),1,"")</f>
        <v/>
      </c>
      <c r="AI17">
        <f>IF(AND($A17&lt;&gt;"",AI$3&gt;=$J17,AI$3&lt;=$M17),1,"")</f>
        <v/>
      </c>
      <c r="AJ17">
        <f>IF(AND($A17&lt;&gt;"",AJ$3&gt;=$J17,AJ$3&lt;=$M17),1,"")</f>
        <v/>
      </c>
      <c r="AK17">
        <f>IF(AND($A17&lt;&gt;"",AK$3&gt;=$J17,AK$3&lt;=$M17),1,"")</f>
        <v/>
      </c>
      <c r="AL17">
        <f>IF(AND($A17&lt;&gt;"",AL$3&gt;=$J17,AL$3&lt;=$M17),1,"")</f>
        <v/>
      </c>
      <c r="AM17">
        <f>IF(AND($A17&lt;&gt;"",AM$3&gt;=$J17,AM$3&lt;=$M17),1,"")</f>
        <v/>
      </c>
      <c r="AN17">
        <f>IF(AND($A17&lt;&gt;"",AN$3&gt;=$J17,AN$3&lt;=$M17),1,"")</f>
        <v/>
      </c>
      <c r="AO17">
        <f>IF(AND($A17&lt;&gt;"",AO$3&gt;=$J17,AO$3&lt;=$M17),1,"")</f>
        <v/>
      </c>
      <c r="AP17">
        <f>IF(AND($A17&lt;&gt;"",AP$3&gt;=$J17,AP$3&lt;=$M17),1,"")</f>
        <v/>
      </c>
      <c r="AQ17">
        <f>IF(AND($A17&lt;&gt;"",AQ$3&gt;=$J17,AQ$3&lt;=$M17),1,"")</f>
        <v/>
      </c>
      <c r="AR17">
        <f>IF(AND($A17&lt;&gt;"",AR$3&gt;=$J17,AR$3&lt;=$M17),1,"")</f>
        <v/>
      </c>
      <c r="AS17">
        <f>IF(AND($A17&lt;&gt;"",AS$3&gt;=$J17,AS$3&lt;=$M17),1,"")</f>
        <v/>
      </c>
      <c r="AT17">
        <f>IF(AND($A17&lt;&gt;"",AT$3&gt;=$J17,AT$3&lt;=$M17),1,"")</f>
        <v/>
      </c>
      <c r="AU17">
        <f>IF(AND($A17&lt;&gt;"",AU$3&gt;=$J17,AU$3&lt;=$M17),1,"")</f>
        <v/>
      </c>
      <c r="AV17">
        <f>IF(AND($A17&lt;&gt;"",AV$3&gt;=$J17,AV$3&lt;=$M17),1,"")</f>
        <v/>
      </c>
      <c r="AW17">
        <f>IF(AND($A17&lt;&gt;"",AW$3&gt;=$J17,AW$3&lt;=$M17),1,"")</f>
        <v/>
      </c>
      <c r="AX17">
        <f>IF(AND($A17&lt;&gt;"",AX$3&gt;=$J17,AX$3&lt;=$M17),1,"")</f>
        <v/>
      </c>
      <c r="AY17">
        <f>IF(AND($A17&lt;&gt;"",AY$3&gt;=$J17,AY$3&lt;=$M17),1,"")</f>
        <v/>
      </c>
      <c r="AZ17">
        <f>IF(AND($A17&lt;&gt;"",AZ$3&gt;=$J17,AZ$3&lt;=$M17),1,"")</f>
        <v/>
      </c>
      <c r="BA17">
        <f>IF(AND($A17&lt;&gt;"",BA$3&gt;=$J17,BA$3&lt;=$M17),1,"")</f>
        <v/>
      </c>
      <c r="BB17">
        <f>IF(AND($A17&lt;&gt;"",BB$3&gt;=$J17,BB$3&lt;=$M17),1,"")</f>
        <v/>
      </c>
      <c r="BC17">
        <f>IF(AND($A17&lt;&gt;"",BC$3&gt;=$J17,BC$3&lt;=$M17),1,"")</f>
        <v/>
      </c>
      <c r="BD17">
        <f>IF(AND($A17&lt;&gt;"",BD$3&gt;=$J17,BD$3&lt;=$M17),1,"")</f>
        <v/>
      </c>
      <c r="BE17">
        <f>IF(AND($A17&lt;&gt;"",BE$3&gt;=$J17,BE$3&lt;=$M17),1,"")</f>
        <v/>
      </c>
      <c r="BF17">
        <f>IF(AND($A17&lt;&gt;"",BF$3&gt;=$J17,BF$3&lt;=$M17),1,"")</f>
        <v/>
      </c>
      <c r="BG17">
        <f>IF(AND($A17&lt;&gt;"",BG$3&gt;=$J17,BG$3&lt;=$M17),1,"")</f>
        <v/>
      </c>
      <c r="BH17">
        <f>IF(AND($A17&lt;&gt;"",BH$3&gt;=$J17,BH$3&lt;=$M17),1,"")</f>
        <v/>
      </c>
      <c r="BI17">
        <f>IF(AND($A17&lt;&gt;"",BI$3&gt;=$J17,BI$3&lt;=$M17),1,"")</f>
        <v/>
      </c>
      <c r="BJ17">
        <f>IF(AND($A17&lt;&gt;"",BJ$3&gt;=$J17,BJ$3&lt;=$M17),1,"")</f>
        <v/>
      </c>
      <c r="BK17">
        <f>IF(AND($A17&lt;&gt;"",BK$3&gt;=$J17,BK$3&lt;=$M17),1,"")</f>
        <v/>
      </c>
      <c r="BL17">
        <f>IF(AND($A17&lt;&gt;"",BL$3&gt;=$J17,BL$3&lt;=$M17),1,"")</f>
        <v/>
      </c>
      <c r="BM17">
        <f>IF(AND($A17&lt;&gt;"",BM$3&gt;=$J17,BM$3&lt;=$M17),1,"")</f>
        <v/>
      </c>
      <c r="BN17">
        <f>IF(AND($A17&lt;&gt;"",BN$3&gt;=$J17,BN$3&lt;=$M17),1,"")</f>
        <v/>
      </c>
      <c r="BO17">
        <f>IF(AND($A17&lt;&gt;"",BO$3&gt;=$J17,BO$3&lt;=$M17),1,"")</f>
        <v/>
      </c>
      <c r="BP17">
        <f>IF(AND($A17&lt;&gt;"",BP$3&gt;=$J17,BP$3&lt;=$M17),1,"")</f>
        <v/>
      </c>
      <c r="BQ17">
        <f>IF(AND($A17&lt;&gt;"",BQ$3&gt;=$J17,BQ$3&lt;=$M17),1,"")</f>
        <v/>
      </c>
      <c r="BR17">
        <f>IF(AND($A17&lt;&gt;"",BR$3&gt;=$J17,BR$3&lt;=$M17),1,"")</f>
        <v/>
      </c>
      <c r="BS17">
        <f>IF(AND($A17&lt;&gt;"",BS$3&gt;=$J17,BS$3&lt;=$M17),1,"")</f>
        <v/>
      </c>
      <c r="BT17">
        <f>IF(AND($A17&lt;&gt;"",BT$3&gt;=$J17,BT$3&lt;=$M17),1,"")</f>
        <v/>
      </c>
      <c r="BU17">
        <f>IF(AND($A17&lt;&gt;"",BU$3&gt;=$J17,BU$3&lt;=$M17),1,"")</f>
        <v/>
      </c>
      <c r="BV17">
        <f>IF(AND($A17&lt;&gt;"",BV$3&gt;=$J17,BV$3&lt;=$M17),1,"")</f>
        <v/>
      </c>
    </row>
    <row r="18">
      <c r="A18">
        <f>IF(Job_Master_Ring!$A18="","",Job_Master_Ring!$A18)</f>
        <v/>
      </c>
      <c r="B18">
        <f>IF($A18="","",Job_Master_Ring!B18)</f>
        <v/>
      </c>
      <c r="C18">
        <f>IF($A18="","",Job_Master_Ring!C18)</f>
        <v/>
      </c>
      <c r="D18">
        <f>IF($A18="","",Job_Master_Ring!D18)</f>
        <v/>
      </c>
      <c r="E18">
        <f>IF($A18="","",IF($I18&lt;&gt;"",$I18,IFERROR(INDEX(Machine_List!$B$72:$B$81,MATCH(1,(Machine_List!$H$72:$H$81&lt;=IFERROR(VLOOKUP($B18,CHOOSE(MATCH($C18,Settings!$L$4:$L$10,0),OPR_BR1!$A$4:$K$18,OPR_BR2!$A$4:$K$18,OPR_CR2!$A$4:$K$18,OPR_CR3!$A$4:$K$18,OPR_CR4!$A$4:$K$18,OPR_RIM!$A$4:$K$18,OPR_BPR!$A$4:$K$18),10,0),0))*(Machine_List!$I$72:$I$81&gt;=IFERROR(VLOOKUP($B18,CHOOSE(MATCH($C18,Settings!$L$4:$L$10,0),OPR_BR1!$A$4:$K$18,OPR_BR2!$A$4:$K$18,OPR_CR2!$A$4:$K$18,OPR_CR3!$A$4:$K$18,OPR_CR4!$A$4:$K$18,OPR_RIM!$A$4:$K$18,OPR_BPR!$A$4:$K$18),11,0),9999)),0)),"NO COMPATIBLE MACHINE")))</f>
        <v/>
      </c>
      <c r="F18">
        <f>IF($E18="","",IFERROR(VLOOKUP($E18,Machine_List!$B:$G,6,0),""))</f>
        <v/>
      </c>
      <c r="G18" s="17">
        <f>IF($E18="","",IFERROR(VLOOKUP($E18,Machine_List!$B:$C,2,0),""))</f>
        <v/>
      </c>
      <c r="H18">
        <f>IF($E18="","",IFERROR(VLOOKUP($E18,Machine_List!$B:$D,3,0),""))</f>
        <v/>
      </c>
      <c r="J18" s="16">
        <f>IF($A18="","",IF($I18&lt;&gt;"",$I18,MAX(VENT_Plan!$M18,IFERROR(LOOKUP(2,1/($E$3:INDIRECT("E"&amp;(ROW()-1))=$E18),$M$3:INDIRECT("M"&amp;(ROW()-1))),VENT_Plan!$M18))))</f>
        <v/>
      </c>
      <c r="K18">
        <f>IF($A18="","",IFERROR(VLOOKUP(B18,CHOOSE(MATCH($C18,Settings!$L$4:$L$10,0),OPR_BR1!$A$4:$I$18,OPR_BR2!$A$4:$I$18,OPR_CR2!$A$4:$I$18,OPR_CR3!$A$4:$I$18,OPR_CR4!$A$4:$I$18,OPR_RIM!$A$4:$I$18,OPR_BPR!$A$4:$I$18),8,0),0))</f>
        <v/>
      </c>
      <c r="L18">
        <f>IF($A18="","",K18*D18)</f>
        <v/>
      </c>
      <c r="M18" s="16">
        <f>IF($A18="","",IF(AND(ISNUMBER(G18),G18&gt;=J18,G18&lt;=(J18+(L18/(IF(F18="Contract Workman",Settings!$K$5,Settings!$K$4))))),J18+(L18/(IF(F18="Contract Workman",Settings!$K$5,Settings!$K$4)))+(H18/(IF(F18="Contract Workman",Settings!$K$5,Settings!$K$4))),J18+(L18/(IF(F18="Contract Workman",Settings!$K$5,Settings!$K$4)))))</f>
        <v/>
      </c>
      <c r="N18">
        <f>IF($A18="","",IF(F18="Contract Workman",IF(AND(MOD(M18,1)&gt;=8/24,MOD(M18,1)&lt;20/24),"Shift S1","Shift S2"),IF(AND(MOD(M18,1)&gt;=7/24,MOD(M18,1)&lt;15/24),"Shift A",IF(AND(MOD(M18,1)&gt;=15/24,MOD(M18,1)&lt;23/24),"Shift B","Shift C"))))</f>
        <v/>
      </c>
      <c r="O18">
        <f>IF(B18="","",IF(IFERROR(ISNUMBER(SEARCH(TEXT(B18,"0"),VLOOKUP(E18,Machine_List!$B:$J,9,0))),FALSE),"✅ "&amp; E18,"❌ Sug: "&amp;IFERROR(INDEX(Machine_List!$B$72:$B$81,MATCH(1,(Machine_List!$H$72:$H$81&lt;=IFERROR(VLOOKUP($B18,OPR_BR1!$A$4:$K$18,10,0),0))*(Machine_List!$I$72:$I$81&gt;=IFERROR(VLOOKUP($B18,OPR_BR1!$A$4:$K$18,11,0),9999)),0)),"?")))</f>
        <v/>
      </c>
      <c r="P18">
        <f>IF(AND($A18&lt;&gt;"",P$3&gt;=$J18,P$3&lt;=$M18),1,"")</f>
        <v/>
      </c>
      <c r="Q18">
        <f>IF(AND($A18&lt;&gt;"",Q$3&gt;=$J18,Q$3&lt;=$M18),1,"")</f>
        <v/>
      </c>
      <c r="R18">
        <f>IF(AND($A18&lt;&gt;"",R$3&gt;=$J18,R$3&lt;=$M18),1,"")</f>
        <v/>
      </c>
      <c r="S18">
        <f>IF(AND($A18&lt;&gt;"",S$3&gt;=$J18,S$3&lt;=$M18),1,"")</f>
        <v/>
      </c>
      <c r="T18">
        <f>IF(AND($A18&lt;&gt;"",T$3&gt;=$J18,T$3&lt;=$M18),1,"")</f>
        <v/>
      </c>
      <c r="U18">
        <f>IF(AND($A18&lt;&gt;"",U$3&gt;=$J18,U$3&lt;=$M18),1,"")</f>
        <v/>
      </c>
      <c r="V18">
        <f>IF(AND($A18&lt;&gt;"",V$3&gt;=$J18,V$3&lt;=$M18),1,"")</f>
        <v/>
      </c>
      <c r="W18">
        <f>IF(AND($A18&lt;&gt;"",W$3&gt;=$J18,W$3&lt;=$M18),1,"")</f>
        <v/>
      </c>
      <c r="X18">
        <f>IF(AND($A18&lt;&gt;"",X$3&gt;=$J18,X$3&lt;=$M18),1,"")</f>
        <v/>
      </c>
      <c r="Y18">
        <f>IF(AND($A18&lt;&gt;"",Y$3&gt;=$J18,Y$3&lt;=$M18),1,"")</f>
        <v/>
      </c>
      <c r="Z18">
        <f>IF(AND($A18&lt;&gt;"",Z$3&gt;=$J18,Z$3&lt;=$M18),1,"")</f>
        <v/>
      </c>
      <c r="AA18">
        <f>IF(AND($A18&lt;&gt;"",AA$3&gt;=$J18,AA$3&lt;=$M18),1,"")</f>
        <v/>
      </c>
      <c r="AB18">
        <f>IF(AND($A18&lt;&gt;"",AB$3&gt;=$J18,AB$3&lt;=$M18),1,"")</f>
        <v/>
      </c>
      <c r="AC18">
        <f>IF(AND($A18&lt;&gt;"",AC$3&gt;=$J18,AC$3&lt;=$M18),1,"")</f>
        <v/>
      </c>
      <c r="AD18">
        <f>IF(AND($A18&lt;&gt;"",AD$3&gt;=$J18,AD$3&lt;=$M18),1,"")</f>
        <v/>
      </c>
      <c r="AE18">
        <f>IF(AND($A18&lt;&gt;"",AE$3&gt;=$J18,AE$3&lt;=$M18),1,"")</f>
        <v/>
      </c>
      <c r="AF18">
        <f>IF(AND($A18&lt;&gt;"",AF$3&gt;=$J18,AF$3&lt;=$M18),1,"")</f>
        <v/>
      </c>
      <c r="AG18">
        <f>IF(AND($A18&lt;&gt;"",AG$3&gt;=$J18,AG$3&lt;=$M18),1,"")</f>
        <v/>
      </c>
      <c r="AH18">
        <f>IF(AND($A18&lt;&gt;"",AH$3&gt;=$J18,AH$3&lt;=$M18),1,"")</f>
        <v/>
      </c>
      <c r="AI18">
        <f>IF(AND($A18&lt;&gt;"",AI$3&gt;=$J18,AI$3&lt;=$M18),1,"")</f>
        <v/>
      </c>
      <c r="AJ18">
        <f>IF(AND($A18&lt;&gt;"",AJ$3&gt;=$J18,AJ$3&lt;=$M18),1,"")</f>
        <v/>
      </c>
      <c r="AK18">
        <f>IF(AND($A18&lt;&gt;"",AK$3&gt;=$J18,AK$3&lt;=$M18),1,"")</f>
        <v/>
      </c>
      <c r="AL18">
        <f>IF(AND($A18&lt;&gt;"",AL$3&gt;=$J18,AL$3&lt;=$M18),1,"")</f>
        <v/>
      </c>
      <c r="AM18">
        <f>IF(AND($A18&lt;&gt;"",AM$3&gt;=$J18,AM$3&lt;=$M18),1,"")</f>
        <v/>
      </c>
      <c r="AN18">
        <f>IF(AND($A18&lt;&gt;"",AN$3&gt;=$J18,AN$3&lt;=$M18),1,"")</f>
        <v/>
      </c>
      <c r="AO18">
        <f>IF(AND($A18&lt;&gt;"",AO$3&gt;=$J18,AO$3&lt;=$M18),1,"")</f>
        <v/>
      </c>
      <c r="AP18">
        <f>IF(AND($A18&lt;&gt;"",AP$3&gt;=$J18,AP$3&lt;=$M18),1,"")</f>
        <v/>
      </c>
      <c r="AQ18">
        <f>IF(AND($A18&lt;&gt;"",AQ$3&gt;=$J18,AQ$3&lt;=$M18),1,"")</f>
        <v/>
      </c>
      <c r="AR18">
        <f>IF(AND($A18&lt;&gt;"",AR$3&gt;=$J18,AR$3&lt;=$M18),1,"")</f>
        <v/>
      </c>
      <c r="AS18">
        <f>IF(AND($A18&lt;&gt;"",AS$3&gt;=$J18,AS$3&lt;=$M18),1,"")</f>
        <v/>
      </c>
      <c r="AT18">
        <f>IF(AND($A18&lt;&gt;"",AT$3&gt;=$J18,AT$3&lt;=$M18),1,"")</f>
        <v/>
      </c>
      <c r="AU18">
        <f>IF(AND($A18&lt;&gt;"",AU$3&gt;=$J18,AU$3&lt;=$M18),1,"")</f>
        <v/>
      </c>
      <c r="AV18">
        <f>IF(AND($A18&lt;&gt;"",AV$3&gt;=$J18,AV$3&lt;=$M18),1,"")</f>
        <v/>
      </c>
      <c r="AW18">
        <f>IF(AND($A18&lt;&gt;"",AW$3&gt;=$J18,AW$3&lt;=$M18),1,"")</f>
        <v/>
      </c>
      <c r="AX18">
        <f>IF(AND($A18&lt;&gt;"",AX$3&gt;=$J18,AX$3&lt;=$M18),1,"")</f>
        <v/>
      </c>
      <c r="AY18">
        <f>IF(AND($A18&lt;&gt;"",AY$3&gt;=$J18,AY$3&lt;=$M18),1,"")</f>
        <v/>
      </c>
      <c r="AZ18">
        <f>IF(AND($A18&lt;&gt;"",AZ$3&gt;=$J18,AZ$3&lt;=$M18),1,"")</f>
        <v/>
      </c>
      <c r="BA18">
        <f>IF(AND($A18&lt;&gt;"",BA$3&gt;=$J18,BA$3&lt;=$M18),1,"")</f>
        <v/>
      </c>
      <c r="BB18">
        <f>IF(AND($A18&lt;&gt;"",BB$3&gt;=$J18,BB$3&lt;=$M18),1,"")</f>
        <v/>
      </c>
      <c r="BC18">
        <f>IF(AND($A18&lt;&gt;"",BC$3&gt;=$J18,BC$3&lt;=$M18),1,"")</f>
        <v/>
      </c>
      <c r="BD18">
        <f>IF(AND($A18&lt;&gt;"",BD$3&gt;=$J18,BD$3&lt;=$M18),1,"")</f>
        <v/>
      </c>
      <c r="BE18">
        <f>IF(AND($A18&lt;&gt;"",BE$3&gt;=$J18,BE$3&lt;=$M18),1,"")</f>
        <v/>
      </c>
      <c r="BF18">
        <f>IF(AND($A18&lt;&gt;"",BF$3&gt;=$J18,BF$3&lt;=$M18),1,"")</f>
        <v/>
      </c>
      <c r="BG18">
        <f>IF(AND($A18&lt;&gt;"",BG$3&gt;=$J18,BG$3&lt;=$M18),1,"")</f>
        <v/>
      </c>
      <c r="BH18">
        <f>IF(AND($A18&lt;&gt;"",BH$3&gt;=$J18,BH$3&lt;=$M18),1,"")</f>
        <v/>
      </c>
      <c r="BI18">
        <f>IF(AND($A18&lt;&gt;"",BI$3&gt;=$J18,BI$3&lt;=$M18),1,"")</f>
        <v/>
      </c>
      <c r="BJ18">
        <f>IF(AND($A18&lt;&gt;"",BJ$3&gt;=$J18,BJ$3&lt;=$M18),1,"")</f>
        <v/>
      </c>
      <c r="BK18">
        <f>IF(AND($A18&lt;&gt;"",BK$3&gt;=$J18,BK$3&lt;=$M18),1,"")</f>
        <v/>
      </c>
      <c r="BL18">
        <f>IF(AND($A18&lt;&gt;"",BL$3&gt;=$J18,BL$3&lt;=$M18),1,"")</f>
        <v/>
      </c>
      <c r="BM18">
        <f>IF(AND($A18&lt;&gt;"",BM$3&gt;=$J18,BM$3&lt;=$M18),1,"")</f>
        <v/>
      </c>
      <c r="BN18">
        <f>IF(AND($A18&lt;&gt;"",BN$3&gt;=$J18,BN$3&lt;=$M18),1,"")</f>
        <v/>
      </c>
      <c r="BO18">
        <f>IF(AND($A18&lt;&gt;"",BO$3&gt;=$J18,BO$3&lt;=$M18),1,"")</f>
        <v/>
      </c>
      <c r="BP18">
        <f>IF(AND($A18&lt;&gt;"",BP$3&gt;=$J18,BP$3&lt;=$M18),1,"")</f>
        <v/>
      </c>
      <c r="BQ18">
        <f>IF(AND($A18&lt;&gt;"",BQ$3&gt;=$J18,BQ$3&lt;=$M18),1,"")</f>
        <v/>
      </c>
      <c r="BR18">
        <f>IF(AND($A18&lt;&gt;"",BR$3&gt;=$J18,BR$3&lt;=$M18),1,"")</f>
        <v/>
      </c>
      <c r="BS18">
        <f>IF(AND($A18&lt;&gt;"",BS$3&gt;=$J18,BS$3&lt;=$M18),1,"")</f>
        <v/>
      </c>
      <c r="BT18">
        <f>IF(AND($A18&lt;&gt;"",BT$3&gt;=$J18,BT$3&lt;=$M18),1,"")</f>
        <v/>
      </c>
      <c r="BU18">
        <f>IF(AND($A18&lt;&gt;"",BU$3&gt;=$J18,BU$3&lt;=$M18),1,"")</f>
        <v/>
      </c>
      <c r="BV18">
        <f>IF(AND($A18&lt;&gt;"",BV$3&gt;=$J18,BV$3&lt;=$M18),1,"")</f>
        <v/>
      </c>
    </row>
    <row r="19">
      <c r="A19">
        <f>IF(Job_Master_Ring!$A19="","",Job_Master_Ring!$A19)</f>
        <v/>
      </c>
      <c r="B19">
        <f>IF($A19="","",Job_Master_Ring!B19)</f>
        <v/>
      </c>
      <c r="C19">
        <f>IF($A19="","",Job_Master_Ring!C19)</f>
        <v/>
      </c>
      <c r="D19">
        <f>IF($A19="","",Job_Master_Ring!D19)</f>
        <v/>
      </c>
      <c r="E19">
        <f>IF($A19="","",IF($I19&lt;&gt;"",$I19,IFERROR(INDEX(Machine_List!$B$72:$B$81,MATCH(1,(Machine_List!$H$72:$H$81&lt;=IFERROR(VLOOKUP($B19,CHOOSE(MATCH($C19,Settings!$L$4:$L$10,0),OPR_BR1!$A$4:$K$18,OPR_BR2!$A$4:$K$18,OPR_CR2!$A$4:$K$18,OPR_CR3!$A$4:$K$18,OPR_CR4!$A$4:$K$18,OPR_RIM!$A$4:$K$18,OPR_BPR!$A$4:$K$18),10,0),0))*(Machine_List!$I$72:$I$81&gt;=IFERROR(VLOOKUP($B19,CHOOSE(MATCH($C19,Settings!$L$4:$L$10,0),OPR_BR1!$A$4:$K$18,OPR_BR2!$A$4:$K$18,OPR_CR2!$A$4:$K$18,OPR_CR3!$A$4:$K$18,OPR_CR4!$A$4:$K$18,OPR_RIM!$A$4:$K$18,OPR_BPR!$A$4:$K$18),11,0),9999)),0)),"NO COMPATIBLE MACHINE")))</f>
        <v/>
      </c>
      <c r="F19">
        <f>IF($E19="","",IFERROR(VLOOKUP($E19,Machine_List!$B:$G,6,0),""))</f>
        <v/>
      </c>
      <c r="G19" s="17">
        <f>IF($E19="","",IFERROR(VLOOKUP($E19,Machine_List!$B:$C,2,0),""))</f>
        <v/>
      </c>
      <c r="H19">
        <f>IF($E19="","",IFERROR(VLOOKUP($E19,Machine_List!$B:$D,3,0),""))</f>
        <v/>
      </c>
      <c r="J19" s="16">
        <f>IF($A19="","",IF($I19&lt;&gt;"",$I19,MAX(VENT_Plan!$M19,IFERROR(LOOKUP(2,1/($E$3:INDIRECT("E"&amp;(ROW()-1))=$E19),$M$3:INDIRECT("M"&amp;(ROW()-1))),VENT_Plan!$M19))))</f>
        <v/>
      </c>
      <c r="K19">
        <f>IF($A19="","",IFERROR(VLOOKUP(B19,CHOOSE(MATCH($C19,Settings!$L$4:$L$10,0),OPR_BR1!$A$4:$I$18,OPR_BR2!$A$4:$I$18,OPR_CR2!$A$4:$I$18,OPR_CR3!$A$4:$I$18,OPR_CR4!$A$4:$I$18,OPR_RIM!$A$4:$I$18,OPR_BPR!$A$4:$I$18),8,0),0))</f>
        <v/>
      </c>
      <c r="L19">
        <f>IF($A19="","",K19*D19)</f>
        <v/>
      </c>
      <c r="M19" s="16">
        <f>IF($A19="","",IF(AND(ISNUMBER(G19),G19&gt;=J19,G19&lt;=(J19+(L19/(IF(F19="Contract Workman",Settings!$K$5,Settings!$K$4))))),J19+(L19/(IF(F19="Contract Workman",Settings!$K$5,Settings!$K$4)))+(H19/(IF(F19="Contract Workman",Settings!$K$5,Settings!$K$4))),J19+(L19/(IF(F19="Contract Workman",Settings!$K$5,Settings!$K$4)))))</f>
        <v/>
      </c>
      <c r="N19">
        <f>IF($A19="","",IF(F19="Contract Workman",IF(AND(MOD(M19,1)&gt;=8/24,MOD(M19,1)&lt;20/24),"Shift S1","Shift S2"),IF(AND(MOD(M19,1)&gt;=7/24,MOD(M19,1)&lt;15/24),"Shift A",IF(AND(MOD(M19,1)&gt;=15/24,MOD(M19,1)&lt;23/24),"Shift B","Shift C"))))</f>
        <v/>
      </c>
      <c r="O19">
        <f>IF(B19="","",IF(IFERROR(ISNUMBER(SEARCH(TEXT(B19,"0"),VLOOKUP(E19,Machine_List!$B:$J,9,0))),FALSE),"✅ "&amp; E19,"❌ Sug: "&amp;IFERROR(INDEX(Machine_List!$B$72:$B$81,MATCH(1,(Machine_List!$H$72:$H$81&lt;=IFERROR(VLOOKUP($B19,OPR_BR1!$A$4:$K$18,10,0),0))*(Machine_List!$I$72:$I$81&gt;=IFERROR(VLOOKUP($B19,OPR_BR1!$A$4:$K$18,11,0),9999)),0)),"?")))</f>
        <v/>
      </c>
      <c r="P19">
        <f>IF(AND($A19&lt;&gt;"",P$3&gt;=$J19,P$3&lt;=$M19),1,"")</f>
        <v/>
      </c>
      <c r="Q19">
        <f>IF(AND($A19&lt;&gt;"",Q$3&gt;=$J19,Q$3&lt;=$M19),1,"")</f>
        <v/>
      </c>
      <c r="R19">
        <f>IF(AND($A19&lt;&gt;"",R$3&gt;=$J19,R$3&lt;=$M19),1,"")</f>
        <v/>
      </c>
      <c r="S19">
        <f>IF(AND($A19&lt;&gt;"",S$3&gt;=$J19,S$3&lt;=$M19),1,"")</f>
        <v/>
      </c>
      <c r="T19">
        <f>IF(AND($A19&lt;&gt;"",T$3&gt;=$J19,T$3&lt;=$M19),1,"")</f>
        <v/>
      </c>
      <c r="U19">
        <f>IF(AND($A19&lt;&gt;"",U$3&gt;=$J19,U$3&lt;=$M19),1,"")</f>
        <v/>
      </c>
      <c r="V19">
        <f>IF(AND($A19&lt;&gt;"",V$3&gt;=$J19,V$3&lt;=$M19),1,"")</f>
        <v/>
      </c>
      <c r="W19">
        <f>IF(AND($A19&lt;&gt;"",W$3&gt;=$J19,W$3&lt;=$M19),1,"")</f>
        <v/>
      </c>
      <c r="X19">
        <f>IF(AND($A19&lt;&gt;"",X$3&gt;=$J19,X$3&lt;=$M19),1,"")</f>
        <v/>
      </c>
      <c r="Y19">
        <f>IF(AND($A19&lt;&gt;"",Y$3&gt;=$J19,Y$3&lt;=$M19),1,"")</f>
        <v/>
      </c>
      <c r="Z19">
        <f>IF(AND($A19&lt;&gt;"",Z$3&gt;=$J19,Z$3&lt;=$M19),1,"")</f>
        <v/>
      </c>
      <c r="AA19">
        <f>IF(AND($A19&lt;&gt;"",AA$3&gt;=$J19,AA$3&lt;=$M19),1,"")</f>
        <v/>
      </c>
      <c r="AB19">
        <f>IF(AND($A19&lt;&gt;"",AB$3&gt;=$J19,AB$3&lt;=$M19),1,"")</f>
        <v/>
      </c>
      <c r="AC19">
        <f>IF(AND($A19&lt;&gt;"",AC$3&gt;=$J19,AC$3&lt;=$M19),1,"")</f>
        <v/>
      </c>
      <c r="AD19">
        <f>IF(AND($A19&lt;&gt;"",AD$3&gt;=$J19,AD$3&lt;=$M19),1,"")</f>
        <v/>
      </c>
      <c r="AE19">
        <f>IF(AND($A19&lt;&gt;"",AE$3&gt;=$J19,AE$3&lt;=$M19),1,"")</f>
        <v/>
      </c>
      <c r="AF19">
        <f>IF(AND($A19&lt;&gt;"",AF$3&gt;=$J19,AF$3&lt;=$M19),1,"")</f>
        <v/>
      </c>
      <c r="AG19">
        <f>IF(AND($A19&lt;&gt;"",AG$3&gt;=$J19,AG$3&lt;=$M19),1,"")</f>
        <v/>
      </c>
      <c r="AH19">
        <f>IF(AND($A19&lt;&gt;"",AH$3&gt;=$J19,AH$3&lt;=$M19),1,"")</f>
        <v/>
      </c>
      <c r="AI19">
        <f>IF(AND($A19&lt;&gt;"",AI$3&gt;=$J19,AI$3&lt;=$M19),1,"")</f>
        <v/>
      </c>
      <c r="AJ19">
        <f>IF(AND($A19&lt;&gt;"",AJ$3&gt;=$J19,AJ$3&lt;=$M19),1,"")</f>
        <v/>
      </c>
      <c r="AK19">
        <f>IF(AND($A19&lt;&gt;"",AK$3&gt;=$J19,AK$3&lt;=$M19),1,"")</f>
        <v/>
      </c>
      <c r="AL19">
        <f>IF(AND($A19&lt;&gt;"",AL$3&gt;=$J19,AL$3&lt;=$M19),1,"")</f>
        <v/>
      </c>
      <c r="AM19">
        <f>IF(AND($A19&lt;&gt;"",AM$3&gt;=$J19,AM$3&lt;=$M19),1,"")</f>
        <v/>
      </c>
      <c r="AN19">
        <f>IF(AND($A19&lt;&gt;"",AN$3&gt;=$J19,AN$3&lt;=$M19),1,"")</f>
        <v/>
      </c>
      <c r="AO19">
        <f>IF(AND($A19&lt;&gt;"",AO$3&gt;=$J19,AO$3&lt;=$M19),1,"")</f>
        <v/>
      </c>
      <c r="AP19">
        <f>IF(AND($A19&lt;&gt;"",AP$3&gt;=$J19,AP$3&lt;=$M19),1,"")</f>
        <v/>
      </c>
      <c r="AQ19">
        <f>IF(AND($A19&lt;&gt;"",AQ$3&gt;=$J19,AQ$3&lt;=$M19),1,"")</f>
        <v/>
      </c>
      <c r="AR19">
        <f>IF(AND($A19&lt;&gt;"",AR$3&gt;=$J19,AR$3&lt;=$M19),1,"")</f>
        <v/>
      </c>
      <c r="AS19">
        <f>IF(AND($A19&lt;&gt;"",AS$3&gt;=$J19,AS$3&lt;=$M19),1,"")</f>
        <v/>
      </c>
      <c r="AT19">
        <f>IF(AND($A19&lt;&gt;"",AT$3&gt;=$J19,AT$3&lt;=$M19),1,"")</f>
        <v/>
      </c>
      <c r="AU19">
        <f>IF(AND($A19&lt;&gt;"",AU$3&gt;=$J19,AU$3&lt;=$M19),1,"")</f>
        <v/>
      </c>
      <c r="AV19">
        <f>IF(AND($A19&lt;&gt;"",AV$3&gt;=$J19,AV$3&lt;=$M19),1,"")</f>
        <v/>
      </c>
      <c r="AW19">
        <f>IF(AND($A19&lt;&gt;"",AW$3&gt;=$J19,AW$3&lt;=$M19),1,"")</f>
        <v/>
      </c>
      <c r="AX19">
        <f>IF(AND($A19&lt;&gt;"",AX$3&gt;=$J19,AX$3&lt;=$M19),1,"")</f>
        <v/>
      </c>
      <c r="AY19">
        <f>IF(AND($A19&lt;&gt;"",AY$3&gt;=$J19,AY$3&lt;=$M19),1,"")</f>
        <v/>
      </c>
      <c r="AZ19">
        <f>IF(AND($A19&lt;&gt;"",AZ$3&gt;=$J19,AZ$3&lt;=$M19),1,"")</f>
        <v/>
      </c>
      <c r="BA19">
        <f>IF(AND($A19&lt;&gt;"",BA$3&gt;=$J19,BA$3&lt;=$M19),1,"")</f>
        <v/>
      </c>
      <c r="BB19">
        <f>IF(AND($A19&lt;&gt;"",BB$3&gt;=$J19,BB$3&lt;=$M19),1,"")</f>
        <v/>
      </c>
      <c r="BC19">
        <f>IF(AND($A19&lt;&gt;"",BC$3&gt;=$J19,BC$3&lt;=$M19),1,"")</f>
        <v/>
      </c>
      <c r="BD19">
        <f>IF(AND($A19&lt;&gt;"",BD$3&gt;=$J19,BD$3&lt;=$M19),1,"")</f>
        <v/>
      </c>
      <c r="BE19">
        <f>IF(AND($A19&lt;&gt;"",BE$3&gt;=$J19,BE$3&lt;=$M19),1,"")</f>
        <v/>
      </c>
      <c r="BF19">
        <f>IF(AND($A19&lt;&gt;"",BF$3&gt;=$J19,BF$3&lt;=$M19),1,"")</f>
        <v/>
      </c>
      <c r="BG19">
        <f>IF(AND($A19&lt;&gt;"",BG$3&gt;=$J19,BG$3&lt;=$M19),1,"")</f>
        <v/>
      </c>
      <c r="BH19">
        <f>IF(AND($A19&lt;&gt;"",BH$3&gt;=$J19,BH$3&lt;=$M19),1,"")</f>
        <v/>
      </c>
      <c r="BI19">
        <f>IF(AND($A19&lt;&gt;"",BI$3&gt;=$J19,BI$3&lt;=$M19),1,"")</f>
        <v/>
      </c>
      <c r="BJ19">
        <f>IF(AND($A19&lt;&gt;"",BJ$3&gt;=$J19,BJ$3&lt;=$M19),1,"")</f>
        <v/>
      </c>
      <c r="BK19">
        <f>IF(AND($A19&lt;&gt;"",BK$3&gt;=$J19,BK$3&lt;=$M19),1,"")</f>
        <v/>
      </c>
      <c r="BL19">
        <f>IF(AND($A19&lt;&gt;"",BL$3&gt;=$J19,BL$3&lt;=$M19),1,"")</f>
        <v/>
      </c>
      <c r="BM19">
        <f>IF(AND($A19&lt;&gt;"",BM$3&gt;=$J19,BM$3&lt;=$M19),1,"")</f>
        <v/>
      </c>
      <c r="BN19">
        <f>IF(AND($A19&lt;&gt;"",BN$3&gt;=$J19,BN$3&lt;=$M19),1,"")</f>
        <v/>
      </c>
      <c r="BO19">
        <f>IF(AND($A19&lt;&gt;"",BO$3&gt;=$J19,BO$3&lt;=$M19),1,"")</f>
        <v/>
      </c>
      <c r="BP19">
        <f>IF(AND($A19&lt;&gt;"",BP$3&gt;=$J19,BP$3&lt;=$M19),1,"")</f>
        <v/>
      </c>
      <c r="BQ19">
        <f>IF(AND($A19&lt;&gt;"",BQ$3&gt;=$J19,BQ$3&lt;=$M19),1,"")</f>
        <v/>
      </c>
      <c r="BR19">
        <f>IF(AND($A19&lt;&gt;"",BR$3&gt;=$J19,BR$3&lt;=$M19),1,"")</f>
        <v/>
      </c>
      <c r="BS19">
        <f>IF(AND($A19&lt;&gt;"",BS$3&gt;=$J19,BS$3&lt;=$M19),1,"")</f>
        <v/>
      </c>
      <c r="BT19">
        <f>IF(AND($A19&lt;&gt;"",BT$3&gt;=$J19,BT$3&lt;=$M19),1,"")</f>
        <v/>
      </c>
      <c r="BU19">
        <f>IF(AND($A19&lt;&gt;"",BU$3&gt;=$J19,BU$3&lt;=$M19),1,"")</f>
        <v/>
      </c>
      <c r="BV19">
        <f>IF(AND($A19&lt;&gt;"",BV$3&gt;=$J19,BV$3&lt;=$M19),1,"")</f>
        <v/>
      </c>
    </row>
    <row r="20">
      <c r="A20">
        <f>IF(Job_Master_Ring!$A20="","",Job_Master_Ring!$A20)</f>
        <v/>
      </c>
      <c r="B20">
        <f>IF($A20="","",Job_Master_Ring!B20)</f>
        <v/>
      </c>
      <c r="C20">
        <f>IF($A20="","",Job_Master_Ring!C20)</f>
        <v/>
      </c>
      <c r="D20">
        <f>IF($A20="","",Job_Master_Ring!D20)</f>
        <v/>
      </c>
      <c r="E20">
        <f>IF($A20="","",IF($I20&lt;&gt;"",$I20,IFERROR(INDEX(Machine_List!$B$72:$B$81,MATCH(1,(Machine_List!$H$72:$H$81&lt;=IFERROR(VLOOKUP($B20,CHOOSE(MATCH($C20,Settings!$L$4:$L$10,0),OPR_BR1!$A$4:$K$18,OPR_BR2!$A$4:$K$18,OPR_CR2!$A$4:$K$18,OPR_CR3!$A$4:$K$18,OPR_CR4!$A$4:$K$18,OPR_RIM!$A$4:$K$18,OPR_BPR!$A$4:$K$18),10,0),0))*(Machine_List!$I$72:$I$81&gt;=IFERROR(VLOOKUP($B20,CHOOSE(MATCH($C20,Settings!$L$4:$L$10,0),OPR_BR1!$A$4:$K$18,OPR_BR2!$A$4:$K$18,OPR_CR2!$A$4:$K$18,OPR_CR3!$A$4:$K$18,OPR_CR4!$A$4:$K$18,OPR_RIM!$A$4:$K$18,OPR_BPR!$A$4:$K$18),11,0),9999)),0)),"NO COMPATIBLE MACHINE")))</f>
        <v/>
      </c>
      <c r="F20">
        <f>IF($E20="","",IFERROR(VLOOKUP($E20,Machine_List!$B:$G,6,0),""))</f>
        <v/>
      </c>
      <c r="G20" s="17">
        <f>IF($E20="","",IFERROR(VLOOKUP($E20,Machine_List!$B:$C,2,0),""))</f>
        <v/>
      </c>
      <c r="H20">
        <f>IF($E20="","",IFERROR(VLOOKUP($E20,Machine_List!$B:$D,3,0),""))</f>
        <v/>
      </c>
      <c r="J20" s="16">
        <f>IF($A20="","",IF($I20&lt;&gt;"",$I20,MAX(VENT_Plan!$M20,IFERROR(LOOKUP(2,1/($E$3:INDIRECT("E"&amp;(ROW()-1))=$E20),$M$3:INDIRECT("M"&amp;(ROW()-1))),VENT_Plan!$M20))))</f>
        <v/>
      </c>
      <c r="K20">
        <f>IF($A20="","",IFERROR(VLOOKUP(B20,CHOOSE(MATCH($C20,Settings!$L$4:$L$10,0),OPR_BR1!$A$4:$I$18,OPR_BR2!$A$4:$I$18,OPR_CR2!$A$4:$I$18,OPR_CR3!$A$4:$I$18,OPR_CR4!$A$4:$I$18,OPR_RIM!$A$4:$I$18,OPR_BPR!$A$4:$I$18),8,0),0))</f>
        <v/>
      </c>
      <c r="L20">
        <f>IF($A20="","",K20*D20)</f>
        <v/>
      </c>
      <c r="M20" s="16">
        <f>IF($A20="","",IF(AND(ISNUMBER(G20),G20&gt;=J20,G20&lt;=(J20+(L20/(IF(F20="Contract Workman",Settings!$K$5,Settings!$K$4))))),J20+(L20/(IF(F20="Contract Workman",Settings!$K$5,Settings!$K$4)))+(H20/(IF(F20="Contract Workman",Settings!$K$5,Settings!$K$4))),J20+(L20/(IF(F20="Contract Workman",Settings!$K$5,Settings!$K$4)))))</f>
        <v/>
      </c>
      <c r="N20">
        <f>IF($A20="","",IF(F20="Contract Workman",IF(AND(MOD(M20,1)&gt;=8/24,MOD(M20,1)&lt;20/24),"Shift S1","Shift S2"),IF(AND(MOD(M20,1)&gt;=7/24,MOD(M20,1)&lt;15/24),"Shift A",IF(AND(MOD(M20,1)&gt;=15/24,MOD(M20,1)&lt;23/24),"Shift B","Shift C"))))</f>
        <v/>
      </c>
      <c r="O20">
        <f>IF(B20="","",IF(IFERROR(ISNUMBER(SEARCH(TEXT(B20,"0"),VLOOKUP(E20,Machine_List!$B:$J,9,0))),FALSE),"✅ "&amp; E20,"❌ Sug: "&amp;IFERROR(INDEX(Machine_List!$B$72:$B$81,MATCH(1,(Machine_List!$H$72:$H$81&lt;=IFERROR(VLOOKUP($B20,OPR_BR1!$A$4:$K$18,10,0),0))*(Machine_List!$I$72:$I$81&gt;=IFERROR(VLOOKUP($B20,OPR_BR1!$A$4:$K$18,11,0),9999)),0)),"?")))</f>
        <v/>
      </c>
      <c r="P20">
        <f>IF(AND($A20&lt;&gt;"",P$3&gt;=$J20,P$3&lt;=$M20),1,"")</f>
        <v/>
      </c>
      <c r="Q20">
        <f>IF(AND($A20&lt;&gt;"",Q$3&gt;=$J20,Q$3&lt;=$M20),1,"")</f>
        <v/>
      </c>
      <c r="R20">
        <f>IF(AND($A20&lt;&gt;"",R$3&gt;=$J20,R$3&lt;=$M20),1,"")</f>
        <v/>
      </c>
      <c r="S20">
        <f>IF(AND($A20&lt;&gt;"",S$3&gt;=$J20,S$3&lt;=$M20),1,"")</f>
        <v/>
      </c>
      <c r="T20">
        <f>IF(AND($A20&lt;&gt;"",T$3&gt;=$J20,T$3&lt;=$M20),1,"")</f>
        <v/>
      </c>
      <c r="U20">
        <f>IF(AND($A20&lt;&gt;"",U$3&gt;=$J20,U$3&lt;=$M20),1,"")</f>
        <v/>
      </c>
      <c r="V20">
        <f>IF(AND($A20&lt;&gt;"",V$3&gt;=$J20,V$3&lt;=$M20),1,"")</f>
        <v/>
      </c>
      <c r="W20">
        <f>IF(AND($A20&lt;&gt;"",W$3&gt;=$J20,W$3&lt;=$M20),1,"")</f>
        <v/>
      </c>
      <c r="X20">
        <f>IF(AND($A20&lt;&gt;"",X$3&gt;=$J20,X$3&lt;=$M20),1,"")</f>
        <v/>
      </c>
      <c r="Y20">
        <f>IF(AND($A20&lt;&gt;"",Y$3&gt;=$J20,Y$3&lt;=$M20),1,"")</f>
        <v/>
      </c>
      <c r="Z20">
        <f>IF(AND($A20&lt;&gt;"",Z$3&gt;=$J20,Z$3&lt;=$M20),1,"")</f>
        <v/>
      </c>
      <c r="AA20">
        <f>IF(AND($A20&lt;&gt;"",AA$3&gt;=$J20,AA$3&lt;=$M20),1,"")</f>
        <v/>
      </c>
      <c r="AB20">
        <f>IF(AND($A20&lt;&gt;"",AB$3&gt;=$J20,AB$3&lt;=$M20),1,"")</f>
        <v/>
      </c>
      <c r="AC20">
        <f>IF(AND($A20&lt;&gt;"",AC$3&gt;=$J20,AC$3&lt;=$M20),1,"")</f>
        <v/>
      </c>
      <c r="AD20">
        <f>IF(AND($A20&lt;&gt;"",AD$3&gt;=$J20,AD$3&lt;=$M20),1,"")</f>
        <v/>
      </c>
      <c r="AE20">
        <f>IF(AND($A20&lt;&gt;"",AE$3&gt;=$J20,AE$3&lt;=$M20),1,"")</f>
        <v/>
      </c>
      <c r="AF20">
        <f>IF(AND($A20&lt;&gt;"",AF$3&gt;=$J20,AF$3&lt;=$M20),1,"")</f>
        <v/>
      </c>
      <c r="AG20">
        <f>IF(AND($A20&lt;&gt;"",AG$3&gt;=$J20,AG$3&lt;=$M20),1,"")</f>
        <v/>
      </c>
      <c r="AH20">
        <f>IF(AND($A20&lt;&gt;"",AH$3&gt;=$J20,AH$3&lt;=$M20),1,"")</f>
        <v/>
      </c>
      <c r="AI20">
        <f>IF(AND($A20&lt;&gt;"",AI$3&gt;=$J20,AI$3&lt;=$M20),1,"")</f>
        <v/>
      </c>
      <c r="AJ20">
        <f>IF(AND($A20&lt;&gt;"",AJ$3&gt;=$J20,AJ$3&lt;=$M20),1,"")</f>
        <v/>
      </c>
      <c r="AK20">
        <f>IF(AND($A20&lt;&gt;"",AK$3&gt;=$J20,AK$3&lt;=$M20),1,"")</f>
        <v/>
      </c>
      <c r="AL20">
        <f>IF(AND($A20&lt;&gt;"",AL$3&gt;=$J20,AL$3&lt;=$M20),1,"")</f>
        <v/>
      </c>
      <c r="AM20">
        <f>IF(AND($A20&lt;&gt;"",AM$3&gt;=$J20,AM$3&lt;=$M20),1,"")</f>
        <v/>
      </c>
      <c r="AN20">
        <f>IF(AND($A20&lt;&gt;"",AN$3&gt;=$J20,AN$3&lt;=$M20),1,"")</f>
        <v/>
      </c>
      <c r="AO20">
        <f>IF(AND($A20&lt;&gt;"",AO$3&gt;=$J20,AO$3&lt;=$M20),1,"")</f>
        <v/>
      </c>
      <c r="AP20">
        <f>IF(AND($A20&lt;&gt;"",AP$3&gt;=$J20,AP$3&lt;=$M20),1,"")</f>
        <v/>
      </c>
      <c r="AQ20">
        <f>IF(AND($A20&lt;&gt;"",AQ$3&gt;=$J20,AQ$3&lt;=$M20),1,"")</f>
        <v/>
      </c>
      <c r="AR20">
        <f>IF(AND($A20&lt;&gt;"",AR$3&gt;=$J20,AR$3&lt;=$M20),1,"")</f>
        <v/>
      </c>
      <c r="AS20">
        <f>IF(AND($A20&lt;&gt;"",AS$3&gt;=$J20,AS$3&lt;=$M20),1,"")</f>
        <v/>
      </c>
      <c r="AT20">
        <f>IF(AND($A20&lt;&gt;"",AT$3&gt;=$J20,AT$3&lt;=$M20),1,"")</f>
        <v/>
      </c>
      <c r="AU20">
        <f>IF(AND($A20&lt;&gt;"",AU$3&gt;=$J20,AU$3&lt;=$M20),1,"")</f>
        <v/>
      </c>
      <c r="AV20">
        <f>IF(AND($A20&lt;&gt;"",AV$3&gt;=$J20,AV$3&lt;=$M20),1,"")</f>
        <v/>
      </c>
      <c r="AW20">
        <f>IF(AND($A20&lt;&gt;"",AW$3&gt;=$J20,AW$3&lt;=$M20),1,"")</f>
        <v/>
      </c>
      <c r="AX20">
        <f>IF(AND($A20&lt;&gt;"",AX$3&gt;=$J20,AX$3&lt;=$M20),1,"")</f>
        <v/>
      </c>
      <c r="AY20">
        <f>IF(AND($A20&lt;&gt;"",AY$3&gt;=$J20,AY$3&lt;=$M20),1,"")</f>
        <v/>
      </c>
      <c r="AZ20">
        <f>IF(AND($A20&lt;&gt;"",AZ$3&gt;=$J20,AZ$3&lt;=$M20),1,"")</f>
        <v/>
      </c>
      <c r="BA20">
        <f>IF(AND($A20&lt;&gt;"",BA$3&gt;=$J20,BA$3&lt;=$M20),1,"")</f>
        <v/>
      </c>
      <c r="BB20">
        <f>IF(AND($A20&lt;&gt;"",BB$3&gt;=$J20,BB$3&lt;=$M20),1,"")</f>
        <v/>
      </c>
      <c r="BC20">
        <f>IF(AND($A20&lt;&gt;"",BC$3&gt;=$J20,BC$3&lt;=$M20),1,"")</f>
        <v/>
      </c>
      <c r="BD20">
        <f>IF(AND($A20&lt;&gt;"",BD$3&gt;=$J20,BD$3&lt;=$M20),1,"")</f>
        <v/>
      </c>
      <c r="BE20">
        <f>IF(AND($A20&lt;&gt;"",BE$3&gt;=$J20,BE$3&lt;=$M20),1,"")</f>
        <v/>
      </c>
      <c r="BF20">
        <f>IF(AND($A20&lt;&gt;"",BF$3&gt;=$J20,BF$3&lt;=$M20),1,"")</f>
        <v/>
      </c>
      <c r="BG20">
        <f>IF(AND($A20&lt;&gt;"",BG$3&gt;=$J20,BG$3&lt;=$M20),1,"")</f>
        <v/>
      </c>
      <c r="BH20">
        <f>IF(AND($A20&lt;&gt;"",BH$3&gt;=$J20,BH$3&lt;=$M20),1,"")</f>
        <v/>
      </c>
      <c r="BI20">
        <f>IF(AND($A20&lt;&gt;"",BI$3&gt;=$J20,BI$3&lt;=$M20),1,"")</f>
        <v/>
      </c>
      <c r="BJ20">
        <f>IF(AND($A20&lt;&gt;"",BJ$3&gt;=$J20,BJ$3&lt;=$M20),1,"")</f>
        <v/>
      </c>
      <c r="BK20">
        <f>IF(AND($A20&lt;&gt;"",BK$3&gt;=$J20,BK$3&lt;=$M20),1,"")</f>
        <v/>
      </c>
      <c r="BL20">
        <f>IF(AND($A20&lt;&gt;"",BL$3&gt;=$J20,BL$3&lt;=$M20),1,"")</f>
        <v/>
      </c>
      <c r="BM20">
        <f>IF(AND($A20&lt;&gt;"",BM$3&gt;=$J20,BM$3&lt;=$M20),1,"")</f>
        <v/>
      </c>
      <c r="BN20">
        <f>IF(AND($A20&lt;&gt;"",BN$3&gt;=$J20,BN$3&lt;=$M20),1,"")</f>
        <v/>
      </c>
      <c r="BO20">
        <f>IF(AND($A20&lt;&gt;"",BO$3&gt;=$J20,BO$3&lt;=$M20),1,"")</f>
        <v/>
      </c>
      <c r="BP20">
        <f>IF(AND($A20&lt;&gt;"",BP$3&gt;=$J20,BP$3&lt;=$M20),1,"")</f>
        <v/>
      </c>
      <c r="BQ20">
        <f>IF(AND($A20&lt;&gt;"",BQ$3&gt;=$J20,BQ$3&lt;=$M20),1,"")</f>
        <v/>
      </c>
      <c r="BR20">
        <f>IF(AND($A20&lt;&gt;"",BR$3&gt;=$J20,BR$3&lt;=$M20),1,"")</f>
        <v/>
      </c>
      <c r="BS20">
        <f>IF(AND($A20&lt;&gt;"",BS$3&gt;=$J20,BS$3&lt;=$M20),1,"")</f>
        <v/>
      </c>
      <c r="BT20">
        <f>IF(AND($A20&lt;&gt;"",BT$3&gt;=$J20,BT$3&lt;=$M20),1,"")</f>
        <v/>
      </c>
      <c r="BU20">
        <f>IF(AND($A20&lt;&gt;"",BU$3&gt;=$J20,BU$3&lt;=$M20),1,"")</f>
        <v/>
      </c>
      <c r="BV20">
        <f>IF(AND($A20&lt;&gt;"",BV$3&gt;=$J20,BV$3&lt;=$M20),1,"")</f>
        <v/>
      </c>
    </row>
    <row r="21">
      <c r="A21">
        <f>IF(Job_Master_Ring!$A21="","",Job_Master_Ring!$A21)</f>
        <v/>
      </c>
      <c r="B21">
        <f>IF($A21="","",Job_Master_Ring!B21)</f>
        <v/>
      </c>
      <c r="C21">
        <f>IF($A21="","",Job_Master_Ring!C21)</f>
        <v/>
      </c>
      <c r="D21">
        <f>IF($A21="","",Job_Master_Ring!D21)</f>
        <v/>
      </c>
      <c r="E21">
        <f>IF($A21="","",IF($I21&lt;&gt;"",$I21,IFERROR(INDEX(Machine_List!$B$72:$B$81,MATCH(1,(Machine_List!$H$72:$H$81&lt;=IFERROR(VLOOKUP($B21,CHOOSE(MATCH($C21,Settings!$L$4:$L$10,0),OPR_BR1!$A$4:$K$18,OPR_BR2!$A$4:$K$18,OPR_CR2!$A$4:$K$18,OPR_CR3!$A$4:$K$18,OPR_CR4!$A$4:$K$18,OPR_RIM!$A$4:$K$18,OPR_BPR!$A$4:$K$18),10,0),0))*(Machine_List!$I$72:$I$81&gt;=IFERROR(VLOOKUP($B21,CHOOSE(MATCH($C21,Settings!$L$4:$L$10,0),OPR_BR1!$A$4:$K$18,OPR_BR2!$A$4:$K$18,OPR_CR2!$A$4:$K$18,OPR_CR3!$A$4:$K$18,OPR_CR4!$A$4:$K$18,OPR_RIM!$A$4:$K$18,OPR_BPR!$A$4:$K$18),11,0),9999)),0)),"NO COMPATIBLE MACHINE")))</f>
        <v/>
      </c>
      <c r="F21">
        <f>IF($E21="","",IFERROR(VLOOKUP($E21,Machine_List!$B:$G,6,0),""))</f>
        <v/>
      </c>
      <c r="G21" s="17">
        <f>IF($E21="","",IFERROR(VLOOKUP($E21,Machine_List!$B:$C,2,0),""))</f>
        <v/>
      </c>
      <c r="H21">
        <f>IF($E21="","",IFERROR(VLOOKUP($E21,Machine_List!$B:$D,3,0),""))</f>
        <v/>
      </c>
      <c r="J21" s="16">
        <f>IF($A21="","",IF($I21&lt;&gt;"",$I21,MAX(VENT_Plan!$M21,IFERROR(LOOKUP(2,1/($E$3:INDIRECT("E"&amp;(ROW()-1))=$E21),$M$3:INDIRECT("M"&amp;(ROW()-1))),VENT_Plan!$M21))))</f>
        <v/>
      </c>
      <c r="K21">
        <f>IF($A21="","",IFERROR(VLOOKUP(B21,CHOOSE(MATCH($C21,Settings!$L$4:$L$10,0),OPR_BR1!$A$4:$I$18,OPR_BR2!$A$4:$I$18,OPR_CR2!$A$4:$I$18,OPR_CR3!$A$4:$I$18,OPR_CR4!$A$4:$I$18,OPR_RIM!$A$4:$I$18,OPR_BPR!$A$4:$I$18),8,0),0))</f>
        <v/>
      </c>
      <c r="L21">
        <f>IF($A21="","",K21*D21)</f>
        <v/>
      </c>
      <c r="M21" s="16">
        <f>IF($A21="","",IF(AND(ISNUMBER(G21),G21&gt;=J21,G21&lt;=(J21+(L21/(IF(F21="Contract Workman",Settings!$K$5,Settings!$K$4))))),J21+(L21/(IF(F21="Contract Workman",Settings!$K$5,Settings!$K$4)))+(H21/(IF(F21="Contract Workman",Settings!$K$5,Settings!$K$4))),J21+(L21/(IF(F21="Contract Workman",Settings!$K$5,Settings!$K$4)))))</f>
        <v/>
      </c>
      <c r="N21">
        <f>IF($A21="","",IF(F21="Contract Workman",IF(AND(MOD(M21,1)&gt;=8/24,MOD(M21,1)&lt;20/24),"Shift S1","Shift S2"),IF(AND(MOD(M21,1)&gt;=7/24,MOD(M21,1)&lt;15/24),"Shift A",IF(AND(MOD(M21,1)&gt;=15/24,MOD(M21,1)&lt;23/24),"Shift B","Shift C"))))</f>
        <v/>
      </c>
      <c r="O21">
        <f>IF(B21="","",IF(IFERROR(ISNUMBER(SEARCH(TEXT(B21,"0"),VLOOKUP(E21,Machine_List!$B:$J,9,0))),FALSE),"✅ "&amp; E21,"❌ Sug: "&amp;IFERROR(INDEX(Machine_List!$B$72:$B$81,MATCH(1,(Machine_List!$H$72:$H$81&lt;=IFERROR(VLOOKUP($B21,OPR_BR1!$A$4:$K$18,10,0),0))*(Machine_List!$I$72:$I$81&gt;=IFERROR(VLOOKUP($B21,OPR_BR1!$A$4:$K$18,11,0),9999)),0)),"?")))</f>
        <v/>
      </c>
      <c r="P21">
        <f>IF(AND($A21&lt;&gt;"",P$3&gt;=$J21,P$3&lt;=$M21),1,"")</f>
        <v/>
      </c>
      <c r="Q21">
        <f>IF(AND($A21&lt;&gt;"",Q$3&gt;=$J21,Q$3&lt;=$M21),1,"")</f>
        <v/>
      </c>
      <c r="R21">
        <f>IF(AND($A21&lt;&gt;"",R$3&gt;=$J21,R$3&lt;=$M21),1,"")</f>
        <v/>
      </c>
      <c r="S21">
        <f>IF(AND($A21&lt;&gt;"",S$3&gt;=$J21,S$3&lt;=$M21),1,"")</f>
        <v/>
      </c>
      <c r="T21">
        <f>IF(AND($A21&lt;&gt;"",T$3&gt;=$J21,T$3&lt;=$M21),1,"")</f>
        <v/>
      </c>
      <c r="U21">
        <f>IF(AND($A21&lt;&gt;"",U$3&gt;=$J21,U$3&lt;=$M21),1,"")</f>
        <v/>
      </c>
      <c r="V21">
        <f>IF(AND($A21&lt;&gt;"",V$3&gt;=$J21,V$3&lt;=$M21),1,"")</f>
        <v/>
      </c>
      <c r="W21">
        <f>IF(AND($A21&lt;&gt;"",W$3&gt;=$J21,W$3&lt;=$M21),1,"")</f>
        <v/>
      </c>
      <c r="X21">
        <f>IF(AND($A21&lt;&gt;"",X$3&gt;=$J21,X$3&lt;=$M21),1,"")</f>
        <v/>
      </c>
      <c r="Y21">
        <f>IF(AND($A21&lt;&gt;"",Y$3&gt;=$J21,Y$3&lt;=$M21),1,"")</f>
        <v/>
      </c>
      <c r="Z21">
        <f>IF(AND($A21&lt;&gt;"",Z$3&gt;=$J21,Z$3&lt;=$M21),1,"")</f>
        <v/>
      </c>
      <c r="AA21">
        <f>IF(AND($A21&lt;&gt;"",AA$3&gt;=$J21,AA$3&lt;=$M21),1,"")</f>
        <v/>
      </c>
      <c r="AB21">
        <f>IF(AND($A21&lt;&gt;"",AB$3&gt;=$J21,AB$3&lt;=$M21),1,"")</f>
        <v/>
      </c>
      <c r="AC21">
        <f>IF(AND($A21&lt;&gt;"",AC$3&gt;=$J21,AC$3&lt;=$M21),1,"")</f>
        <v/>
      </c>
      <c r="AD21">
        <f>IF(AND($A21&lt;&gt;"",AD$3&gt;=$J21,AD$3&lt;=$M21),1,"")</f>
        <v/>
      </c>
      <c r="AE21">
        <f>IF(AND($A21&lt;&gt;"",AE$3&gt;=$J21,AE$3&lt;=$M21),1,"")</f>
        <v/>
      </c>
      <c r="AF21">
        <f>IF(AND($A21&lt;&gt;"",AF$3&gt;=$J21,AF$3&lt;=$M21),1,"")</f>
        <v/>
      </c>
      <c r="AG21">
        <f>IF(AND($A21&lt;&gt;"",AG$3&gt;=$J21,AG$3&lt;=$M21),1,"")</f>
        <v/>
      </c>
      <c r="AH21">
        <f>IF(AND($A21&lt;&gt;"",AH$3&gt;=$J21,AH$3&lt;=$M21),1,"")</f>
        <v/>
      </c>
      <c r="AI21">
        <f>IF(AND($A21&lt;&gt;"",AI$3&gt;=$J21,AI$3&lt;=$M21),1,"")</f>
        <v/>
      </c>
      <c r="AJ21">
        <f>IF(AND($A21&lt;&gt;"",AJ$3&gt;=$J21,AJ$3&lt;=$M21),1,"")</f>
        <v/>
      </c>
      <c r="AK21">
        <f>IF(AND($A21&lt;&gt;"",AK$3&gt;=$J21,AK$3&lt;=$M21),1,"")</f>
        <v/>
      </c>
      <c r="AL21">
        <f>IF(AND($A21&lt;&gt;"",AL$3&gt;=$J21,AL$3&lt;=$M21),1,"")</f>
        <v/>
      </c>
      <c r="AM21">
        <f>IF(AND($A21&lt;&gt;"",AM$3&gt;=$J21,AM$3&lt;=$M21),1,"")</f>
        <v/>
      </c>
      <c r="AN21">
        <f>IF(AND($A21&lt;&gt;"",AN$3&gt;=$J21,AN$3&lt;=$M21),1,"")</f>
        <v/>
      </c>
      <c r="AO21">
        <f>IF(AND($A21&lt;&gt;"",AO$3&gt;=$J21,AO$3&lt;=$M21),1,"")</f>
        <v/>
      </c>
      <c r="AP21">
        <f>IF(AND($A21&lt;&gt;"",AP$3&gt;=$J21,AP$3&lt;=$M21),1,"")</f>
        <v/>
      </c>
      <c r="AQ21">
        <f>IF(AND($A21&lt;&gt;"",AQ$3&gt;=$J21,AQ$3&lt;=$M21),1,"")</f>
        <v/>
      </c>
      <c r="AR21">
        <f>IF(AND($A21&lt;&gt;"",AR$3&gt;=$J21,AR$3&lt;=$M21),1,"")</f>
        <v/>
      </c>
      <c r="AS21">
        <f>IF(AND($A21&lt;&gt;"",AS$3&gt;=$J21,AS$3&lt;=$M21),1,"")</f>
        <v/>
      </c>
      <c r="AT21">
        <f>IF(AND($A21&lt;&gt;"",AT$3&gt;=$J21,AT$3&lt;=$M21),1,"")</f>
        <v/>
      </c>
      <c r="AU21">
        <f>IF(AND($A21&lt;&gt;"",AU$3&gt;=$J21,AU$3&lt;=$M21),1,"")</f>
        <v/>
      </c>
      <c r="AV21">
        <f>IF(AND($A21&lt;&gt;"",AV$3&gt;=$J21,AV$3&lt;=$M21),1,"")</f>
        <v/>
      </c>
      <c r="AW21">
        <f>IF(AND($A21&lt;&gt;"",AW$3&gt;=$J21,AW$3&lt;=$M21),1,"")</f>
        <v/>
      </c>
      <c r="AX21">
        <f>IF(AND($A21&lt;&gt;"",AX$3&gt;=$J21,AX$3&lt;=$M21),1,"")</f>
        <v/>
      </c>
      <c r="AY21">
        <f>IF(AND($A21&lt;&gt;"",AY$3&gt;=$J21,AY$3&lt;=$M21),1,"")</f>
        <v/>
      </c>
      <c r="AZ21">
        <f>IF(AND($A21&lt;&gt;"",AZ$3&gt;=$J21,AZ$3&lt;=$M21),1,"")</f>
        <v/>
      </c>
      <c r="BA21">
        <f>IF(AND($A21&lt;&gt;"",BA$3&gt;=$J21,BA$3&lt;=$M21),1,"")</f>
        <v/>
      </c>
      <c r="BB21">
        <f>IF(AND($A21&lt;&gt;"",BB$3&gt;=$J21,BB$3&lt;=$M21),1,"")</f>
        <v/>
      </c>
      <c r="BC21">
        <f>IF(AND($A21&lt;&gt;"",BC$3&gt;=$J21,BC$3&lt;=$M21),1,"")</f>
        <v/>
      </c>
      <c r="BD21">
        <f>IF(AND($A21&lt;&gt;"",BD$3&gt;=$J21,BD$3&lt;=$M21),1,"")</f>
        <v/>
      </c>
      <c r="BE21">
        <f>IF(AND($A21&lt;&gt;"",BE$3&gt;=$J21,BE$3&lt;=$M21),1,"")</f>
        <v/>
      </c>
      <c r="BF21">
        <f>IF(AND($A21&lt;&gt;"",BF$3&gt;=$J21,BF$3&lt;=$M21),1,"")</f>
        <v/>
      </c>
      <c r="BG21">
        <f>IF(AND($A21&lt;&gt;"",BG$3&gt;=$J21,BG$3&lt;=$M21),1,"")</f>
        <v/>
      </c>
      <c r="BH21">
        <f>IF(AND($A21&lt;&gt;"",BH$3&gt;=$J21,BH$3&lt;=$M21),1,"")</f>
        <v/>
      </c>
      <c r="BI21">
        <f>IF(AND($A21&lt;&gt;"",BI$3&gt;=$J21,BI$3&lt;=$M21),1,"")</f>
        <v/>
      </c>
      <c r="BJ21">
        <f>IF(AND($A21&lt;&gt;"",BJ$3&gt;=$J21,BJ$3&lt;=$M21),1,"")</f>
        <v/>
      </c>
      <c r="BK21">
        <f>IF(AND($A21&lt;&gt;"",BK$3&gt;=$J21,BK$3&lt;=$M21),1,"")</f>
        <v/>
      </c>
      <c r="BL21">
        <f>IF(AND($A21&lt;&gt;"",BL$3&gt;=$J21,BL$3&lt;=$M21),1,"")</f>
        <v/>
      </c>
      <c r="BM21">
        <f>IF(AND($A21&lt;&gt;"",BM$3&gt;=$J21,BM$3&lt;=$M21),1,"")</f>
        <v/>
      </c>
      <c r="BN21">
        <f>IF(AND($A21&lt;&gt;"",BN$3&gt;=$J21,BN$3&lt;=$M21),1,"")</f>
        <v/>
      </c>
      <c r="BO21">
        <f>IF(AND($A21&lt;&gt;"",BO$3&gt;=$J21,BO$3&lt;=$M21),1,"")</f>
        <v/>
      </c>
      <c r="BP21">
        <f>IF(AND($A21&lt;&gt;"",BP$3&gt;=$J21,BP$3&lt;=$M21),1,"")</f>
        <v/>
      </c>
      <c r="BQ21">
        <f>IF(AND($A21&lt;&gt;"",BQ$3&gt;=$J21,BQ$3&lt;=$M21),1,"")</f>
        <v/>
      </c>
      <c r="BR21">
        <f>IF(AND($A21&lt;&gt;"",BR$3&gt;=$J21,BR$3&lt;=$M21),1,"")</f>
        <v/>
      </c>
      <c r="BS21">
        <f>IF(AND($A21&lt;&gt;"",BS$3&gt;=$J21,BS$3&lt;=$M21),1,"")</f>
        <v/>
      </c>
      <c r="BT21">
        <f>IF(AND($A21&lt;&gt;"",BT$3&gt;=$J21,BT$3&lt;=$M21),1,"")</f>
        <v/>
      </c>
      <c r="BU21">
        <f>IF(AND($A21&lt;&gt;"",BU$3&gt;=$J21,BU$3&lt;=$M21),1,"")</f>
        <v/>
      </c>
      <c r="BV21">
        <f>IF(AND($A21&lt;&gt;"",BV$3&gt;=$J21,BV$3&lt;=$M21),1,"")</f>
        <v/>
      </c>
    </row>
    <row r="22">
      <c r="A22">
        <f>IF(Job_Master_Ring!$A22="","",Job_Master_Ring!$A22)</f>
        <v/>
      </c>
      <c r="B22">
        <f>IF($A22="","",Job_Master_Ring!B22)</f>
        <v/>
      </c>
      <c r="C22">
        <f>IF($A22="","",Job_Master_Ring!C22)</f>
        <v/>
      </c>
      <c r="D22">
        <f>IF($A22="","",Job_Master_Ring!D22)</f>
        <v/>
      </c>
      <c r="E22">
        <f>IF($A22="","",IF($I22&lt;&gt;"",$I22,IFERROR(INDEX(Machine_List!$B$72:$B$81,MATCH(1,(Machine_List!$H$72:$H$81&lt;=IFERROR(VLOOKUP($B22,CHOOSE(MATCH($C22,Settings!$L$4:$L$10,0),OPR_BR1!$A$4:$K$18,OPR_BR2!$A$4:$K$18,OPR_CR2!$A$4:$K$18,OPR_CR3!$A$4:$K$18,OPR_CR4!$A$4:$K$18,OPR_RIM!$A$4:$K$18,OPR_BPR!$A$4:$K$18),10,0),0))*(Machine_List!$I$72:$I$81&gt;=IFERROR(VLOOKUP($B22,CHOOSE(MATCH($C22,Settings!$L$4:$L$10,0),OPR_BR1!$A$4:$K$18,OPR_BR2!$A$4:$K$18,OPR_CR2!$A$4:$K$18,OPR_CR3!$A$4:$K$18,OPR_CR4!$A$4:$K$18,OPR_RIM!$A$4:$K$18,OPR_BPR!$A$4:$K$18),11,0),9999)),0)),"NO COMPATIBLE MACHINE")))</f>
        <v/>
      </c>
      <c r="F22">
        <f>IF($E22="","",IFERROR(VLOOKUP($E22,Machine_List!$B:$G,6,0),""))</f>
        <v/>
      </c>
      <c r="G22" s="17">
        <f>IF($E22="","",IFERROR(VLOOKUP($E22,Machine_List!$B:$C,2,0),""))</f>
        <v/>
      </c>
      <c r="H22">
        <f>IF($E22="","",IFERROR(VLOOKUP($E22,Machine_List!$B:$D,3,0),""))</f>
        <v/>
      </c>
      <c r="J22" s="16">
        <f>IF($A22="","",IF($I22&lt;&gt;"",$I22,MAX(VENT_Plan!$M22,IFERROR(LOOKUP(2,1/($E$3:INDIRECT("E"&amp;(ROW()-1))=$E22),$M$3:INDIRECT("M"&amp;(ROW()-1))),VENT_Plan!$M22))))</f>
        <v/>
      </c>
      <c r="K22">
        <f>IF($A22="","",IFERROR(VLOOKUP(B22,CHOOSE(MATCH($C22,Settings!$L$4:$L$10,0),OPR_BR1!$A$4:$I$18,OPR_BR2!$A$4:$I$18,OPR_CR2!$A$4:$I$18,OPR_CR3!$A$4:$I$18,OPR_CR4!$A$4:$I$18,OPR_RIM!$A$4:$I$18,OPR_BPR!$A$4:$I$18),8,0),0))</f>
        <v/>
      </c>
      <c r="L22">
        <f>IF($A22="","",K22*D22)</f>
        <v/>
      </c>
      <c r="M22" s="16">
        <f>IF($A22="","",IF(AND(ISNUMBER(G22),G22&gt;=J22,G22&lt;=(J22+(L22/(IF(F22="Contract Workman",Settings!$K$5,Settings!$K$4))))),J22+(L22/(IF(F22="Contract Workman",Settings!$K$5,Settings!$K$4)))+(H22/(IF(F22="Contract Workman",Settings!$K$5,Settings!$K$4))),J22+(L22/(IF(F22="Contract Workman",Settings!$K$5,Settings!$K$4)))))</f>
        <v/>
      </c>
      <c r="N22">
        <f>IF($A22="","",IF(F22="Contract Workman",IF(AND(MOD(M22,1)&gt;=8/24,MOD(M22,1)&lt;20/24),"Shift S1","Shift S2"),IF(AND(MOD(M22,1)&gt;=7/24,MOD(M22,1)&lt;15/24),"Shift A",IF(AND(MOD(M22,1)&gt;=15/24,MOD(M22,1)&lt;23/24),"Shift B","Shift C"))))</f>
        <v/>
      </c>
      <c r="O22">
        <f>IF(B22="","",IF(IFERROR(ISNUMBER(SEARCH(TEXT(B22,"0"),VLOOKUP(E22,Machine_List!$B:$J,9,0))),FALSE),"✅ "&amp; E22,"❌ Sug: "&amp;IFERROR(INDEX(Machine_List!$B$72:$B$81,MATCH(1,(Machine_List!$H$72:$H$81&lt;=IFERROR(VLOOKUP($B22,OPR_BR1!$A$4:$K$18,10,0),0))*(Machine_List!$I$72:$I$81&gt;=IFERROR(VLOOKUP($B22,OPR_BR1!$A$4:$K$18,11,0),9999)),0)),"?")))</f>
        <v/>
      </c>
      <c r="P22">
        <f>IF(AND($A22&lt;&gt;"",P$3&gt;=$J22,P$3&lt;=$M22),1,"")</f>
        <v/>
      </c>
      <c r="Q22">
        <f>IF(AND($A22&lt;&gt;"",Q$3&gt;=$J22,Q$3&lt;=$M22),1,"")</f>
        <v/>
      </c>
      <c r="R22">
        <f>IF(AND($A22&lt;&gt;"",R$3&gt;=$J22,R$3&lt;=$M22),1,"")</f>
        <v/>
      </c>
      <c r="S22">
        <f>IF(AND($A22&lt;&gt;"",S$3&gt;=$J22,S$3&lt;=$M22),1,"")</f>
        <v/>
      </c>
      <c r="T22">
        <f>IF(AND($A22&lt;&gt;"",T$3&gt;=$J22,T$3&lt;=$M22),1,"")</f>
        <v/>
      </c>
      <c r="U22">
        <f>IF(AND($A22&lt;&gt;"",U$3&gt;=$J22,U$3&lt;=$M22),1,"")</f>
        <v/>
      </c>
      <c r="V22">
        <f>IF(AND($A22&lt;&gt;"",V$3&gt;=$J22,V$3&lt;=$M22),1,"")</f>
        <v/>
      </c>
      <c r="W22">
        <f>IF(AND($A22&lt;&gt;"",W$3&gt;=$J22,W$3&lt;=$M22),1,"")</f>
        <v/>
      </c>
      <c r="X22">
        <f>IF(AND($A22&lt;&gt;"",X$3&gt;=$J22,X$3&lt;=$M22),1,"")</f>
        <v/>
      </c>
      <c r="Y22">
        <f>IF(AND($A22&lt;&gt;"",Y$3&gt;=$J22,Y$3&lt;=$M22),1,"")</f>
        <v/>
      </c>
      <c r="Z22">
        <f>IF(AND($A22&lt;&gt;"",Z$3&gt;=$J22,Z$3&lt;=$M22),1,"")</f>
        <v/>
      </c>
      <c r="AA22">
        <f>IF(AND($A22&lt;&gt;"",AA$3&gt;=$J22,AA$3&lt;=$M22),1,"")</f>
        <v/>
      </c>
      <c r="AB22">
        <f>IF(AND($A22&lt;&gt;"",AB$3&gt;=$J22,AB$3&lt;=$M22),1,"")</f>
        <v/>
      </c>
      <c r="AC22">
        <f>IF(AND($A22&lt;&gt;"",AC$3&gt;=$J22,AC$3&lt;=$M22),1,"")</f>
        <v/>
      </c>
      <c r="AD22">
        <f>IF(AND($A22&lt;&gt;"",AD$3&gt;=$J22,AD$3&lt;=$M22),1,"")</f>
        <v/>
      </c>
      <c r="AE22">
        <f>IF(AND($A22&lt;&gt;"",AE$3&gt;=$J22,AE$3&lt;=$M22),1,"")</f>
        <v/>
      </c>
      <c r="AF22">
        <f>IF(AND($A22&lt;&gt;"",AF$3&gt;=$J22,AF$3&lt;=$M22),1,"")</f>
        <v/>
      </c>
      <c r="AG22">
        <f>IF(AND($A22&lt;&gt;"",AG$3&gt;=$J22,AG$3&lt;=$M22),1,"")</f>
        <v/>
      </c>
      <c r="AH22">
        <f>IF(AND($A22&lt;&gt;"",AH$3&gt;=$J22,AH$3&lt;=$M22),1,"")</f>
        <v/>
      </c>
      <c r="AI22">
        <f>IF(AND($A22&lt;&gt;"",AI$3&gt;=$J22,AI$3&lt;=$M22),1,"")</f>
        <v/>
      </c>
      <c r="AJ22">
        <f>IF(AND($A22&lt;&gt;"",AJ$3&gt;=$J22,AJ$3&lt;=$M22),1,"")</f>
        <v/>
      </c>
      <c r="AK22">
        <f>IF(AND($A22&lt;&gt;"",AK$3&gt;=$J22,AK$3&lt;=$M22),1,"")</f>
        <v/>
      </c>
      <c r="AL22">
        <f>IF(AND($A22&lt;&gt;"",AL$3&gt;=$J22,AL$3&lt;=$M22),1,"")</f>
        <v/>
      </c>
      <c r="AM22">
        <f>IF(AND($A22&lt;&gt;"",AM$3&gt;=$J22,AM$3&lt;=$M22),1,"")</f>
        <v/>
      </c>
      <c r="AN22">
        <f>IF(AND($A22&lt;&gt;"",AN$3&gt;=$J22,AN$3&lt;=$M22),1,"")</f>
        <v/>
      </c>
      <c r="AO22">
        <f>IF(AND($A22&lt;&gt;"",AO$3&gt;=$J22,AO$3&lt;=$M22),1,"")</f>
        <v/>
      </c>
      <c r="AP22">
        <f>IF(AND($A22&lt;&gt;"",AP$3&gt;=$J22,AP$3&lt;=$M22),1,"")</f>
        <v/>
      </c>
      <c r="AQ22">
        <f>IF(AND($A22&lt;&gt;"",AQ$3&gt;=$J22,AQ$3&lt;=$M22),1,"")</f>
        <v/>
      </c>
      <c r="AR22">
        <f>IF(AND($A22&lt;&gt;"",AR$3&gt;=$J22,AR$3&lt;=$M22),1,"")</f>
        <v/>
      </c>
      <c r="AS22">
        <f>IF(AND($A22&lt;&gt;"",AS$3&gt;=$J22,AS$3&lt;=$M22),1,"")</f>
        <v/>
      </c>
      <c r="AT22">
        <f>IF(AND($A22&lt;&gt;"",AT$3&gt;=$J22,AT$3&lt;=$M22),1,"")</f>
        <v/>
      </c>
      <c r="AU22">
        <f>IF(AND($A22&lt;&gt;"",AU$3&gt;=$J22,AU$3&lt;=$M22),1,"")</f>
        <v/>
      </c>
      <c r="AV22">
        <f>IF(AND($A22&lt;&gt;"",AV$3&gt;=$J22,AV$3&lt;=$M22),1,"")</f>
        <v/>
      </c>
      <c r="AW22">
        <f>IF(AND($A22&lt;&gt;"",AW$3&gt;=$J22,AW$3&lt;=$M22),1,"")</f>
        <v/>
      </c>
      <c r="AX22">
        <f>IF(AND($A22&lt;&gt;"",AX$3&gt;=$J22,AX$3&lt;=$M22),1,"")</f>
        <v/>
      </c>
      <c r="AY22">
        <f>IF(AND($A22&lt;&gt;"",AY$3&gt;=$J22,AY$3&lt;=$M22),1,"")</f>
        <v/>
      </c>
      <c r="AZ22">
        <f>IF(AND($A22&lt;&gt;"",AZ$3&gt;=$J22,AZ$3&lt;=$M22),1,"")</f>
        <v/>
      </c>
      <c r="BA22">
        <f>IF(AND($A22&lt;&gt;"",BA$3&gt;=$J22,BA$3&lt;=$M22),1,"")</f>
        <v/>
      </c>
      <c r="BB22">
        <f>IF(AND($A22&lt;&gt;"",BB$3&gt;=$J22,BB$3&lt;=$M22),1,"")</f>
        <v/>
      </c>
      <c r="BC22">
        <f>IF(AND($A22&lt;&gt;"",BC$3&gt;=$J22,BC$3&lt;=$M22),1,"")</f>
        <v/>
      </c>
      <c r="BD22">
        <f>IF(AND($A22&lt;&gt;"",BD$3&gt;=$J22,BD$3&lt;=$M22),1,"")</f>
        <v/>
      </c>
      <c r="BE22">
        <f>IF(AND($A22&lt;&gt;"",BE$3&gt;=$J22,BE$3&lt;=$M22),1,"")</f>
        <v/>
      </c>
      <c r="BF22">
        <f>IF(AND($A22&lt;&gt;"",BF$3&gt;=$J22,BF$3&lt;=$M22),1,"")</f>
        <v/>
      </c>
      <c r="BG22">
        <f>IF(AND($A22&lt;&gt;"",BG$3&gt;=$J22,BG$3&lt;=$M22),1,"")</f>
        <v/>
      </c>
      <c r="BH22">
        <f>IF(AND($A22&lt;&gt;"",BH$3&gt;=$J22,BH$3&lt;=$M22),1,"")</f>
        <v/>
      </c>
      <c r="BI22">
        <f>IF(AND($A22&lt;&gt;"",BI$3&gt;=$J22,BI$3&lt;=$M22),1,"")</f>
        <v/>
      </c>
      <c r="BJ22">
        <f>IF(AND($A22&lt;&gt;"",BJ$3&gt;=$J22,BJ$3&lt;=$M22),1,"")</f>
        <v/>
      </c>
      <c r="BK22">
        <f>IF(AND($A22&lt;&gt;"",BK$3&gt;=$J22,BK$3&lt;=$M22),1,"")</f>
        <v/>
      </c>
      <c r="BL22">
        <f>IF(AND($A22&lt;&gt;"",BL$3&gt;=$J22,BL$3&lt;=$M22),1,"")</f>
        <v/>
      </c>
      <c r="BM22">
        <f>IF(AND($A22&lt;&gt;"",BM$3&gt;=$J22,BM$3&lt;=$M22),1,"")</f>
        <v/>
      </c>
      <c r="BN22">
        <f>IF(AND($A22&lt;&gt;"",BN$3&gt;=$J22,BN$3&lt;=$M22),1,"")</f>
        <v/>
      </c>
      <c r="BO22">
        <f>IF(AND($A22&lt;&gt;"",BO$3&gt;=$J22,BO$3&lt;=$M22),1,"")</f>
        <v/>
      </c>
      <c r="BP22">
        <f>IF(AND($A22&lt;&gt;"",BP$3&gt;=$J22,BP$3&lt;=$M22),1,"")</f>
        <v/>
      </c>
      <c r="BQ22">
        <f>IF(AND($A22&lt;&gt;"",BQ$3&gt;=$J22,BQ$3&lt;=$M22),1,"")</f>
        <v/>
      </c>
      <c r="BR22">
        <f>IF(AND($A22&lt;&gt;"",BR$3&gt;=$J22,BR$3&lt;=$M22),1,"")</f>
        <v/>
      </c>
      <c r="BS22">
        <f>IF(AND($A22&lt;&gt;"",BS$3&gt;=$J22,BS$3&lt;=$M22),1,"")</f>
        <v/>
      </c>
      <c r="BT22">
        <f>IF(AND($A22&lt;&gt;"",BT$3&gt;=$J22,BT$3&lt;=$M22),1,"")</f>
        <v/>
      </c>
      <c r="BU22">
        <f>IF(AND($A22&lt;&gt;"",BU$3&gt;=$J22,BU$3&lt;=$M22),1,"")</f>
        <v/>
      </c>
      <c r="BV22">
        <f>IF(AND($A22&lt;&gt;"",BV$3&gt;=$J22,BV$3&lt;=$M22),1,"")</f>
        <v/>
      </c>
    </row>
    <row r="23">
      <c r="A23">
        <f>IF(Job_Master_Ring!$A23="","",Job_Master_Ring!$A23)</f>
        <v/>
      </c>
      <c r="B23">
        <f>IF($A23="","",Job_Master_Ring!B23)</f>
        <v/>
      </c>
      <c r="C23">
        <f>IF($A23="","",Job_Master_Ring!C23)</f>
        <v/>
      </c>
      <c r="D23">
        <f>IF($A23="","",Job_Master_Ring!D23)</f>
        <v/>
      </c>
      <c r="E23">
        <f>IF($A23="","",IF($I23&lt;&gt;"",$I23,IFERROR(INDEX(Machine_List!$B$72:$B$81,MATCH(1,(Machine_List!$H$72:$H$81&lt;=IFERROR(VLOOKUP($B23,CHOOSE(MATCH($C23,Settings!$L$4:$L$10,0),OPR_BR1!$A$4:$K$18,OPR_BR2!$A$4:$K$18,OPR_CR2!$A$4:$K$18,OPR_CR3!$A$4:$K$18,OPR_CR4!$A$4:$K$18,OPR_RIM!$A$4:$K$18,OPR_BPR!$A$4:$K$18),10,0),0))*(Machine_List!$I$72:$I$81&gt;=IFERROR(VLOOKUP($B23,CHOOSE(MATCH($C23,Settings!$L$4:$L$10,0),OPR_BR1!$A$4:$K$18,OPR_BR2!$A$4:$K$18,OPR_CR2!$A$4:$K$18,OPR_CR3!$A$4:$K$18,OPR_CR4!$A$4:$K$18,OPR_RIM!$A$4:$K$18,OPR_BPR!$A$4:$K$18),11,0),9999)),0)),"NO COMPATIBLE MACHINE")))</f>
        <v/>
      </c>
      <c r="F23">
        <f>IF($E23="","",IFERROR(VLOOKUP($E23,Machine_List!$B:$G,6,0),""))</f>
        <v/>
      </c>
      <c r="G23" s="17">
        <f>IF($E23="","",IFERROR(VLOOKUP($E23,Machine_List!$B:$C,2,0),""))</f>
        <v/>
      </c>
      <c r="H23">
        <f>IF($E23="","",IFERROR(VLOOKUP($E23,Machine_List!$B:$D,3,0),""))</f>
        <v/>
      </c>
      <c r="J23" s="16">
        <f>IF($A23="","",IF($I23&lt;&gt;"",$I23,MAX(VENT_Plan!$M23,IFERROR(LOOKUP(2,1/($E$3:INDIRECT("E"&amp;(ROW()-1))=$E23),$M$3:INDIRECT("M"&amp;(ROW()-1))),VENT_Plan!$M23))))</f>
        <v/>
      </c>
      <c r="K23">
        <f>IF($A23="","",IFERROR(VLOOKUP(B23,CHOOSE(MATCH($C23,Settings!$L$4:$L$10,0),OPR_BR1!$A$4:$I$18,OPR_BR2!$A$4:$I$18,OPR_CR2!$A$4:$I$18,OPR_CR3!$A$4:$I$18,OPR_CR4!$A$4:$I$18,OPR_RIM!$A$4:$I$18,OPR_BPR!$A$4:$I$18),8,0),0))</f>
        <v/>
      </c>
      <c r="L23">
        <f>IF($A23="","",K23*D23)</f>
        <v/>
      </c>
      <c r="M23" s="16">
        <f>IF($A23="","",IF(AND(ISNUMBER(G23),G23&gt;=J23,G23&lt;=(J23+(L23/(IF(F23="Contract Workman",Settings!$K$5,Settings!$K$4))))),J23+(L23/(IF(F23="Contract Workman",Settings!$K$5,Settings!$K$4)))+(H23/(IF(F23="Contract Workman",Settings!$K$5,Settings!$K$4))),J23+(L23/(IF(F23="Contract Workman",Settings!$K$5,Settings!$K$4)))))</f>
        <v/>
      </c>
      <c r="N23">
        <f>IF($A23="","",IF(F23="Contract Workman",IF(AND(MOD(M23,1)&gt;=8/24,MOD(M23,1)&lt;20/24),"Shift S1","Shift S2"),IF(AND(MOD(M23,1)&gt;=7/24,MOD(M23,1)&lt;15/24),"Shift A",IF(AND(MOD(M23,1)&gt;=15/24,MOD(M23,1)&lt;23/24),"Shift B","Shift C"))))</f>
        <v/>
      </c>
      <c r="O23">
        <f>IF(B23="","",IF(IFERROR(ISNUMBER(SEARCH(TEXT(B23,"0"),VLOOKUP(E23,Machine_List!$B:$J,9,0))),FALSE),"✅ "&amp; E23,"❌ Sug: "&amp;IFERROR(INDEX(Machine_List!$B$72:$B$81,MATCH(1,(Machine_List!$H$72:$H$81&lt;=IFERROR(VLOOKUP($B23,OPR_BR1!$A$4:$K$18,10,0),0))*(Machine_List!$I$72:$I$81&gt;=IFERROR(VLOOKUP($B23,OPR_BR1!$A$4:$K$18,11,0),9999)),0)),"?")))</f>
        <v/>
      </c>
      <c r="P23">
        <f>IF(AND($A23&lt;&gt;"",P$3&gt;=$J23,P$3&lt;=$M23),1,"")</f>
        <v/>
      </c>
      <c r="Q23">
        <f>IF(AND($A23&lt;&gt;"",Q$3&gt;=$J23,Q$3&lt;=$M23),1,"")</f>
        <v/>
      </c>
      <c r="R23">
        <f>IF(AND($A23&lt;&gt;"",R$3&gt;=$J23,R$3&lt;=$M23),1,"")</f>
        <v/>
      </c>
      <c r="S23">
        <f>IF(AND($A23&lt;&gt;"",S$3&gt;=$J23,S$3&lt;=$M23),1,"")</f>
        <v/>
      </c>
      <c r="T23">
        <f>IF(AND($A23&lt;&gt;"",T$3&gt;=$J23,T$3&lt;=$M23),1,"")</f>
        <v/>
      </c>
      <c r="U23">
        <f>IF(AND($A23&lt;&gt;"",U$3&gt;=$J23,U$3&lt;=$M23),1,"")</f>
        <v/>
      </c>
      <c r="V23">
        <f>IF(AND($A23&lt;&gt;"",V$3&gt;=$J23,V$3&lt;=$M23),1,"")</f>
        <v/>
      </c>
      <c r="W23">
        <f>IF(AND($A23&lt;&gt;"",W$3&gt;=$J23,W$3&lt;=$M23),1,"")</f>
        <v/>
      </c>
      <c r="X23">
        <f>IF(AND($A23&lt;&gt;"",X$3&gt;=$J23,X$3&lt;=$M23),1,"")</f>
        <v/>
      </c>
      <c r="Y23">
        <f>IF(AND($A23&lt;&gt;"",Y$3&gt;=$J23,Y$3&lt;=$M23),1,"")</f>
        <v/>
      </c>
      <c r="Z23">
        <f>IF(AND($A23&lt;&gt;"",Z$3&gt;=$J23,Z$3&lt;=$M23),1,"")</f>
        <v/>
      </c>
      <c r="AA23">
        <f>IF(AND($A23&lt;&gt;"",AA$3&gt;=$J23,AA$3&lt;=$M23),1,"")</f>
        <v/>
      </c>
      <c r="AB23">
        <f>IF(AND($A23&lt;&gt;"",AB$3&gt;=$J23,AB$3&lt;=$M23),1,"")</f>
        <v/>
      </c>
      <c r="AC23">
        <f>IF(AND($A23&lt;&gt;"",AC$3&gt;=$J23,AC$3&lt;=$M23),1,"")</f>
        <v/>
      </c>
      <c r="AD23">
        <f>IF(AND($A23&lt;&gt;"",AD$3&gt;=$J23,AD$3&lt;=$M23),1,"")</f>
        <v/>
      </c>
      <c r="AE23">
        <f>IF(AND($A23&lt;&gt;"",AE$3&gt;=$J23,AE$3&lt;=$M23),1,"")</f>
        <v/>
      </c>
      <c r="AF23">
        <f>IF(AND($A23&lt;&gt;"",AF$3&gt;=$J23,AF$3&lt;=$M23),1,"")</f>
        <v/>
      </c>
      <c r="AG23">
        <f>IF(AND($A23&lt;&gt;"",AG$3&gt;=$J23,AG$3&lt;=$M23),1,"")</f>
        <v/>
      </c>
      <c r="AH23">
        <f>IF(AND($A23&lt;&gt;"",AH$3&gt;=$J23,AH$3&lt;=$M23),1,"")</f>
        <v/>
      </c>
      <c r="AI23">
        <f>IF(AND($A23&lt;&gt;"",AI$3&gt;=$J23,AI$3&lt;=$M23),1,"")</f>
        <v/>
      </c>
      <c r="AJ23">
        <f>IF(AND($A23&lt;&gt;"",AJ$3&gt;=$J23,AJ$3&lt;=$M23),1,"")</f>
        <v/>
      </c>
      <c r="AK23">
        <f>IF(AND($A23&lt;&gt;"",AK$3&gt;=$J23,AK$3&lt;=$M23),1,"")</f>
        <v/>
      </c>
      <c r="AL23">
        <f>IF(AND($A23&lt;&gt;"",AL$3&gt;=$J23,AL$3&lt;=$M23),1,"")</f>
        <v/>
      </c>
      <c r="AM23">
        <f>IF(AND($A23&lt;&gt;"",AM$3&gt;=$J23,AM$3&lt;=$M23),1,"")</f>
        <v/>
      </c>
      <c r="AN23">
        <f>IF(AND($A23&lt;&gt;"",AN$3&gt;=$J23,AN$3&lt;=$M23),1,"")</f>
        <v/>
      </c>
      <c r="AO23">
        <f>IF(AND($A23&lt;&gt;"",AO$3&gt;=$J23,AO$3&lt;=$M23),1,"")</f>
        <v/>
      </c>
      <c r="AP23">
        <f>IF(AND($A23&lt;&gt;"",AP$3&gt;=$J23,AP$3&lt;=$M23),1,"")</f>
        <v/>
      </c>
      <c r="AQ23">
        <f>IF(AND($A23&lt;&gt;"",AQ$3&gt;=$J23,AQ$3&lt;=$M23),1,"")</f>
        <v/>
      </c>
      <c r="AR23">
        <f>IF(AND($A23&lt;&gt;"",AR$3&gt;=$J23,AR$3&lt;=$M23),1,"")</f>
        <v/>
      </c>
      <c r="AS23">
        <f>IF(AND($A23&lt;&gt;"",AS$3&gt;=$J23,AS$3&lt;=$M23),1,"")</f>
        <v/>
      </c>
      <c r="AT23">
        <f>IF(AND($A23&lt;&gt;"",AT$3&gt;=$J23,AT$3&lt;=$M23),1,"")</f>
        <v/>
      </c>
      <c r="AU23">
        <f>IF(AND($A23&lt;&gt;"",AU$3&gt;=$J23,AU$3&lt;=$M23),1,"")</f>
        <v/>
      </c>
      <c r="AV23">
        <f>IF(AND($A23&lt;&gt;"",AV$3&gt;=$J23,AV$3&lt;=$M23),1,"")</f>
        <v/>
      </c>
      <c r="AW23">
        <f>IF(AND($A23&lt;&gt;"",AW$3&gt;=$J23,AW$3&lt;=$M23),1,"")</f>
        <v/>
      </c>
      <c r="AX23">
        <f>IF(AND($A23&lt;&gt;"",AX$3&gt;=$J23,AX$3&lt;=$M23),1,"")</f>
        <v/>
      </c>
      <c r="AY23">
        <f>IF(AND($A23&lt;&gt;"",AY$3&gt;=$J23,AY$3&lt;=$M23),1,"")</f>
        <v/>
      </c>
      <c r="AZ23">
        <f>IF(AND($A23&lt;&gt;"",AZ$3&gt;=$J23,AZ$3&lt;=$M23),1,"")</f>
        <v/>
      </c>
      <c r="BA23">
        <f>IF(AND($A23&lt;&gt;"",BA$3&gt;=$J23,BA$3&lt;=$M23),1,"")</f>
        <v/>
      </c>
      <c r="BB23">
        <f>IF(AND($A23&lt;&gt;"",BB$3&gt;=$J23,BB$3&lt;=$M23),1,"")</f>
        <v/>
      </c>
      <c r="BC23">
        <f>IF(AND($A23&lt;&gt;"",BC$3&gt;=$J23,BC$3&lt;=$M23),1,"")</f>
        <v/>
      </c>
      <c r="BD23">
        <f>IF(AND($A23&lt;&gt;"",BD$3&gt;=$J23,BD$3&lt;=$M23),1,"")</f>
        <v/>
      </c>
      <c r="BE23">
        <f>IF(AND($A23&lt;&gt;"",BE$3&gt;=$J23,BE$3&lt;=$M23),1,"")</f>
        <v/>
      </c>
      <c r="BF23">
        <f>IF(AND($A23&lt;&gt;"",BF$3&gt;=$J23,BF$3&lt;=$M23),1,"")</f>
        <v/>
      </c>
      <c r="BG23">
        <f>IF(AND($A23&lt;&gt;"",BG$3&gt;=$J23,BG$3&lt;=$M23),1,"")</f>
        <v/>
      </c>
      <c r="BH23">
        <f>IF(AND($A23&lt;&gt;"",BH$3&gt;=$J23,BH$3&lt;=$M23),1,"")</f>
        <v/>
      </c>
      <c r="BI23">
        <f>IF(AND($A23&lt;&gt;"",BI$3&gt;=$J23,BI$3&lt;=$M23),1,"")</f>
        <v/>
      </c>
      <c r="BJ23">
        <f>IF(AND($A23&lt;&gt;"",BJ$3&gt;=$J23,BJ$3&lt;=$M23),1,"")</f>
        <v/>
      </c>
      <c r="BK23">
        <f>IF(AND($A23&lt;&gt;"",BK$3&gt;=$J23,BK$3&lt;=$M23),1,"")</f>
        <v/>
      </c>
      <c r="BL23">
        <f>IF(AND($A23&lt;&gt;"",BL$3&gt;=$J23,BL$3&lt;=$M23),1,"")</f>
        <v/>
      </c>
      <c r="BM23">
        <f>IF(AND($A23&lt;&gt;"",BM$3&gt;=$J23,BM$3&lt;=$M23),1,"")</f>
        <v/>
      </c>
      <c r="BN23">
        <f>IF(AND($A23&lt;&gt;"",BN$3&gt;=$J23,BN$3&lt;=$M23),1,"")</f>
        <v/>
      </c>
      <c r="BO23">
        <f>IF(AND($A23&lt;&gt;"",BO$3&gt;=$J23,BO$3&lt;=$M23),1,"")</f>
        <v/>
      </c>
      <c r="BP23">
        <f>IF(AND($A23&lt;&gt;"",BP$3&gt;=$J23,BP$3&lt;=$M23),1,"")</f>
        <v/>
      </c>
      <c r="BQ23">
        <f>IF(AND($A23&lt;&gt;"",BQ$3&gt;=$J23,BQ$3&lt;=$M23),1,"")</f>
        <v/>
      </c>
      <c r="BR23">
        <f>IF(AND($A23&lt;&gt;"",BR$3&gt;=$J23,BR$3&lt;=$M23),1,"")</f>
        <v/>
      </c>
      <c r="BS23">
        <f>IF(AND($A23&lt;&gt;"",BS$3&gt;=$J23,BS$3&lt;=$M23),1,"")</f>
        <v/>
      </c>
      <c r="BT23">
        <f>IF(AND($A23&lt;&gt;"",BT$3&gt;=$J23,BT$3&lt;=$M23),1,"")</f>
        <v/>
      </c>
      <c r="BU23">
        <f>IF(AND($A23&lt;&gt;"",BU$3&gt;=$J23,BU$3&lt;=$M23),1,"")</f>
        <v/>
      </c>
      <c r="BV23">
        <f>IF(AND($A23&lt;&gt;"",BV$3&gt;=$J23,BV$3&lt;=$M23),1,"")</f>
        <v/>
      </c>
    </row>
    <row r="24">
      <c r="A24">
        <f>IF(Job_Master_Ring!$A24="","",Job_Master_Ring!$A24)</f>
        <v/>
      </c>
      <c r="B24">
        <f>IF($A24="","",Job_Master_Ring!B24)</f>
        <v/>
      </c>
      <c r="C24">
        <f>IF($A24="","",Job_Master_Ring!C24)</f>
        <v/>
      </c>
      <c r="D24">
        <f>IF($A24="","",Job_Master_Ring!D24)</f>
        <v/>
      </c>
      <c r="E24">
        <f>IF($A24="","",IF($I24&lt;&gt;"",$I24,IFERROR(INDEX(Machine_List!$B$72:$B$81,MATCH(1,(Machine_List!$H$72:$H$81&lt;=IFERROR(VLOOKUP($B24,CHOOSE(MATCH($C24,Settings!$L$4:$L$10,0),OPR_BR1!$A$4:$K$18,OPR_BR2!$A$4:$K$18,OPR_CR2!$A$4:$K$18,OPR_CR3!$A$4:$K$18,OPR_CR4!$A$4:$K$18,OPR_RIM!$A$4:$K$18,OPR_BPR!$A$4:$K$18),10,0),0))*(Machine_List!$I$72:$I$81&gt;=IFERROR(VLOOKUP($B24,CHOOSE(MATCH($C24,Settings!$L$4:$L$10,0),OPR_BR1!$A$4:$K$18,OPR_BR2!$A$4:$K$18,OPR_CR2!$A$4:$K$18,OPR_CR3!$A$4:$K$18,OPR_CR4!$A$4:$K$18,OPR_RIM!$A$4:$K$18,OPR_BPR!$A$4:$K$18),11,0),9999)),0)),"NO COMPATIBLE MACHINE")))</f>
        <v/>
      </c>
      <c r="F24">
        <f>IF($E24="","",IFERROR(VLOOKUP($E24,Machine_List!$B:$G,6,0),""))</f>
        <v/>
      </c>
      <c r="G24" s="17">
        <f>IF($E24="","",IFERROR(VLOOKUP($E24,Machine_List!$B:$C,2,0),""))</f>
        <v/>
      </c>
      <c r="H24">
        <f>IF($E24="","",IFERROR(VLOOKUP($E24,Machine_List!$B:$D,3,0),""))</f>
        <v/>
      </c>
      <c r="J24" s="16">
        <f>IF($A24="","",IF($I24&lt;&gt;"",$I24,MAX(VENT_Plan!$M24,IFERROR(LOOKUP(2,1/($E$3:INDIRECT("E"&amp;(ROW()-1))=$E24),$M$3:INDIRECT("M"&amp;(ROW()-1))),VENT_Plan!$M24))))</f>
        <v/>
      </c>
      <c r="K24">
        <f>IF($A24="","",IFERROR(VLOOKUP(B24,CHOOSE(MATCH($C24,Settings!$L$4:$L$10,0),OPR_BR1!$A$4:$I$18,OPR_BR2!$A$4:$I$18,OPR_CR2!$A$4:$I$18,OPR_CR3!$A$4:$I$18,OPR_CR4!$A$4:$I$18,OPR_RIM!$A$4:$I$18,OPR_BPR!$A$4:$I$18),8,0),0))</f>
        <v/>
      </c>
      <c r="L24">
        <f>IF($A24="","",K24*D24)</f>
        <v/>
      </c>
      <c r="M24" s="16">
        <f>IF($A24="","",IF(AND(ISNUMBER(G24),G24&gt;=J24,G24&lt;=(J24+(L24/(IF(F24="Contract Workman",Settings!$K$5,Settings!$K$4))))),J24+(L24/(IF(F24="Contract Workman",Settings!$K$5,Settings!$K$4)))+(H24/(IF(F24="Contract Workman",Settings!$K$5,Settings!$K$4))),J24+(L24/(IF(F24="Contract Workman",Settings!$K$5,Settings!$K$4)))))</f>
        <v/>
      </c>
      <c r="N24">
        <f>IF($A24="","",IF(F24="Contract Workman",IF(AND(MOD(M24,1)&gt;=8/24,MOD(M24,1)&lt;20/24),"Shift S1","Shift S2"),IF(AND(MOD(M24,1)&gt;=7/24,MOD(M24,1)&lt;15/24),"Shift A",IF(AND(MOD(M24,1)&gt;=15/24,MOD(M24,1)&lt;23/24),"Shift B","Shift C"))))</f>
        <v/>
      </c>
      <c r="O24">
        <f>IF(B24="","",IF(IFERROR(ISNUMBER(SEARCH(TEXT(B24,"0"),VLOOKUP(E24,Machine_List!$B:$J,9,0))),FALSE),"✅ "&amp; E24,"❌ Sug: "&amp;IFERROR(INDEX(Machine_List!$B$72:$B$81,MATCH(1,(Machine_List!$H$72:$H$81&lt;=IFERROR(VLOOKUP($B24,OPR_BR1!$A$4:$K$18,10,0),0))*(Machine_List!$I$72:$I$81&gt;=IFERROR(VLOOKUP($B24,OPR_BR1!$A$4:$K$18,11,0),9999)),0)),"?")))</f>
        <v/>
      </c>
      <c r="P24">
        <f>IF(AND($A24&lt;&gt;"",P$3&gt;=$J24,P$3&lt;=$M24),1,"")</f>
        <v/>
      </c>
      <c r="Q24">
        <f>IF(AND($A24&lt;&gt;"",Q$3&gt;=$J24,Q$3&lt;=$M24),1,"")</f>
        <v/>
      </c>
      <c r="R24">
        <f>IF(AND($A24&lt;&gt;"",R$3&gt;=$J24,R$3&lt;=$M24),1,"")</f>
        <v/>
      </c>
      <c r="S24">
        <f>IF(AND($A24&lt;&gt;"",S$3&gt;=$J24,S$3&lt;=$M24),1,"")</f>
        <v/>
      </c>
      <c r="T24">
        <f>IF(AND($A24&lt;&gt;"",T$3&gt;=$J24,T$3&lt;=$M24),1,"")</f>
        <v/>
      </c>
      <c r="U24">
        <f>IF(AND($A24&lt;&gt;"",U$3&gt;=$J24,U$3&lt;=$M24),1,"")</f>
        <v/>
      </c>
      <c r="V24">
        <f>IF(AND($A24&lt;&gt;"",V$3&gt;=$J24,V$3&lt;=$M24),1,"")</f>
        <v/>
      </c>
      <c r="W24">
        <f>IF(AND($A24&lt;&gt;"",W$3&gt;=$J24,W$3&lt;=$M24),1,"")</f>
        <v/>
      </c>
      <c r="X24">
        <f>IF(AND($A24&lt;&gt;"",X$3&gt;=$J24,X$3&lt;=$M24),1,"")</f>
        <v/>
      </c>
      <c r="Y24">
        <f>IF(AND($A24&lt;&gt;"",Y$3&gt;=$J24,Y$3&lt;=$M24),1,"")</f>
        <v/>
      </c>
      <c r="Z24">
        <f>IF(AND($A24&lt;&gt;"",Z$3&gt;=$J24,Z$3&lt;=$M24),1,"")</f>
        <v/>
      </c>
      <c r="AA24">
        <f>IF(AND($A24&lt;&gt;"",AA$3&gt;=$J24,AA$3&lt;=$M24),1,"")</f>
        <v/>
      </c>
      <c r="AB24">
        <f>IF(AND($A24&lt;&gt;"",AB$3&gt;=$J24,AB$3&lt;=$M24),1,"")</f>
        <v/>
      </c>
      <c r="AC24">
        <f>IF(AND($A24&lt;&gt;"",AC$3&gt;=$J24,AC$3&lt;=$M24),1,"")</f>
        <v/>
      </c>
      <c r="AD24">
        <f>IF(AND($A24&lt;&gt;"",AD$3&gt;=$J24,AD$3&lt;=$M24),1,"")</f>
        <v/>
      </c>
      <c r="AE24">
        <f>IF(AND($A24&lt;&gt;"",AE$3&gt;=$J24,AE$3&lt;=$M24),1,"")</f>
        <v/>
      </c>
      <c r="AF24">
        <f>IF(AND($A24&lt;&gt;"",AF$3&gt;=$J24,AF$3&lt;=$M24),1,"")</f>
        <v/>
      </c>
      <c r="AG24">
        <f>IF(AND($A24&lt;&gt;"",AG$3&gt;=$J24,AG$3&lt;=$M24),1,"")</f>
        <v/>
      </c>
      <c r="AH24">
        <f>IF(AND($A24&lt;&gt;"",AH$3&gt;=$J24,AH$3&lt;=$M24),1,"")</f>
        <v/>
      </c>
      <c r="AI24">
        <f>IF(AND($A24&lt;&gt;"",AI$3&gt;=$J24,AI$3&lt;=$M24),1,"")</f>
        <v/>
      </c>
      <c r="AJ24">
        <f>IF(AND($A24&lt;&gt;"",AJ$3&gt;=$J24,AJ$3&lt;=$M24),1,"")</f>
        <v/>
      </c>
      <c r="AK24">
        <f>IF(AND($A24&lt;&gt;"",AK$3&gt;=$J24,AK$3&lt;=$M24),1,"")</f>
        <v/>
      </c>
      <c r="AL24">
        <f>IF(AND($A24&lt;&gt;"",AL$3&gt;=$J24,AL$3&lt;=$M24),1,"")</f>
        <v/>
      </c>
      <c r="AM24">
        <f>IF(AND($A24&lt;&gt;"",AM$3&gt;=$J24,AM$3&lt;=$M24),1,"")</f>
        <v/>
      </c>
      <c r="AN24">
        <f>IF(AND($A24&lt;&gt;"",AN$3&gt;=$J24,AN$3&lt;=$M24),1,"")</f>
        <v/>
      </c>
      <c r="AO24">
        <f>IF(AND($A24&lt;&gt;"",AO$3&gt;=$J24,AO$3&lt;=$M24),1,"")</f>
        <v/>
      </c>
      <c r="AP24">
        <f>IF(AND($A24&lt;&gt;"",AP$3&gt;=$J24,AP$3&lt;=$M24),1,"")</f>
        <v/>
      </c>
      <c r="AQ24">
        <f>IF(AND($A24&lt;&gt;"",AQ$3&gt;=$J24,AQ$3&lt;=$M24),1,"")</f>
        <v/>
      </c>
      <c r="AR24">
        <f>IF(AND($A24&lt;&gt;"",AR$3&gt;=$J24,AR$3&lt;=$M24),1,"")</f>
        <v/>
      </c>
      <c r="AS24">
        <f>IF(AND($A24&lt;&gt;"",AS$3&gt;=$J24,AS$3&lt;=$M24),1,"")</f>
        <v/>
      </c>
      <c r="AT24">
        <f>IF(AND($A24&lt;&gt;"",AT$3&gt;=$J24,AT$3&lt;=$M24),1,"")</f>
        <v/>
      </c>
      <c r="AU24">
        <f>IF(AND($A24&lt;&gt;"",AU$3&gt;=$J24,AU$3&lt;=$M24),1,"")</f>
        <v/>
      </c>
      <c r="AV24">
        <f>IF(AND($A24&lt;&gt;"",AV$3&gt;=$J24,AV$3&lt;=$M24),1,"")</f>
        <v/>
      </c>
      <c r="AW24">
        <f>IF(AND($A24&lt;&gt;"",AW$3&gt;=$J24,AW$3&lt;=$M24),1,"")</f>
        <v/>
      </c>
      <c r="AX24">
        <f>IF(AND($A24&lt;&gt;"",AX$3&gt;=$J24,AX$3&lt;=$M24),1,"")</f>
        <v/>
      </c>
      <c r="AY24">
        <f>IF(AND($A24&lt;&gt;"",AY$3&gt;=$J24,AY$3&lt;=$M24),1,"")</f>
        <v/>
      </c>
      <c r="AZ24">
        <f>IF(AND($A24&lt;&gt;"",AZ$3&gt;=$J24,AZ$3&lt;=$M24),1,"")</f>
        <v/>
      </c>
      <c r="BA24">
        <f>IF(AND($A24&lt;&gt;"",BA$3&gt;=$J24,BA$3&lt;=$M24),1,"")</f>
        <v/>
      </c>
      <c r="BB24">
        <f>IF(AND($A24&lt;&gt;"",BB$3&gt;=$J24,BB$3&lt;=$M24),1,"")</f>
        <v/>
      </c>
      <c r="BC24">
        <f>IF(AND($A24&lt;&gt;"",BC$3&gt;=$J24,BC$3&lt;=$M24),1,"")</f>
        <v/>
      </c>
      <c r="BD24">
        <f>IF(AND($A24&lt;&gt;"",BD$3&gt;=$J24,BD$3&lt;=$M24),1,"")</f>
        <v/>
      </c>
      <c r="BE24">
        <f>IF(AND($A24&lt;&gt;"",BE$3&gt;=$J24,BE$3&lt;=$M24),1,"")</f>
        <v/>
      </c>
      <c r="BF24">
        <f>IF(AND($A24&lt;&gt;"",BF$3&gt;=$J24,BF$3&lt;=$M24),1,"")</f>
        <v/>
      </c>
      <c r="BG24">
        <f>IF(AND($A24&lt;&gt;"",BG$3&gt;=$J24,BG$3&lt;=$M24),1,"")</f>
        <v/>
      </c>
      <c r="BH24">
        <f>IF(AND($A24&lt;&gt;"",BH$3&gt;=$J24,BH$3&lt;=$M24),1,"")</f>
        <v/>
      </c>
      <c r="BI24">
        <f>IF(AND($A24&lt;&gt;"",BI$3&gt;=$J24,BI$3&lt;=$M24),1,"")</f>
        <v/>
      </c>
      <c r="BJ24">
        <f>IF(AND($A24&lt;&gt;"",BJ$3&gt;=$J24,BJ$3&lt;=$M24),1,"")</f>
        <v/>
      </c>
      <c r="BK24">
        <f>IF(AND($A24&lt;&gt;"",BK$3&gt;=$J24,BK$3&lt;=$M24),1,"")</f>
        <v/>
      </c>
      <c r="BL24">
        <f>IF(AND($A24&lt;&gt;"",BL$3&gt;=$J24,BL$3&lt;=$M24),1,"")</f>
        <v/>
      </c>
      <c r="BM24">
        <f>IF(AND($A24&lt;&gt;"",BM$3&gt;=$J24,BM$3&lt;=$M24),1,"")</f>
        <v/>
      </c>
      <c r="BN24">
        <f>IF(AND($A24&lt;&gt;"",BN$3&gt;=$J24,BN$3&lt;=$M24),1,"")</f>
        <v/>
      </c>
      <c r="BO24">
        <f>IF(AND($A24&lt;&gt;"",BO$3&gt;=$J24,BO$3&lt;=$M24),1,"")</f>
        <v/>
      </c>
      <c r="BP24">
        <f>IF(AND($A24&lt;&gt;"",BP$3&gt;=$J24,BP$3&lt;=$M24),1,"")</f>
        <v/>
      </c>
      <c r="BQ24">
        <f>IF(AND($A24&lt;&gt;"",BQ$3&gt;=$J24,BQ$3&lt;=$M24),1,"")</f>
        <v/>
      </c>
      <c r="BR24">
        <f>IF(AND($A24&lt;&gt;"",BR$3&gt;=$J24,BR$3&lt;=$M24),1,"")</f>
        <v/>
      </c>
      <c r="BS24">
        <f>IF(AND($A24&lt;&gt;"",BS$3&gt;=$J24,BS$3&lt;=$M24),1,"")</f>
        <v/>
      </c>
      <c r="BT24">
        <f>IF(AND($A24&lt;&gt;"",BT$3&gt;=$J24,BT$3&lt;=$M24),1,"")</f>
        <v/>
      </c>
      <c r="BU24">
        <f>IF(AND($A24&lt;&gt;"",BU$3&gt;=$J24,BU$3&lt;=$M24),1,"")</f>
        <v/>
      </c>
      <c r="BV24">
        <f>IF(AND($A24&lt;&gt;"",BV$3&gt;=$J24,BV$3&lt;=$M24),1,"")</f>
        <v/>
      </c>
    </row>
    <row r="25">
      <c r="A25">
        <f>IF(Job_Master_Ring!$A25="","",Job_Master_Ring!$A25)</f>
        <v/>
      </c>
      <c r="B25">
        <f>IF($A25="","",Job_Master_Ring!B25)</f>
        <v/>
      </c>
      <c r="C25">
        <f>IF($A25="","",Job_Master_Ring!C25)</f>
        <v/>
      </c>
      <c r="D25">
        <f>IF($A25="","",Job_Master_Ring!D25)</f>
        <v/>
      </c>
      <c r="E25">
        <f>IF($A25="","",IF($I25&lt;&gt;"",$I25,IFERROR(INDEX(Machine_List!$B$72:$B$81,MATCH(1,(Machine_List!$H$72:$H$81&lt;=IFERROR(VLOOKUP($B25,CHOOSE(MATCH($C25,Settings!$L$4:$L$10,0),OPR_BR1!$A$4:$K$18,OPR_BR2!$A$4:$K$18,OPR_CR2!$A$4:$K$18,OPR_CR3!$A$4:$K$18,OPR_CR4!$A$4:$K$18,OPR_RIM!$A$4:$K$18,OPR_BPR!$A$4:$K$18),10,0),0))*(Machine_List!$I$72:$I$81&gt;=IFERROR(VLOOKUP($B25,CHOOSE(MATCH($C25,Settings!$L$4:$L$10,0),OPR_BR1!$A$4:$K$18,OPR_BR2!$A$4:$K$18,OPR_CR2!$A$4:$K$18,OPR_CR3!$A$4:$K$18,OPR_CR4!$A$4:$K$18,OPR_RIM!$A$4:$K$18,OPR_BPR!$A$4:$K$18),11,0),9999)),0)),"NO COMPATIBLE MACHINE")))</f>
        <v/>
      </c>
      <c r="F25">
        <f>IF($E25="","",IFERROR(VLOOKUP($E25,Machine_List!$B:$G,6,0),""))</f>
        <v/>
      </c>
      <c r="G25" s="17">
        <f>IF($E25="","",IFERROR(VLOOKUP($E25,Machine_List!$B:$C,2,0),""))</f>
        <v/>
      </c>
      <c r="H25">
        <f>IF($E25="","",IFERROR(VLOOKUP($E25,Machine_List!$B:$D,3,0),""))</f>
        <v/>
      </c>
      <c r="J25" s="16">
        <f>IF($A25="","",IF($I25&lt;&gt;"",$I25,MAX(VENT_Plan!$M25,IFERROR(LOOKUP(2,1/($E$3:INDIRECT("E"&amp;(ROW()-1))=$E25),$M$3:INDIRECT("M"&amp;(ROW()-1))),VENT_Plan!$M25))))</f>
        <v/>
      </c>
      <c r="K25">
        <f>IF($A25="","",IFERROR(VLOOKUP(B25,CHOOSE(MATCH($C25,Settings!$L$4:$L$10,0),OPR_BR1!$A$4:$I$18,OPR_BR2!$A$4:$I$18,OPR_CR2!$A$4:$I$18,OPR_CR3!$A$4:$I$18,OPR_CR4!$A$4:$I$18,OPR_RIM!$A$4:$I$18,OPR_BPR!$A$4:$I$18),8,0),0))</f>
        <v/>
      </c>
      <c r="L25">
        <f>IF($A25="","",K25*D25)</f>
        <v/>
      </c>
      <c r="M25" s="16">
        <f>IF($A25="","",IF(AND(ISNUMBER(G25),G25&gt;=J25,G25&lt;=(J25+(L25/(IF(F25="Contract Workman",Settings!$K$5,Settings!$K$4))))),J25+(L25/(IF(F25="Contract Workman",Settings!$K$5,Settings!$K$4)))+(H25/(IF(F25="Contract Workman",Settings!$K$5,Settings!$K$4))),J25+(L25/(IF(F25="Contract Workman",Settings!$K$5,Settings!$K$4)))))</f>
        <v/>
      </c>
      <c r="N25">
        <f>IF($A25="","",IF(F25="Contract Workman",IF(AND(MOD(M25,1)&gt;=8/24,MOD(M25,1)&lt;20/24),"Shift S1","Shift S2"),IF(AND(MOD(M25,1)&gt;=7/24,MOD(M25,1)&lt;15/24),"Shift A",IF(AND(MOD(M25,1)&gt;=15/24,MOD(M25,1)&lt;23/24),"Shift B","Shift C"))))</f>
        <v/>
      </c>
      <c r="O25">
        <f>IF(B25="","",IF(IFERROR(ISNUMBER(SEARCH(TEXT(B25,"0"),VLOOKUP(E25,Machine_List!$B:$J,9,0))),FALSE),"✅ "&amp; E25,"❌ Sug: "&amp;IFERROR(INDEX(Machine_List!$B$72:$B$81,MATCH(1,(Machine_List!$H$72:$H$81&lt;=IFERROR(VLOOKUP($B25,OPR_BR1!$A$4:$K$18,10,0),0))*(Machine_List!$I$72:$I$81&gt;=IFERROR(VLOOKUP($B25,OPR_BR1!$A$4:$K$18,11,0),9999)),0)),"?")))</f>
        <v/>
      </c>
      <c r="P25">
        <f>IF(AND($A25&lt;&gt;"",P$3&gt;=$J25,P$3&lt;=$M25),1,"")</f>
        <v/>
      </c>
      <c r="Q25">
        <f>IF(AND($A25&lt;&gt;"",Q$3&gt;=$J25,Q$3&lt;=$M25),1,"")</f>
        <v/>
      </c>
      <c r="R25">
        <f>IF(AND($A25&lt;&gt;"",R$3&gt;=$J25,R$3&lt;=$M25),1,"")</f>
        <v/>
      </c>
      <c r="S25">
        <f>IF(AND($A25&lt;&gt;"",S$3&gt;=$J25,S$3&lt;=$M25),1,"")</f>
        <v/>
      </c>
      <c r="T25">
        <f>IF(AND($A25&lt;&gt;"",T$3&gt;=$J25,T$3&lt;=$M25),1,"")</f>
        <v/>
      </c>
      <c r="U25">
        <f>IF(AND($A25&lt;&gt;"",U$3&gt;=$J25,U$3&lt;=$M25),1,"")</f>
        <v/>
      </c>
      <c r="V25">
        <f>IF(AND($A25&lt;&gt;"",V$3&gt;=$J25,V$3&lt;=$M25),1,"")</f>
        <v/>
      </c>
      <c r="W25">
        <f>IF(AND($A25&lt;&gt;"",W$3&gt;=$J25,W$3&lt;=$M25),1,"")</f>
        <v/>
      </c>
      <c r="X25">
        <f>IF(AND($A25&lt;&gt;"",X$3&gt;=$J25,X$3&lt;=$M25),1,"")</f>
        <v/>
      </c>
      <c r="Y25">
        <f>IF(AND($A25&lt;&gt;"",Y$3&gt;=$J25,Y$3&lt;=$M25),1,"")</f>
        <v/>
      </c>
      <c r="Z25">
        <f>IF(AND($A25&lt;&gt;"",Z$3&gt;=$J25,Z$3&lt;=$M25),1,"")</f>
        <v/>
      </c>
      <c r="AA25">
        <f>IF(AND($A25&lt;&gt;"",AA$3&gt;=$J25,AA$3&lt;=$M25),1,"")</f>
        <v/>
      </c>
      <c r="AB25">
        <f>IF(AND($A25&lt;&gt;"",AB$3&gt;=$J25,AB$3&lt;=$M25),1,"")</f>
        <v/>
      </c>
      <c r="AC25">
        <f>IF(AND($A25&lt;&gt;"",AC$3&gt;=$J25,AC$3&lt;=$M25),1,"")</f>
        <v/>
      </c>
      <c r="AD25">
        <f>IF(AND($A25&lt;&gt;"",AD$3&gt;=$J25,AD$3&lt;=$M25),1,"")</f>
        <v/>
      </c>
      <c r="AE25">
        <f>IF(AND($A25&lt;&gt;"",AE$3&gt;=$J25,AE$3&lt;=$M25),1,"")</f>
        <v/>
      </c>
      <c r="AF25">
        <f>IF(AND($A25&lt;&gt;"",AF$3&gt;=$J25,AF$3&lt;=$M25),1,"")</f>
        <v/>
      </c>
      <c r="AG25">
        <f>IF(AND($A25&lt;&gt;"",AG$3&gt;=$J25,AG$3&lt;=$M25),1,"")</f>
        <v/>
      </c>
      <c r="AH25">
        <f>IF(AND($A25&lt;&gt;"",AH$3&gt;=$J25,AH$3&lt;=$M25),1,"")</f>
        <v/>
      </c>
      <c r="AI25">
        <f>IF(AND($A25&lt;&gt;"",AI$3&gt;=$J25,AI$3&lt;=$M25),1,"")</f>
        <v/>
      </c>
      <c r="AJ25">
        <f>IF(AND($A25&lt;&gt;"",AJ$3&gt;=$J25,AJ$3&lt;=$M25),1,"")</f>
        <v/>
      </c>
      <c r="AK25">
        <f>IF(AND($A25&lt;&gt;"",AK$3&gt;=$J25,AK$3&lt;=$M25),1,"")</f>
        <v/>
      </c>
      <c r="AL25">
        <f>IF(AND($A25&lt;&gt;"",AL$3&gt;=$J25,AL$3&lt;=$M25),1,"")</f>
        <v/>
      </c>
      <c r="AM25">
        <f>IF(AND($A25&lt;&gt;"",AM$3&gt;=$J25,AM$3&lt;=$M25),1,"")</f>
        <v/>
      </c>
      <c r="AN25">
        <f>IF(AND($A25&lt;&gt;"",AN$3&gt;=$J25,AN$3&lt;=$M25),1,"")</f>
        <v/>
      </c>
      <c r="AO25">
        <f>IF(AND($A25&lt;&gt;"",AO$3&gt;=$J25,AO$3&lt;=$M25),1,"")</f>
        <v/>
      </c>
      <c r="AP25">
        <f>IF(AND($A25&lt;&gt;"",AP$3&gt;=$J25,AP$3&lt;=$M25),1,"")</f>
        <v/>
      </c>
      <c r="AQ25">
        <f>IF(AND($A25&lt;&gt;"",AQ$3&gt;=$J25,AQ$3&lt;=$M25),1,"")</f>
        <v/>
      </c>
      <c r="AR25">
        <f>IF(AND($A25&lt;&gt;"",AR$3&gt;=$J25,AR$3&lt;=$M25),1,"")</f>
        <v/>
      </c>
      <c r="AS25">
        <f>IF(AND($A25&lt;&gt;"",AS$3&gt;=$J25,AS$3&lt;=$M25),1,"")</f>
        <v/>
      </c>
      <c r="AT25">
        <f>IF(AND($A25&lt;&gt;"",AT$3&gt;=$J25,AT$3&lt;=$M25),1,"")</f>
        <v/>
      </c>
      <c r="AU25">
        <f>IF(AND($A25&lt;&gt;"",AU$3&gt;=$J25,AU$3&lt;=$M25),1,"")</f>
        <v/>
      </c>
      <c r="AV25">
        <f>IF(AND($A25&lt;&gt;"",AV$3&gt;=$J25,AV$3&lt;=$M25),1,"")</f>
        <v/>
      </c>
      <c r="AW25">
        <f>IF(AND($A25&lt;&gt;"",AW$3&gt;=$J25,AW$3&lt;=$M25),1,"")</f>
        <v/>
      </c>
      <c r="AX25">
        <f>IF(AND($A25&lt;&gt;"",AX$3&gt;=$J25,AX$3&lt;=$M25),1,"")</f>
        <v/>
      </c>
      <c r="AY25">
        <f>IF(AND($A25&lt;&gt;"",AY$3&gt;=$J25,AY$3&lt;=$M25),1,"")</f>
        <v/>
      </c>
      <c r="AZ25">
        <f>IF(AND($A25&lt;&gt;"",AZ$3&gt;=$J25,AZ$3&lt;=$M25),1,"")</f>
        <v/>
      </c>
      <c r="BA25">
        <f>IF(AND($A25&lt;&gt;"",BA$3&gt;=$J25,BA$3&lt;=$M25),1,"")</f>
        <v/>
      </c>
      <c r="BB25">
        <f>IF(AND($A25&lt;&gt;"",BB$3&gt;=$J25,BB$3&lt;=$M25),1,"")</f>
        <v/>
      </c>
      <c r="BC25">
        <f>IF(AND($A25&lt;&gt;"",BC$3&gt;=$J25,BC$3&lt;=$M25),1,"")</f>
        <v/>
      </c>
      <c r="BD25">
        <f>IF(AND($A25&lt;&gt;"",BD$3&gt;=$J25,BD$3&lt;=$M25),1,"")</f>
        <v/>
      </c>
      <c r="BE25">
        <f>IF(AND($A25&lt;&gt;"",BE$3&gt;=$J25,BE$3&lt;=$M25),1,"")</f>
        <v/>
      </c>
      <c r="BF25">
        <f>IF(AND($A25&lt;&gt;"",BF$3&gt;=$J25,BF$3&lt;=$M25),1,"")</f>
        <v/>
      </c>
      <c r="BG25">
        <f>IF(AND($A25&lt;&gt;"",BG$3&gt;=$J25,BG$3&lt;=$M25),1,"")</f>
        <v/>
      </c>
      <c r="BH25">
        <f>IF(AND($A25&lt;&gt;"",BH$3&gt;=$J25,BH$3&lt;=$M25),1,"")</f>
        <v/>
      </c>
      <c r="BI25">
        <f>IF(AND($A25&lt;&gt;"",BI$3&gt;=$J25,BI$3&lt;=$M25),1,"")</f>
        <v/>
      </c>
      <c r="BJ25">
        <f>IF(AND($A25&lt;&gt;"",BJ$3&gt;=$J25,BJ$3&lt;=$M25),1,"")</f>
        <v/>
      </c>
      <c r="BK25">
        <f>IF(AND($A25&lt;&gt;"",BK$3&gt;=$J25,BK$3&lt;=$M25),1,"")</f>
        <v/>
      </c>
      <c r="BL25">
        <f>IF(AND($A25&lt;&gt;"",BL$3&gt;=$J25,BL$3&lt;=$M25),1,"")</f>
        <v/>
      </c>
      <c r="BM25">
        <f>IF(AND($A25&lt;&gt;"",BM$3&gt;=$J25,BM$3&lt;=$M25),1,"")</f>
        <v/>
      </c>
      <c r="BN25">
        <f>IF(AND($A25&lt;&gt;"",BN$3&gt;=$J25,BN$3&lt;=$M25),1,"")</f>
        <v/>
      </c>
      <c r="BO25">
        <f>IF(AND($A25&lt;&gt;"",BO$3&gt;=$J25,BO$3&lt;=$M25),1,"")</f>
        <v/>
      </c>
      <c r="BP25">
        <f>IF(AND($A25&lt;&gt;"",BP$3&gt;=$J25,BP$3&lt;=$M25),1,"")</f>
        <v/>
      </c>
      <c r="BQ25">
        <f>IF(AND($A25&lt;&gt;"",BQ$3&gt;=$J25,BQ$3&lt;=$M25),1,"")</f>
        <v/>
      </c>
      <c r="BR25">
        <f>IF(AND($A25&lt;&gt;"",BR$3&gt;=$J25,BR$3&lt;=$M25),1,"")</f>
        <v/>
      </c>
      <c r="BS25">
        <f>IF(AND($A25&lt;&gt;"",BS$3&gt;=$J25,BS$3&lt;=$M25),1,"")</f>
        <v/>
      </c>
      <c r="BT25">
        <f>IF(AND($A25&lt;&gt;"",BT$3&gt;=$J25,BT$3&lt;=$M25),1,"")</f>
        <v/>
      </c>
      <c r="BU25">
        <f>IF(AND($A25&lt;&gt;"",BU$3&gt;=$J25,BU$3&lt;=$M25),1,"")</f>
        <v/>
      </c>
      <c r="BV25">
        <f>IF(AND($A25&lt;&gt;"",BV$3&gt;=$J25,BV$3&lt;=$M25),1,"")</f>
        <v/>
      </c>
    </row>
    <row r="26">
      <c r="A26">
        <f>IF(Job_Master_Ring!$A26="","",Job_Master_Ring!$A26)</f>
        <v/>
      </c>
      <c r="B26">
        <f>IF($A26="","",Job_Master_Ring!B26)</f>
        <v/>
      </c>
      <c r="C26">
        <f>IF($A26="","",Job_Master_Ring!C26)</f>
        <v/>
      </c>
      <c r="D26">
        <f>IF($A26="","",Job_Master_Ring!D26)</f>
        <v/>
      </c>
      <c r="E26">
        <f>IF($A26="","",IF($I26&lt;&gt;"",$I26,IFERROR(INDEX(Machine_List!$B$72:$B$81,MATCH(1,(Machine_List!$H$72:$H$81&lt;=IFERROR(VLOOKUP($B26,CHOOSE(MATCH($C26,Settings!$L$4:$L$10,0),OPR_BR1!$A$4:$K$18,OPR_BR2!$A$4:$K$18,OPR_CR2!$A$4:$K$18,OPR_CR3!$A$4:$K$18,OPR_CR4!$A$4:$K$18,OPR_RIM!$A$4:$K$18,OPR_BPR!$A$4:$K$18),10,0),0))*(Machine_List!$I$72:$I$81&gt;=IFERROR(VLOOKUP($B26,CHOOSE(MATCH($C26,Settings!$L$4:$L$10,0),OPR_BR1!$A$4:$K$18,OPR_BR2!$A$4:$K$18,OPR_CR2!$A$4:$K$18,OPR_CR3!$A$4:$K$18,OPR_CR4!$A$4:$K$18,OPR_RIM!$A$4:$K$18,OPR_BPR!$A$4:$K$18),11,0),9999)),0)),"NO COMPATIBLE MACHINE")))</f>
        <v/>
      </c>
      <c r="F26">
        <f>IF($E26="","",IFERROR(VLOOKUP($E26,Machine_List!$B:$G,6,0),""))</f>
        <v/>
      </c>
      <c r="G26" s="17">
        <f>IF($E26="","",IFERROR(VLOOKUP($E26,Machine_List!$B:$C,2,0),""))</f>
        <v/>
      </c>
      <c r="H26">
        <f>IF($E26="","",IFERROR(VLOOKUP($E26,Machine_List!$B:$D,3,0),""))</f>
        <v/>
      </c>
      <c r="J26" s="16">
        <f>IF($A26="","",IF($I26&lt;&gt;"",$I26,MAX(VENT_Plan!$M26,IFERROR(LOOKUP(2,1/($E$3:INDIRECT("E"&amp;(ROW()-1))=$E26),$M$3:INDIRECT("M"&amp;(ROW()-1))),VENT_Plan!$M26))))</f>
        <v/>
      </c>
      <c r="K26">
        <f>IF($A26="","",IFERROR(VLOOKUP(B26,CHOOSE(MATCH($C26,Settings!$L$4:$L$10,0),OPR_BR1!$A$4:$I$18,OPR_BR2!$A$4:$I$18,OPR_CR2!$A$4:$I$18,OPR_CR3!$A$4:$I$18,OPR_CR4!$A$4:$I$18,OPR_RIM!$A$4:$I$18,OPR_BPR!$A$4:$I$18),8,0),0))</f>
        <v/>
      </c>
      <c r="L26">
        <f>IF($A26="","",K26*D26)</f>
        <v/>
      </c>
      <c r="M26" s="16">
        <f>IF($A26="","",IF(AND(ISNUMBER(G26),G26&gt;=J26,G26&lt;=(J26+(L26/(IF(F26="Contract Workman",Settings!$K$5,Settings!$K$4))))),J26+(L26/(IF(F26="Contract Workman",Settings!$K$5,Settings!$K$4)))+(H26/(IF(F26="Contract Workman",Settings!$K$5,Settings!$K$4))),J26+(L26/(IF(F26="Contract Workman",Settings!$K$5,Settings!$K$4)))))</f>
        <v/>
      </c>
      <c r="N26">
        <f>IF($A26="","",IF(F26="Contract Workman",IF(AND(MOD(M26,1)&gt;=8/24,MOD(M26,1)&lt;20/24),"Shift S1","Shift S2"),IF(AND(MOD(M26,1)&gt;=7/24,MOD(M26,1)&lt;15/24),"Shift A",IF(AND(MOD(M26,1)&gt;=15/24,MOD(M26,1)&lt;23/24),"Shift B","Shift C"))))</f>
        <v/>
      </c>
      <c r="O26">
        <f>IF(B26="","",IF(IFERROR(ISNUMBER(SEARCH(TEXT(B26,"0"),VLOOKUP(E26,Machine_List!$B:$J,9,0))),FALSE),"✅ "&amp; E26,"❌ Sug: "&amp;IFERROR(INDEX(Machine_List!$B$72:$B$81,MATCH(1,(Machine_List!$H$72:$H$81&lt;=IFERROR(VLOOKUP($B26,OPR_BR1!$A$4:$K$18,10,0),0))*(Machine_List!$I$72:$I$81&gt;=IFERROR(VLOOKUP($B26,OPR_BR1!$A$4:$K$18,11,0),9999)),0)),"?")))</f>
        <v/>
      </c>
      <c r="P26">
        <f>IF(AND($A26&lt;&gt;"",P$3&gt;=$J26,P$3&lt;=$M26),1,"")</f>
        <v/>
      </c>
      <c r="Q26">
        <f>IF(AND($A26&lt;&gt;"",Q$3&gt;=$J26,Q$3&lt;=$M26),1,"")</f>
        <v/>
      </c>
      <c r="R26">
        <f>IF(AND($A26&lt;&gt;"",R$3&gt;=$J26,R$3&lt;=$M26),1,"")</f>
        <v/>
      </c>
      <c r="S26">
        <f>IF(AND($A26&lt;&gt;"",S$3&gt;=$J26,S$3&lt;=$M26),1,"")</f>
        <v/>
      </c>
      <c r="T26">
        <f>IF(AND($A26&lt;&gt;"",T$3&gt;=$J26,T$3&lt;=$M26),1,"")</f>
        <v/>
      </c>
      <c r="U26">
        <f>IF(AND($A26&lt;&gt;"",U$3&gt;=$J26,U$3&lt;=$M26),1,"")</f>
        <v/>
      </c>
      <c r="V26">
        <f>IF(AND($A26&lt;&gt;"",V$3&gt;=$J26,V$3&lt;=$M26),1,"")</f>
        <v/>
      </c>
      <c r="W26">
        <f>IF(AND($A26&lt;&gt;"",W$3&gt;=$J26,W$3&lt;=$M26),1,"")</f>
        <v/>
      </c>
      <c r="X26">
        <f>IF(AND($A26&lt;&gt;"",X$3&gt;=$J26,X$3&lt;=$M26),1,"")</f>
        <v/>
      </c>
      <c r="Y26">
        <f>IF(AND($A26&lt;&gt;"",Y$3&gt;=$J26,Y$3&lt;=$M26),1,"")</f>
        <v/>
      </c>
      <c r="Z26">
        <f>IF(AND($A26&lt;&gt;"",Z$3&gt;=$J26,Z$3&lt;=$M26),1,"")</f>
        <v/>
      </c>
      <c r="AA26">
        <f>IF(AND($A26&lt;&gt;"",AA$3&gt;=$J26,AA$3&lt;=$M26),1,"")</f>
        <v/>
      </c>
      <c r="AB26">
        <f>IF(AND($A26&lt;&gt;"",AB$3&gt;=$J26,AB$3&lt;=$M26),1,"")</f>
        <v/>
      </c>
      <c r="AC26">
        <f>IF(AND($A26&lt;&gt;"",AC$3&gt;=$J26,AC$3&lt;=$M26),1,"")</f>
        <v/>
      </c>
      <c r="AD26">
        <f>IF(AND($A26&lt;&gt;"",AD$3&gt;=$J26,AD$3&lt;=$M26),1,"")</f>
        <v/>
      </c>
      <c r="AE26">
        <f>IF(AND($A26&lt;&gt;"",AE$3&gt;=$J26,AE$3&lt;=$M26),1,"")</f>
        <v/>
      </c>
      <c r="AF26">
        <f>IF(AND($A26&lt;&gt;"",AF$3&gt;=$J26,AF$3&lt;=$M26),1,"")</f>
        <v/>
      </c>
      <c r="AG26">
        <f>IF(AND($A26&lt;&gt;"",AG$3&gt;=$J26,AG$3&lt;=$M26),1,"")</f>
        <v/>
      </c>
      <c r="AH26">
        <f>IF(AND($A26&lt;&gt;"",AH$3&gt;=$J26,AH$3&lt;=$M26),1,"")</f>
        <v/>
      </c>
      <c r="AI26">
        <f>IF(AND($A26&lt;&gt;"",AI$3&gt;=$J26,AI$3&lt;=$M26),1,"")</f>
        <v/>
      </c>
      <c r="AJ26">
        <f>IF(AND($A26&lt;&gt;"",AJ$3&gt;=$J26,AJ$3&lt;=$M26),1,"")</f>
        <v/>
      </c>
      <c r="AK26">
        <f>IF(AND($A26&lt;&gt;"",AK$3&gt;=$J26,AK$3&lt;=$M26),1,"")</f>
        <v/>
      </c>
      <c r="AL26">
        <f>IF(AND($A26&lt;&gt;"",AL$3&gt;=$J26,AL$3&lt;=$M26),1,"")</f>
        <v/>
      </c>
      <c r="AM26">
        <f>IF(AND($A26&lt;&gt;"",AM$3&gt;=$J26,AM$3&lt;=$M26),1,"")</f>
        <v/>
      </c>
      <c r="AN26">
        <f>IF(AND($A26&lt;&gt;"",AN$3&gt;=$J26,AN$3&lt;=$M26),1,"")</f>
        <v/>
      </c>
      <c r="AO26">
        <f>IF(AND($A26&lt;&gt;"",AO$3&gt;=$J26,AO$3&lt;=$M26),1,"")</f>
        <v/>
      </c>
      <c r="AP26">
        <f>IF(AND($A26&lt;&gt;"",AP$3&gt;=$J26,AP$3&lt;=$M26),1,"")</f>
        <v/>
      </c>
      <c r="AQ26">
        <f>IF(AND($A26&lt;&gt;"",AQ$3&gt;=$J26,AQ$3&lt;=$M26),1,"")</f>
        <v/>
      </c>
      <c r="AR26">
        <f>IF(AND($A26&lt;&gt;"",AR$3&gt;=$J26,AR$3&lt;=$M26),1,"")</f>
        <v/>
      </c>
      <c r="AS26">
        <f>IF(AND($A26&lt;&gt;"",AS$3&gt;=$J26,AS$3&lt;=$M26),1,"")</f>
        <v/>
      </c>
      <c r="AT26">
        <f>IF(AND($A26&lt;&gt;"",AT$3&gt;=$J26,AT$3&lt;=$M26),1,"")</f>
        <v/>
      </c>
      <c r="AU26">
        <f>IF(AND($A26&lt;&gt;"",AU$3&gt;=$J26,AU$3&lt;=$M26),1,"")</f>
        <v/>
      </c>
      <c r="AV26">
        <f>IF(AND($A26&lt;&gt;"",AV$3&gt;=$J26,AV$3&lt;=$M26),1,"")</f>
        <v/>
      </c>
      <c r="AW26">
        <f>IF(AND($A26&lt;&gt;"",AW$3&gt;=$J26,AW$3&lt;=$M26),1,"")</f>
        <v/>
      </c>
      <c r="AX26">
        <f>IF(AND($A26&lt;&gt;"",AX$3&gt;=$J26,AX$3&lt;=$M26),1,"")</f>
        <v/>
      </c>
      <c r="AY26">
        <f>IF(AND($A26&lt;&gt;"",AY$3&gt;=$J26,AY$3&lt;=$M26),1,"")</f>
        <v/>
      </c>
      <c r="AZ26">
        <f>IF(AND($A26&lt;&gt;"",AZ$3&gt;=$J26,AZ$3&lt;=$M26),1,"")</f>
        <v/>
      </c>
      <c r="BA26">
        <f>IF(AND($A26&lt;&gt;"",BA$3&gt;=$J26,BA$3&lt;=$M26),1,"")</f>
        <v/>
      </c>
      <c r="BB26">
        <f>IF(AND($A26&lt;&gt;"",BB$3&gt;=$J26,BB$3&lt;=$M26),1,"")</f>
        <v/>
      </c>
      <c r="BC26">
        <f>IF(AND($A26&lt;&gt;"",BC$3&gt;=$J26,BC$3&lt;=$M26),1,"")</f>
        <v/>
      </c>
      <c r="BD26">
        <f>IF(AND($A26&lt;&gt;"",BD$3&gt;=$J26,BD$3&lt;=$M26),1,"")</f>
        <v/>
      </c>
      <c r="BE26">
        <f>IF(AND($A26&lt;&gt;"",BE$3&gt;=$J26,BE$3&lt;=$M26),1,"")</f>
        <v/>
      </c>
      <c r="BF26">
        <f>IF(AND($A26&lt;&gt;"",BF$3&gt;=$J26,BF$3&lt;=$M26),1,"")</f>
        <v/>
      </c>
      <c r="BG26">
        <f>IF(AND($A26&lt;&gt;"",BG$3&gt;=$J26,BG$3&lt;=$M26),1,"")</f>
        <v/>
      </c>
      <c r="BH26">
        <f>IF(AND($A26&lt;&gt;"",BH$3&gt;=$J26,BH$3&lt;=$M26),1,"")</f>
        <v/>
      </c>
      <c r="BI26">
        <f>IF(AND($A26&lt;&gt;"",BI$3&gt;=$J26,BI$3&lt;=$M26),1,"")</f>
        <v/>
      </c>
      <c r="BJ26">
        <f>IF(AND($A26&lt;&gt;"",BJ$3&gt;=$J26,BJ$3&lt;=$M26),1,"")</f>
        <v/>
      </c>
      <c r="BK26">
        <f>IF(AND($A26&lt;&gt;"",BK$3&gt;=$J26,BK$3&lt;=$M26),1,"")</f>
        <v/>
      </c>
      <c r="BL26">
        <f>IF(AND($A26&lt;&gt;"",BL$3&gt;=$J26,BL$3&lt;=$M26),1,"")</f>
        <v/>
      </c>
      <c r="BM26">
        <f>IF(AND($A26&lt;&gt;"",BM$3&gt;=$J26,BM$3&lt;=$M26),1,"")</f>
        <v/>
      </c>
      <c r="BN26">
        <f>IF(AND($A26&lt;&gt;"",BN$3&gt;=$J26,BN$3&lt;=$M26),1,"")</f>
        <v/>
      </c>
      <c r="BO26">
        <f>IF(AND($A26&lt;&gt;"",BO$3&gt;=$J26,BO$3&lt;=$M26),1,"")</f>
        <v/>
      </c>
      <c r="BP26">
        <f>IF(AND($A26&lt;&gt;"",BP$3&gt;=$J26,BP$3&lt;=$M26),1,"")</f>
        <v/>
      </c>
      <c r="BQ26">
        <f>IF(AND($A26&lt;&gt;"",BQ$3&gt;=$J26,BQ$3&lt;=$M26),1,"")</f>
        <v/>
      </c>
      <c r="BR26">
        <f>IF(AND($A26&lt;&gt;"",BR$3&gt;=$J26,BR$3&lt;=$M26),1,"")</f>
        <v/>
      </c>
      <c r="BS26">
        <f>IF(AND($A26&lt;&gt;"",BS$3&gt;=$J26,BS$3&lt;=$M26),1,"")</f>
        <v/>
      </c>
      <c r="BT26">
        <f>IF(AND($A26&lt;&gt;"",BT$3&gt;=$J26,BT$3&lt;=$M26),1,"")</f>
        <v/>
      </c>
      <c r="BU26">
        <f>IF(AND($A26&lt;&gt;"",BU$3&gt;=$J26,BU$3&lt;=$M26),1,"")</f>
        <v/>
      </c>
      <c r="BV26">
        <f>IF(AND($A26&lt;&gt;"",BV$3&gt;=$J26,BV$3&lt;=$M26),1,"")</f>
        <v/>
      </c>
    </row>
    <row r="27">
      <c r="A27">
        <f>IF(Job_Master_Ring!$A27="","",Job_Master_Ring!$A27)</f>
        <v/>
      </c>
      <c r="B27">
        <f>IF($A27="","",Job_Master_Ring!B27)</f>
        <v/>
      </c>
      <c r="C27">
        <f>IF($A27="","",Job_Master_Ring!C27)</f>
        <v/>
      </c>
      <c r="D27">
        <f>IF($A27="","",Job_Master_Ring!D27)</f>
        <v/>
      </c>
      <c r="E27">
        <f>IF($A27="","",IF($I27&lt;&gt;"",$I27,IFERROR(INDEX(Machine_List!$B$72:$B$81,MATCH(1,(Machine_List!$H$72:$H$81&lt;=IFERROR(VLOOKUP($B27,CHOOSE(MATCH($C27,Settings!$L$4:$L$10,0),OPR_BR1!$A$4:$K$18,OPR_BR2!$A$4:$K$18,OPR_CR2!$A$4:$K$18,OPR_CR3!$A$4:$K$18,OPR_CR4!$A$4:$K$18,OPR_RIM!$A$4:$K$18,OPR_BPR!$A$4:$K$18),10,0),0))*(Machine_List!$I$72:$I$81&gt;=IFERROR(VLOOKUP($B27,CHOOSE(MATCH($C27,Settings!$L$4:$L$10,0),OPR_BR1!$A$4:$K$18,OPR_BR2!$A$4:$K$18,OPR_CR2!$A$4:$K$18,OPR_CR3!$A$4:$K$18,OPR_CR4!$A$4:$K$18,OPR_RIM!$A$4:$K$18,OPR_BPR!$A$4:$K$18),11,0),9999)),0)),"NO COMPATIBLE MACHINE")))</f>
        <v/>
      </c>
      <c r="F27">
        <f>IF($E27="","",IFERROR(VLOOKUP($E27,Machine_List!$B:$G,6,0),""))</f>
        <v/>
      </c>
      <c r="G27" s="17">
        <f>IF($E27="","",IFERROR(VLOOKUP($E27,Machine_List!$B:$C,2,0),""))</f>
        <v/>
      </c>
      <c r="H27">
        <f>IF($E27="","",IFERROR(VLOOKUP($E27,Machine_List!$B:$D,3,0),""))</f>
        <v/>
      </c>
      <c r="J27" s="16">
        <f>IF($A27="","",IF($I27&lt;&gt;"",$I27,MAX(VENT_Plan!$M27,IFERROR(LOOKUP(2,1/($E$3:INDIRECT("E"&amp;(ROW()-1))=$E27),$M$3:INDIRECT("M"&amp;(ROW()-1))),VENT_Plan!$M27))))</f>
        <v/>
      </c>
      <c r="K27">
        <f>IF($A27="","",IFERROR(VLOOKUP(B27,CHOOSE(MATCH($C27,Settings!$L$4:$L$10,0),OPR_BR1!$A$4:$I$18,OPR_BR2!$A$4:$I$18,OPR_CR2!$A$4:$I$18,OPR_CR3!$A$4:$I$18,OPR_CR4!$A$4:$I$18,OPR_RIM!$A$4:$I$18,OPR_BPR!$A$4:$I$18),8,0),0))</f>
        <v/>
      </c>
      <c r="L27">
        <f>IF($A27="","",K27*D27)</f>
        <v/>
      </c>
      <c r="M27" s="16">
        <f>IF($A27="","",IF(AND(ISNUMBER(G27),G27&gt;=J27,G27&lt;=(J27+(L27/(IF(F27="Contract Workman",Settings!$K$5,Settings!$K$4))))),J27+(L27/(IF(F27="Contract Workman",Settings!$K$5,Settings!$K$4)))+(H27/(IF(F27="Contract Workman",Settings!$K$5,Settings!$K$4))),J27+(L27/(IF(F27="Contract Workman",Settings!$K$5,Settings!$K$4)))))</f>
        <v/>
      </c>
      <c r="N27">
        <f>IF($A27="","",IF(F27="Contract Workman",IF(AND(MOD(M27,1)&gt;=8/24,MOD(M27,1)&lt;20/24),"Shift S1","Shift S2"),IF(AND(MOD(M27,1)&gt;=7/24,MOD(M27,1)&lt;15/24),"Shift A",IF(AND(MOD(M27,1)&gt;=15/24,MOD(M27,1)&lt;23/24),"Shift B","Shift C"))))</f>
        <v/>
      </c>
      <c r="O27">
        <f>IF(B27="","",IF(IFERROR(ISNUMBER(SEARCH(TEXT(B27,"0"),VLOOKUP(E27,Machine_List!$B:$J,9,0))),FALSE),"✅ "&amp; E27,"❌ Sug: "&amp;IFERROR(INDEX(Machine_List!$B$72:$B$81,MATCH(1,(Machine_List!$H$72:$H$81&lt;=IFERROR(VLOOKUP($B27,OPR_BR1!$A$4:$K$18,10,0),0))*(Machine_List!$I$72:$I$81&gt;=IFERROR(VLOOKUP($B27,OPR_BR1!$A$4:$K$18,11,0),9999)),0)),"?")))</f>
        <v/>
      </c>
      <c r="P27">
        <f>IF(AND($A27&lt;&gt;"",P$3&gt;=$J27,P$3&lt;=$M27),1,"")</f>
        <v/>
      </c>
      <c r="Q27">
        <f>IF(AND($A27&lt;&gt;"",Q$3&gt;=$J27,Q$3&lt;=$M27),1,"")</f>
        <v/>
      </c>
      <c r="R27">
        <f>IF(AND($A27&lt;&gt;"",R$3&gt;=$J27,R$3&lt;=$M27),1,"")</f>
        <v/>
      </c>
      <c r="S27">
        <f>IF(AND($A27&lt;&gt;"",S$3&gt;=$J27,S$3&lt;=$M27),1,"")</f>
        <v/>
      </c>
      <c r="T27">
        <f>IF(AND($A27&lt;&gt;"",T$3&gt;=$J27,T$3&lt;=$M27),1,"")</f>
        <v/>
      </c>
      <c r="U27">
        <f>IF(AND($A27&lt;&gt;"",U$3&gt;=$J27,U$3&lt;=$M27),1,"")</f>
        <v/>
      </c>
      <c r="V27">
        <f>IF(AND($A27&lt;&gt;"",V$3&gt;=$J27,V$3&lt;=$M27),1,"")</f>
        <v/>
      </c>
      <c r="W27">
        <f>IF(AND($A27&lt;&gt;"",W$3&gt;=$J27,W$3&lt;=$M27),1,"")</f>
        <v/>
      </c>
      <c r="X27">
        <f>IF(AND($A27&lt;&gt;"",X$3&gt;=$J27,X$3&lt;=$M27),1,"")</f>
        <v/>
      </c>
      <c r="Y27">
        <f>IF(AND($A27&lt;&gt;"",Y$3&gt;=$J27,Y$3&lt;=$M27),1,"")</f>
        <v/>
      </c>
      <c r="Z27">
        <f>IF(AND($A27&lt;&gt;"",Z$3&gt;=$J27,Z$3&lt;=$M27),1,"")</f>
        <v/>
      </c>
      <c r="AA27">
        <f>IF(AND($A27&lt;&gt;"",AA$3&gt;=$J27,AA$3&lt;=$M27),1,"")</f>
        <v/>
      </c>
      <c r="AB27">
        <f>IF(AND($A27&lt;&gt;"",AB$3&gt;=$J27,AB$3&lt;=$M27),1,"")</f>
        <v/>
      </c>
      <c r="AC27">
        <f>IF(AND($A27&lt;&gt;"",AC$3&gt;=$J27,AC$3&lt;=$M27),1,"")</f>
        <v/>
      </c>
      <c r="AD27">
        <f>IF(AND($A27&lt;&gt;"",AD$3&gt;=$J27,AD$3&lt;=$M27),1,"")</f>
        <v/>
      </c>
      <c r="AE27">
        <f>IF(AND($A27&lt;&gt;"",AE$3&gt;=$J27,AE$3&lt;=$M27),1,"")</f>
        <v/>
      </c>
      <c r="AF27">
        <f>IF(AND($A27&lt;&gt;"",AF$3&gt;=$J27,AF$3&lt;=$M27),1,"")</f>
        <v/>
      </c>
      <c r="AG27">
        <f>IF(AND($A27&lt;&gt;"",AG$3&gt;=$J27,AG$3&lt;=$M27),1,"")</f>
        <v/>
      </c>
      <c r="AH27">
        <f>IF(AND($A27&lt;&gt;"",AH$3&gt;=$J27,AH$3&lt;=$M27),1,"")</f>
        <v/>
      </c>
      <c r="AI27">
        <f>IF(AND($A27&lt;&gt;"",AI$3&gt;=$J27,AI$3&lt;=$M27),1,"")</f>
        <v/>
      </c>
      <c r="AJ27">
        <f>IF(AND($A27&lt;&gt;"",AJ$3&gt;=$J27,AJ$3&lt;=$M27),1,"")</f>
        <v/>
      </c>
      <c r="AK27">
        <f>IF(AND($A27&lt;&gt;"",AK$3&gt;=$J27,AK$3&lt;=$M27),1,"")</f>
        <v/>
      </c>
      <c r="AL27">
        <f>IF(AND($A27&lt;&gt;"",AL$3&gt;=$J27,AL$3&lt;=$M27),1,"")</f>
        <v/>
      </c>
      <c r="AM27">
        <f>IF(AND($A27&lt;&gt;"",AM$3&gt;=$J27,AM$3&lt;=$M27),1,"")</f>
        <v/>
      </c>
      <c r="AN27">
        <f>IF(AND($A27&lt;&gt;"",AN$3&gt;=$J27,AN$3&lt;=$M27),1,"")</f>
        <v/>
      </c>
      <c r="AO27">
        <f>IF(AND($A27&lt;&gt;"",AO$3&gt;=$J27,AO$3&lt;=$M27),1,"")</f>
        <v/>
      </c>
      <c r="AP27">
        <f>IF(AND($A27&lt;&gt;"",AP$3&gt;=$J27,AP$3&lt;=$M27),1,"")</f>
        <v/>
      </c>
      <c r="AQ27">
        <f>IF(AND($A27&lt;&gt;"",AQ$3&gt;=$J27,AQ$3&lt;=$M27),1,"")</f>
        <v/>
      </c>
      <c r="AR27">
        <f>IF(AND($A27&lt;&gt;"",AR$3&gt;=$J27,AR$3&lt;=$M27),1,"")</f>
        <v/>
      </c>
      <c r="AS27">
        <f>IF(AND($A27&lt;&gt;"",AS$3&gt;=$J27,AS$3&lt;=$M27),1,"")</f>
        <v/>
      </c>
      <c r="AT27">
        <f>IF(AND($A27&lt;&gt;"",AT$3&gt;=$J27,AT$3&lt;=$M27),1,"")</f>
        <v/>
      </c>
      <c r="AU27">
        <f>IF(AND($A27&lt;&gt;"",AU$3&gt;=$J27,AU$3&lt;=$M27),1,"")</f>
        <v/>
      </c>
      <c r="AV27">
        <f>IF(AND($A27&lt;&gt;"",AV$3&gt;=$J27,AV$3&lt;=$M27),1,"")</f>
        <v/>
      </c>
      <c r="AW27">
        <f>IF(AND($A27&lt;&gt;"",AW$3&gt;=$J27,AW$3&lt;=$M27),1,"")</f>
        <v/>
      </c>
      <c r="AX27">
        <f>IF(AND($A27&lt;&gt;"",AX$3&gt;=$J27,AX$3&lt;=$M27),1,"")</f>
        <v/>
      </c>
      <c r="AY27">
        <f>IF(AND($A27&lt;&gt;"",AY$3&gt;=$J27,AY$3&lt;=$M27),1,"")</f>
        <v/>
      </c>
      <c r="AZ27">
        <f>IF(AND($A27&lt;&gt;"",AZ$3&gt;=$J27,AZ$3&lt;=$M27),1,"")</f>
        <v/>
      </c>
      <c r="BA27">
        <f>IF(AND($A27&lt;&gt;"",BA$3&gt;=$J27,BA$3&lt;=$M27),1,"")</f>
        <v/>
      </c>
      <c r="BB27">
        <f>IF(AND($A27&lt;&gt;"",BB$3&gt;=$J27,BB$3&lt;=$M27),1,"")</f>
        <v/>
      </c>
      <c r="BC27">
        <f>IF(AND($A27&lt;&gt;"",BC$3&gt;=$J27,BC$3&lt;=$M27),1,"")</f>
        <v/>
      </c>
      <c r="BD27">
        <f>IF(AND($A27&lt;&gt;"",BD$3&gt;=$J27,BD$3&lt;=$M27),1,"")</f>
        <v/>
      </c>
      <c r="BE27">
        <f>IF(AND($A27&lt;&gt;"",BE$3&gt;=$J27,BE$3&lt;=$M27),1,"")</f>
        <v/>
      </c>
      <c r="BF27">
        <f>IF(AND($A27&lt;&gt;"",BF$3&gt;=$J27,BF$3&lt;=$M27),1,"")</f>
        <v/>
      </c>
      <c r="BG27">
        <f>IF(AND($A27&lt;&gt;"",BG$3&gt;=$J27,BG$3&lt;=$M27),1,"")</f>
        <v/>
      </c>
      <c r="BH27">
        <f>IF(AND($A27&lt;&gt;"",BH$3&gt;=$J27,BH$3&lt;=$M27),1,"")</f>
        <v/>
      </c>
      <c r="BI27">
        <f>IF(AND($A27&lt;&gt;"",BI$3&gt;=$J27,BI$3&lt;=$M27),1,"")</f>
        <v/>
      </c>
      <c r="BJ27">
        <f>IF(AND($A27&lt;&gt;"",BJ$3&gt;=$J27,BJ$3&lt;=$M27),1,"")</f>
        <v/>
      </c>
      <c r="BK27">
        <f>IF(AND($A27&lt;&gt;"",BK$3&gt;=$J27,BK$3&lt;=$M27),1,"")</f>
        <v/>
      </c>
      <c r="BL27">
        <f>IF(AND($A27&lt;&gt;"",BL$3&gt;=$J27,BL$3&lt;=$M27),1,"")</f>
        <v/>
      </c>
      <c r="BM27">
        <f>IF(AND($A27&lt;&gt;"",BM$3&gt;=$J27,BM$3&lt;=$M27),1,"")</f>
        <v/>
      </c>
      <c r="BN27">
        <f>IF(AND($A27&lt;&gt;"",BN$3&gt;=$J27,BN$3&lt;=$M27),1,"")</f>
        <v/>
      </c>
      <c r="BO27">
        <f>IF(AND($A27&lt;&gt;"",BO$3&gt;=$J27,BO$3&lt;=$M27),1,"")</f>
        <v/>
      </c>
      <c r="BP27">
        <f>IF(AND($A27&lt;&gt;"",BP$3&gt;=$J27,BP$3&lt;=$M27),1,"")</f>
        <v/>
      </c>
      <c r="BQ27">
        <f>IF(AND($A27&lt;&gt;"",BQ$3&gt;=$J27,BQ$3&lt;=$M27),1,"")</f>
        <v/>
      </c>
      <c r="BR27">
        <f>IF(AND($A27&lt;&gt;"",BR$3&gt;=$J27,BR$3&lt;=$M27),1,"")</f>
        <v/>
      </c>
      <c r="BS27">
        <f>IF(AND($A27&lt;&gt;"",BS$3&gt;=$J27,BS$3&lt;=$M27),1,"")</f>
        <v/>
      </c>
      <c r="BT27">
        <f>IF(AND($A27&lt;&gt;"",BT$3&gt;=$J27,BT$3&lt;=$M27),1,"")</f>
        <v/>
      </c>
      <c r="BU27">
        <f>IF(AND($A27&lt;&gt;"",BU$3&gt;=$J27,BU$3&lt;=$M27),1,"")</f>
        <v/>
      </c>
      <c r="BV27">
        <f>IF(AND($A27&lt;&gt;"",BV$3&gt;=$J27,BV$3&lt;=$M27),1,"")</f>
        <v/>
      </c>
    </row>
    <row r="28">
      <c r="A28">
        <f>IF(Job_Master_Ring!$A28="","",Job_Master_Ring!$A28)</f>
        <v/>
      </c>
      <c r="B28">
        <f>IF($A28="","",Job_Master_Ring!B28)</f>
        <v/>
      </c>
      <c r="C28">
        <f>IF($A28="","",Job_Master_Ring!C28)</f>
        <v/>
      </c>
      <c r="D28">
        <f>IF($A28="","",Job_Master_Ring!D28)</f>
        <v/>
      </c>
      <c r="E28">
        <f>IF($A28="","",IF($I28&lt;&gt;"",$I28,IFERROR(INDEX(Machine_List!$B$72:$B$81,MATCH(1,(Machine_List!$H$72:$H$81&lt;=IFERROR(VLOOKUP($B28,CHOOSE(MATCH($C28,Settings!$L$4:$L$10,0),OPR_BR1!$A$4:$K$18,OPR_BR2!$A$4:$K$18,OPR_CR2!$A$4:$K$18,OPR_CR3!$A$4:$K$18,OPR_CR4!$A$4:$K$18,OPR_RIM!$A$4:$K$18,OPR_BPR!$A$4:$K$18),10,0),0))*(Machine_List!$I$72:$I$81&gt;=IFERROR(VLOOKUP($B28,CHOOSE(MATCH($C28,Settings!$L$4:$L$10,0),OPR_BR1!$A$4:$K$18,OPR_BR2!$A$4:$K$18,OPR_CR2!$A$4:$K$18,OPR_CR3!$A$4:$K$18,OPR_CR4!$A$4:$K$18,OPR_RIM!$A$4:$K$18,OPR_BPR!$A$4:$K$18),11,0),9999)),0)),"NO COMPATIBLE MACHINE")))</f>
        <v/>
      </c>
      <c r="F28">
        <f>IF($E28="","",IFERROR(VLOOKUP($E28,Machine_List!$B:$G,6,0),""))</f>
        <v/>
      </c>
      <c r="G28" s="17">
        <f>IF($E28="","",IFERROR(VLOOKUP($E28,Machine_List!$B:$C,2,0),""))</f>
        <v/>
      </c>
      <c r="H28">
        <f>IF($E28="","",IFERROR(VLOOKUP($E28,Machine_List!$B:$D,3,0),""))</f>
        <v/>
      </c>
      <c r="J28" s="16">
        <f>IF($A28="","",IF($I28&lt;&gt;"",$I28,MAX(VENT_Plan!$M28,IFERROR(LOOKUP(2,1/($E$3:INDIRECT("E"&amp;(ROW()-1))=$E28),$M$3:INDIRECT("M"&amp;(ROW()-1))),VENT_Plan!$M28))))</f>
        <v/>
      </c>
      <c r="K28">
        <f>IF($A28="","",IFERROR(VLOOKUP(B28,CHOOSE(MATCH($C28,Settings!$L$4:$L$10,0),OPR_BR1!$A$4:$I$18,OPR_BR2!$A$4:$I$18,OPR_CR2!$A$4:$I$18,OPR_CR3!$A$4:$I$18,OPR_CR4!$A$4:$I$18,OPR_RIM!$A$4:$I$18,OPR_BPR!$A$4:$I$18),8,0),0))</f>
        <v/>
      </c>
      <c r="L28">
        <f>IF($A28="","",K28*D28)</f>
        <v/>
      </c>
      <c r="M28" s="16">
        <f>IF($A28="","",IF(AND(ISNUMBER(G28),G28&gt;=J28,G28&lt;=(J28+(L28/(IF(F28="Contract Workman",Settings!$K$5,Settings!$K$4))))),J28+(L28/(IF(F28="Contract Workman",Settings!$K$5,Settings!$K$4)))+(H28/(IF(F28="Contract Workman",Settings!$K$5,Settings!$K$4))),J28+(L28/(IF(F28="Contract Workman",Settings!$K$5,Settings!$K$4)))))</f>
        <v/>
      </c>
      <c r="N28">
        <f>IF($A28="","",IF(F28="Contract Workman",IF(AND(MOD(M28,1)&gt;=8/24,MOD(M28,1)&lt;20/24),"Shift S1","Shift S2"),IF(AND(MOD(M28,1)&gt;=7/24,MOD(M28,1)&lt;15/24),"Shift A",IF(AND(MOD(M28,1)&gt;=15/24,MOD(M28,1)&lt;23/24),"Shift B","Shift C"))))</f>
        <v/>
      </c>
      <c r="O28">
        <f>IF(B28="","",IF(IFERROR(ISNUMBER(SEARCH(TEXT(B28,"0"),VLOOKUP(E28,Machine_List!$B:$J,9,0))),FALSE),"✅ "&amp; E28,"❌ Sug: "&amp;IFERROR(INDEX(Machine_List!$B$72:$B$81,MATCH(1,(Machine_List!$H$72:$H$81&lt;=IFERROR(VLOOKUP($B28,OPR_BR1!$A$4:$K$18,10,0),0))*(Machine_List!$I$72:$I$81&gt;=IFERROR(VLOOKUP($B28,OPR_BR1!$A$4:$K$18,11,0),9999)),0)),"?")))</f>
        <v/>
      </c>
      <c r="P28">
        <f>IF(AND($A28&lt;&gt;"",P$3&gt;=$J28,P$3&lt;=$M28),1,"")</f>
        <v/>
      </c>
      <c r="Q28">
        <f>IF(AND($A28&lt;&gt;"",Q$3&gt;=$J28,Q$3&lt;=$M28),1,"")</f>
        <v/>
      </c>
      <c r="R28">
        <f>IF(AND($A28&lt;&gt;"",R$3&gt;=$J28,R$3&lt;=$M28),1,"")</f>
        <v/>
      </c>
      <c r="S28">
        <f>IF(AND($A28&lt;&gt;"",S$3&gt;=$J28,S$3&lt;=$M28),1,"")</f>
        <v/>
      </c>
      <c r="T28">
        <f>IF(AND($A28&lt;&gt;"",T$3&gt;=$J28,T$3&lt;=$M28),1,"")</f>
        <v/>
      </c>
      <c r="U28">
        <f>IF(AND($A28&lt;&gt;"",U$3&gt;=$J28,U$3&lt;=$M28),1,"")</f>
        <v/>
      </c>
      <c r="V28">
        <f>IF(AND($A28&lt;&gt;"",V$3&gt;=$J28,V$3&lt;=$M28),1,"")</f>
        <v/>
      </c>
      <c r="W28">
        <f>IF(AND($A28&lt;&gt;"",W$3&gt;=$J28,W$3&lt;=$M28),1,"")</f>
        <v/>
      </c>
      <c r="X28">
        <f>IF(AND($A28&lt;&gt;"",X$3&gt;=$J28,X$3&lt;=$M28),1,"")</f>
        <v/>
      </c>
      <c r="Y28">
        <f>IF(AND($A28&lt;&gt;"",Y$3&gt;=$J28,Y$3&lt;=$M28),1,"")</f>
        <v/>
      </c>
      <c r="Z28">
        <f>IF(AND($A28&lt;&gt;"",Z$3&gt;=$J28,Z$3&lt;=$M28),1,"")</f>
        <v/>
      </c>
      <c r="AA28">
        <f>IF(AND($A28&lt;&gt;"",AA$3&gt;=$J28,AA$3&lt;=$M28),1,"")</f>
        <v/>
      </c>
      <c r="AB28">
        <f>IF(AND($A28&lt;&gt;"",AB$3&gt;=$J28,AB$3&lt;=$M28),1,"")</f>
        <v/>
      </c>
      <c r="AC28">
        <f>IF(AND($A28&lt;&gt;"",AC$3&gt;=$J28,AC$3&lt;=$M28),1,"")</f>
        <v/>
      </c>
      <c r="AD28">
        <f>IF(AND($A28&lt;&gt;"",AD$3&gt;=$J28,AD$3&lt;=$M28),1,"")</f>
        <v/>
      </c>
      <c r="AE28">
        <f>IF(AND($A28&lt;&gt;"",AE$3&gt;=$J28,AE$3&lt;=$M28),1,"")</f>
        <v/>
      </c>
      <c r="AF28">
        <f>IF(AND($A28&lt;&gt;"",AF$3&gt;=$J28,AF$3&lt;=$M28),1,"")</f>
        <v/>
      </c>
      <c r="AG28">
        <f>IF(AND($A28&lt;&gt;"",AG$3&gt;=$J28,AG$3&lt;=$M28),1,"")</f>
        <v/>
      </c>
      <c r="AH28">
        <f>IF(AND($A28&lt;&gt;"",AH$3&gt;=$J28,AH$3&lt;=$M28),1,"")</f>
        <v/>
      </c>
      <c r="AI28">
        <f>IF(AND($A28&lt;&gt;"",AI$3&gt;=$J28,AI$3&lt;=$M28),1,"")</f>
        <v/>
      </c>
      <c r="AJ28">
        <f>IF(AND($A28&lt;&gt;"",AJ$3&gt;=$J28,AJ$3&lt;=$M28),1,"")</f>
        <v/>
      </c>
      <c r="AK28">
        <f>IF(AND($A28&lt;&gt;"",AK$3&gt;=$J28,AK$3&lt;=$M28),1,"")</f>
        <v/>
      </c>
      <c r="AL28">
        <f>IF(AND($A28&lt;&gt;"",AL$3&gt;=$J28,AL$3&lt;=$M28),1,"")</f>
        <v/>
      </c>
      <c r="AM28">
        <f>IF(AND($A28&lt;&gt;"",AM$3&gt;=$J28,AM$3&lt;=$M28),1,"")</f>
        <v/>
      </c>
      <c r="AN28">
        <f>IF(AND($A28&lt;&gt;"",AN$3&gt;=$J28,AN$3&lt;=$M28),1,"")</f>
        <v/>
      </c>
      <c r="AO28">
        <f>IF(AND($A28&lt;&gt;"",AO$3&gt;=$J28,AO$3&lt;=$M28),1,"")</f>
        <v/>
      </c>
      <c r="AP28">
        <f>IF(AND($A28&lt;&gt;"",AP$3&gt;=$J28,AP$3&lt;=$M28),1,"")</f>
        <v/>
      </c>
      <c r="AQ28">
        <f>IF(AND($A28&lt;&gt;"",AQ$3&gt;=$J28,AQ$3&lt;=$M28),1,"")</f>
        <v/>
      </c>
      <c r="AR28">
        <f>IF(AND($A28&lt;&gt;"",AR$3&gt;=$J28,AR$3&lt;=$M28),1,"")</f>
        <v/>
      </c>
      <c r="AS28">
        <f>IF(AND($A28&lt;&gt;"",AS$3&gt;=$J28,AS$3&lt;=$M28),1,"")</f>
        <v/>
      </c>
      <c r="AT28">
        <f>IF(AND($A28&lt;&gt;"",AT$3&gt;=$J28,AT$3&lt;=$M28),1,"")</f>
        <v/>
      </c>
      <c r="AU28">
        <f>IF(AND($A28&lt;&gt;"",AU$3&gt;=$J28,AU$3&lt;=$M28),1,"")</f>
        <v/>
      </c>
      <c r="AV28">
        <f>IF(AND($A28&lt;&gt;"",AV$3&gt;=$J28,AV$3&lt;=$M28),1,"")</f>
        <v/>
      </c>
      <c r="AW28">
        <f>IF(AND($A28&lt;&gt;"",AW$3&gt;=$J28,AW$3&lt;=$M28),1,"")</f>
        <v/>
      </c>
      <c r="AX28">
        <f>IF(AND($A28&lt;&gt;"",AX$3&gt;=$J28,AX$3&lt;=$M28),1,"")</f>
        <v/>
      </c>
      <c r="AY28">
        <f>IF(AND($A28&lt;&gt;"",AY$3&gt;=$J28,AY$3&lt;=$M28),1,"")</f>
        <v/>
      </c>
      <c r="AZ28">
        <f>IF(AND($A28&lt;&gt;"",AZ$3&gt;=$J28,AZ$3&lt;=$M28),1,"")</f>
        <v/>
      </c>
      <c r="BA28">
        <f>IF(AND($A28&lt;&gt;"",BA$3&gt;=$J28,BA$3&lt;=$M28),1,"")</f>
        <v/>
      </c>
      <c r="BB28">
        <f>IF(AND($A28&lt;&gt;"",BB$3&gt;=$J28,BB$3&lt;=$M28),1,"")</f>
        <v/>
      </c>
      <c r="BC28">
        <f>IF(AND($A28&lt;&gt;"",BC$3&gt;=$J28,BC$3&lt;=$M28),1,"")</f>
        <v/>
      </c>
      <c r="BD28">
        <f>IF(AND($A28&lt;&gt;"",BD$3&gt;=$J28,BD$3&lt;=$M28),1,"")</f>
        <v/>
      </c>
      <c r="BE28">
        <f>IF(AND($A28&lt;&gt;"",BE$3&gt;=$J28,BE$3&lt;=$M28),1,"")</f>
        <v/>
      </c>
      <c r="BF28">
        <f>IF(AND($A28&lt;&gt;"",BF$3&gt;=$J28,BF$3&lt;=$M28),1,"")</f>
        <v/>
      </c>
      <c r="BG28">
        <f>IF(AND($A28&lt;&gt;"",BG$3&gt;=$J28,BG$3&lt;=$M28),1,"")</f>
        <v/>
      </c>
      <c r="BH28">
        <f>IF(AND($A28&lt;&gt;"",BH$3&gt;=$J28,BH$3&lt;=$M28),1,"")</f>
        <v/>
      </c>
      <c r="BI28">
        <f>IF(AND($A28&lt;&gt;"",BI$3&gt;=$J28,BI$3&lt;=$M28),1,"")</f>
        <v/>
      </c>
      <c r="BJ28">
        <f>IF(AND($A28&lt;&gt;"",BJ$3&gt;=$J28,BJ$3&lt;=$M28),1,"")</f>
        <v/>
      </c>
      <c r="BK28">
        <f>IF(AND($A28&lt;&gt;"",BK$3&gt;=$J28,BK$3&lt;=$M28),1,"")</f>
        <v/>
      </c>
      <c r="BL28">
        <f>IF(AND($A28&lt;&gt;"",BL$3&gt;=$J28,BL$3&lt;=$M28),1,"")</f>
        <v/>
      </c>
      <c r="BM28">
        <f>IF(AND($A28&lt;&gt;"",BM$3&gt;=$J28,BM$3&lt;=$M28),1,"")</f>
        <v/>
      </c>
      <c r="BN28">
        <f>IF(AND($A28&lt;&gt;"",BN$3&gt;=$J28,BN$3&lt;=$M28),1,"")</f>
        <v/>
      </c>
      <c r="BO28">
        <f>IF(AND($A28&lt;&gt;"",BO$3&gt;=$J28,BO$3&lt;=$M28),1,"")</f>
        <v/>
      </c>
      <c r="BP28">
        <f>IF(AND($A28&lt;&gt;"",BP$3&gt;=$J28,BP$3&lt;=$M28),1,"")</f>
        <v/>
      </c>
      <c r="BQ28">
        <f>IF(AND($A28&lt;&gt;"",BQ$3&gt;=$J28,BQ$3&lt;=$M28),1,"")</f>
        <v/>
      </c>
      <c r="BR28">
        <f>IF(AND($A28&lt;&gt;"",BR$3&gt;=$J28,BR$3&lt;=$M28),1,"")</f>
        <v/>
      </c>
      <c r="BS28">
        <f>IF(AND($A28&lt;&gt;"",BS$3&gt;=$J28,BS$3&lt;=$M28),1,"")</f>
        <v/>
      </c>
      <c r="BT28">
        <f>IF(AND($A28&lt;&gt;"",BT$3&gt;=$J28,BT$3&lt;=$M28),1,"")</f>
        <v/>
      </c>
      <c r="BU28">
        <f>IF(AND($A28&lt;&gt;"",BU$3&gt;=$J28,BU$3&lt;=$M28),1,"")</f>
        <v/>
      </c>
      <c r="BV28">
        <f>IF(AND($A28&lt;&gt;"",BV$3&gt;=$J28,BV$3&lt;=$M28),1,"")</f>
        <v/>
      </c>
    </row>
    <row r="29">
      <c r="A29">
        <f>IF(Job_Master_Ring!$A29="","",Job_Master_Ring!$A29)</f>
        <v/>
      </c>
      <c r="B29">
        <f>IF($A29="","",Job_Master_Ring!B29)</f>
        <v/>
      </c>
      <c r="C29">
        <f>IF($A29="","",Job_Master_Ring!C29)</f>
        <v/>
      </c>
      <c r="D29">
        <f>IF($A29="","",Job_Master_Ring!D29)</f>
        <v/>
      </c>
      <c r="E29">
        <f>IF($A29="","",IF($I29&lt;&gt;"",$I29,IFERROR(INDEX(Machine_List!$B$72:$B$81,MATCH(1,(Machine_List!$H$72:$H$81&lt;=IFERROR(VLOOKUP($B29,CHOOSE(MATCH($C29,Settings!$L$4:$L$10,0),OPR_BR1!$A$4:$K$18,OPR_BR2!$A$4:$K$18,OPR_CR2!$A$4:$K$18,OPR_CR3!$A$4:$K$18,OPR_CR4!$A$4:$K$18,OPR_RIM!$A$4:$K$18,OPR_BPR!$A$4:$K$18),10,0),0))*(Machine_List!$I$72:$I$81&gt;=IFERROR(VLOOKUP($B29,CHOOSE(MATCH($C29,Settings!$L$4:$L$10,0),OPR_BR1!$A$4:$K$18,OPR_BR2!$A$4:$K$18,OPR_CR2!$A$4:$K$18,OPR_CR3!$A$4:$K$18,OPR_CR4!$A$4:$K$18,OPR_RIM!$A$4:$K$18,OPR_BPR!$A$4:$K$18),11,0),9999)),0)),"NO COMPATIBLE MACHINE")))</f>
        <v/>
      </c>
      <c r="F29">
        <f>IF($E29="","",IFERROR(VLOOKUP($E29,Machine_List!$B:$G,6,0),""))</f>
        <v/>
      </c>
      <c r="G29" s="17">
        <f>IF($E29="","",IFERROR(VLOOKUP($E29,Machine_List!$B:$C,2,0),""))</f>
        <v/>
      </c>
      <c r="H29">
        <f>IF($E29="","",IFERROR(VLOOKUP($E29,Machine_List!$B:$D,3,0),""))</f>
        <v/>
      </c>
      <c r="J29" s="16">
        <f>IF($A29="","",IF($I29&lt;&gt;"",$I29,MAX(VENT_Plan!$M29,IFERROR(LOOKUP(2,1/($E$3:INDIRECT("E"&amp;(ROW()-1))=$E29),$M$3:INDIRECT("M"&amp;(ROW()-1))),VENT_Plan!$M29))))</f>
        <v/>
      </c>
      <c r="K29">
        <f>IF($A29="","",IFERROR(VLOOKUP(B29,CHOOSE(MATCH($C29,Settings!$L$4:$L$10,0),OPR_BR1!$A$4:$I$18,OPR_BR2!$A$4:$I$18,OPR_CR2!$A$4:$I$18,OPR_CR3!$A$4:$I$18,OPR_CR4!$A$4:$I$18,OPR_RIM!$A$4:$I$18,OPR_BPR!$A$4:$I$18),8,0),0))</f>
        <v/>
      </c>
      <c r="L29">
        <f>IF($A29="","",K29*D29)</f>
        <v/>
      </c>
      <c r="M29" s="16">
        <f>IF($A29="","",IF(AND(ISNUMBER(G29),G29&gt;=J29,G29&lt;=(J29+(L29/(IF(F29="Contract Workman",Settings!$K$5,Settings!$K$4))))),J29+(L29/(IF(F29="Contract Workman",Settings!$K$5,Settings!$K$4)))+(H29/(IF(F29="Contract Workman",Settings!$K$5,Settings!$K$4))),J29+(L29/(IF(F29="Contract Workman",Settings!$K$5,Settings!$K$4)))))</f>
        <v/>
      </c>
      <c r="N29">
        <f>IF($A29="","",IF(F29="Contract Workman",IF(AND(MOD(M29,1)&gt;=8/24,MOD(M29,1)&lt;20/24),"Shift S1","Shift S2"),IF(AND(MOD(M29,1)&gt;=7/24,MOD(M29,1)&lt;15/24),"Shift A",IF(AND(MOD(M29,1)&gt;=15/24,MOD(M29,1)&lt;23/24),"Shift B","Shift C"))))</f>
        <v/>
      </c>
      <c r="O29">
        <f>IF(B29="","",IF(IFERROR(ISNUMBER(SEARCH(TEXT(B29,"0"),VLOOKUP(E29,Machine_List!$B:$J,9,0))),FALSE),"✅ "&amp; E29,"❌ Sug: "&amp;IFERROR(INDEX(Machine_List!$B$72:$B$81,MATCH(1,(Machine_List!$H$72:$H$81&lt;=IFERROR(VLOOKUP($B29,OPR_BR1!$A$4:$K$18,10,0),0))*(Machine_List!$I$72:$I$81&gt;=IFERROR(VLOOKUP($B29,OPR_BR1!$A$4:$K$18,11,0),9999)),0)),"?")))</f>
        <v/>
      </c>
      <c r="P29">
        <f>IF(AND($A29&lt;&gt;"",P$3&gt;=$J29,P$3&lt;=$M29),1,"")</f>
        <v/>
      </c>
      <c r="Q29">
        <f>IF(AND($A29&lt;&gt;"",Q$3&gt;=$J29,Q$3&lt;=$M29),1,"")</f>
        <v/>
      </c>
      <c r="R29">
        <f>IF(AND($A29&lt;&gt;"",R$3&gt;=$J29,R$3&lt;=$M29),1,"")</f>
        <v/>
      </c>
      <c r="S29">
        <f>IF(AND($A29&lt;&gt;"",S$3&gt;=$J29,S$3&lt;=$M29),1,"")</f>
        <v/>
      </c>
      <c r="T29">
        <f>IF(AND($A29&lt;&gt;"",T$3&gt;=$J29,T$3&lt;=$M29),1,"")</f>
        <v/>
      </c>
      <c r="U29">
        <f>IF(AND($A29&lt;&gt;"",U$3&gt;=$J29,U$3&lt;=$M29),1,"")</f>
        <v/>
      </c>
      <c r="V29">
        <f>IF(AND($A29&lt;&gt;"",V$3&gt;=$J29,V$3&lt;=$M29),1,"")</f>
        <v/>
      </c>
      <c r="W29">
        <f>IF(AND($A29&lt;&gt;"",W$3&gt;=$J29,W$3&lt;=$M29),1,"")</f>
        <v/>
      </c>
      <c r="X29">
        <f>IF(AND($A29&lt;&gt;"",X$3&gt;=$J29,X$3&lt;=$M29),1,"")</f>
        <v/>
      </c>
      <c r="Y29">
        <f>IF(AND($A29&lt;&gt;"",Y$3&gt;=$J29,Y$3&lt;=$M29),1,"")</f>
        <v/>
      </c>
      <c r="Z29">
        <f>IF(AND($A29&lt;&gt;"",Z$3&gt;=$J29,Z$3&lt;=$M29),1,"")</f>
        <v/>
      </c>
      <c r="AA29">
        <f>IF(AND($A29&lt;&gt;"",AA$3&gt;=$J29,AA$3&lt;=$M29),1,"")</f>
        <v/>
      </c>
      <c r="AB29">
        <f>IF(AND($A29&lt;&gt;"",AB$3&gt;=$J29,AB$3&lt;=$M29),1,"")</f>
        <v/>
      </c>
      <c r="AC29">
        <f>IF(AND($A29&lt;&gt;"",AC$3&gt;=$J29,AC$3&lt;=$M29),1,"")</f>
        <v/>
      </c>
      <c r="AD29">
        <f>IF(AND($A29&lt;&gt;"",AD$3&gt;=$J29,AD$3&lt;=$M29),1,"")</f>
        <v/>
      </c>
      <c r="AE29">
        <f>IF(AND($A29&lt;&gt;"",AE$3&gt;=$J29,AE$3&lt;=$M29),1,"")</f>
        <v/>
      </c>
      <c r="AF29">
        <f>IF(AND($A29&lt;&gt;"",AF$3&gt;=$J29,AF$3&lt;=$M29),1,"")</f>
        <v/>
      </c>
      <c r="AG29">
        <f>IF(AND($A29&lt;&gt;"",AG$3&gt;=$J29,AG$3&lt;=$M29),1,"")</f>
        <v/>
      </c>
      <c r="AH29">
        <f>IF(AND($A29&lt;&gt;"",AH$3&gt;=$J29,AH$3&lt;=$M29),1,"")</f>
        <v/>
      </c>
      <c r="AI29">
        <f>IF(AND($A29&lt;&gt;"",AI$3&gt;=$J29,AI$3&lt;=$M29),1,"")</f>
        <v/>
      </c>
      <c r="AJ29">
        <f>IF(AND($A29&lt;&gt;"",AJ$3&gt;=$J29,AJ$3&lt;=$M29),1,"")</f>
        <v/>
      </c>
      <c r="AK29">
        <f>IF(AND($A29&lt;&gt;"",AK$3&gt;=$J29,AK$3&lt;=$M29),1,"")</f>
        <v/>
      </c>
      <c r="AL29">
        <f>IF(AND($A29&lt;&gt;"",AL$3&gt;=$J29,AL$3&lt;=$M29),1,"")</f>
        <v/>
      </c>
      <c r="AM29">
        <f>IF(AND($A29&lt;&gt;"",AM$3&gt;=$J29,AM$3&lt;=$M29),1,"")</f>
        <v/>
      </c>
      <c r="AN29">
        <f>IF(AND($A29&lt;&gt;"",AN$3&gt;=$J29,AN$3&lt;=$M29),1,"")</f>
        <v/>
      </c>
      <c r="AO29">
        <f>IF(AND($A29&lt;&gt;"",AO$3&gt;=$J29,AO$3&lt;=$M29),1,"")</f>
        <v/>
      </c>
      <c r="AP29">
        <f>IF(AND($A29&lt;&gt;"",AP$3&gt;=$J29,AP$3&lt;=$M29),1,"")</f>
        <v/>
      </c>
      <c r="AQ29">
        <f>IF(AND($A29&lt;&gt;"",AQ$3&gt;=$J29,AQ$3&lt;=$M29),1,"")</f>
        <v/>
      </c>
      <c r="AR29">
        <f>IF(AND($A29&lt;&gt;"",AR$3&gt;=$J29,AR$3&lt;=$M29),1,"")</f>
        <v/>
      </c>
      <c r="AS29">
        <f>IF(AND($A29&lt;&gt;"",AS$3&gt;=$J29,AS$3&lt;=$M29),1,"")</f>
        <v/>
      </c>
      <c r="AT29">
        <f>IF(AND($A29&lt;&gt;"",AT$3&gt;=$J29,AT$3&lt;=$M29),1,"")</f>
        <v/>
      </c>
      <c r="AU29">
        <f>IF(AND($A29&lt;&gt;"",AU$3&gt;=$J29,AU$3&lt;=$M29),1,"")</f>
        <v/>
      </c>
      <c r="AV29">
        <f>IF(AND($A29&lt;&gt;"",AV$3&gt;=$J29,AV$3&lt;=$M29),1,"")</f>
        <v/>
      </c>
      <c r="AW29">
        <f>IF(AND($A29&lt;&gt;"",AW$3&gt;=$J29,AW$3&lt;=$M29),1,"")</f>
        <v/>
      </c>
      <c r="AX29">
        <f>IF(AND($A29&lt;&gt;"",AX$3&gt;=$J29,AX$3&lt;=$M29),1,"")</f>
        <v/>
      </c>
      <c r="AY29">
        <f>IF(AND($A29&lt;&gt;"",AY$3&gt;=$J29,AY$3&lt;=$M29),1,"")</f>
        <v/>
      </c>
      <c r="AZ29">
        <f>IF(AND($A29&lt;&gt;"",AZ$3&gt;=$J29,AZ$3&lt;=$M29),1,"")</f>
        <v/>
      </c>
      <c r="BA29">
        <f>IF(AND($A29&lt;&gt;"",BA$3&gt;=$J29,BA$3&lt;=$M29),1,"")</f>
        <v/>
      </c>
      <c r="BB29">
        <f>IF(AND($A29&lt;&gt;"",BB$3&gt;=$J29,BB$3&lt;=$M29),1,"")</f>
        <v/>
      </c>
      <c r="BC29">
        <f>IF(AND($A29&lt;&gt;"",BC$3&gt;=$J29,BC$3&lt;=$M29),1,"")</f>
        <v/>
      </c>
      <c r="BD29">
        <f>IF(AND($A29&lt;&gt;"",BD$3&gt;=$J29,BD$3&lt;=$M29),1,"")</f>
        <v/>
      </c>
      <c r="BE29">
        <f>IF(AND($A29&lt;&gt;"",BE$3&gt;=$J29,BE$3&lt;=$M29),1,"")</f>
        <v/>
      </c>
      <c r="BF29">
        <f>IF(AND($A29&lt;&gt;"",BF$3&gt;=$J29,BF$3&lt;=$M29),1,"")</f>
        <v/>
      </c>
      <c r="BG29">
        <f>IF(AND($A29&lt;&gt;"",BG$3&gt;=$J29,BG$3&lt;=$M29),1,"")</f>
        <v/>
      </c>
      <c r="BH29">
        <f>IF(AND($A29&lt;&gt;"",BH$3&gt;=$J29,BH$3&lt;=$M29),1,"")</f>
        <v/>
      </c>
      <c r="BI29">
        <f>IF(AND($A29&lt;&gt;"",BI$3&gt;=$J29,BI$3&lt;=$M29),1,"")</f>
        <v/>
      </c>
      <c r="BJ29">
        <f>IF(AND($A29&lt;&gt;"",BJ$3&gt;=$J29,BJ$3&lt;=$M29),1,"")</f>
        <v/>
      </c>
      <c r="BK29">
        <f>IF(AND($A29&lt;&gt;"",BK$3&gt;=$J29,BK$3&lt;=$M29),1,"")</f>
        <v/>
      </c>
      <c r="BL29">
        <f>IF(AND($A29&lt;&gt;"",BL$3&gt;=$J29,BL$3&lt;=$M29),1,"")</f>
        <v/>
      </c>
      <c r="BM29">
        <f>IF(AND($A29&lt;&gt;"",BM$3&gt;=$J29,BM$3&lt;=$M29),1,"")</f>
        <v/>
      </c>
      <c r="BN29">
        <f>IF(AND($A29&lt;&gt;"",BN$3&gt;=$J29,BN$3&lt;=$M29),1,"")</f>
        <v/>
      </c>
      <c r="BO29">
        <f>IF(AND($A29&lt;&gt;"",BO$3&gt;=$J29,BO$3&lt;=$M29),1,"")</f>
        <v/>
      </c>
      <c r="BP29">
        <f>IF(AND($A29&lt;&gt;"",BP$3&gt;=$J29,BP$3&lt;=$M29),1,"")</f>
        <v/>
      </c>
      <c r="BQ29">
        <f>IF(AND($A29&lt;&gt;"",BQ$3&gt;=$J29,BQ$3&lt;=$M29),1,"")</f>
        <v/>
      </c>
      <c r="BR29">
        <f>IF(AND($A29&lt;&gt;"",BR$3&gt;=$J29,BR$3&lt;=$M29),1,"")</f>
        <v/>
      </c>
      <c r="BS29">
        <f>IF(AND($A29&lt;&gt;"",BS$3&gt;=$J29,BS$3&lt;=$M29),1,"")</f>
        <v/>
      </c>
      <c r="BT29">
        <f>IF(AND($A29&lt;&gt;"",BT$3&gt;=$J29,BT$3&lt;=$M29),1,"")</f>
        <v/>
      </c>
      <c r="BU29">
        <f>IF(AND($A29&lt;&gt;"",BU$3&gt;=$J29,BU$3&lt;=$M29),1,"")</f>
        <v/>
      </c>
      <c r="BV29">
        <f>IF(AND($A29&lt;&gt;"",BV$3&gt;=$J29,BV$3&lt;=$M29),1,"")</f>
        <v/>
      </c>
    </row>
    <row r="30">
      <c r="A30">
        <f>IF(Job_Master_Ring!$A30="","",Job_Master_Ring!$A30)</f>
        <v/>
      </c>
      <c r="B30">
        <f>IF($A30="","",Job_Master_Ring!B30)</f>
        <v/>
      </c>
      <c r="C30">
        <f>IF($A30="","",Job_Master_Ring!C30)</f>
        <v/>
      </c>
      <c r="D30">
        <f>IF($A30="","",Job_Master_Ring!D30)</f>
        <v/>
      </c>
      <c r="E30">
        <f>IF($A30="","",IF($I30&lt;&gt;"",$I30,IFERROR(INDEX(Machine_List!$B$72:$B$81,MATCH(1,(Machine_List!$H$72:$H$81&lt;=IFERROR(VLOOKUP($B30,CHOOSE(MATCH($C30,Settings!$L$4:$L$10,0),OPR_BR1!$A$4:$K$18,OPR_BR2!$A$4:$K$18,OPR_CR2!$A$4:$K$18,OPR_CR3!$A$4:$K$18,OPR_CR4!$A$4:$K$18,OPR_RIM!$A$4:$K$18,OPR_BPR!$A$4:$K$18),10,0),0))*(Machine_List!$I$72:$I$81&gt;=IFERROR(VLOOKUP($B30,CHOOSE(MATCH($C30,Settings!$L$4:$L$10,0),OPR_BR1!$A$4:$K$18,OPR_BR2!$A$4:$K$18,OPR_CR2!$A$4:$K$18,OPR_CR3!$A$4:$K$18,OPR_CR4!$A$4:$K$18,OPR_RIM!$A$4:$K$18,OPR_BPR!$A$4:$K$18),11,0),9999)),0)),"NO COMPATIBLE MACHINE")))</f>
        <v/>
      </c>
      <c r="F30">
        <f>IF($E30="","",IFERROR(VLOOKUP($E30,Machine_List!$B:$G,6,0),""))</f>
        <v/>
      </c>
      <c r="G30" s="17">
        <f>IF($E30="","",IFERROR(VLOOKUP($E30,Machine_List!$B:$C,2,0),""))</f>
        <v/>
      </c>
      <c r="H30">
        <f>IF($E30="","",IFERROR(VLOOKUP($E30,Machine_List!$B:$D,3,0),""))</f>
        <v/>
      </c>
      <c r="J30" s="16">
        <f>IF($A30="","",IF($I30&lt;&gt;"",$I30,MAX(VENT_Plan!$M30,IFERROR(LOOKUP(2,1/($E$3:INDIRECT("E"&amp;(ROW()-1))=$E30),$M$3:INDIRECT("M"&amp;(ROW()-1))),VENT_Plan!$M30))))</f>
        <v/>
      </c>
      <c r="K30">
        <f>IF($A30="","",IFERROR(VLOOKUP(B30,CHOOSE(MATCH($C30,Settings!$L$4:$L$10,0),OPR_BR1!$A$4:$I$18,OPR_BR2!$A$4:$I$18,OPR_CR2!$A$4:$I$18,OPR_CR3!$A$4:$I$18,OPR_CR4!$A$4:$I$18,OPR_RIM!$A$4:$I$18,OPR_BPR!$A$4:$I$18),8,0),0))</f>
        <v/>
      </c>
      <c r="L30">
        <f>IF($A30="","",K30*D30)</f>
        <v/>
      </c>
      <c r="M30" s="16">
        <f>IF($A30="","",IF(AND(ISNUMBER(G30),G30&gt;=J30,G30&lt;=(J30+(L30/(IF(F30="Contract Workman",Settings!$K$5,Settings!$K$4))))),J30+(L30/(IF(F30="Contract Workman",Settings!$K$5,Settings!$K$4)))+(H30/(IF(F30="Contract Workman",Settings!$K$5,Settings!$K$4))),J30+(L30/(IF(F30="Contract Workman",Settings!$K$5,Settings!$K$4)))))</f>
        <v/>
      </c>
      <c r="N30">
        <f>IF($A30="","",IF(F30="Contract Workman",IF(AND(MOD(M30,1)&gt;=8/24,MOD(M30,1)&lt;20/24),"Shift S1","Shift S2"),IF(AND(MOD(M30,1)&gt;=7/24,MOD(M30,1)&lt;15/24),"Shift A",IF(AND(MOD(M30,1)&gt;=15/24,MOD(M30,1)&lt;23/24),"Shift B","Shift C"))))</f>
        <v/>
      </c>
      <c r="O30">
        <f>IF(B30="","",IF(IFERROR(ISNUMBER(SEARCH(TEXT(B30,"0"),VLOOKUP(E30,Machine_List!$B:$J,9,0))),FALSE),"✅ "&amp; E30,"❌ Sug: "&amp;IFERROR(INDEX(Machine_List!$B$72:$B$81,MATCH(1,(Machine_List!$H$72:$H$81&lt;=IFERROR(VLOOKUP($B30,OPR_BR1!$A$4:$K$18,10,0),0))*(Machine_List!$I$72:$I$81&gt;=IFERROR(VLOOKUP($B30,OPR_BR1!$A$4:$K$18,11,0),9999)),0)),"?")))</f>
        <v/>
      </c>
      <c r="P30">
        <f>IF(AND($A30&lt;&gt;"",P$3&gt;=$J30,P$3&lt;=$M30),1,"")</f>
        <v/>
      </c>
      <c r="Q30">
        <f>IF(AND($A30&lt;&gt;"",Q$3&gt;=$J30,Q$3&lt;=$M30),1,"")</f>
        <v/>
      </c>
      <c r="R30">
        <f>IF(AND($A30&lt;&gt;"",R$3&gt;=$J30,R$3&lt;=$M30),1,"")</f>
        <v/>
      </c>
      <c r="S30">
        <f>IF(AND($A30&lt;&gt;"",S$3&gt;=$J30,S$3&lt;=$M30),1,"")</f>
        <v/>
      </c>
      <c r="T30">
        <f>IF(AND($A30&lt;&gt;"",T$3&gt;=$J30,T$3&lt;=$M30),1,"")</f>
        <v/>
      </c>
      <c r="U30">
        <f>IF(AND($A30&lt;&gt;"",U$3&gt;=$J30,U$3&lt;=$M30),1,"")</f>
        <v/>
      </c>
      <c r="V30">
        <f>IF(AND($A30&lt;&gt;"",V$3&gt;=$J30,V$3&lt;=$M30),1,"")</f>
        <v/>
      </c>
      <c r="W30">
        <f>IF(AND($A30&lt;&gt;"",W$3&gt;=$J30,W$3&lt;=$M30),1,"")</f>
        <v/>
      </c>
      <c r="X30">
        <f>IF(AND($A30&lt;&gt;"",X$3&gt;=$J30,X$3&lt;=$M30),1,"")</f>
        <v/>
      </c>
      <c r="Y30">
        <f>IF(AND($A30&lt;&gt;"",Y$3&gt;=$J30,Y$3&lt;=$M30),1,"")</f>
        <v/>
      </c>
      <c r="Z30">
        <f>IF(AND($A30&lt;&gt;"",Z$3&gt;=$J30,Z$3&lt;=$M30),1,"")</f>
        <v/>
      </c>
      <c r="AA30">
        <f>IF(AND($A30&lt;&gt;"",AA$3&gt;=$J30,AA$3&lt;=$M30),1,"")</f>
        <v/>
      </c>
      <c r="AB30">
        <f>IF(AND($A30&lt;&gt;"",AB$3&gt;=$J30,AB$3&lt;=$M30),1,"")</f>
        <v/>
      </c>
      <c r="AC30">
        <f>IF(AND($A30&lt;&gt;"",AC$3&gt;=$J30,AC$3&lt;=$M30),1,"")</f>
        <v/>
      </c>
      <c r="AD30">
        <f>IF(AND($A30&lt;&gt;"",AD$3&gt;=$J30,AD$3&lt;=$M30),1,"")</f>
        <v/>
      </c>
      <c r="AE30">
        <f>IF(AND($A30&lt;&gt;"",AE$3&gt;=$J30,AE$3&lt;=$M30),1,"")</f>
        <v/>
      </c>
      <c r="AF30">
        <f>IF(AND($A30&lt;&gt;"",AF$3&gt;=$J30,AF$3&lt;=$M30),1,"")</f>
        <v/>
      </c>
      <c r="AG30">
        <f>IF(AND($A30&lt;&gt;"",AG$3&gt;=$J30,AG$3&lt;=$M30),1,"")</f>
        <v/>
      </c>
      <c r="AH30">
        <f>IF(AND($A30&lt;&gt;"",AH$3&gt;=$J30,AH$3&lt;=$M30),1,"")</f>
        <v/>
      </c>
      <c r="AI30">
        <f>IF(AND($A30&lt;&gt;"",AI$3&gt;=$J30,AI$3&lt;=$M30),1,"")</f>
        <v/>
      </c>
      <c r="AJ30">
        <f>IF(AND($A30&lt;&gt;"",AJ$3&gt;=$J30,AJ$3&lt;=$M30),1,"")</f>
        <v/>
      </c>
      <c r="AK30">
        <f>IF(AND($A30&lt;&gt;"",AK$3&gt;=$J30,AK$3&lt;=$M30),1,"")</f>
        <v/>
      </c>
      <c r="AL30">
        <f>IF(AND($A30&lt;&gt;"",AL$3&gt;=$J30,AL$3&lt;=$M30),1,"")</f>
        <v/>
      </c>
      <c r="AM30">
        <f>IF(AND($A30&lt;&gt;"",AM$3&gt;=$J30,AM$3&lt;=$M30),1,"")</f>
        <v/>
      </c>
      <c r="AN30">
        <f>IF(AND($A30&lt;&gt;"",AN$3&gt;=$J30,AN$3&lt;=$M30),1,"")</f>
        <v/>
      </c>
      <c r="AO30">
        <f>IF(AND($A30&lt;&gt;"",AO$3&gt;=$J30,AO$3&lt;=$M30),1,"")</f>
        <v/>
      </c>
      <c r="AP30">
        <f>IF(AND($A30&lt;&gt;"",AP$3&gt;=$J30,AP$3&lt;=$M30),1,"")</f>
        <v/>
      </c>
      <c r="AQ30">
        <f>IF(AND($A30&lt;&gt;"",AQ$3&gt;=$J30,AQ$3&lt;=$M30),1,"")</f>
        <v/>
      </c>
      <c r="AR30">
        <f>IF(AND($A30&lt;&gt;"",AR$3&gt;=$J30,AR$3&lt;=$M30),1,"")</f>
        <v/>
      </c>
      <c r="AS30">
        <f>IF(AND($A30&lt;&gt;"",AS$3&gt;=$J30,AS$3&lt;=$M30),1,"")</f>
        <v/>
      </c>
      <c r="AT30">
        <f>IF(AND($A30&lt;&gt;"",AT$3&gt;=$J30,AT$3&lt;=$M30),1,"")</f>
        <v/>
      </c>
      <c r="AU30">
        <f>IF(AND($A30&lt;&gt;"",AU$3&gt;=$J30,AU$3&lt;=$M30),1,"")</f>
        <v/>
      </c>
      <c r="AV30">
        <f>IF(AND($A30&lt;&gt;"",AV$3&gt;=$J30,AV$3&lt;=$M30),1,"")</f>
        <v/>
      </c>
      <c r="AW30">
        <f>IF(AND($A30&lt;&gt;"",AW$3&gt;=$J30,AW$3&lt;=$M30),1,"")</f>
        <v/>
      </c>
      <c r="AX30">
        <f>IF(AND($A30&lt;&gt;"",AX$3&gt;=$J30,AX$3&lt;=$M30),1,"")</f>
        <v/>
      </c>
      <c r="AY30">
        <f>IF(AND($A30&lt;&gt;"",AY$3&gt;=$J30,AY$3&lt;=$M30),1,"")</f>
        <v/>
      </c>
      <c r="AZ30">
        <f>IF(AND($A30&lt;&gt;"",AZ$3&gt;=$J30,AZ$3&lt;=$M30),1,"")</f>
        <v/>
      </c>
      <c r="BA30">
        <f>IF(AND($A30&lt;&gt;"",BA$3&gt;=$J30,BA$3&lt;=$M30),1,"")</f>
        <v/>
      </c>
      <c r="BB30">
        <f>IF(AND($A30&lt;&gt;"",BB$3&gt;=$J30,BB$3&lt;=$M30),1,"")</f>
        <v/>
      </c>
      <c r="BC30">
        <f>IF(AND($A30&lt;&gt;"",BC$3&gt;=$J30,BC$3&lt;=$M30),1,"")</f>
        <v/>
      </c>
      <c r="BD30">
        <f>IF(AND($A30&lt;&gt;"",BD$3&gt;=$J30,BD$3&lt;=$M30),1,"")</f>
        <v/>
      </c>
      <c r="BE30">
        <f>IF(AND($A30&lt;&gt;"",BE$3&gt;=$J30,BE$3&lt;=$M30),1,"")</f>
        <v/>
      </c>
      <c r="BF30">
        <f>IF(AND($A30&lt;&gt;"",BF$3&gt;=$J30,BF$3&lt;=$M30),1,"")</f>
        <v/>
      </c>
      <c r="BG30">
        <f>IF(AND($A30&lt;&gt;"",BG$3&gt;=$J30,BG$3&lt;=$M30),1,"")</f>
        <v/>
      </c>
      <c r="BH30">
        <f>IF(AND($A30&lt;&gt;"",BH$3&gt;=$J30,BH$3&lt;=$M30),1,"")</f>
        <v/>
      </c>
      <c r="BI30">
        <f>IF(AND($A30&lt;&gt;"",BI$3&gt;=$J30,BI$3&lt;=$M30),1,"")</f>
        <v/>
      </c>
      <c r="BJ30">
        <f>IF(AND($A30&lt;&gt;"",BJ$3&gt;=$J30,BJ$3&lt;=$M30),1,"")</f>
        <v/>
      </c>
      <c r="BK30">
        <f>IF(AND($A30&lt;&gt;"",BK$3&gt;=$J30,BK$3&lt;=$M30),1,"")</f>
        <v/>
      </c>
      <c r="BL30">
        <f>IF(AND($A30&lt;&gt;"",BL$3&gt;=$J30,BL$3&lt;=$M30),1,"")</f>
        <v/>
      </c>
      <c r="BM30">
        <f>IF(AND($A30&lt;&gt;"",BM$3&gt;=$J30,BM$3&lt;=$M30),1,"")</f>
        <v/>
      </c>
      <c r="BN30">
        <f>IF(AND($A30&lt;&gt;"",BN$3&gt;=$J30,BN$3&lt;=$M30),1,"")</f>
        <v/>
      </c>
      <c r="BO30">
        <f>IF(AND($A30&lt;&gt;"",BO$3&gt;=$J30,BO$3&lt;=$M30),1,"")</f>
        <v/>
      </c>
      <c r="BP30">
        <f>IF(AND($A30&lt;&gt;"",BP$3&gt;=$J30,BP$3&lt;=$M30),1,"")</f>
        <v/>
      </c>
      <c r="BQ30">
        <f>IF(AND($A30&lt;&gt;"",BQ$3&gt;=$J30,BQ$3&lt;=$M30),1,"")</f>
        <v/>
      </c>
      <c r="BR30">
        <f>IF(AND($A30&lt;&gt;"",BR$3&gt;=$J30,BR$3&lt;=$M30),1,"")</f>
        <v/>
      </c>
      <c r="BS30">
        <f>IF(AND($A30&lt;&gt;"",BS$3&gt;=$J30,BS$3&lt;=$M30),1,"")</f>
        <v/>
      </c>
      <c r="BT30">
        <f>IF(AND($A30&lt;&gt;"",BT$3&gt;=$J30,BT$3&lt;=$M30),1,"")</f>
        <v/>
      </c>
      <c r="BU30">
        <f>IF(AND($A30&lt;&gt;"",BU$3&gt;=$J30,BU$3&lt;=$M30),1,"")</f>
        <v/>
      </c>
      <c r="BV30">
        <f>IF(AND($A30&lt;&gt;"",BV$3&gt;=$J30,BV$3&lt;=$M30),1,"")</f>
        <v/>
      </c>
    </row>
    <row r="31">
      <c r="A31">
        <f>IF(Job_Master_Ring!$A31="","",Job_Master_Ring!$A31)</f>
        <v/>
      </c>
      <c r="B31">
        <f>IF($A31="","",Job_Master_Ring!B31)</f>
        <v/>
      </c>
      <c r="C31">
        <f>IF($A31="","",Job_Master_Ring!C31)</f>
        <v/>
      </c>
      <c r="D31">
        <f>IF($A31="","",Job_Master_Ring!D31)</f>
        <v/>
      </c>
      <c r="E31">
        <f>IF($A31="","",IF($I31&lt;&gt;"",$I31,IFERROR(INDEX(Machine_List!$B$72:$B$81,MATCH(1,(Machine_List!$H$72:$H$81&lt;=IFERROR(VLOOKUP($B31,CHOOSE(MATCH($C31,Settings!$L$4:$L$10,0),OPR_BR1!$A$4:$K$18,OPR_BR2!$A$4:$K$18,OPR_CR2!$A$4:$K$18,OPR_CR3!$A$4:$K$18,OPR_CR4!$A$4:$K$18,OPR_RIM!$A$4:$K$18,OPR_BPR!$A$4:$K$18),10,0),0))*(Machine_List!$I$72:$I$81&gt;=IFERROR(VLOOKUP($B31,CHOOSE(MATCH($C31,Settings!$L$4:$L$10,0),OPR_BR1!$A$4:$K$18,OPR_BR2!$A$4:$K$18,OPR_CR2!$A$4:$K$18,OPR_CR3!$A$4:$K$18,OPR_CR4!$A$4:$K$18,OPR_RIM!$A$4:$K$18,OPR_BPR!$A$4:$K$18),11,0),9999)),0)),"NO COMPATIBLE MACHINE")))</f>
        <v/>
      </c>
      <c r="F31">
        <f>IF($E31="","",IFERROR(VLOOKUP($E31,Machine_List!$B:$G,6,0),""))</f>
        <v/>
      </c>
      <c r="G31" s="17">
        <f>IF($E31="","",IFERROR(VLOOKUP($E31,Machine_List!$B:$C,2,0),""))</f>
        <v/>
      </c>
      <c r="H31">
        <f>IF($E31="","",IFERROR(VLOOKUP($E31,Machine_List!$B:$D,3,0),""))</f>
        <v/>
      </c>
      <c r="J31" s="16">
        <f>IF($A31="","",IF($I31&lt;&gt;"",$I31,MAX(VENT_Plan!$M31,IFERROR(LOOKUP(2,1/($E$3:INDIRECT("E"&amp;(ROW()-1))=$E31),$M$3:INDIRECT("M"&amp;(ROW()-1))),VENT_Plan!$M31))))</f>
        <v/>
      </c>
      <c r="K31">
        <f>IF($A31="","",IFERROR(VLOOKUP(B31,CHOOSE(MATCH($C31,Settings!$L$4:$L$10,0),OPR_BR1!$A$4:$I$18,OPR_BR2!$A$4:$I$18,OPR_CR2!$A$4:$I$18,OPR_CR3!$A$4:$I$18,OPR_CR4!$A$4:$I$18,OPR_RIM!$A$4:$I$18,OPR_BPR!$A$4:$I$18),8,0),0))</f>
        <v/>
      </c>
      <c r="L31">
        <f>IF($A31="","",K31*D31)</f>
        <v/>
      </c>
      <c r="M31" s="16">
        <f>IF($A31="","",IF(AND(ISNUMBER(G31),G31&gt;=J31,G31&lt;=(J31+(L31/(IF(F31="Contract Workman",Settings!$K$5,Settings!$K$4))))),J31+(L31/(IF(F31="Contract Workman",Settings!$K$5,Settings!$K$4)))+(H31/(IF(F31="Contract Workman",Settings!$K$5,Settings!$K$4))),J31+(L31/(IF(F31="Contract Workman",Settings!$K$5,Settings!$K$4)))))</f>
        <v/>
      </c>
      <c r="N31">
        <f>IF($A31="","",IF(F31="Contract Workman",IF(AND(MOD(M31,1)&gt;=8/24,MOD(M31,1)&lt;20/24),"Shift S1","Shift S2"),IF(AND(MOD(M31,1)&gt;=7/24,MOD(M31,1)&lt;15/24),"Shift A",IF(AND(MOD(M31,1)&gt;=15/24,MOD(M31,1)&lt;23/24),"Shift B","Shift C"))))</f>
        <v/>
      </c>
      <c r="O31">
        <f>IF(B31="","",IF(IFERROR(ISNUMBER(SEARCH(TEXT(B31,"0"),VLOOKUP(E31,Machine_List!$B:$J,9,0))),FALSE),"✅ "&amp; E31,"❌ Sug: "&amp;IFERROR(INDEX(Machine_List!$B$72:$B$81,MATCH(1,(Machine_List!$H$72:$H$81&lt;=IFERROR(VLOOKUP($B31,OPR_BR1!$A$4:$K$18,10,0),0))*(Machine_List!$I$72:$I$81&gt;=IFERROR(VLOOKUP($B31,OPR_BR1!$A$4:$K$18,11,0),9999)),0)),"?")))</f>
        <v/>
      </c>
      <c r="P31">
        <f>IF(AND($A31&lt;&gt;"",P$3&gt;=$J31,P$3&lt;=$M31),1,"")</f>
        <v/>
      </c>
      <c r="Q31">
        <f>IF(AND($A31&lt;&gt;"",Q$3&gt;=$J31,Q$3&lt;=$M31),1,"")</f>
        <v/>
      </c>
      <c r="R31">
        <f>IF(AND($A31&lt;&gt;"",R$3&gt;=$J31,R$3&lt;=$M31),1,"")</f>
        <v/>
      </c>
      <c r="S31">
        <f>IF(AND($A31&lt;&gt;"",S$3&gt;=$J31,S$3&lt;=$M31),1,"")</f>
        <v/>
      </c>
      <c r="T31">
        <f>IF(AND($A31&lt;&gt;"",T$3&gt;=$J31,T$3&lt;=$M31),1,"")</f>
        <v/>
      </c>
      <c r="U31">
        <f>IF(AND($A31&lt;&gt;"",U$3&gt;=$J31,U$3&lt;=$M31),1,"")</f>
        <v/>
      </c>
      <c r="V31">
        <f>IF(AND($A31&lt;&gt;"",V$3&gt;=$J31,V$3&lt;=$M31),1,"")</f>
        <v/>
      </c>
      <c r="W31">
        <f>IF(AND($A31&lt;&gt;"",W$3&gt;=$J31,W$3&lt;=$M31),1,"")</f>
        <v/>
      </c>
      <c r="X31">
        <f>IF(AND($A31&lt;&gt;"",X$3&gt;=$J31,X$3&lt;=$M31),1,"")</f>
        <v/>
      </c>
      <c r="Y31">
        <f>IF(AND($A31&lt;&gt;"",Y$3&gt;=$J31,Y$3&lt;=$M31),1,"")</f>
        <v/>
      </c>
      <c r="Z31">
        <f>IF(AND($A31&lt;&gt;"",Z$3&gt;=$J31,Z$3&lt;=$M31),1,"")</f>
        <v/>
      </c>
      <c r="AA31">
        <f>IF(AND($A31&lt;&gt;"",AA$3&gt;=$J31,AA$3&lt;=$M31),1,"")</f>
        <v/>
      </c>
      <c r="AB31">
        <f>IF(AND($A31&lt;&gt;"",AB$3&gt;=$J31,AB$3&lt;=$M31),1,"")</f>
        <v/>
      </c>
      <c r="AC31">
        <f>IF(AND($A31&lt;&gt;"",AC$3&gt;=$J31,AC$3&lt;=$M31),1,"")</f>
        <v/>
      </c>
      <c r="AD31">
        <f>IF(AND($A31&lt;&gt;"",AD$3&gt;=$J31,AD$3&lt;=$M31),1,"")</f>
        <v/>
      </c>
      <c r="AE31">
        <f>IF(AND($A31&lt;&gt;"",AE$3&gt;=$J31,AE$3&lt;=$M31),1,"")</f>
        <v/>
      </c>
      <c r="AF31">
        <f>IF(AND($A31&lt;&gt;"",AF$3&gt;=$J31,AF$3&lt;=$M31),1,"")</f>
        <v/>
      </c>
      <c r="AG31">
        <f>IF(AND($A31&lt;&gt;"",AG$3&gt;=$J31,AG$3&lt;=$M31),1,"")</f>
        <v/>
      </c>
      <c r="AH31">
        <f>IF(AND($A31&lt;&gt;"",AH$3&gt;=$J31,AH$3&lt;=$M31),1,"")</f>
        <v/>
      </c>
      <c r="AI31">
        <f>IF(AND($A31&lt;&gt;"",AI$3&gt;=$J31,AI$3&lt;=$M31),1,"")</f>
        <v/>
      </c>
      <c r="AJ31">
        <f>IF(AND($A31&lt;&gt;"",AJ$3&gt;=$J31,AJ$3&lt;=$M31),1,"")</f>
        <v/>
      </c>
      <c r="AK31">
        <f>IF(AND($A31&lt;&gt;"",AK$3&gt;=$J31,AK$3&lt;=$M31),1,"")</f>
        <v/>
      </c>
      <c r="AL31">
        <f>IF(AND($A31&lt;&gt;"",AL$3&gt;=$J31,AL$3&lt;=$M31),1,"")</f>
        <v/>
      </c>
      <c r="AM31">
        <f>IF(AND($A31&lt;&gt;"",AM$3&gt;=$J31,AM$3&lt;=$M31),1,"")</f>
        <v/>
      </c>
      <c r="AN31">
        <f>IF(AND($A31&lt;&gt;"",AN$3&gt;=$J31,AN$3&lt;=$M31),1,"")</f>
        <v/>
      </c>
      <c r="AO31">
        <f>IF(AND($A31&lt;&gt;"",AO$3&gt;=$J31,AO$3&lt;=$M31),1,"")</f>
        <v/>
      </c>
      <c r="AP31">
        <f>IF(AND($A31&lt;&gt;"",AP$3&gt;=$J31,AP$3&lt;=$M31),1,"")</f>
        <v/>
      </c>
      <c r="AQ31">
        <f>IF(AND($A31&lt;&gt;"",AQ$3&gt;=$J31,AQ$3&lt;=$M31),1,"")</f>
        <v/>
      </c>
      <c r="AR31">
        <f>IF(AND($A31&lt;&gt;"",AR$3&gt;=$J31,AR$3&lt;=$M31),1,"")</f>
        <v/>
      </c>
      <c r="AS31">
        <f>IF(AND($A31&lt;&gt;"",AS$3&gt;=$J31,AS$3&lt;=$M31),1,"")</f>
        <v/>
      </c>
      <c r="AT31">
        <f>IF(AND($A31&lt;&gt;"",AT$3&gt;=$J31,AT$3&lt;=$M31),1,"")</f>
        <v/>
      </c>
      <c r="AU31">
        <f>IF(AND($A31&lt;&gt;"",AU$3&gt;=$J31,AU$3&lt;=$M31),1,"")</f>
        <v/>
      </c>
      <c r="AV31">
        <f>IF(AND($A31&lt;&gt;"",AV$3&gt;=$J31,AV$3&lt;=$M31),1,"")</f>
        <v/>
      </c>
      <c r="AW31">
        <f>IF(AND($A31&lt;&gt;"",AW$3&gt;=$J31,AW$3&lt;=$M31),1,"")</f>
        <v/>
      </c>
      <c r="AX31">
        <f>IF(AND($A31&lt;&gt;"",AX$3&gt;=$J31,AX$3&lt;=$M31),1,"")</f>
        <v/>
      </c>
      <c r="AY31">
        <f>IF(AND($A31&lt;&gt;"",AY$3&gt;=$J31,AY$3&lt;=$M31),1,"")</f>
        <v/>
      </c>
      <c r="AZ31">
        <f>IF(AND($A31&lt;&gt;"",AZ$3&gt;=$J31,AZ$3&lt;=$M31),1,"")</f>
        <v/>
      </c>
      <c r="BA31">
        <f>IF(AND($A31&lt;&gt;"",BA$3&gt;=$J31,BA$3&lt;=$M31),1,"")</f>
        <v/>
      </c>
      <c r="BB31">
        <f>IF(AND($A31&lt;&gt;"",BB$3&gt;=$J31,BB$3&lt;=$M31),1,"")</f>
        <v/>
      </c>
      <c r="BC31">
        <f>IF(AND($A31&lt;&gt;"",BC$3&gt;=$J31,BC$3&lt;=$M31),1,"")</f>
        <v/>
      </c>
      <c r="BD31">
        <f>IF(AND($A31&lt;&gt;"",BD$3&gt;=$J31,BD$3&lt;=$M31),1,"")</f>
        <v/>
      </c>
      <c r="BE31">
        <f>IF(AND($A31&lt;&gt;"",BE$3&gt;=$J31,BE$3&lt;=$M31),1,"")</f>
        <v/>
      </c>
      <c r="BF31">
        <f>IF(AND($A31&lt;&gt;"",BF$3&gt;=$J31,BF$3&lt;=$M31),1,"")</f>
        <v/>
      </c>
      <c r="BG31">
        <f>IF(AND($A31&lt;&gt;"",BG$3&gt;=$J31,BG$3&lt;=$M31),1,"")</f>
        <v/>
      </c>
      <c r="BH31">
        <f>IF(AND($A31&lt;&gt;"",BH$3&gt;=$J31,BH$3&lt;=$M31),1,"")</f>
        <v/>
      </c>
      <c r="BI31">
        <f>IF(AND($A31&lt;&gt;"",BI$3&gt;=$J31,BI$3&lt;=$M31),1,"")</f>
        <v/>
      </c>
      <c r="BJ31">
        <f>IF(AND($A31&lt;&gt;"",BJ$3&gt;=$J31,BJ$3&lt;=$M31),1,"")</f>
        <v/>
      </c>
      <c r="BK31">
        <f>IF(AND($A31&lt;&gt;"",BK$3&gt;=$J31,BK$3&lt;=$M31),1,"")</f>
        <v/>
      </c>
      <c r="BL31">
        <f>IF(AND($A31&lt;&gt;"",BL$3&gt;=$J31,BL$3&lt;=$M31),1,"")</f>
        <v/>
      </c>
      <c r="BM31">
        <f>IF(AND($A31&lt;&gt;"",BM$3&gt;=$J31,BM$3&lt;=$M31),1,"")</f>
        <v/>
      </c>
      <c r="BN31">
        <f>IF(AND($A31&lt;&gt;"",BN$3&gt;=$J31,BN$3&lt;=$M31),1,"")</f>
        <v/>
      </c>
      <c r="BO31">
        <f>IF(AND($A31&lt;&gt;"",BO$3&gt;=$J31,BO$3&lt;=$M31),1,"")</f>
        <v/>
      </c>
      <c r="BP31">
        <f>IF(AND($A31&lt;&gt;"",BP$3&gt;=$J31,BP$3&lt;=$M31),1,"")</f>
        <v/>
      </c>
      <c r="BQ31">
        <f>IF(AND($A31&lt;&gt;"",BQ$3&gt;=$J31,BQ$3&lt;=$M31),1,"")</f>
        <v/>
      </c>
      <c r="BR31">
        <f>IF(AND($A31&lt;&gt;"",BR$3&gt;=$J31,BR$3&lt;=$M31),1,"")</f>
        <v/>
      </c>
      <c r="BS31">
        <f>IF(AND($A31&lt;&gt;"",BS$3&gt;=$J31,BS$3&lt;=$M31),1,"")</f>
        <v/>
      </c>
      <c r="BT31">
        <f>IF(AND($A31&lt;&gt;"",BT$3&gt;=$J31,BT$3&lt;=$M31),1,"")</f>
        <v/>
      </c>
      <c r="BU31">
        <f>IF(AND($A31&lt;&gt;"",BU$3&gt;=$J31,BU$3&lt;=$M31),1,"")</f>
        <v/>
      </c>
      <c r="BV31">
        <f>IF(AND($A31&lt;&gt;"",BV$3&gt;=$J31,BV$3&lt;=$M31),1,"")</f>
        <v/>
      </c>
    </row>
    <row r="32">
      <c r="A32">
        <f>IF(Job_Master_Ring!$A32="","",Job_Master_Ring!$A32)</f>
        <v/>
      </c>
      <c r="B32">
        <f>IF($A32="","",Job_Master_Ring!B32)</f>
        <v/>
      </c>
      <c r="C32">
        <f>IF($A32="","",Job_Master_Ring!C32)</f>
        <v/>
      </c>
      <c r="D32">
        <f>IF($A32="","",Job_Master_Ring!D32)</f>
        <v/>
      </c>
      <c r="E32">
        <f>IF($A32="","",IF($I32&lt;&gt;"",$I32,IFERROR(INDEX(Machine_List!$B$72:$B$81,MATCH(1,(Machine_List!$H$72:$H$81&lt;=IFERROR(VLOOKUP($B32,CHOOSE(MATCH($C32,Settings!$L$4:$L$10,0),OPR_BR1!$A$4:$K$18,OPR_BR2!$A$4:$K$18,OPR_CR2!$A$4:$K$18,OPR_CR3!$A$4:$K$18,OPR_CR4!$A$4:$K$18,OPR_RIM!$A$4:$K$18,OPR_BPR!$A$4:$K$18),10,0),0))*(Machine_List!$I$72:$I$81&gt;=IFERROR(VLOOKUP($B32,CHOOSE(MATCH($C32,Settings!$L$4:$L$10,0),OPR_BR1!$A$4:$K$18,OPR_BR2!$A$4:$K$18,OPR_CR2!$A$4:$K$18,OPR_CR3!$A$4:$K$18,OPR_CR4!$A$4:$K$18,OPR_RIM!$A$4:$K$18,OPR_BPR!$A$4:$K$18),11,0),9999)),0)),"NO COMPATIBLE MACHINE")))</f>
        <v/>
      </c>
      <c r="F32">
        <f>IF($E32="","",IFERROR(VLOOKUP($E32,Machine_List!$B:$G,6,0),""))</f>
        <v/>
      </c>
      <c r="G32" s="17">
        <f>IF($E32="","",IFERROR(VLOOKUP($E32,Machine_List!$B:$C,2,0),""))</f>
        <v/>
      </c>
      <c r="H32">
        <f>IF($E32="","",IFERROR(VLOOKUP($E32,Machine_List!$B:$D,3,0),""))</f>
        <v/>
      </c>
      <c r="J32" s="16">
        <f>IF($A32="","",IF($I32&lt;&gt;"",$I32,MAX(VENT_Plan!$M32,IFERROR(LOOKUP(2,1/($E$3:INDIRECT("E"&amp;(ROW()-1))=$E32),$M$3:INDIRECT("M"&amp;(ROW()-1))),VENT_Plan!$M32))))</f>
        <v/>
      </c>
      <c r="K32">
        <f>IF($A32="","",IFERROR(VLOOKUP(B32,CHOOSE(MATCH($C32,Settings!$L$4:$L$10,0),OPR_BR1!$A$4:$I$18,OPR_BR2!$A$4:$I$18,OPR_CR2!$A$4:$I$18,OPR_CR3!$A$4:$I$18,OPR_CR4!$A$4:$I$18,OPR_RIM!$A$4:$I$18,OPR_BPR!$A$4:$I$18),8,0),0))</f>
        <v/>
      </c>
      <c r="L32">
        <f>IF($A32="","",K32*D32)</f>
        <v/>
      </c>
      <c r="M32" s="16">
        <f>IF($A32="","",IF(AND(ISNUMBER(G32),G32&gt;=J32,G32&lt;=(J32+(L32/(IF(F32="Contract Workman",Settings!$K$5,Settings!$K$4))))),J32+(L32/(IF(F32="Contract Workman",Settings!$K$5,Settings!$K$4)))+(H32/(IF(F32="Contract Workman",Settings!$K$5,Settings!$K$4))),J32+(L32/(IF(F32="Contract Workman",Settings!$K$5,Settings!$K$4)))))</f>
        <v/>
      </c>
      <c r="N32">
        <f>IF($A32="","",IF(F32="Contract Workman",IF(AND(MOD(M32,1)&gt;=8/24,MOD(M32,1)&lt;20/24),"Shift S1","Shift S2"),IF(AND(MOD(M32,1)&gt;=7/24,MOD(M32,1)&lt;15/24),"Shift A",IF(AND(MOD(M32,1)&gt;=15/24,MOD(M32,1)&lt;23/24),"Shift B","Shift C"))))</f>
        <v/>
      </c>
      <c r="O32">
        <f>IF(B32="","",IF(IFERROR(ISNUMBER(SEARCH(TEXT(B32,"0"),VLOOKUP(E32,Machine_List!$B:$J,9,0))),FALSE),"✅ "&amp; E32,"❌ Sug: "&amp;IFERROR(INDEX(Machine_List!$B$72:$B$81,MATCH(1,(Machine_List!$H$72:$H$81&lt;=IFERROR(VLOOKUP($B32,OPR_BR1!$A$4:$K$18,10,0),0))*(Machine_List!$I$72:$I$81&gt;=IFERROR(VLOOKUP($B32,OPR_BR1!$A$4:$K$18,11,0),9999)),0)),"?")))</f>
        <v/>
      </c>
      <c r="P32">
        <f>IF(AND($A32&lt;&gt;"",P$3&gt;=$J32,P$3&lt;=$M32),1,"")</f>
        <v/>
      </c>
      <c r="Q32">
        <f>IF(AND($A32&lt;&gt;"",Q$3&gt;=$J32,Q$3&lt;=$M32),1,"")</f>
        <v/>
      </c>
      <c r="R32">
        <f>IF(AND($A32&lt;&gt;"",R$3&gt;=$J32,R$3&lt;=$M32),1,"")</f>
        <v/>
      </c>
      <c r="S32">
        <f>IF(AND($A32&lt;&gt;"",S$3&gt;=$J32,S$3&lt;=$M32),1,"")</f>
        <v/>
      </c>
      <c r="T32">
        <f>IF(AND($A32&lt;&gt;"",T$3&gt;=$J32,T$3&lt;=$M32),1,"")</f>
        <v/>
      </c>
      <c r="U32">
        <f>IF(AND($A32&lt;&gt;"",U$3&gt;=$J32,U$3&lt;=$M32),1,"")</f>
        <v/>
      </c>
      <c r="V32">
        <f>IF(AND($A32&lt;&gt;"",V$3&gt;=$J32,V$3&lt;=$M32),1,"")</f>
        <v/>
      </c>
      <c r="W32">
        <f>IF(AND($A32&lt;&gt;"",W$3&gt;=$J32,W$3&lt;=$M32),1,"")</f>
        <v/>
      </c>
      <c r="X32">
        <f>IF(AND($A32&lt;&gt;"",X$3&gt;=$J32,X$3&lt;=$M32),1,"")</f>
        <v/>
      </c>
      <c r="Y32">
        <f>IF(AND($A32&lt;&gt;"",Y$3&gt;=$J32,Y$3&lt;=$M32),1,"")</f>
        <v/>
      </c>
      <c r="Z32">
        <f>IF(AND($A32&lt;&gt;"",Z$3&gt;=$J32,Z$3&lt;=$M32),1,"")</f>
        <v/>
      </c>
      <c r="AA32">
        <f>IF(AND($A32&lt;&gt;"",AA$3&gt;=$J32,AA$3&lt;=$M32),1,"")</f>
        <v/>
      </c>
      <c r="AB32">
        <f>IF(AND($A32&lt;&gt;"",AB$3&gt;=$J32,AB$3&lt;=$M32),1,"")</f>
        <v/>
      </c>
      <c r="AC32">
        <f>IF(AND($A32&lt;&gt;"",AC$3&gt;=$J32,AC$3&lt;=$M32),1,"")</f>
        <v/>
      </c>
      <c r="AD32">
        <f>IF(AND($A32&lt;&gt;"",AD$3&gt;=$J32,AD$3&lt;=$M32),1,"")</f>
        <v/>
      </c>
      <c r="AE32">
        <f>IF(AND($A32&lt;&gt;"",AE$3&gt;=$J32,AE$3&lt;=$M32),1,"")</f>
        <v/>
      </c>
      <c r="AF32">
        <f>IF(AND($A32&lt;&gt;"",AF$3&gt;=$J32,AF$3&lt;=$M32),1,"")</f>
        <v/>
      </c>
      <c r="AG32">
        <f>IF(AND($A32&lt;&gt;"",AG$3&gt;=$J32,AG$3&lt;=$M32),1,"")</f>
        <v/>
      </c>
      <c r="AH32">
        <f>IF(AND($A32&lt;&gt;"",AH$3&gt;=$J32,AH$3&lt;=$M32),1,"")</f>
        <v/>
      </c>
      <c r="AI32">
        <f>IF(AND($A32&lt;&gt;"",AI$3&gt;=$J32,AI$3&lt;=$M32),1,"")</f>
        <v/>
      </c>
      <c r="AJ32">
        <f>IF(AND($A32&lt;&gt;"",AJ$3&gt;=$J32,AJ$3&lt;=$M32),1,"")</f>
        <v/>
      </c>
      <c r="AK32">
        <f>IF(AND($A32&lt;&gt;"",AK$3&gt;=$J32,AK$3&lt;=$M32),1,"")</f>
        <v/>
      </c>
      <c r="AL32">
        <f>IF(AND($A32&lt;&gt;"",AL$3&gt;=$J32,AL$3&lt;=$M32),1,"")</f>
        <v/>
      </c>
      <c r="AM32">
        <f>IF(AND($A32&lt;&gt;"",AM$3&gt;=$J32,AM$3&lt;=$M32),1,"")</f>
        <v/>
      </c>
      <c r="AN32">
        <f>IF(AND($A32&lt;&gt;"",AN$3&gt;=$J32,AN$3&lt;=$M32),1,"")</f>
        <v/>
      </c>
      <c r="AO32">
        <f>IF(AND($A32&lt;&gt;"",AO$3&gt;=$J32,AO$3&lt;=$M32),1,"")</f>
        <v/>
      </c>
      <c r="AP32">
        <f>IF(AND($A32&lt;&gt;"",AP$3&gt;=$J32,AP$3&lt;=$M32),1,"")</f>
        <v/>
      </c>
      <c r="AQ32">
        <f>IF(AND($A32&lt;&gt;"",AQ$3&gt;=$J32,AQ$3&lt;=$M32),1,"")</f>
        <v/>
      </c>
      <c r="AR32">
        <f>IF(AND($A32&lt;&gt;"",AR$3&gt;=$J32,AR$3&lt;=$M32),1,"")</f>
        <v/>
      </c>
      <c r="AS32">
        <f>IF(AND($A32&lt;&gt;"",AS$3&gt;=$J32,AS$3&lt;=$M32),1,"")</f>
        <v/>
      </c>
      <c r="AT32">
        <f>IF(AND($A32&lt;&gt;"",AT$3&gt;=$J32,AT$3&lt;=$M32),1,"")</f>
        <v/>
      </c>
      <c r="AU32">
        <f>IF(AND($A32&lt;&gt;"",AU$3&gt;=$J32,AU$3&lt;=$M32),1,"")</f>
        <v/>
      </c>
      <c r="AV32">
        <f>IF(AND($A32&lt;&gt;"",AV$3&gt;=$J32,AV$3&lt;=$M32),1,"")</f>
        <v/>
      </c>
      <c r="AW32">
        <f>IF(AND($A32&lt;&gt;"",AW$3&gt;=$J32,AW$3&lt;=$M32),1,"")</f>
        <v/>
      </c>
      <c r="AX32">
        <f>IF(AND($A32&lt;&gt;"",AX$3&gt;=$J32,AX$3&lt;=$M32),1,"")</f>
        <v/>
      </c>
      <c r="AY32">
        <f>IF(AND($A32&lt;&gt;"",AY$3&gt;=$J32,AY$3&lt;=$M32),1,"")</f>
        <v/>
      </c>
      <c r="AZ32">
        <f>IF(AND($A32&lt;&gt;"",AZ$3&gt;=$J32,AZ$3&lt;=$M32),1,"")</f>
        <v/>
      </c>
      <c r="BA32">
        <f>IF(AND($A32&lt;&gt;"",BA$3&gt;=$J32,BA$3&lt;=$M32),1,"")</f>
        <v/>
      </c>
      <c r="BB32">
        <f>IF(AND($A32&lt;&gt;"",BB$3&gt;=$J32,BB$3&lt;=$M32),1,"")</f>
        <v/>
      </c>
      <c r="BC32">
        <f>IF(AND($A32&lt;&gt;"",BC$3&gt;=$J32,BC$3&lt;=$M32),1,"")</f>
        <v/>
      </c>
      <c r="BD32">
        <f>IF(AND($A32&lt;&gt;"",BD$3&gt;=$J32,BD$3&lt;=$M32),1,"")</f>
        <v/>
      </c>
      <c r="BE32">
        <f>IF(AND($A32&lt;&gt;"",BE$3&gt;=$J32,BE$3&lt;=$M32),1,"")</f>
        <v/>
      </c>
      <c r="BF32">
        <f>IF(AND($A32&lt;&gt;"",BF$3&gt;=$J32,BF$3&lt;=$M32),1,"")</f>
        <v/>
      </c>
      <c r="BG32">
        <f>IF(AND($A32&lt;&gt;"",BG$3&gt;=$J32,BG$3&lt;=$M32),1,"")</f>
        <v/>
      </c>
      <c r="BH32">
        <f>IF(AND($A32&lt;&gt;"",BH$3&gt;=$J32,BH$3&lt;=$M32),1,"")</f>
        <v/>
      </c>
      <c r="BI32">
        <f>IF(AND($A32&lt;&gt;"",BI$3&gt;=$J32,BI$3&lt;=$M32),1,"")</f>
        <v/>
      </c>
      <c r="BJ32">
        <f>IF(AND($A32&lt;&gt;"",BJ$3&gt;=$J32,BJ$3&lt;=$M32),1,"")</f>
        <v/>
      </c>
      <c r="BK32">
        <f>IF(AND($A32&lt;&gt;"",BK$3&gt;=$J32,BK$3&lt;=$M32),1,"")</f>
        <v/>
      </c>
      <c r="BL32">
        <f>IF(AND($A32&lt;&gt;"",BL$3&gt;=$J32,BL$3&lt;=$M32),1,"")</f>
        <v/>
      </c>
      <c r="BM32">
        <f>IF(AND($A32&lt;&gt;"",BM$3&gt;=$J32,BM$3&lt;=$M32),1,"")</f>
        <v/>
      </c>
      <c r="BN32">
        <f>IF(AND($A32&lt;&gt;"",BN$3&gt;=$J32,BN$3&lt;=$M32),1,"")</f>
        <v/>
      </c>
      <c r="BO32">
        <f>IF(AND($A32&lt;&gt;"",BO$3&gt;=$J32,BO$3&lt;=$M32),1,"")</f>
        <v/>
      </c>
      <c r="BP32">
        <f>IF(AND($A32&lt;&gt;"",BP$3&gt;=$J32,BP$3&lt;=$M32),1,"")</f>
        <v/>
      </c>
      <c r="BQ32">
        <f>IF(AND($A32&lt;&gt;"",BQ$3&gt;=$J32,BQ$3&lt;=$M32),1,"")</f>
        <v/>
      </c>
      <c r="BR32">
        <f>IF(AND($A32&lt;&gt;"",BR$3&gt;=$J32,BR$3&lt;=$M32),1,"")</f>
        <v/>
      </c>
      <c r="BS32">
        <f>IF(AND($A32&lt;&gt;"",BS$3&gt;=$J32,BS$3&lt;=$M32),1,"")</f>
        <v/>
      </c>
      <c r="BT32">
        <f>IF(AND($A32&lt;&gt;"",BT$3&gt;=$J32,BT$3&lt;=$M32),1,"")</f>
        <v/>
      </c>
      <c r="BU32">
        <f>IF(AND($A32&lt;&gt;"",BU$3&gt;=$J32,BU$3&lt;=$M32),1,"")</f>
        <v/>
      </c>
      <c r="BV32">
        <f>IF(AND($A32&lt;&gt;"",BV$3&gt;=$J32,BV$3&lt;=$M32),1,"")</f>
        <v/>
      </c>
    </row>
    <row r="33">
      <c r="A33">
        <f>IF(Job_Master_Ring!$A33="","",Job_Master_Ring!$A33)</f>
        <v/>
      </c>
      <c r="B33">
        <f>IF($A33="","",Job_Master_Ring!B33)</f>
        <v/>
      </c>
      <c r="C33">
        <f>IF($A33="","",Job_Master_Ring!C33)</f>
        <v/>
      </c>
      <c r="D33">
        <f>IF($A33="","",Job_Master_Ring!D33)</f>
        <v/>
      </c>
      <c r="E33">
        <f>IF($A33="","",IF($I33&lt;&gt;"",$I33,IFERROR(INDEX(Machine_List!$B$72:$B$81,MATCH(1,(Machine_List!$H$72:$H$81&lt;=IFERROR(VLOOKUP($B33,CHOOSE(MATCH($C33,Settings!$L$4:$L$10,0),OPR_BR1!$A$4:$K$18,OPR_BR2!$A$4:$K$18,OPR_CR2!$A$4:$K$18,OPR_CR3!$A$4:$K$18,OPR_CR4!$A$4:$K$18,OPR_RIM!$A$4:$K$18,OPR_BPR!$A$4:$K$18),10,0),0))*(Machine_List!$I$72:$I$81&gt;=IFERROR(VLOOKUP($B33,CHOOSE(MATCH($C33,Settings!$L$4:$L$10,0),OPR_BR1!$A$4:$K$18,OPR_BR2!$A$4:$K$18,OPR_CR2!$A$4:$K$18,OPR_CR3!$A$4:$K$18,OPR_CR4!$A$4:$K$18,OPR_RIM!$A$4:$K$18,OPR_BPR!$A$4:$K$18),11,0),9999)),0)),"NO COMPATIBLE MACHINE")))</f>
        <v/>
      </c>
      <c r="F33">
        <f>IF($E33="","",IFERROR(VLOOKUP($E33,Machine_List!$B:$G,6,0),""))</f>
        <v/>
      </c>
      <c r="G33" s="17">
        <f>IF($E33="","",IFERROR(VLOOKUP($E33,Machine_List!$B:$C,2,0),""))</f>
        <v/>
      </c>
      <c r="H33">
        <f>IF($E33="","",IFERROR(VLOOKUP($E33,Machine_List!$B:$D,3,0),""))</f>
        <v/>
      </c>
      <c r="J33" s="16">
        <f>IF($A33="","",IF($I33&lt;&gt;"",$I33,MAX(VENT_Plan!$M33,IFERROR(LOOKUP(2,1/($E$3:INDIRECT("E"&amp;(ROW()-1))=$E33),$M$3:INDIRECT("M"&amp;(ROW()-1))),VENT_Plan!$M33))))</f>
        <v/>
      </c>
      <c r="K33">
        <f>IF($A33="","",IFERROR(VLOOKUP(B33,CHOOSE(MATCH($C33,Settings!$L$4:$L$10,0),OPR_BR1!$A$4:$I$18,OPR_BR2!$A$4:$I$18,OPR_CR2!$A$4:$I$18,OPR_CR3!$A$4:$I$18,OPR_CR4!$A$4:$I$18,OPR_RIM!$A$4:$I$18,OPR_BPR!$A$4:$I$18),8,0),0))</f>
        <v/>
      </c>
      <c r="L33">
        <f>IF($A33="","",K33*D33)</f>
        <v/>
      </c>
      <c r="M33" s="16">
        <f>IF($A33="","",IF(AND(ISNUMBER(G33),G33&gt;=J33,G33&lt;=(J33+(L33/(IF(F33="Contract Workman",Settings!$K$5,Settings!$K$4))))),J33+(L33/(IF(F33="Contract Workman",Settings!$K$5,Settings!$K$4)))+(H33/(IF(F33="Contract Workman",Settings!$K$5,Settings!$K$4))),J33+(L33/(IF(F33="Contract Workman",Settings!$K$5,Settings!$K$4)))))</f>
        <v/>
      </c>
      <c r="N33">
        <f>IF($A33="","",IF(F33="Contract Workman",IF(AND(MOD(M33,1)&gt;=8/24,MOD(M33,1)&lt;20/24),"Shift S1","Shift S2"),IF(AND(MOD(M33,1)&gt;=7/24,MOD(M33,1)&lt;15/24),"Shift A",IF(AND(MOD(M33,1)&gt;=15/24,MOD(M33,1)&lt;23/24),"Shift B","Shift C"))))</f>
        <v/>
      </c>
      <c r="O33">
        <f>IF(B33="","",IF(IFERROR(ISNUMBER(SEARCH(TEXT(B33,"0"),VLOOKUP(E33,Machine_List!$B:$J,9,0))),FALSE),"✅ "&amp; E33,"❌ Sug: "&amp;IFERROR(INDEX(Machine_List!$B$72:$B$81,MATCH(1,(Machine_List!$H$72:$H$81&lt;=IFERROR(VLOOKUP($B33,OPR_BR1!$A$4:$K$18,10,0),0))*(Machine_List!$I$72:$I$81&gt;=IFERROR(VLOOKUP($B33,OPR_BR1!$A$4:$K$18,11,0),9999)),0)),"?")))</f>
        <v/>
      </c>
      <c r="P33">
        <f>IF(AND($A33&lt;&gt;"",P$3&gt;=$J33,P$3&lt;=$M33),1,"")</f>
        <v/>
      </c>
      <c r="Q33">
        <f>IF(AND($A33&lt;&gt;"",Q$3&gt;=$J33,Q$3&lt;=$M33),1,"")</f>
        <v/>
      </c>
      <c r="R33">
        <f>IF(AND($A33&lt;&gt;"",R$3&gt;=$J33,R$3&lt;=$M33),1,"")</f>
        <v/>
      </c>
      <c r="S33">
        <f>IF(AND($A33&lt;&gt;"",S$3&gt;=$J33,S$3&lt;=$M33),1,"")</f>
        <v/>
      </c>
      <c r="T33">
        <f>IF(AND($A33&lt;&gt;"",T$3&gt;=$J33,T$3&lt;=$M33),1,"")</f>
        <v/>
      </c>
      <c r="U33">
        <f>IF(AND($A33&lt;&gt;"",U$3&gt;=$J33,U$3&lt;=$M33),1,"")</f>
        <v/>
      </c>
      <c r="V33">
        <f>IF(AND($A33&lt;&gt;"",V$3&gt;=$J33,V$3&lt;=$M33),1,"")</f>
        <v/>
      </c>
      <c r="W33">
        <f>IF(AND($A33&lt;&gt;"",W$3&gt;=$J33,W$3&lt;=$M33),1,"")</f>
        <v/>
      </c>
      <c r="X33">
        <f>IF(AND($A33&lt;&gt;"",X$3&gt;=$J33,X$3&lt;=$M33),1,"")</f>
        <v/>
      </c>
      <c r="Y33">
        <f>IF(AND($A33&lt;&gt;"",Y$3&gt;=$J33,Y$3&lt;=$M33),1,"")</f>
        <v/>
      </c>
      <c r="Z33">
        <f>IF(AND($A33&lt;&gt;"",Z$3&gt;=$J33,Z$3&lt;=$M33),1,"")</f>
        <v/>
      </c>
      <c r="AA33">
        <f>IF(AND($A33&lt;&gt;"",AA$3&gt;=$J33,AA$3&lt;=$M33),1,"")</f>
        <v/>
      </c>
      <c r="AB33">
        <f>IF(AND($A33&lt;&gt;"",AB$3&gt;=$J33,AB$3&lt;=$M33),1,"")</f>
        <v/>
      </c>
      <c r="AC33">
        <f>IF(AND($A33&lt;&gt;"",AC$3&gt;=$J33,AC$3&lt;=$M33),1,"")</f>
        <v/>
      </c>
      <c r="AD33">
        <f>IF(AND($A33&lt;&gt;"",AD$3&gt;=$J33,AD$3&lt;=$M33),1,"")</f>
        <v/>
      </c>
      <c r="AE33">
        <f>IF(AND($A33&lt;&gt;"",AE$3&gt;=$J33,AE$3&lt;=$M33),1,"")</f>
        <v/>
      </c>
      <c r="AF33">
        <f>IF(AND($A33&lt;&gt;"",AF$3&gt;=$J33,AF$3&lt;=$M33),1,"")</f>
        <v/>
      </c>
      <c r="AG33">
        <f>IF(AND($A33&lt;&gt;"",AG$3&gt;=$J33,AG$3&lt;=$M33),1,"")</f>
        <v/>
      </c>
      <c r="AH33">
        <f>IF(AND($A33&lt;&gt;"",AH$3&gt;=$J33,AH$3&lt;=$M33),1,"")</f>
        <v/>
      </c>
      <c r="AI33">
        <f>IF(AND($A33&lt;&gt;"",AI$3&gt;=$J33,AI$3&lt;=$M33),1,"")</f>
        <v/>
      </c>
      <c r="AJ33">
        <f>IF(AND($A33&lt;&gt;"",AJ$3&gt;=$J33,AJ$3&lt;=$M33),1,"")</f>
        <v/>
      </c>
      <c r="AK33">
        <f>IF(AND($A33&lt;&gt;"",AK$3&gt;=$J33,AK$3&lt;=$M33),1,"")</f>
        <v/>
      </c>
      <c r="AL33">
        <f>IF(AND($A33&lt;&gt;"",AL$3&gt;=$J33,AL$3&lt;=$M33),1,"")</f>
        <v/>
      </c>
      <c r="AM33">
        <f>IF(AND($A33&lt;&gt;"",AM$3&gt;=$J33,AM$3&lt;=$M33),1,"")</f>
        <v/>
      </c>
      <c r="AN33">
        <f>IF(AND($A33&lt;&gt;"",AN$3&gt;=$J33,AN$3&lt;=$M33),1,"")</f>
        <v/>
      </c>
      <c r="AO33">
        <f>IF(AND($A33&lt;&gt;"",AO$3&gt;=$J33,AO$3&lt;=$M33),1,"")</f>
        <v/>
      </c>
      <c r="AP33">
        <f>IF(AND($A33&lt;&gt;"",AP$3&gt;=$J33,AP$3&lt;=$M33),1,"")</f>
        <v/>
      </c>
      <c r="AQ33">
        <f>IF(AND($A33&lt;&gt;"",AQ$3&gt;=$J33,AQ$3&lt;=$M33),1,"")</f>
        <v/>
      </c>
      <c r="AR33">
        <f>IF(AND($A33&lt;&gt;"",AR$3&gt;=$J33,AR$3&lt;=$M33),1,"")</f>
        <v/>
      </c>
      <c r="AS33">
        <f>IF(AND($A33&lt;&gt;"",AS$3&gt;=$J33,AS$3&lt;=$M33),1,"")</f>
        <v/>
      </c>
      <c r="AT33">
        <f>IF(AND($A33&lt;&gt;"",AT$3&gt;=$J33,AT$3&lt;=$M33),1,"")</f>
        <v/>
      </c>
      <c r="AU33">
        <f>IF(AND($A33&lt;&gt;"",AU$3&gt;=$J33,AU$3&lt;=$M33),1,"")</f>
        <v/>
      </c>
      <c r="AV33">
        <f>IF(AND($A33&lt;&gt;"",AV$3&gt;=$J33,AV$3&lt;=$M33),1,"")</f>
        <v/>
      </c>
      <c r="AW33">
        <f>IF(AND($A33&lt;&gt;"",AW$3&gt;=$J33,AW$3&lt;=$M33),1,"")</f>
        <v/>
      </c>
      <c r="AX33">
        <f>IF(AND($A33&lt;&gt;"",AX$3&gt;=$J33,AX$3&lt;=$M33),1,"")</f>
        <v/>
      </c>
      <c r="AY33">
        <f>IF(AND($A33&lt;&gt;"",AY$3&gt;=$J33,AY$3&lt;=$M33),1,"")</f>
        <v/>
      </c>
      <c r="AZ33">
        <f>IF(AND($A33&lt;&gt;"",AZ$3&gt;=$J33,AZ$3&lt;=$M33),1,"")</f>
        <v/>
      </c>
      <c r="BA33">
        <f>IF(AND($A33&lt;&gt;"",BA$3&gt;=$J33,BA$3&lt;=$M33),1,"")</f>
        <v/>
      </c>
      <c r="BB33">
        <f>IF(AND($A33&lt;&gt;"",BB$3&gt;=$J33,BB$3&lt;=$M33),1,"")</f>
        <v/>
      </c>
      <c r="BC33">
        <f>IF(AND($A33&lt;&gt;"",BC$3&gt;=$J33,BC$3&lt;=$M33),1,"")</f>
        <v/>
      </c>
      <c r="BD33">
        <f>IF(AND($A33&lt;&gt;"",BD$3&gt;=$J33,BD$3&lt;=$M33),1,"")</f>
        <v/>
      </c>
      <c r="BE33">
        <f>IF(AND($A33&lt;&gt;"",BE$3&gt;=$J33,BE$3&lt;=$M33),1,"")</f>
        <v/>
      </c>
      <c r="BF33">
        <f>IF(AND($A33&lt;&gt;"",BF$3&gt;=$J33,BF$3&lt;=$M33),1,"")</f>
        <v/>
      </c>
      <c r="BG33">
        <f>IF(AND($A33&lt;&gt;"",BG$3&gt;=$J33,BG$3&lt;=$M33),1,"")</f>
        <v/>
      </c>
      <c r="BH33">
        <f>IF(AND($A33&lt;&gt;"",BH$3&gt;=$J33,BH$3&lt;=$M33),1,"")</f>
        <v/>
      </c>
      <c r="BI33">
        <f>IF(AND($A33&lt;&gt;"",BI$3&gt;=$J33,BI$3&lt;=$M33),1,"")</f>
        <v/>
      </c>
      <c r="BJ33">
        <f>IF(AND($A33&lt;&gt;"",BJ$3&gt;=$J33,BJ$3&lt;=$M33),1,"")</f>
        <v/>
      </c>
      <c r="BK33">
        <f>IF(AND($A33&lt;&gt;"",BK$3&gt;=$J33,BK$3&lt;=$M33),1,"")</f>
        <v/>
      </c>
      <c r="BL33">
        <f>IF(AND($A33&lt;&gt;"",BL$3&gt;=$J33,BL$3&lt;=$M33),1,"")</f>
        <v/>
      </c>
      <c r="BM33">
        <f>IF(AND($A33&lt;&gt;"",BM$3&gt;=$J33,BM$3&lt;=$M33),1,"")</f>
        <v/>
      </c>
      <c r="BN33">
        <f>IF(AND($A33&lt;&gt;"",BN$3&gt;=$J33,BN$3&lt;=$M33),1,"")</f>
        <v/>
      </c>
      <c r="BO33">
        <f>IF(AND($A33&lt;&gt;"",BO$3&gt;=$J33,BO$3&lt;=$M33),1,"")</f>
        <v/>
      </c>
      <c r="BP33">
        <f>IF(AND($A33&lt;&gt;"",BP$3&gt;=$J33,BP$3&lt;=$M33),1,"")</f>
        <v/>
      </c>
      <c r="BQ33">
        <f>IF(AND($A33&lt;&gt;"",BQ$3&gt;=$J33,BQ$3&lt;=$M33),1,"")</f>
        <v/>
      </c>
      <c r="BR33">
        <f>IF(AND($A33&lt;&gt;"",BR$3&gt;=$J33,BR$3&lt;=$M33),1,"")</f>
        <v/>
      </c>
      <c r="BS33">
        <f>IF(AND($A33&lt;&gt;"",BS$3&gt;=$J33,BS$3&lt;=$M33),1,"")</f>
        <v/>
      </c>
      <c r="BT33">
        <f>IF(AND($A33&lt;&gt;"",BT$3&gt;=$J33,BT$3&lt;=$M33),1,"")</f>
        <v/>
      </c>
      <c r="BU33">
        <f>IF(AND($A33&lt;&gt;"",BU$3&gt;=$J33,BU$3&lt;=$M33),1,"")</f>
        <v/>
      </c>
      <c r="BV33">
        <f>IF(AND($A33&lt;&gt;"",BV$3&gt;=$J33,BV$3&lt;=$M33),1,"")</f>
        <v/>
      </c>
    </row>
    <row r="34">
      <c r="A34">
        <f>IF(Job_Master_Ring!$A34="","",Job_Master_Ring!$A34)</f>
        <v/>
      </c>
      <c r="B34">
        <f>IF($A34="","",Job_Master_Ring!B34)</f>
        <v/>
      </c>
      <c r="C34">
        <f>IF($A34="","",Job_Master_Ring!C34)</f>
        <v/>
      </c>
      <c r="D34">
        <f>IF($A34="","",Job_Master_Ring!D34)</f>
        <v/>
      </c>
      <c r="E34">
        <f>IF($A34="","",IF($I34&lt;&gt;"",$I34,IFERROR(INDEX(Machine_List!$B$72:$B$81,MATCH(1,(Machine_List!$H$72:$H$81&lt;=IFERROR(VLOOKUP($B34,CHOOSE(MATCH($C34,Settings!$L$4:$L$10,0),OPR_BR1!$A$4:$K$18,OPR_BR2!$A$4:$K$18,OPR_CR2!$A$4:$K$18,OPR_CR3!$A$4:$K$18,OPR_CR4!$A$4:$K$18,OPR_RIM!$A$4:$K$18,OPR_BPR!$A$4:$K$18),10,0),0))*(Machine_List!$I$72:$I$81&gt;=IFERROR(VLOOKUP($B34,CHOOSE(MATCH($C34,Settings!$L$4:$L$10,0),OPR_BR1!$A$4:$K$18,OPR_BR2!$A$4:$K$18,OPR_CR2!$A$4:$K$18,OPR_CR3!$A$4:$K$18,OPR_CR4!$A$4:$K$18,OPR_RIM!$A$4:$K$18,OPR_BPR!$A$4:$K$18),11,0),9999)),0)),"NO COMPATIBLE MACHINE")))</f>
        <v/>
      </c>
      <c r="F34">
        <f>IF($E34="","",IFERROR(VLOOKUP($E34,Machine_List!$B:$G,6,0),""))</f>
        <v/>
      </c>
      <c r="G34" s="17">
        <f>IF($E34="","",IFERROR(VLOOKUP($E34,Machine_List!$B:$C,2,0),""))</f>
        <v/>
      </c>
      <c r="H34">
        <f>IF($E34="","",IFERROR(VLOOKUP($E34,Machine_List!$B:$D,3,0),""))</f>
        <v/>
      </c>
      <c r="J34" s="16">
        <f>IF($A34="","",IF($I34&lt;&gt;"",$I34,MAX(VENT_Plan!$M34,IFERROR(LOOKUP(2,1/($E$3:INDIRECT("E"&amp;(ROW()-1))=$E34),$M$3:INDIRECT("M"&amp;(ROW()-1))),VENT_Plan!$M34))))</f>
        <v/>
      </c>
      <c r="K34">
        <f>IF($A34="","",IFERROR(VLOOKUP(B34,CHOOSE(MATCH($C34,Settings!$L$4:$L$10,0),OPR_BR1!$A$4:$I$18,OPR_BR2!$A$4:$I$18,OPR_CR2!$A$4:$I$18,OPR_CR3!$A$4:$I$18,OPR_CR4!$A$4:$I$18,OPR_RIM!$A$4:$I$18,OPR_BPR!$A$4:$I$18),8,0),0))</f>
        <v/>
      </c>
      <c r="L34">
        <f>IF($A34="","",K34*D34)</f>
        <v/>
      </c>
      <c r="M34" s="16">
        <f>IF($A34="","",IF(AND(ISNUMBER(G34),G34&gt;=J34,G34&lt;=(J34+(L34/(IF(F34="Contract Workman",Settings!$K$5,Settings!$K$4))))),J34+(L34/(IF(F34="Contract Workman",Settings!$K$5,Settings!$K$4)))+(H34/(IF(F34="Contract Workman",Settings!$K$5,Settings!$K$4))),J34+(L34/(IF(F34="Contract Workman",Settings!$K$5,Settings!$K$4)))))</f>
        <v/>
      </c>
      <c r="N34">
        <f>IF($A34="","",IF(F34="Contract Workman",IF(AND(MOD(M34,1)&gt;=8/24,MOD(M34,1)&lt;20/24),"Shift S1","Shift S2"),IF(AND(MOD(M34,1)&gt;=7/24,MOD(M34,1)&lt;15/24),"Shift A",IF(AND(MOD(M34,1)&gt;=15/24,MOD(M34,1)&lt;23/24),"Shift B","Shift C"))))</f>
        <v/>
      </c>
      <c r="O34">
        <f>IF(B34="","",IF(IFERROR(ISNUMBER(SEARCH(TEXT(B34,"0"),VLOOKUP(E34,Machine_List!$B:$J,9,0))),FALSE),"✅ "&amp; E34,"❌ Sug: "&amp;IFERROR(INDEX(Machine_List!$B$72:$B$81,MATCH(1,(Machine_List!$H$72:$H$81&lt;=IFERROR(VLOOKUP($B34,OPR_BR1!$A$4:$K$18,10,0),0))*(Machine_List!$I$72:$I$81&gt;=IFERROR(VLOOKUP($B34,OPR_BR1!$A$4:$K$18,11,0),9999)),0)),"?")))</f>
        <v/>
      </c>
      <c r="P34">
        <f>IF(AND($A34&lt;&gt;"",P$3&gt;=$J34,P$3&lt;=$M34),1,"")</f>
        <v/>
      </c>
      <c r="Q34">
        <f>IF(AND($A34&lt;&gt;"",Q$3&gt;=$J34,Q$3&lt;=$M34),1,"")</f>
        <v/>
      </c>
      <c r="R34">
        <f>IF(AND($A34&lt;&gt;"",R$3&gt;=$J34,R$3&lt;=$M34),1,"")</f>
        <v/>
      </c>
      <c r="S34">
        <f>IF(AND($A34&lt;&gt;"",S$3&gt;=$J34,S$3&lt;=$M34),1,"")</f>
        <v/>
      </c>
      <c r="T34">
        <f>IF(AND($A34&lt;&gt;"",T$3&gt;=$J34,T$3&lt;=$M34),1,"")</f>
        <v/>
      </c>
      <c r="U34">
        <f>IF(AND($A34&lt;&gt;"",U$3&gt;=$J34,U$3&lt;=$M34),1,"")</f>
        <v/>
      </c>
      <c r="V34">
        <f>IF(AND($A34&lt;&gt;"",V$3&gt;=$J34,V$3&lt;=$M34),1,"")</f>
        <v/>
      </c>
      <c r="W34">
        <f>IF(AND($A34&lt;&gt;"",W$3&gt;=$J34,W$3&lt;=$M34),1,"")</f>
        <v/>
      </c>
      <c r="X34">
        <f>IF(AND($A34&lt;&gt;"",X$3&gt;=$J34,X$3&lt;=$M34),1,"")</f>
        <v/>
      </c>
      <c r="Y34">
        <f>IF(AND($A34&lt;&gt;"",Y$3&gt;=$J34,Y$3&lt;=$M34),1,"")</f>
        <v/>
      </c>
      <c r="Z34">
        <f>IF(AND($A34&lt;&gt;"",Z$3&gt;=$J34,Z$3&lt;=$M34),1,"")</f>
        <v/>
      </c>
      <c r="AA34">
        <f>IF(AND($A34&lt;&gt;"",AA$3&gt;=$J34,AA$3&lt;=$M34),1,"")</f>
        <v/>
      </c>
      <c r="AB34">
        <f>IF(AND($A34&lt;&gt;"",AB$3&gt;=$J34,AB$3&lt;=$M34),1,"")</f>
        <v/>
      </c>
      <c r="AC34">
        <f>IF(AND($A34&lt;&gt;"",AC$3&gt;=$J34,AC$3&lt;=$M34),1,"")</f>
        <v/>
      </c>
      <c r="AD34">
        <f>IF(AND($A34&lt;&gt;"",AD$3&gt;=$J34,AD$3&lt;=$M34),1,"")</f>
        <v/>
      </c>
      <c r="AE34">
        <f>IF(AND($A34&lt;&gt;"",AE$3&gt;=$J34,AE$3&lt;=$M34),1,"")</f>
        <v/>
      </c>
      <c r="AF34">
        <f>IF(AND($A34&lt;&gt;"",AF$3&gt;=$J34,AF$3&lt;=$M34),1,"")</f>
        <v/>
      </c>
      <c r="AG34">
        <f>IF(AND($A34&lt;&gt;"",AG$3&gt;=$J34,AG$3&lt;=$M34),1,"")</f>
        <v/>
      </c>
      <c r="AH34">
        <f>IF(AND($A34&lt;&gt;"",AH$3&gt;=$J34,AH$3&lt;=$M34),1,"")</f>
        <v/>
      </c>
      <c r="AI34">
        <f>IF(AND($A34&lt;&gt;"",AI$3&gt;=$J34,AI$3&lt;=$M34),1,"")</f>
        <v/>
      </c>
      <c r="AJ34">
        <f>IF(AND($A34&lt;&gt;"",AJ$3&gt;=$J34,AJ$3&lt;=$M34),1,"")</f>
        <v/>
      </c>
      <c r="AK34">
        <f>IF(AND($A34&lt;&gt;"",AK$3&gt;=$J34,AK$3&lt;=$M34),1,"")</f>
        <v/>
      </c>
      <c r="AL34">
        <f>IF(AND($A34&lt;&gt;"",AL$3&gt;=$J34,AL$3&lt;=$M34),1,"")</f>
        <v/>
      </c>
      <c r="AM34">
        <f>IF(AND($A34&lt;&gt;"",AM$3&gt;=$J34,AM$3&lt;=$M34),1,"")</f>
        <v/>
      </c>
      <c r="AN34">
        <f>IF(AND($A34&lt;&gt;"",AN$3&gt;=$J34,AN$3&lt;=$M34),1,"")</f>
        <v/>
      </c>
      <c r="AO34">
        <f>IF(AND($A34&lt;&gt;"",AO$3&gt;=$J34,AO$3&lt;=$M34),1,"")</f>
        <v/>
      </c>
      <c r="AP34">
        <f>IF(AND($A34&lt;&gt;"",AP$3&gt;=$J34,AP$3&lt;=$M34),1,"")</f>
        <v/>
      </c>
      <c r="AQ34">
        <f>IF(AND($A34&lt;&gt;"",AQ$3&gt;=$J34,AQ$3&lt;=$M34),1,"")</f>
        <v/>
      </c>
      <c r="AR34">
        <f>IF(AND($A34&lt;&gt;"",AR$3&gt;=$J34,AR$3&lt;=$M34),1,"")</f>
        <v/>
      </c>
      <c r="AS34">
        <f>IF(AND($A34&lt;&gt;"",AS$3&gt;=$J34,AS$3&lt;=$M34),1,"")</f>
        <v/>
      </c>
      <c r="AT34">
        <f>IF(AND($A34&lt;&gt;"",AT$3&gt;=$J34,AT$3&lt;=$M34),1,"")</f>
        <v/>
      </c>
      <c r="AU34">
        <f>IF(AND($A34&lt;&gt;"",AU$3&gt;=$J34,AU$3&lt;=$M34),1,"")</f>
        <v/>
      </c>
      <c r="AV34">
        <f>IF(AND($A34&lt;&gt;"",AV$3&gt;=$J34,AV$3&lt;=$M34),1,"")</f>
        <v/>
      </c>
      <c r="AW34">
        <f>IF(AND($A34&lt;&gt;"",AW$3&gt;=$J34,AW$3&lt;=$M34),1,"")</f>
        <v/>
      </c>
      <c r="AX34">
        <f>IF(AND($A34&lt;&gt;"",AX$3&gt;=$J34,AX$3&lt;=$M34),1,"")</f>
        <v/>
      </c>
      <c r="AY34">
        <f>IF(AND($A34&lt;&gt;"",AY$3&gt;=$J34,AY$3&lt;=$M34),1,"")</f>
        <v/>
      </c>
      <c r="AZ34">
        <f>IF(AND($A34&lt;&gt;"",AZ$3&gt;=$J34,AZ$3&lt;=$M34),1,"")</f>
        <v/>
      </c>
      <c r="BA34">
        <f>IF(AND($A34&lt;&gt;"",BA$3&gt;=$J34,BA$3&lt;=$M34),1,"")</f>
        <v/>
      </c>
      <c r="BB34">
        <f>IF(AND($A34&lt;&gt;"",BB$3&gt;=$J34,BB$3&lt;=$M34),1,"")</f>
        <v/>
      </c>
      <c r="BC34">
        <f>IF(AND($A34&lt;&gt;"",BC$3&gt;=$J34,BC$3&lt;=$M34),1,"")</f>
        <v/>
      </c>
      <c r="BD34">
        <f>IF(AND($A34&lt;&gt;"",BD$3&gt;=$J34,BD$3&lt;=$M34),1,"")</f>
        <v/>
      </c>
      <c r="BE34">
        <f>IF(AND($A34&lt;&gt;"",BE$3&gt;=$J34,BE$3&lt;=$M34),1,"")</f>
        <v/>
      </c>
      <c r="BF34">
        <f>IF(AND($A34&lt;&gt;"",BF$3&gt;=$J34,BF$3&lt;=$M34),1,"")</f>
        <v/>
      </c>
      <c r="BG34">
        <f>IF(AND($A34&lt;&gt;"",BG$3&gt;=$J34,BG$3&lt;=$M34),1,"")</f>
        <v/>
      </c>
      <c r="BH34">
        <f>IF(AND($A34&lt;&gt;"",BH$3&gt;=$J34,BH$3&lt;=$M34),1,"")</f>
        <v/>
      </c>
      <c r="BI34">
        <f>IF(AND($A34&lt;&gt;"",BI$3&gt;=$J34,BI$3&lt;=$M34),1,"")</f>
        <v/>
      </c>
      <c r="BJ34">
        <f>IF(AND($A34&lt;&gt;"",BJ$3&gt;=$J34,BJ$3&lt;=$M34),1,"")</f>
        <v/>
      </c>
      <c r="BK34">
        <f>IF(AND($A34&lt;&gt;"",BK$3&gt;=$J34,BK$3&lt;=$M34),1,"")</f>
        <v/>
      </c>
      <c r="BL34">
        <f>IF(AND($A34&lt;&gt;"",BL$3&gt;=$J34,BL$3&lt;=$M34),1,"")</f>
        <v/>
      </c>
      <c r="BM34">
        <f>IF(AND($A34&lt;&gt;"",BM$3&gt;=$J34,BM$3&lt;=$M34),1,"")</f>
        <v/>
      </c>
      <c r="BN34">
        <f>IF(AND($A34&lt;&gt;"",BN$3&gt;=$J34,BN$3&lt;=$M34),1,"")</f>
        <v/>
      </c>
      <c r="BO34">
        <f>IF(AND($A34&lt;&gt;"",BO$3&gt;=$J34,BO$3&lt;=$M34),1,"")</f>
        <v/>
      </c>
      <c r="BP34">
        <f>IF(AND($A34&lt;&gt;"",BP$3&gt;=$J34,BP$3&lt;=$M34),1,"")</f>
        <v/>
      </c>
      <c r="BQ34">
        <f>IF(AND($A34&lt;&gt;"",BQ$3&gt;=$J34,BQ$3&lt;=$M34),1,"")</f>
        <v/>
      </c>
      <c r="BR34">
        <f>IF(AND($A34&lt;&gt;"",BR$3&gt;=$J34,BR$3&lt;=$M34),1,"")</f>
        <v/>
      </c>
      <c r="BS34">
        <f>IF(AND($A34&lt;&gt;"",BS$3&gt;=$J34,BS$3&lt;=$M34),1,"")</f>
        <v/>
      </c>
      <c r="BT34">
        <f>IF(AND($A34&lt;&gt;"",BT$3&gt;=$J34,BT$3&lt;=$M34),1,"")</f>
        <v/>
      </c>
      <c r="BU34">
        <f>IF(AND($A34&lt;&gt;"",BU$3&gt;=$J34,BU$3&lt;=$M34),1,"")</f>
        <v/>
      </c>
      <c r="BV34">
        <f>IF(AND($A34&lt;&gt;"",BV$3&gt;=$J34,BV$3&lt;=$M34),1,"")</f>
        <v/>
      </c>
    </row>
    <row r="35">
      <c r="A35">
        <f>IF(Job_Master_Ring!$A35="","",Job_Master_Ring!$A35)</f>
        <v/>
      </c>
      <c r="B35">
        <f>IF($A35="","",Job_Master_Ring!B35)</f>
        <v/>
      </c>
      <c r="C35">
        <f>IF($A35="","",Job_Master_Ring!C35)</f>
        <v/>
      </c>
      <c r="D35">
        <f>IF($A35="","",Job_Master_Ring!D35)</f>
        <v/>
      </c>
      <c r="E35">
        <f>IF($A35="","",IF($I35&lt;&gt;"",$I35,IFERROR(INDEX(Machine_List!$B$72:$B$81,MATCH(1,(Machine_List!$H$72:$H$81&lt;=IFERROR(VLOOKUP($B35,CHOOSE(MATCH($C35,Settings!$L$4:$L$10,0),OPR_BR1!$A$4:$K$18,OPR_BR2!$A$4:$K$18,OPR_CR2!$A$4:$K$18,OPR_CR3!$A$4:$K$18,OPR_CR4!$A$4:$K$18,OPR_RIM!$A$4:$K$18,OPR_BPR!$A$4:$K$18),10,0),0))*(Machine_List!$I$72:$I$81&gt;=IFERROR(VLOOKUP($B35,CHOOSE(MATCH($C35,Settings!$L$4:$L$10,0),OPR_BR1!$A$4:$K$18,OPR_BR2!$A$4:$K$18,OPR_CR2!$A$4:$K$18,OPR_CR3!$A$4:$K$18,OPR_CR4!$A$4:$K$18,OPR_RIM!$A$4:$K$18,OPR_BPR!$A$4:$K$18),11,0),9999)),0)),"NO COMPATIBLE MACHINE")))</f>
        <v/>
      </c>
      <c r="F35">
        <f>IF($E35="","",IFERROR(VLOOKUP($E35,Machine_List!$B:$G,6,0),""))</f>
        <v/>
      </c>
      <c r="G35" s="17">
        <f>IF($E35="","",IFERROR(VLOOKUP($E35,Machine_List!$B:$C,2,0),""))</f>
        <v/>
      </c>
      <c r="H35">
        <f>IF($E35="","",IFERROR(VLOOKUP($E35,Machine_List!$B:$D,3,0),""))</f>
        <v/>
      </c>
      <c r="J35" s="16">
        <f>IF($A35="","",IF($I35&lt;&gt;"",$I35,MAX(VENT_Plan!$M35,IFERROR(LOOKUP(2,1/($E$3:INDIRECT("E"&amp;(ROW()-1))=$E35),$M$3:INDIRECT("M"&amp;(ROW()-1))),VENT_Plan!$M35))))</f>
        <v/>
      </c>
      <c r="K35">
        <f>IF($A35="","",IFERROR(VLOOKUP(B35,CHOOSE(MATCH($C35,Settings!$L$4:$L$10,0),OPR_BR1!$A$4:$I$18,OPR_BR2!$A$4:$I$18,OPR_CR2!$A$4:$I$18,OPR_CR3!$A$4:$I$18,OPR_CR4!$A$4:$I$18,OPR_RIM!$A$4:$I$18,OPR_BPR!$A$4:$I$18),8,0),0))</f>
        <v/>
      </c>
      <c r="L35">
        <f>IF($A35="","",K35*D35)</f>
        <v/>
      </c>
      <c r="M35" s="16">
        <f>IF($A35="","",IF(AND(ISNUMBER(G35),G35&gt;=J35,G35&lt;=(J35+(L35/(IF(F35="Contract Workman",Settings!$K$5,Settings!$K$4))))),J35+(L35/(IF(F35="Contract Workman",Settings!$K$5,Settings!$K$4)))+(H35/(IF(F35="Contract Workman",Settings!$K$5,Settings!$K$4))),J35+(L35/(IF(F35="Contract Workman",Settings!$K$5,Settings!$K$4)))))</f>
        <v/>
      </c>
      <c r="N35">
        <f>IF($A35="","",IF(F35="Contract Workman",IF(AND(MOD(M35,1)&gt;=8/24,MOD(M35,1)&lt;20/24),"Shift S1","Shift S2"),IF(AND(MOD(M35,1)&gt;=7/24,MOD(M35,1)&lt;15/24),"Shift A",IF(AND(MOD(M35,1)&gt;=15/24,MOD(M35,1)&lt;23/24),"Shift B","Shift C"))))</f>
        <v/>
      </c>
      <c r="O35">
        <f>IF(B35="","",IF(IFERROR(ISNUMBER(SEARCH(TEXT(B35,"0"),VLOOKUP(E35,Machine_List!$B:$J,9,0))),FALSE),"✅ "&amp; E35,"❌ Sug: "&amp;IFERROR(INDEX(Machine_List!$B$72:$B$81,MATCH(1,(Machine_List!$H$72:$H$81&lt;=IFERROR(VLOOKUP($B35,OPR_BR1!$A$4:$K$18,10,0),0))*(Machine_List!$I$72:$I$81&gt;=IFERROR(VLOOKUP($B35,OPR_BR1!$A$4:$K$18,11,0),9999)),0)),"?")))</f>
        <v/>
      </c>
      <c r="P35">
        <f>IF(AND($A35&lt;&gt;"",P$3&gt;=$J35,P$3&lt;=$M35),1,"")</f>
        <v/>
      </c>
      <c r="Q35">
        <f>IF(AND($A35&lt;&gt;"",Q$3&gt;=$J35,Q$3&lt;=$M35),1,"")</f>
        <v/>
      </c>
      <c r="R35">
        <f>IF(AND($A35&lt;&gt;"",R$3&gt;=$J35,R$3&lt;=$M35),1,"")</f>
        <v/>
      </c>
      <c r="S35">
        <f>IF(AND($A35&lt;&gt;"",S$3&gt;=$J35,S$3&lt;=$M35),1,"")</f>
        <v/>
      </c>
      <c r="T35">
        <f>IF(AND($A35&lt;&gt;"",T$3&gt;=$J35,T$3&lt;=$M35),1,"")</f>
        <v/>
      </c>
      <c r="U35">
        <f>IF(AND($A35&lt;&gt;"",U$3&gt;=$J35,U$3&lt;=$M35),1,"")</f>
        <v/>
      </c>
      <c r="V35">
        <f>IF(AND($A35&lt;&gt;"",V$3&gt;=$J35,V$3&lt;=$M35),1,"")</f>
        <v/>
      </c>
      <c r="W35">
        <f>IF(AND($A35&lt;&gt;"",W$3&gt;=$J35,W$3&lt;=$M35),1,"")</f>
        <v/>
      </c>
      <c r="X35">
        <f>IF(AND($A35&lt;&gt;"",X$3&gt;=$J35,X$3&lt;=$M35),1,"")</f>
        <v/>
      </c>
      <c r="Y35">
        <f>IF(AND($A35&lt;&gt;"",Y$3&gt;=$J35,Y$3&lt;=$M35),1,"")</f>
        <v/>
      </c>
      <c r="Z35">
        <f>IF(AND($A35&lt;&gt;"",Z$3&gt;=$J35,Z$3&lt;=$M35),1,"")</f>
        <v/>
      </c>
      <c r="AA35">
        <f>IF(AND($A35&lt;&gt;"",AA$3&gt;=$J35,AA$3&lt;=$M35),1,"")</f>
        <v/>
      </c>
      <c r="AB35">
        <f>IF(AND($A35&lt;&gt;"",AB$3&gt;=$J35,AB$3&lt;=$M35),1,"")</f>
        <v/>
      </c>
      <c r="AC35">
        <f>IF(AND($A35&lt;&gt;"",AC$3&gt;=$J35,AC$3&lt;=$M35),1,"")</f>
        <v/>
      </c>
      <c r="AD35">
        <f>IF(AND($A35&lt;&gt;"",AD$3&gt;=$J35,AD$3&lt;=$M35),1,"")</f>
        <v/>
      </c>
      <c r="AE35">
        <f>IF(AND($A35&lt;&gt;"",AE$3&gt;=$J35,AE$3&lt;=$M35),1,"")</f>
        <v/>
      </c>
      <c r="AF35">
        <f>IF(AND($A35&lt;&gt;"",AF$3&gt;=$J35,AF$3&lt;=$M35),1,"")</f>
        <v/>
      </c>
      <c r="AG35">
        <f>IF(AND($A35&lt;&gt;"",AG$3&gt;=$J35,AG$3&lt;=$M35),1,"")</f>
        <v/>
      </c>
      <c r="AH35">
        <f>IF(AND($A35&lt;&gt;"",AH$3&gt;=$J35,AH$3&lt;=$M35),1,"")</f>
        <v/>
      </c>
      <c r="AI35">
        <f>IF(AND($A35&lt;&gt;"",AI$3&gt;=$J35,AI$3&lt;=$M35),1,"")</f>
        <v/>
      </c>
      <c r="AJ35">
        <f>IF(AND($A35&lt;&gt;"",AJ$3&gt;=$J35,AJ$3&lt;=$M35),1,"")</f>
        <v/>
      </c>
      <c r="AK35">
        <f>IF(AND($A35&lt;&gt;"",AK$3&gt;=$J35,AK$3&lt;=$M35),1,"")</f>
        <v/>
      </c>
      <c r="AL35">
        <f>IF(AND($A35&lt;&gt;"",AL$3&gt;=$J35,AL$3&lt;=$M35),1,"")</f>
        <v/>
      </c>
      <c r="AM35">
        <f>IF(AND($A35&lt;&gt;"",AM$3&gt;=$J35,AM$3&lt;=$M35),1,"")</f>
        <v/>
      </c>
      <c r="AN35">
        <f>IF(AND($A35&lt;&gt;"",AN$3&gt;=$J35,AN$3&lt;=$M35),1,"")</f>
        <v/>
      </c>
      <c r="AO35">
        <f>IF(AND($A35&lt;&gt;"",AO$3&gt;=$J35,AO$3&lt;=$M35),1,"")</f>
        <v/>
      </c>
      <c r="AP35">
        <f>IF(AND($A35&lt;&gt;"",AP$3&gt;=$J35,AP$3&lt;=$M35),1,"")</f>
        <v/>
      </c>
      <c r="AQ35">
        <f>IF(AND($A35&lt;&gt;"",AQ$3&gt;=$J35,AQ$3&lt;=$M35),1,"")</f>
        <v/>
      </c>
      <c r="AR35">
        <f>IF(AND($A35&lt;&gt;"",AR$3&gt;=$J35,AR$3&lt;=$M35),1,"")</f>
        <v/>
      </c>
      <c r="AS35">
        <f>IF(AND($A35&lt;&gt;"",AS$3&gt;=$J35,AS$3&lt;=$M35),1,"")</f>
        <v/>
      </c>
      <c r="AT35">
        <f>IF(AND($A35&lt;&gt;"",AT$3&gt;=$J35,AT$3&lt;=$M35),1,"")</f>
        <v/>
      </c>
      <c r="AU35">
        <f>IF(AND($A35&lt;&gt;"",AU$3&gt;=$J35,AU$3&lt;=$M35),1,"")</f>
        <v/>
      </c>
      <c r="AV35">
        <f>IF(AND($A35&lt;&gt;"",AV$3&gt;=$J35,AV$3&lt;=$M35),1,"")</f>
        <v/>
      </c>
      <c r="AW35">
        <f>IF(AND($A35&lt;&gt;"",AW$3&gt;=$J35,AW$3&lt;=$M35),1,"")</f>
        <v/>
      </c>
      <c r="AX35">
        <f>IF(AND($A35&lt;&gt;"",AX$3&gt;=$J35,AX$3&lt;=$M35),1,"")</f>
        <v/>
      </c>
      <c r="AY35">
        <f>IF(AND($A35&lt;&gt;"",AY$3&gt;=$J35,AY$3&lt;=$M35),1,"")</f>
        <v/>
      </c>
      <c r="AZ35">
        <f>IF(AND($A35&lt;&gt;"",AZ$3&gt;=$J35,AZ$3&lt;=$M35),1,"")</f>
        <v/>
      </c>
      <c r="BA35">
        <f>IF(AND($A35&lt;&gt;"",BA$3&gt;=$J35,BA$3&lt;=$M35),1,"")</f>
        <v/>
      </c>
      <c r="BB35">
        <f>IF(AND($A35&lt;&gt;"",BB$3&gt;=$J35,BB$3&lt;=$M35),1,"")</f>
        <v/>
      </c>
      <c r="BC35">
        <f>IF(AND($A35&lt;&gt;"",BC$3&gt;=$J35,BC$3&lt;=$M35),1,"")</f>
        <v/>
      </c>
      <c r="BD35">
        <f>IF(AND($A35&lt;&gt;"",BD$3&gt;=$J35,BD$3&lt;=$M35),1,"")</f>
        <v/>
      </c>
      <c r="BE35">
        <f>IF(AND($A35&lt;&gt;"",BE$3&gt;=$J35,BE$3&lt;=$M35),1,"")</f>
        <v/>
      </c>
      <c r="BF35">
        <f>IF(AND($A35&lt;&gt;"",BF$3&gt;=$J35,BF$3&lt;=$M35),1,"")</f>
        <v/>
      </c>
      <c r="BG35">
        <f>IF(AND($A35&lt;&gt;"",BG$3&gt;=$J35,BG$3&lt;=$M35),1,"")</f>
        <v/>
      </c>
      <c r="BH35">
        <f>IF(AND($A35&lt;&gt;"",BH$3&gt;=$J35,BH$3&lt;=$M35),1,"")</f>
        <v/>
      </c>
      <c r="BI35">
        <f>IF(AND($A35&lt;&gt;"",BI$3&gt;=$J35,BI$3&lt;=$M35),1,"")</f>
        <v/>
      </c>
      <c r="BJ35">
        <f>IF(AND($A35&lt;&gt;"",BJ$3&gt;=$J35,BJ$3&lt;=$M35),1,"")</f>
        <v/>
      </c>
      <c r="BK35">
        <f>IF(AND($A35&lt;&gt;"",BK$3&gt;=$J35,BK$3&lt;=$M35),1,"")</f>
        <v/>
      </c>
      <c r="BL35">
        <f>IF(AND($A35&lt;&gt;"",BL$3&gt;=$J35,BL$3&lt;=$M35),1,"")</f>
        <v/>
      </c>
      <c r="BM35">
        <f>IF(AND($A35&lt;&gt;"",BM$3&gt;=$J35,BM$3&lt;=$M35),1,"")</f>
        <v/>
      </c>
      <c r="BN35">
        <f>IF(AND($A35&lt;&gt;"",BN$3&gt;=$J35,BN$3&lt;=$M35),1,"")</f>
        <v/>
      </c>
      <c r="BO35">
        <f>IF(AND($A35&lt;&gt;"",BO$3&gt;=$J35,BO$3&lt;=$M35),1,"")</f>
        <v/>
      </c>
      <c r="BP35">
        <f>IF(AND($A35&lt;&gt;"",BP$3&gt;=$J35,BP$3&lt;=$M35),1,"")</f>
        <v/>
      </c>
      <c r="BQ35">
        <f>IF(AND($A35&lt;&gt;"",BQ$3&gt;=$J35,BQ$3&lt;=$M35),1,"")</f>
        <v/>
      </c>
      <c r="BR35">
        <f>IF(AND($A35&lt;&gt;"",BR$3&gt;=$J35,BR$3&lt;=$M35),1,"")</f>
        <v/>
      </c>
      <c r="BS35">
        <f>IF(AND($A35&lt;&gt;"",BS$3&gt;=$J35,BS$3&lt;=$M35),1,"")</f>
        <v/>
      </c>
      <c r="BT35">
        <f>IF(AND($A35&lt;&gt;"",BT$3&gt;=$J35,BT$3&lt;=$M35),1,"")</f>
        <v/>
      </c>
      <c r="BU35">
        <f>IF(AND($A35&lt;&gt;"",BU$3&gt;=$J35,BU$3&lt;=$M35),1,"")</f>
        <v/>
      </c>
      <c r="BV35">
        <f>IF(AND($A35&lt;&gt;"",BV$3&gt;=$J35,BV$3&lt;=$M35),1,"")</f>
        <v/>
      </c>
    </row>
    <row r="36">
      <c r="A36">
        <f>IF(Job_Master_Ring!$A36="","",Job_Master_Ring!$A36)</f>
        <v/>
      </c>
      <c r="B36">
        <f>IF($A36="","",Job_Master_Ring!B36)</f>
        <v/>
      </c>
      <c r="C36">
        <f>IF($A36="","",Job_Master_Ring!C36)</f>
        <v/>
      </c>
      <c r="D36">
        <f>IF($A36="","",Job_Master_Ring!D36)</f>
        <v/>
      </c>
      <c r="E36">
        <f>IF($A36="","",IF($I36&lt;&gt;"",$I36,IFERROR(INDEX(Machine_List!$B$72:$B$81,MATCH(1,(Machine_List!$H$72:$H$81&lt;=IFERROR(VLOOKUP($B36,CHOOSE(MATCH($C36,Settings!$L$4:$L$10,0),OPR_BR1!$A$4:$K$18,OPR_BR2!$A$4:$K$18,OPR_CR2!$A$4:$K$18,OPR_CR3!$A$4:$K$18,OPR_CR4!$A$4:$K$18,OPR_RIM!$A$4:$K$18,OPR_BPR!$A$4:$K$18),10,0),0))*(Machine_List!$I$72:$I$81&gt;=IFERROR(VLOOKUP($B36,CHOOSE(MATCH($C36,Settings!$L$4:$L$10,0),OPR_BR1!$A$4:$K$18,OPR_BR2!$A$4:$K$18,OPR_CR2!$A$4:$K$18,OPR_CR3!$A$4:$K$18,OPR_CR4!$A$4:$K$18,OPR_RIM!$A$4:$K$18,OPR_BPR!$A$4:$K$18),11,0),9999)),0)),"NO COMPATIBLE MACHINE")))</f>
        <v/>
      </c>
      <c r="F36">
        <f>IF($E36="","",IFERROR(VLOOKUP($E36,Machine_List!$B:$G,6,0),""))</f>
        <v/>
      </c>
      <c r="G36" s="17">
        <f>IF($E36="","",IFERROR(VLOOKUP($E36,Machine_List!$B:$C,2,0),""))</f>
        <v/>
      </c>
      <c r="H36">
        <f>IF($E36="","",IFERROR(VLOOKUP($E36,Machine_List!$B:$D,3,0),""))</f>
        <v/>
      </c>
      <c r="J36" s="16">
        <f>IF($A36="","",IF($I36&lt;&gt;"",$I36,MAX(VENT_Plan!$M36,IFERROR(LOOKUP(2,1/($E$3:INDIRECT("E"&amp;(ROW()-1))=$E36),$M$3:INDIRECT("M"&amp;(ROW()-1))),VENT_Plan!$M36))))</f>
        <v/>
      </c>
      <c r="K36">
        <f>IF($A36="","",IFERROR(VLOOKUP(B36,CHOOSE(MATCH($C36,Settings!$L$4:$L$10,0),OPR_BR1!$A$4:$I$18,OPR_BR2!$A$4:$I$18,OPR_CR2!$A$4:$I$18,OPR_CR3!$A$4:$I$18,OPR_CR4!$A$4:$I$18,OPR_RIM!$A$4:$I$18,OPR_BPR!$A$4:$I$18),8,0),0))</f>
        <v/>
      </c>
      <c r="L36">
        <f>IF($A36="","",K36*D36)</f>
        <v/>
      </c>
      <c r="M36" s="16">
        <f>IF($A36="","",IF(AND(ISNUMBER(G36),G36&gt;=J36,G36&lt;=(J36+(L36/(IF(F36="Contract Workman",Settings!$K$5,Settings!$K$4))))),J36+(L36/(IF(F36="Contract Workman",Settings!$K$5,Settings!$K$4)))+(H36/(IF(F36="Contract Workman",Settings!$K$5,Settings!$K$4))),J36+(L36/(IF(F36="Contract Workman",Settings!$K$5,Settings!$K$4)))))</f>
        <v/>
      </c>
      <c r="N36">
        <f>IF($A36="","",IF(F36="Contract Workman",IF(AND(MOD(M36,1)&gt;=8/24,MOD(M36,1)&lt;20/24),"Shift S1","Shift S2"),IF(AND(MOD(M36,1)&gt;=7/24,MOD(M36,1)&lt;15/24),"Shift A",IF(AND(MOD(M36,1)&gt;=15/24,MOD(M36,1)&lt;23/24),"Shift B","Shift C"))))</f>
        <v/>
      </c>
      <c r="O36">
        <f>IF(B36="","",IF(IFERROR(ISNUMBER(SEARCH(TEXT(B36,"0"),VLOOKUP(E36,Machine_List!$B:$J,9,0))),FALSE),"✅ "&amp; E36,"❌ Sug: "&amp;IFERROR(INDEX(Machine_List!$B$72:$B$81,MATCH(1,(Machine_List!$H$72:$H$81&lt;=IFERROR(VLOOKUP($B36,OPR_BR1!$A$4:$K$18,10,0),0))*(Machine_List!$I$72:$I$81&gt;=IFERROR(VLOOKUP($B36,OPR_BR1!$A$4:$K$18,11,0),9999)),0)),"?")))</f>
        <v/>
      </c>
      <c r="P36">
        <f>IF(AND($A36&lt;&gt;"",P$3&gt;=$J36,P$3&lt;=$M36),1,"")</f>
        <v/>
      </c>
      <c r="Q36">
        <f>IF(AND($A36&lt;&gt;"",Q$3&gt;=$J36,Q$3&lt;=$M36),1,"")</f>
        <v/>
      </c>
      <c r="R36">
        <f>IF(AND($A36&lt;&gt;"",R$3&gt;=$J36,R$3&lt;=$M36),1,"")</f>
        <v/>
      </c>
      <c r="S36">
        <f>IF(AND($A36&lt;&gt;"",S$3&gt;=$J36,S$3&lt;=$M36),1,"")</f>
        <v/>
      </c>
      <c r="T36">
        <f>IF(AND($A36&lt;&gt;"",T$3&gt;=$J36,T$3&lt;=$M36),1,"")</f>
        <v/>
      </c>
      <c r="U36">
        <f>IF(AND($A36&lt;&gt;"",U$3&gt;=$J36,U$3&lt;=$M36),1,"")</f>
        <v/>
      </c>
      <c r="V36">
        <f>IF(AND($A36&lt;&gt;"",V$3&gt;=$J36,V$3&lt;=$M36),1,"")</f>
        <v/>
      </c>
      <c r="W36">
        <f>IF(AND($A36&lt;&gt;"",W$3&gt;=$J36,W$3&lt;=$M36),1,"")</f>
        <v/>
      </c>
      <c r="X36">
        <f>IF(AND($A36&lt;&gt;"",X$3&gt;=$J36,X$3&lt;=$M36),1,"")</f>
        <v/>
      </c>
      <c r="Y36">
        <f>IF(AND($A36&lt;&gt;"",Y$3&gt;=$J36,Y$3&lt;=$M36),1,"")</f>
        <v/>
      </c>
      <c r="Z36">
        <f>IF(AND($A36&lt;&gt;"",Z$3&gt;=$J36,Z$3&lt;=$M36),1,"")</f>
        <v/>
      </c>
      <c r="AA36">
        <f>IF(AND($A36&lt;&gt;"",AA$3&gt;=$J36,AA$3&lt;=$M36),1,"")</f>
        <v/>
      </c>
      <c r="AB36">
        <f>IF(AND($A36&lt;&gt;"",AB$3&gt;=$J36,AB$3&lt;=$M36),1,"")</f>
        <v/>
      </c>
      <c r="AC36">
        <f>IF(AND($A36&lt;&gt;"",AC$3&gt;=$J36,AC$3&lt;=$M36),1,"")</f>
        <v/>
      </c>
      <c r="AD36">
        <f>IF(AND($A36&lt;&gt;"",AD$3&gt;=$J36,AD$3&lt;=$M36),1,"")</f>
        <v/>
      </c>
      <c r="AE36">
        <f>IF(AND($A36&lt;&gt;"",AE$3&gt;=$J36,AE$3&lt;=$M36),1,"")</f>
        <v/>
      </c>
      <c r="AF36">
        <f>IF(AND($A36&lt;&gt;"",AF$3&gt;=$J36,AF$3&lt;=$M36),1,"")</f>
        <v/>
      </c>
      <c r="AG36">
        <f>IF(AND($A36&lt;&gt;"",AG$3&gt;=$J36,AG$3&lt;=$M36),1,"")</f>
        <v/>
      </c>
      <c r="AH36">
        <f>IF(AND($A36&lt;&gt;"",AH$3&gt;=$J36,AH$3&lt;=$M36),1,"")</f>
        <v/>
      </c>
      <c r="AI36">
        <f>IF(AND($A36&lt;&gt;"",AI$3&gt;=$J36,AI$3&lt;=$M36),1,"")</f>
        <v/>
      </c>
      <c r="AJ36">
        <f>IF(AND($A36&lt;&gt;"",AJ$3&gt;=$J36,AJ$3&lt;=$M36),1,"")</f>
        <v/>
      </c>
      <c r="AK36">
        <f>IF(AND($A36&lt;&gt;"",AK$3&gt;=$J36,AK$3&lt;=$M36),1,"")</f>
        <v/>
      </c>
      <c r="AL36">
        <f>IF(AND($A36&lt;&gt;"",AL$3&gt;=$J36,AL$3&lt;=$M36),1,"")</f>
        <v/>
      </c>
      <c r="AM36">
        <f>IF(AND($A36&lt;&gt;"",AM$3&gt;=$J36,AM$3&lt;=$M36),1,"")</f>
        <v/>
      </c>
      <c r="AN36">
        <f>IF(AND($A36&lt;&gt;"",AN$3&gt;=$J36,AN$3&lt;=$M36),1,"")</f>
        <v/>
      </c>
      <c r="AO36">
        <f>IF(AND($A36&lt;&gt;"",AO$3&gt;=$J36,AO$3&lt;=$M36),1,"")</f>
        <v/>
      </c>
      <c r="AP36">
        <f>IF(AND($A36&lt;&gt;"",AP$3&gt;=$J36,AP$3&lt;=$M36),1,"")</f>
        <v/>
      </c>
      <c r="AQ36">
        <f>IF(AND($A36&lt;&gt;"",AQ$3&gt;=$J36,AQ$3&lt;=$M36),1,"")</f>
        <v/>
      </c>
      <c r="AR36">
        <f>IF(AND($A36&lt;&gt;"",AR$3&gt;=$J36,AR$3&lt;=$M36),1,"")</f>
        <v/>
      </c>
      <c r="AS36">
        <f>IF(AND($A36&lt;&gt;"",AS$3&gt;=$J36,AS$3&lt;=$M36),1,"")</f>
        <v/>
      </c>
      <c r="AT36">
        <f>IF(AND($A36&lt;&gt;"",AT$3&gt;=$J36,AT$3&lt;=$M36),1,"")</f>
        <v/>
      </c>
      <c r="AU36">
        <f>IF(AND($A36&lt;&gt;"",AU$3&gt;=$J36,AU$3&lt;=$M36),1,"")</f>
        <v/>
      </c>
      <c r="AV36">
        <f>IF(AND($A36&lt;&gt;"",AV$3&gt;=$J36,AV$3&lt;=$M36),1,"")</f>
        <v/>
      </c>
      <c r="AW36">
        <f>IF(AND($A36&lt;&gt;"",AW$3&gt;=$J36,AW$3&lt;=$M36),1,"")</f>
        <v/>
      </c>
      <c r="AX36">
        <f>IF(AND($A36&lt;&gt;"",AX$3&gt;=$J36,AX$3&lt;=$M36),1,"")</f>
        <v/>
      </c>
      <c r="AY36">
        <f>IF(AND($A36&lt;&gt;"",AY$3&gt;=$J36,AY$3&lt;=$M36),1,"")</f>
        <v/>
      </c>
      <c r="AZ36">
        <f>IF(AND($A36&lt;&gt;"",AZ$3&gt;=$J36,AZ$3&lt;=$M36),1,"")</f>
        <v/>
      </c>
      <c r="BA36">
        <f>IF(AND($A36&lt;&gt;"",BA$3&gt;=$J36,BA$3&lt;=$M36),1,"")</f>
        <v/>
      </c>
      <c r="BB36">
        <f>IF(AND($A36&lt;&gt;"",BB$3&gt;=$J36,BB$3&lt;=$M36),1,"")</f>
        <v/>
      </c>
      <c r="BC36">
        <f>IF(AND($A36&lt;&gt;"",BC$3&gt;=$J36,BC$3&lt;=$M36),1,"")</f>
        <v/>
      </c>
      <c r="BD36">
        <f>IF(AND($A36&lt;&gt;"",BD$3&gt;=$J36,BD$3&lt;=$M36),1,"")</f>
        <v/>
      </c>
      <c r="BE36">
        <f>IF(AND($A36&lt;&gt;"",BE$3&gt;=$J36,BE$3&lt;=$M36),1,"")</f>
        <v/>
      </c>
      <c r="BF36">
        <f>IF(AND($A36&lt;&gt;"",BF$3&gt;=$J36,BF$3&lt;=$M36),1,"")</f>
        <v/>
      </c>
      <c r="BG36">
        <f>IF(AND($A36&lt;&gt;"",BG$3&gt;=$J36,BG$3&lt;=$M36),1,"")</f>
        <v/>
      </c>
      <c r="BH36">
        <f>IF(AND($A36&lt;&gt;"",BH$3&gt;=$J36,BH$3&lt;=$M36),1,"")</f>
        <v/>
      </c>
      <c r="BI36">
        <f>IF(AND($A36&lt;&gt;"",BI$3&gt;=$J36,BI$3&lt;=$M36),1,"")</f>
        <v/>
      </c>
      <c r="BJ36">
        <f>IF(AND($A36&lt;&gt;"",BJ$3&gt;=$J36,BJ$3&lt;=$M36),1,"")</f>
        <v/>
      </c>
      <c r="BK36">
        <f>IF(AND($A36&lt;&gt;"",BK$3&gt;=$J36,BK$3&lt;=$M36),1,"")</f>
        <v/>
      </c>
      <c r="BL36">
        <f>IF(AND($A36&lt;&gt;"",BL$3&gt;=$J36,BL$3&lt;=$M36),1,"")</f>
        <v/>
      </c>
      <c r="BM36">
        <f>IF(AND($A36&lt;&gt;"",BM$3&gt;=$J36,BM$3&lt;=$M36),1,"")</f>
        <v/>
      </c>
      <c r="BN36">
        <f>IF(AND($A36&lt;&gt;"",BN$3&gt;=$J36,BN$3&lt;=$M36),1,"")</f>
        <v/>
      </c>
      <c r="BO36">
        <f>IF(AND($A36&lt;&gt;"",BO$3&gt;=$J36,BO$3&lt;=$M36),1,"")</f>
        <v/>
      </c>
      <c r="BP36">
        <f>IF(AND($A36&lt;&gt;"",BP$3&gt;=$J36,BP$3&lt;=$M36),1,"")</f>
        <v/>
      </c>
      <c r="BQ36">
        <f>IF(AND($A36&lt;&gt;"",BQ$3&gt;=$J36,BQ$3&lt;=$M36),1,"")</f>
        <v/>
      </c>
      <c r="BR36">
        <f>IF(AND($A36&lt;&gt;"",BR$3&gt;=$J36,BR$3&lt;=$M36),1,"")</f>
        <v/>
      </c>
      <c r="BS36">
        <f>IF(AND($A36&lt;&gt;"",BS$3&gt;=$J36,BS$3&lt;=$M36),1,"")</f>
        <v/>
      </c>
      <c r="BT36">
        <f>IF(AND($A36&lt;&gt;"",BT$3&gt;=$J36,BT$3&lt;=$M36),1,"")</f>
        <v/>
      </c>
      <c r="BU36">
        <f>IF(AND($A36&lt;&gt;"",BU$3&gt;=$J36,BU$3&lt;=$M36),1,"")</f>
        <v/>
      </c>
      <c r="BV36">
        <f>IF(AND($A36&lt;&gt;"",BV$3&gt;=$J36,BV$3&lt;=$M36),1,"")</f>
        <v/>
      </c>
    </row>
    <row r="37">
      <c r="A37">
        <f>IF(Job_Master_Ring!$A37="","",Job_Master_Ring!$A37)</f>
        <v/>
      </c>
      <c r="B37">
        <f>IF($A37="","",Job_Master_Ring!B37)</f>
        <v/>
      </c>
      <c r="C37">
        <f>IF($A37="","",Job_Master_Ring!C37)</f>
        <v/>
      </c>
      <c r="D37">
        <f>IF($A37="","",Job_Master_Ring!D37)</f>
        <v/>
      </c>
      <c r="E37">
        <f>IF($A37="","",IF($I37&lt;&gt;"",$I37,IFERROR(INDEX(Machine_List!$B$72:$B$81,MATCH(1,(Machine_List!$H$72:$H$81&lt;=IFERROR(VLOOKUP($B37,CHOOSE(MATCH($C37,Settings!$L$4:$L$10,0),OPR_BR1!$A$4:$K$18,OPR_BR2!$A$4:$K$18,OPR_CR2!$A$4:$K$18,OPR_CR3!$A$4:$K$18,OPR_CR4!$A$4:$K$18,OPR_RIM!$A$4:$K$18,OPR_BPR!$A$4:$K$18),10,0),0))*(Machine_List!$I$72:$I$81&gt;=IFERROR(VLOOKUP($B37,CHOOSE(MATCH($C37,Settings!$L$4:$L$10,0),OPR_BR1!$A$4:$K$18,OPR_BR2!$A$4:$K$18,OPR_CR2!$A$4:$K$18,OPR_CR3!$A$4:$K$18,OPR_CR4!$A$4:$K$18,OPR_RIM!$A$4:$K$18,OPR_BPR!$A$4:$K$18),11,0),9999)),0)),"NO COMPATIBLE MACHINE")))</f>
        <v/>
      </c>
      <c r="F37">
        <f>IF($E37="","",IFERROR(VLOOKUP($E37,Machine_List!$B:$G,6,0),""))</f>
        <v/>
      </c>
      <c r="G37" s="17">
        <f>IF($E37="","",IFERROR(VLOOKUP($E37,Machine_List!$B:$C,2,0),""))</f>
        <v/>
      </c>
      <c r="H37">
        <f>IF($E37="","",IFERROR(VLOOKUP($E37,Machine_List!$B:$D,3,0),""))</f>
        <v/>
      </c>
      <c r="J37" s="16">
        <f>IF($A37="","",IF($I37&lt;&gt;"",$I37,MAX(VENT_Plan!$M37,IFERROR(LOOKUP(2,1/($E$3:INDIRECT("E"&amp;(ROW()-1))=$E37),$M$3:INDIRECT("M"&amp;(ROW()-1))),VENT_Plan!$M37))))</f>
        <v/>
      </c>
      <c r="K37">
        <f>IF($A37="","",IFERROR(VLOOKUP(B37,CHOOSE(MATCH($C37,Settings!$L$4:$L$10,0),OPR_BR1!$A$4:$I$18,OPR_BR2!$A$4:$I$18,OPR_CR2!$A$4:$I$18,OPR_CR3!$A$4:$I$18,OPR_CR4!$A$4:$I$18,OPR_RIM!$A$4:$I$18,OPR_BPR!$A$4:$I$18),8,0),0))</f>
        <v/>
      </c>
      <c r="L37">
        <f>IF($A37="","",K37*D37)</f>
        <v/>
      </c>
      <c r="M37" s="16">
        <f>IF($A37="","",IF(AND(ISNUMBER(G37),G37&gt;=J37,G37&lt;=(J37+(L37/(IF(F37="Contract Workman",Settings!$K$5,Settings!$K$4))))),J37+(L37/(IF(F37="Contract Workman",Settings!$K$5,Settings!$K$4)))+(H37/(IF(F37="Contract Workman",Settings!$K$5,Settings!$K$4))),J37+(L37/(IF(F37="Contract Workman",Settings!$K$5,Settings!$K$4)))))</f>
        <v/>
      </c>
      <c r="N37">
        <f>IF($A37="","",IF(F37="Contract Workman",IF(AND(MOD(M37,1)&gt;=8/24,MOD(M37,1)&lt;20/24),"Shift S1","Shift S2"),IF(AND(MOD(M37,1)&gt;=7/24,MOD(M37,1)&lt;15/24),"Shift A",IF(AND(MOD(M37,1)&gt;=15/24,MOD(M37,1)&lt;23/24),"Shift B","Shift C"))))</f>
        <v/>
      </c>
      <c r="O37">
        <f>IF(B37="","",IF(IFERROR(ISNUMBER(SEARCH(TEXT(B37,"0"),VLOOKUP(E37,Machine_List!$B:$J,9,0))),FALSE),"✅ "&amp; E37,"❌ Sug: "&amp;IFERROR(INDEX(Machine_List!$B$72:$B$81,MATCH(1,(Machine_List!$H$72:$H$81&lt;=IFERROR(VLOOKUP($B37,OPR_BR1!$A$4:$K$18,10,0),0))*(Machine_List!$I$72:$I$81&gt;=IFERROR(VLOOKUP($B37,OPR_BR1!$A$4:$K$18,11,0),9999)),0)),"?")))</f>
        <v/>
      </c>
      <c r="P37">
        <f>IF(AND($A37&lt;&gt;"",P$3&gt;=$J37,P$3&lt;=$M37),1,"")</f>
        <v/>
      </c>
      <c r="Q37">
        <f>IF(AND($A37&lt;&gt;"",Q$3&gt;=$J37,Q$3&lt;=$M37),1,"")</f>
        <v/>
      </c>
      <c r="R37">
        <f>IF(AND($A37&lt;&gt;"",R$3&gt;=$J37,R$3&lt;=$M37),1,"")</f>
        <v/>
      </c>
      <c r="S37">
        <f>IF(AND($A37&lt;&gt;"",S$3&gt;=$J37,S$3&lt;=$M37),1,"")</f>
        <v/>
      </c>
      <c r="T37">
        <f>IF(AND($A37&lt;&gt;"",T$3&gt;=$J37,T$3&lt;=$M37),1,"")</f>
        <v/>
      </c>
      <c r="U37">
        <f>IF(AND($A37&lt;&gt;"",U$3&gt;=$J37,U$3&lt;=$M37),1,"")</f>
        <v/>
      </c>
      <c r="V37">
        <f>IF(AND($A37&lt;&gt;"",V$3&gt;=$J37,V$3&lt;=$M37),1,"")</f>
        <v/>
      </c>
      <c r="W37">
        <f>IF(AND($A37&lt;&gt;"",W$3&gt;=$J37,W$3&lt;=$M37),1,"")</f>
        <v/>
      </c>
      <c r="X37">
        <f>IF(AND($A37&lt;&gt;"",X$3&gt;=$J37,X$3&lt;=$M37),1,"")</f>
        <v/>
      </c>
      <c r="Y37">
        <f>IF(AND($A37&lt;&gt;"",Y$3&gt;=$J37,Y$3&lt;=$M37),1,"")</f>
        <v/>
      </c>
      <c r="Z37">
        <f>IF(AND($A37&lt;&gt;"",Z$3&gt;=$J37,Z$3&lt;=$M37),1,"")</f>
        <v/>
      </c>
      <c r="AA37">
        <f>IF(AND($A37&lt;&gt;"",AA$3&gt;=$J37,AA$3&lt;=$M37),1,"")</f>
        <v/>
      </c>
      <c r="AB37">
        <f>IF(AND($A37&lt;&gt;"",AB$3&gt;=$J37,AB$3&lt;=$M37),1,"")</f>
        <v/>
      </c>
      <c r="AC37">
        <f>IF(AND($A37&lt;&gt;"",AC$3&gt;=$J37,AC$3&lt;=$M37),1,"")</f>
        <v/>
      </c>
      <c r="AD37">
        <f>IF(AND($A37&lt;&gt;"",AD$3&gt;=$J37,AD$3&lt;=$M37),1,"")</f>
        <v/>
      </c>
      <c r="AE37">
        <f>IF(AND($A37&lt;&gt;"",AE$3&gt;=$J37,AE$3&lt;=$M37),1,"")</f>
        <v/>
      </c>
      <c r="AF37">
        <f>IF(AND($A37&lt;&gt;"",AF$3&gt;=$J37,AF$3&lt;=$M37),1,"")</f>
        <v/>
      </c>
      <c r="AG37">
        <f>IF(AND($A37&lt;&gt;"",AG$3&gt;=$J37,AG$3&lt;=$M37),1,"")</f>
        <v/>
      </c>
      <c r="AH37">
        <f>IF(AND($A37&lt;&gt;"",AH$3&gt;=$J37,AH$3&lt;=$M37),1,"")</f>
        <v/>
      </c>
      <c r="AI37">
        <f>IF(AND($A37&lt;&gt;"",AI$3&gt;=$J37,AI$3&lt;=$M37),1,"")</f>
        <v/>
      </c>
      <c r="AJ37">
        <f>IF(AND($A37&lt;&gt;"",AJ$3&gt;=$J37,AJ$3&lt;=$M37),1,"")</f>
        <v/>
      </c>
      <c r="AK37">
        <f>IF(AND($A37&lt;&gt;"",AK$3&gt;=$J37,AK$3&lt;=$M37),1,"")</f>
        <v/>
      </c>
      <c r="AL37">
        <f>IF(AND($A37&lt;&gt;"",AL$3&gt;=$J37,AL$3&lt;=$M37),1,"")</f>
        <v/>
      </c>
      <c r="AM37">
        <f>IF(AND($A37&lt;&gt;"",AM$3&gt;=$J37,AM$3&lt;=$M37),1,"")</f>
        <v/>
      </c>
      <c r="AN37">
        <f>IF(AND($A37&lt;&gt;"",AN$3&gt;=$J37,AN$3&lt;=$M37),1,"")</f>
        <v/>
      </c>
      <c r="AO37">
        <f>IF(AND($A37&lt;&gt;"",AO$3&gt;=$J37,AO$3&lt;=$M37),1,"")</f>
        <v/>
      </c>
      <c r="AP37">
        <f>IF(AND($A37&lt;&gt;"",AP$3&gt;=$J37,AP$3&lt;=$M37),1,"")</f>
        <v/>
      </c>
      <c r="AQ37">
        <f>IF(AND($A37&lt;&gt;"",AQ$3&gt;=$J37,AQ$3&lt;=$M37),1,"")</f>
        <v/>
      </c>
      <c r="AR37">
        <f>IF(AND($A37&lt;&gt;"",AR$3&gt;=$J37,AR$3&lt;=$M37),1,"")</f>
        <v/>
      </c>
      <c r="AS37">
        <f>IF(AND($A37&lt;&gt;"",AS$3&gt;=$J37,AS$3&lt;=$M37),1,"")</f>
        <v/>
      </c>
      <c r="AT37">
        <f>IF(AND($A37&lt;&gt;"",AT$3&gt;=$J37,AT$3&lt;=$M37),1,"")</f>
        <v/>
      </c>
      <c r="AU37">
        <f>IF(AND($A37&lt;&gt;"",AU$3&gt;=$J37,AU$3&lt;=$M37),1,"")</f>
        <v/>
      </c>
      <c r="AV37">
        <f>IF(AND($A37&lt;&gt;"",AV$3&gt;=$J37,AV$3&lt;=$M37),1,"")</f>
        <v/>
      </c>
      <c r="AW37">
        <f>IF(AND($A37&lt;&gt;"",AW$3&gt;=$J37,AW$3&lt;=$M37),1,"")</f>
        <v/>
      </c>
      <c r="AX37">
        <f>IF(AND($A37&lt;&gt;"",AX$3&gt;=$J37,AX$3&lt;=$M37),1,"")</f>
        <v/>
      </c>
      <c r="AY37">
        <f>IF(AND($A37&lt;&gt;"",AY$3&gt;=$J37,AY$3&lt;=$M37),1,"")</f>
        <v/>
      </c>
      <c r="AZ37">
        <f>IF(AND($A37&lt;&gt;"",AZ$3&gt;=$J37,AZ$3&lt;=$M37),1,"")</f>
        <v/>
      </c>
      <c r="BA37">
        <f>IF(AND($A37&lt;&gt;"",BA$3&gt;=$J37,BA$3&lt;=$M37),1,"")</f>
        <v/>
      </c>
      <c r="BB37">
        <f>IF(AND($A37&lt;&gt;"",BB$3&gt;=$J37,BB$3&lt;=$M37),1,"")</f>
        <v/>
      </c>
      <c r="BC37">
        <f>IF(AND($A37&lt;&gt;"",BC$3&gt;=$J37,BC$3&lt;=$M37),1,"")</f>
        <v/>
      </c>
      <c r="BD37">
        <f>IF(AND($A37&lt;&gt;"",BD$3&gt;=$J37,BD$3&lt;=$M37),1,"")</f>
        <v/>
      </c>
      <c r="BE37">
        <f>IF(AND($A37&lt;&gt;"",BE$3&gt;=$J37,BE$3&lt;=$M37),1,"")</f>
        <v/>
      </c>
      <c r="BF37">
        <f>IF(AND($A37&lt;&gt;"",BF$3&gt;=$J37,BF$3&lt;=$M37),1,"")</f>
        <v/>
      </c>
      <c r="BG37">
        <f>IF(AND($A37&lt;&gt;"",BG$3&gt;=$J37,BG$3&lt;=$M37),1,"")</f>
        <v/>
      </c>
      <c r="BH37">
        <f>IF(AND($A37&lt;&gt;"",BH$3&gt;=$J37,BH$3&lt;=$M37),1,"")</f>
        <v/>
      </c>
      <c r="BI37">
        <f>IF(AND($A37&lt;&gt;"",BI$3&gt;=$J37,BI$3&lt;=$M37),1,"")</f>
        <v/>
      </c>
      <c r="BJ37">
        <f>IF(AND($A37&lt;&gt;"",BJ$3&gt;=$J37,BJ$3&lt;=$M37),1,"")</f>
        <v/>
      </c>
      <c r="BK37">
        <f>IF(AND($A37&lt;&gt;"",BK$3&gt;=$J37,BK$3&lt;=$M37),1,"")</f>
        <v/>
      </c>
      <c r="BL37">
        <f>IF(AND($A37&lt;&gt;"",BL$3&gt;=$J37,BL$3&lt;=$M37),1,"")</f>
        <v/>
      </c>
      <c r="BM37">
        <f>IF(AND($A37&lt;&gt;"",BM$3&gt;=$J37,BM$3&lt;=$M37),1,"")</f>
        <v/>
      </c>
      <c r="BN37">
        <f>IF(AND($A37&lt;&gt;"",BN$3&gt;=$J37,BN$3&lt;=$M37),1,"")</f>
        <v/>
      </c>
      <c r="BO37">
        <f>IF(AND($A37&lt;&gt;"",BO$3&gt;=$J37,BO$3&lt;=$M37),1,"")</f>
        <v/>
      </c>
      <c r="BP37">
        <f>IF(AND($A37&lt;&gt;"",BP$3&gt;=$J37,BP$3&lt;=$M37),1,"")</f>
        <v/>
      </c>
      <c r="BQ37">
        <f>IF(AND($A37&lt;&gt;"",BQ$3&gt;=$J37,BQ$3&lt;=$M37),1,"")</f>
        <v/>
      </c>
      <c r="BR37">
        <f>IF(AND($A37&lt;&gt;"",BR$3&gt;=$J37,BR$3&lt;=$M37),1,"")</f>
        <v/>
      </c>
      <c r="BS37">
        <f>IF(AND($A37&lt;&gt;"",BS$3&gt;=$J37,BS$3&lt;=$M37),1,"")</f>
        <v/>
      </c>
      <c r="BT37">
        <f>IF(AND($A37&lt;&gt;"",BT$3&gt;=$J37,BT$3&lt;=$M37),1,"")</f>
        <v/>
      </c>
      <c r="BU37">
        <f>IF(AND($A37&lt;&gt;"",BU$3&gt;=$J37,BU$3&lt;=$M37),1,"")</f>
        <v/>
      </c>
      <c r="BV37">
        <f>IF(AND($A37&lt;&gt;"",BV$3&gt;=$J37,BV$3&lt;=$M37),1,"")</f>
        <v/>
      </c>
    </row>
    <row r="38">
      <c r="A38">
        <f>IF(Job_Master_Ring!$A38="","",Job_Master_Ring!$A38)</f>
        <v/>
      </c>
      <c r="B38">
        <f>IF($A38="","",Job_Master_Ring!B38)</f>
        <v/>
      </c>
      <c r="C38">
        <f>IF($A38="","",Job_Master_Ring!C38)</f>
        <v/>
      </c>
      <c r="D38">
        <f>IF($A38="","",Job_Master_Ring!D38)</f>
        <v/>
      </c>
      <c r="E38">
        <f>IF($A38="","",IF($I38&lt;&gt;"",$I38,IFERROR(INDEX(Machine_List!$B$72:$B$81,MATCH(1,(Machine_List!$H$72:$H$81&lt;=IFERROR(VLOOKUP($B38,CHOOSE(MATCH($C38,Settings!$L$4:$L$10,0),OPR_BR1!$A$4:$K$18,OPR_BR2!$A$4:$K$18,OPR_CR2!$A$4:$K$18,OPR_CR3!$A$4:$K$18,OPR_CR4!$A$4:$K$18,OPR_RIM!$A$4:$K$18,OPR_BPR!$A$4:$K$18),10,0),0))*(Machine_List!$I$72:$I$81&gt;=IFERROR(VLOOKUP($B38,CHOOSE(MATCH($C38,Settings!$L$4:$L$10,0),OPR_BR1!$A$4:$K$18,OPR_BR2!$A$4:$K$18,OPR_CR2!$A$4:$K$18,OPR_CR3!$A$4:$K$18,OPR_CR4!$A$4:$K$18,OPR_RIM!$A$4:$K$18,OPR_BPR!$A$4:$K$18),11,0),9999)),0)),"NO COMPATIBLE MACHINE")))</f>
        <v/>
      </c>
      <c r="F38">
        <f>IF($E38="","",IFERROR(VLOOKUP($E38,Machine_List!$B:$G,6,0),""))</f>
        <v/>
      </c>
      <c r="G38" s="17">
        <f>IF($E38="","",IFERROR(VLOOKUP($E38,Machine_List!$B:$C,2,0),""))</f>
        <v/>
      </c>
      <c r="H38">
        <f>IF($E38="","",IFERROR(VLOOKUP($E38,Machine_List!$B:$D,3,0),""))</f>
        <v/>
      </c>
      <c r="J38" s="16">
        <f>IF($A38="","",IF($I38&lt;&gt;"",$I38,MAX(VENT_Plan!$M38,IFERROR(LOOKUP(2,1/($E$3:INDIRECT("E"&amp;(ROW()-1))=$E38),$M$3:INDIRECT("M"&amp;(ROW()-1))),VENT_Plan!$M38))))</f>
        <v/>
      </c>
      <c r="K38">
        <f>IF($A38="","",IFERROR(VLOOKUP(B38,CHOOSE(MATCH($C38,Settings!$L$4:$L$10,0),OPR_BR1!$A$4:$I$18,OPR_BR2!$A$4:$I$18,OPR_CR2!$A$4:$I$18,OPR_CR3!$A$4:$I$18,OPR_CR4!$A$4:$I$18,OPR_RIM!$A$4:$I$18,OPR_BPR!$A$4:$I$18),8,0),0))</f>
        <v/>
      </c>
      <c r="L38">
        <f>IF($A38="","",K38*D38)</f>
        <v/>
      </c>
      <c r="M38" s="16">
        <f>IF($A38="","",IF(AND(ISNUMBER(G38),G38&gt;=J38,G38&lt;=(J38+(L38/(IF(F38="Contract Workman",Settings!$K$5,Settings!$K$4))))),J38+(L38/(IF(F38="Contract Workman",Settings!$K$5,Settings!$K$4)))+(H38/(IF(F38="Contract Workman",Settings!$K$5,Settings!$K$4))),J38+(L38/(IF(F38="Contract Workman",Settings!$K$5,Settings!$K$4)))))</f>
        <v/>
      </c>
      <c r="N38">
        <f>IF($A38="","",IF(F38="Contract Workman",IF(AND(MOD(M38,1)&gt;=8/24,MOD(M38,1)&lt;20/24),"Shift S1","Shift S2"),IF(AND(MOD(M38,1)&gt;=7/24,MOD(M38,1)&lt;15/24),"Shift A",IF(AND(MOD(M38,1)&gt;=15/24,MOD(M38,1)&lt;23/24),"Shift B","Shift C"))))</f>
        <v/>
      </c>
      <c r="O38">
        <f>IF(B38="","",IF(IFERROR(ISNUMBER(SEARCH(TEXT(B38,"0"),VLOOKUP(E38,Machine_List!$B:$J,9,0))),FALSE),"✅ "&amp; E38,"❌ Sug: "&amp;IFERROR(INDEX(Machine_List!$B$72:$B$81,MATCH(1,(Machine_List!$H$72:$H$81&lt;=IFERROR(VLOOKUP($B38,OPR_BR1!$A$4:$K$18,10,0),0))*(Machine_List!$I$72:$I$81&gt;=IFERROR(VLOOKUP($B38,OPR_BR1!$A$4:$K$18,11,0),9999)),0)),"?")))</f>
        <v/>
      </c>
      <c r="P38">
        <f>IF(AND($A38&lt;&gt;"",P$3&gt;=$J38,P$3&lt;=$M38),1,"")</f>
        <v/>
      </c>
      <c r="Q38">
        <f>IF(AND($A38&lt;&gt;"",Q$3&gt;=$J38,Q$3&lt;=$M38),1,"")</f>
        <v/>
      </c>
      <c r="R38">
        <f>IF(AND($A38&lt;&gt;"",R$3&gt;=$J38,R$3&lt;=$M38),1,"")</f>
        <v/>
      </c>
      <c r="S38">
        <f>IF(AND($A38&lt;&gt;"",S$3&gt;=$J38,S$3&lt;=$M38),1,"")</f>
        <v/>
      </c>
      <c r="T38">
        <f>IF(AND($A38&lt;&gt;"",T$3&gt;=$J38,T$3&lt;=$M38),1,"")</f>
        <v/>
      </c>
      <c r="U38">
        <f>IF(AND($A38&lt;&gt;"",U$3&gt;=$J38,U$3&lt;=$M38),1,"")</f>
        <v/>
      </c>
      <c r="V38">
        <f>IF(AND($A38&lt;&gt;"",V$3&gt;=$J38,V$3&lt;=$M38),1,"")</f>
        <v/>
      </c>
      <c r="W38">
        <f>IF(AND($A38&lt;&gt;"",W$3&gt;=$J38,W$3&lt;=$M38),1,"")</f>
        <v/>
      </c>
      <c r="X38">
        <f>IF(AND($A38&lt;&gt;"",X$3&gt;=$J38,X$3&lt;=$M38),1,"")</f>
        <v/>
      </c>
      <c r="Y38">
        <f>IF(AND($A38&lt;&gt;"",Y$3&gt;=$J38,Y$3&lt;=$M38),1,"")</f>
        <v/>
      </c>
      <c r="Z38">
        <f>IF(AND($A38&lt;&gt;"",Z$3&gt;=$J38,Z$3&lt;=$M38),1,"")</f>
        <v/>
      </c>
      <c r="AA38">
        <f>IF(AND($A38&lt;&gt;"",AA$3&gt;=$J38,AA$3&lt;=$M38),1,"")</f>
        <v/>
      </c>
      <c r="AB38">
        <f>IF(AND($A38&lt;&gt;"",AB$3&gt;=$J38,AB$3&lt;=$M38),1,"")</f>
        <v/>
      </c>
      <c r="AC38">
        <f>IF(AND($A38&lt;&gt;"",AC$3&gt;=$J38,AC$3&lt;=$M38),1,"")</f>
        <v/>
      </c>
      <c r="AD38">
        <f>IF(AND($A38&lt;&gt;"",AD$3&gt;=$J38,AD$3&lt;=$M38),1,"")</f>
        <v/>
      </c>
      <c r="AE38">
        <f>IF(AND($A38&lt;&gt;"",AE$3&gt;=$J38,AE$3&lt;=$M38),1,"")</f>
        <v/>
      </c>
      <c r="AF38">
        <f>IF(AND($A38&lt;&gt;"",AF$3&gt;=$J38,AF$3&lt;=$M38),1,"")</f>
        <v/>
      </c>
      <c r="AG38">
        <f>IF(AND($A38&lt;&gt;"",AG$3&gt;=$J38,AG$3&lt;=$M38),1,"")</f>
        <v/>
      </c>
      <c r="AH38">
        <f>IF(AND($A38&lt;&gt;"",AH$3&gt;=$J38,AH$3&lt;=$M38),1,"")</f>
        <v/>
      </c>
      <c r="AI38">
        <f>IF(AND($A38&lt;&gt;"",AI$3&gt;=$J38,AI$3&lt;=$M38),1,"")</f>
        <v/>
      </c>
      <c r="AJ38">
        <f>IF(AND($A38&lt;&gt;"",AJ$3&gt;=$J38,AJ$3&lt;=$M38),1,"")</f>
        <v/>
      </c>
      <c r="AK38">
        <f>IF(AND($A38&lt;&gt;"",AK$3&gt;=$J38,AK$3&lt;=$M38),1,"")</f>
        <v/>
      </c>
      <c r="AL38">
        <f>IF(AND($A38&lt;&gt;"",AL$3&gt;=$J38,AL$3&lt;=$M38),1,"")</f>
        <v/>
      </c>
      <c r="AM38">
        <f>IF(AND($A38&lt;&gt;"",AM$3&gt;=$J38,AM$3&lt;=$M38),1,"")</f>
        <v/>
      </c>
      <c r="AN38">
        <f>IF(AND($A38&lt;&gt;"",AN$3&gt;=$J38,AN$3&lt;=$M38),1,"")</f>
        <v/>
      </c>
      <c r="AO38">
        <f>IF(AND($A38&lt;&gt;"",AO$3&gt;=$J38,AO$3&lt;=$M38),1,"")</f>
        <v/>
      </c>
      <c r="AP38">
        <f>IF(AND($A38&lt;&gt;"",AP$3&gt;=$J38,AP$3&lt;=$M38),1,"")</f>
        <v/>
      </c>
      <c r="AQ38">
        <f>IF(AND($A38&lt;&gt;"",AQ$3&gt;=$J38,AQ$3&lt;=$M38),1,"")</f>
        <v/>
      </c>
      <c r="AR38">
        <f>IF(AND($A38&lt;&gt;"",AR$3&gt;=$J38,AR$3&lt;=$M38),1,"")</f>
        <v/>
      </c>
      <c r="AS38">
        <f>IF(AND($A38&lt;&gt;"",AS$3&gt;=$J38,AS$3&lt;=$M38),1,"")</f>
        <v/>
      </c>
      <c r="AT38">
        <f>IF(AND($A38&lt;&gt;"",AT$3&gt;=$J38,AT$3&lt;=$M38),1,"")</f>
        <v/>
      </c>
      <c r="AU38">
        <f>IF(AND($A38&lt;&gt;"",AU$3&gt;=$J38,AU$3&lt;=$M38),1,"")</f>
        <v/>
      </c>
      <c r="AV38">
        <f>IF(AND($A38&lt;&gt;"",AV$3&gt;=$J38,AV$3&lt;=$M38),1,"")</f>
        <v/>
      </c>
      <c r="AW38">
        <f>IF(AND($A38&lt;&gt;"",AW$3&gt;=$J38,AW$3&lt;=$M38),1,"")</f>
        <v/>
      </c>
      <c r="AX38">
        <f>IF(AND($A38&lt;&gt;"",AX$3&gt;=$J38,AX$3&lt;=$M38),1,"")</f>
        <v/>
      </c>
      <c r="AY38">
        <f>IF(AND($A38&lt;&gt;"",AY$3&gt;=$J38,AY$3&lt;=$M38),1,"")</f>
        <v/>
      </c>
      <c r="AZ38">
        <f>IF(AND($A38&lt;&gt;"",AZ$3&gt;=$J38,AZ$3&lt;=$M38),1,"")</f>
        <v/>
      </c>
      <c r="BA38">
        <f>IF(AND($A38&lt;&gt;"",BA$3&gt;=$J38,BA$3&lt;=$M38),1,"")</f>
        <v/>
      </c>
      <c r="BB38">
        <f>IF(AND($A38&lt;&gt;"",BB$3&gt;=$J38,BB$3&lt;=$M38),1,"")</f>
        <v/>
      </c>
      <c r="BC38">
        <f>IF(AND($A38&lt;&gt;"",BC$3&gt;=$J38,BC$3&lt;=$M38),1,"")</f>
        <v/>
      </c>
      <c r="BD38">
        <f>IF(AND($A38&lt;&gt;"",BD$3&gt;=$J38,BD$3&lt;=$M38),1,"")</f>
        <v/>
      </c>
      <c r="BE38">
        <f>IF(AND($A38&lt;&gt;"",BE$3&gt;=$J38,BE$3&lt;=$M38),1,"")</f>
        <v/>
      </c>
      <c r="BF38">
        <f>IF(AND($A38&lt;&gt;"",BF$3&gt;=$J38,BF$3&lt;=$M38),1,"")</f>
        <v/>
      </c>
      <c r="BG38">
        <f>IF(AND($A38&lt;&gt;"",BG$3&gt;=$J38,BG$3&lt;=$M38),1,"")</f>
        <v/>
      </c>
      <c r="BH38">
        <f>IF(AND($A38&lt;&gt;"",BH$3&gt;=$J38,BH$3&lt;=$M38),1,"")</f>
        <v/>
      </c>
      <c r="BI38">
        <f>IF(AND($A38&lt;&gt;"",BI$3&gt;=$J38,BI$3&lt;=$M38),1,"")</f>
        <v/>
      </c>
      <c r="BJ38">
        <f>IF(AND($A38&lt;&gt;"",BJ$3&gt;=$J38,BJ$3&lt;=$M38),1,"")</f>
        <v/>
      </c>
      <c r="BK38">
        <f>IF(AND($A38&lt;&gt;"",BK$3&gt;=$J38,BK$3&lt;=$M38),1,"")</f>
        <v/>
      </c>
      <c r="BL38">
        <f>IF(AND($A38&lt;&gt;"",BL$3&gt;=$J38,BL$3&lt;=$M38),1,"")</f>
        <v/>
      </c>
      <c r="BM38">
        <f>IF(AND($A38&lt;&gt;"",BM$3&gt;=$J38,BM$3&lt;=$M38),1,"")</f>
        <v/>
      </c>
      <c r="BN38">
        <f>IF(AND($A38&lt;&gt;"",BN$3&gt;=$J38,BN$3&lt;=$M38),1,"")</f>
        <v/>
      </c>
      <c r="BO38">
        <f>IF(AND($A38&lt;&gt;"",BO$3&gt;=$J38,BO$3&lt;=$M38),1,"")</f>
        <v/>
      </c>
      <c r="BP38">
        <f>IF(AND($A38&lt;&gt;"",BP$3&gt;=$J38,BP$3&lt;=$M38),1,"")</f>
        <v/>
      </c>
      <c r="BQ38">
        <f>IF(AND($A38&lt;&gt;"",BQ$3&gt;=$J38,BQ$3&lt;=$M38),1,"")</f>
        <v/>
      </c>
      <c r="BR38">
        <f>IF(AND($A38&lt;&gt;"",BR$3&gt;=$J38,BR$3&lt;=$M38),1,"")</f>
        <v/>
      </c>
      <c r="BS38">
        <f>IF(AND($A38&lt;&gt;"",BS$3&gt;=$J38,BS$3&lt;=$M38),1,"")</f>
        <v/>
      </c>
      <c r="BT38">
        <f>IF(AND($A38&lt;&gt;"",BT$3&gt;=$J38,BT$3&lt;=$M38),1,"")</f>
        <v/>
      </c>
      <c r="BU38">
        <f>IF(AND($A38&lt;&gt;"",BU$3&gt;=$J38,BU$3&lt;=$M38),1,"")</f>
        <v/>
      </c>
      <c r="BV38">
        <f>IF(AND($A38&lt;&gt;"",BV$3&gt;=$J38,BV$3&lt;=$M38),1,"")</f>
        <v/>
      </c>
    </row>
    <row r="39">
      <c r="A39">
        <f>IF(Job_Master_Ring!$A39="","",Job_Master_Ring!$A39)</f>
        <v/>
      </c>
      <c r="B39">
        <f>IF($A39="","",Job_Master_Ring!B39)</f>
        <v/>
      </c>
      <c r="C39">
        <f>IF($A39="","",Job_Master_Ring!C39)</f>
        <v/>
      </c>
      <c r="D39">
        <f>IF($A39="","",Job_Master_Ring!D39)</f>
        <v/>
      </c>
      <c r="E39">
        <f>IF($A39="","",IF($I39&lt;&gt;"",$I39,IFERROR(INDEX(Machine_List!$B$72:$B$81,MATCH(1,(Machine_List!$H$72:$H$81&lt;=IFERROR(VLOOKUP($B39,CHOOSE(MATCH($C39,Settings!$L$4:$L$10,0),OPR_BR1!$A$4:$K$18,OPR_BR2!$A$4:$K$18,OPR_CR2!$A$4:$K$18,OPR_CR3!$A$4:$K$18,OPR_CR4!$A$4:$K$18,OPR_RIM!$A$4:$K$18,OPR_BPR!$A$4:$K$18),10,0),0))*(Machine_List!$I$72:$I$81&gt;=IFERROR(VLOOKUP($B39,CHOOSE(MATCH($C39,Settings!$L$4:$L$10,0),OPR_BR1!$A$4:$K$18,OPR_BR2!$A$4:$K$18,OPR_CR2!$A$4:$K$18,OPR_CR3!$A$4:$K$18,OPR_CR4!$A$4:$K$18,OPR_RIM!$A$4:$K$18,OPR_BPR!$A$4:$K$18),11,0),9999)),0)),"NO COMPATIBLE MACHINE")))</f>
        <v/>
      </c>
      <c r="F39">
        <f>IF($E39="","",IFERROR(VLOOKUP($E39,Machine_List!$B:$G,6,0),""))</f>
        <v/>
      </c>
      <c r="G39" s="17">
        <f>IF($E39="","",IFERROR(VLOOKUP($E39,Machine_List!$B:$C,2,0),""))</f>
        <v/>
      </c>
      <c r="H39">
        <f>IF($E39="","",IFERROR(VLOOKUP($E39,Machine_List!$B:$D,3,0),""))</f>
        <v/>
      </c>
      <c r="J39" s="16">
        <f>IF($A39="","",IF($I39&lt;&gt;"",$I39,MAX(VENT_Plan!$M39,IFERROR(LOOKUP(2,1/($E$3:INDIRECT("E"&amp;(ROW()-1))=$E39),$M$3:INDIRECT("M"&amp;(ROW()-1))),VENT_Plan!$M39))))</f>
        <v/>
      </c>
      <c r="K39">
        <f>IF($A39="","",IFERROR(VLOOKUP(B39,CHOOSE(MATCH($C39,Settings!$L$4:$L$10,0),OPR_BR1!$A$4:$I$18,OPR_BR2!$A$4:$I$18,OPR_CR2!$A$4:$I$18,OPR_CR3!$A$4:$I$18,OPR_CR4!$A$4:$I$18,OPR_RIM!$A$4:$I$18,OPR_BPR!$A$4:$I$18),8,0),0))</f>
        <v/>
      </c>
      <c r="L39">
        <f>IF($A39="","",K39*D39)</f>
        <v/>
      </c>
      <c r="M39" s="16">
        <f>IF($A39="","",IF(AND(ISNUMBER(G39),G39&gt;=J39,G39&lt;=(J39+(L39/(IF(F39="Contract Workman",Settings!$K$5,Settings!$K$4))))),J39+(L39/(IF(F39="Contract Workman",Settings!$K$5,Settings!$K$4)))+(H39/(IF(F39="Contract Workman",Settings!$K$5,Settings!$K$4))),J39+(L39/(IF(F39="Contract Workman",Settings!$K$5,Settings!$K$4)))))</f>
        <v/>
      </c>
      <c r="N39">
        <f>IF($A39="","",IF(F39="Contract Workman",IF(AND(MOD(M39,1)&gt;=8/24,MOD(M39,1)&lt;20/24),"Shift S1","Shift S2"),IF(AND(MOD(M39,1)&gt;=7/24,MOD(M39,1)&lt;15/24),"Shift A",IF(AND(MOD(M39,1)&gt;=15/24,MOD(M39,1)&lt;23/24),"Shift B","Shift C"))))</f>
        <v/>
      </c>
      <c r="O39">
        <f>IF(B39="","",IF(IFERROR(ISNUMBER(SEARCH(TEXT(B39,"0"),VLOOKUP(E39,Machine_List!$B:$J,9,0))),FALSE),"✅ "&amp; E39,"❌ Sug: "&amp;IFERROR(INDEX(Machine_List!$B$72:$B$81,MATCH(1,(Machine_List!$H$72:$H$81&lt;=IFERROR(VLOOKUP($B39,OPR_BR1!$A$4:$K$18,10,0),0))*(Machine_List!$I$72:$I$81&gt;=IFERROR(VLOOKUP($B39,OPR_BR1!$A$4:$K$18,11,0),9999)),0)),"?")))</f>
        <v/>
      </c>
      <c r="P39">
        <f>IF(AND($A39&lt;&gt;"",P$3&gt;=$J39,P$3&lt;=$M39),1,"")</f>
        <v/>
      </c>
      <c r="Q39">
        <f>IF(AND($A39&lt;&gt;"",Q$3&gt;=$J39,Q$3&lt;=$M39),1,"")</f>
        <v/>
      </c>
      <c r="R39">
        <f>IF(AND($A39&lt;&gt;"",R$3&gt;=$J39,R$3&lt;=$M39),1,"")</f>
        <v/>
      </c>
      <c r="S39">
        <f>IF(AND($A39&lt;&gt;"",S$3&gt;=$J39,S$3&lt;=$M39),1,"")</f>
        <v/>
      </c>
      <c r="T39">
        <f>IF(AND($A39&lt;&gt;"",T$3&gt;=$J39,T$3&lt;=$M39),1,"")</f>
        <v/>
      </c>
      <c r="U39">
        <f>IF(AND($A39&lt;&gt;"",U$3&gt;=$J39,U$3&lt;=$M39),1,"")</f>
        <v/>
      </c>
      <c r="V39">
        <f>IF(AND($A39&lt;&gt;"",V$3&gt;=$J39,V$3&lt;=$M39),1,"")</f>
        <v/>
      </c>
      <c r="W39">
        <f>IF(AND($A39&lt;&gt;"",W$3&gt;=$J39,W$3&lt;=$M39),1,"")</f>
        <v/>
      </c>
      <c r="X39">
        <f>IF(AND($A39&lt;&gt;"",X$3&gt;=$J39,X$3&lt;=$M39),1,"")</f>
        <v/>
      </c>
      <c r="Y39">
        <f>IF(AND($A39&lt;&gt;"",Y$3&gt;=$J39,Y$3&lt;=$M39),1,"")</f>
        <v/>
      </c>
      <c r="Z39">
        <f>IF(AND($A39&lt;&gt;"",Z$3&gt;=$J39,Z$3&lt;=$M39),1,"")</f>
        <v/>
      </c>
      <c r="AA39">
        <f>IF(AND($A39&lt;&gt;"",AA$3&gt;=$J39,AA$3&lt;=$M39),1,"")</f>
        <v/>
      </c>
      <c r="AB39">
        <f>IF(AND($A39&lt;&gt;"",AB$3&gt;=$J39,AB$3&lt;=$M39),1,"")</f>
        <v/>
      </c>
      <c r="AC39">
        <f>IF(AND($A39&lt;&gt;"",AC$3&gt;=$J39,AC$3&lt;=$M39),1,"")</f>
        <v/>
      </c>
      <c r="AD39">
        <f>IF(AND($A39&lt;&gt;"",AD$3&gt;=$J39,AD$3&lt;=$M39),1,"")</f>
        <v/>
      </c>
      <c r="AE39">
        <f>IF(AND($A39&lt;&gt;"",AE$3&gt;=$J39,AE$3&lt;=$M39),1,"")</f>
        <v/>
      </c>
      <c r="AF39">
        <f>IF(AND($A39&lt;&gt;"",AF$3&gt;=$J39,AF$3&lt;=$M39),1,"")</f>
        <v/>
      </c>
      <c r="AG39">
        <f>IF(AND($A39&lt;&gt;"",AG$3&gt;=$J39,AG$3&lt;=$M39),1,"")</f>
        <v/>
      </c>
      <c r="AH39">
        <f>IF(AND($A39&lt;&gt;"",AH$3&gt;=$J39,AH$3&lt;=$M39),1,"")</f>
        <v/>
      </c>
      <c r="AI39">
        <f>IF(AND($A39&lt;&gt;"",AI$3&gt;=$J39,AI$3&lt;=$M39),1,"")</f>
        <v/>
      </c>
      <c r="AJ39">
        <f>IF(AND($A39&lt;&gt;"",AJ$3&gt;=$J39,AJ$3&lt;=$M39),1,"")</f>
        <v/>
      </c>
      <c r="AK39">
        <f>IF(AND($A39&lt;&gt;"",AK$3&gt;=$J39,AK$3&lt;=$M39),1,"")</f>
        <v/>
      </c>
      <c r="AL39">
        <f>IF(AND($A39&lt;&gt;"",AL$3&gt;=$J39,AL$3&lt;=$M39),1,"")</f>
        <v/>
      </c>
      <c r="AM39">
        <f>IF(AND($A39&lt;&gt;"",AM$3&gt;=$J39,AM$3&lt;=$M39),1,"")</f>
        <v/>
      </c>
      <c r="AN39">
        <f>IF(AND($A39&lt;&gt;"",AN$3&gt;=$J39,AN$3&lt;=$M39),1,"")</f>
        <v/>
      </c>
      <c r="AO39">
        <f>IF(AND($A39&lt;&gt;"",AO$3&gt;=$J39,AO$3&lt;=$M39),1,"")</f>
        <v/>
      </c>
      <c r="AP39">
        <f>IF(AND($A39&lt;&gt;"",AP$3&gt;=$J39,AP$3&lt;=$M39),1,"")</f>
        <v/>
      </c>
      <c r="AQ39">
        <f>IF(AND($A39&lt;&gt;"",AQ$3&gt;=$J39,AQ$3&lt;=$M39),1,"")</f>
        <v/>
      </c>
      <c r="AR39">
        <f>IF(AND($A39&lt;&gt;"",AR$3&gt;=$J39,AR$3&lt;=$M39),1,"")</f>
        <v/>
      </c>
      <c r="AS39">
        <f>IF(AND($A39&lt;&gt;"",AS$3&gt;=$J39,AS$3&lt;=$M39),1,"")</f>
        <v/>
      </c>
      <c r="AT39">
        <f>IF(AND($A39&lt;&gt;"",AT$3&gt;=$J39,AT$3&lt;=$M39),1,"")</f>
        <v/>
      </c>
      <c r="AU39">
        <f>IF(AND($A39&lt;&gt;"",AU$3&gt;=$J39,AU$3&lt;=$M39),1,"")</f>
        <v/>
      </c>
      <c r="AV39">
        <f>IF(AND($A39&lt;&gt;"",AV$3&gt;=$J39,AV$3&lt;=$M39),1,"")</f>
        <v/>
      </c>
      <c r="AW39">
        <f>IF(AND($A39&lt;&gt;"",AW$3&gt;=$J39,AW$3&lt;=$M39),1,"")</f>
        <v/>
      </c>
      <c r="AX39">
        <f>IF(AND($A39&lt;&gt;"",AX$3&gt;=$J39,AX$3&lt;=$M39),1,"")</f>
        <v/>
      </c>
      <c r="AY39">
        <f>IF(AND($A39&lt;&gt;"",AY$3&gt;=$J39,AY$3&lt;=$M39),1,"")</f>
        <v/>
      </c>
      <c r="AZ39">
        <f>IF(AND($A39&lt;&gt;"",AZ$3&gt;=$J39,AZ$3&lt;=$M39),1,"")</f>
        <v/>
      </c>
      <c r="BA39">
        <f>IF(AND($A39&lt;&gt;"",BA$3&gt;=$J39,BA$3&lt;=$M39),1,"")</f>
        <v/>
      </c>
      <c r="BB39">
        <f>IF(AND($A39&lt;&gt;"",BB$3&gt;=$J39,BB$3&lt;=$M39),1,"")</f>
        <v/>
      </c>
      <c r="BC39">
        <f>IF(AND($A39&lt;&gt;"",BC$3&gt;=$J39,BC$3&lt;=$M39),1,"")</f>
        <v/>
      </c>
      <c r="BD39">
        <f>IF(AND($A39&lt;&gt;"",BD$3&gt;=$J39,BD$3&lt;=$M39),1,"")</f>
        <v/>
      </c>
      <c r="BE39">
        <f>IF(AND($A39&lt;&gt;"",BE$3&gt;=$J39,BE$3&lt;=$M39),1,"")</f>
        <v/>
      </c>
      <c r="BF39">
        <f>IF(AND($A39&lt;&gt;"",BF$3&gt;=$J39,BF$3&lt;=$M39),1,"")</f>
        <v/>
      </c>
      <c r="BG39">
        <f>IF(AND($A39&lt;&gt;"",BG$3&gt;=$J39,BG$3&lt;=$M39),1,"")</f>
        <v/>
      </c>
      <c r="BH39">
        <f>IF(AND($A39&lt;&gt;"",BH$3&gt;=$J39,BH$3&lt;=$M39),1,"")</f>
        <v/>
      </c>
      <c r="BI39">
        <f>IF(AND($A39&lt;&gt;"",BI$3&gt;=$J39,BI$3&lt;=$M39),1,"")</f>
        <v/>
      </c>
      <c r="BJ39">
        <f>IF(AND($A39&lt;&gt;"",BJ$3&gt;=$J39,BJ$3&lt;=$M39),1,"")</f>
        <v/>
      </c>
      <c r="BK39">
        <f>IF(AND($A39&lt;&gt;"",BK$3&gt;=$J39,BK$3&lt;=$M39),1,"")</f>
        <v/>
      </c>
      <c r="BL39">
        <f>IF(AND($A39&lt;&gt;"",BL$3&gt;=$J39,BL$3&lt;=$M39),1,"")</f>
        <v/>
      </c>
      <c r="BM39">
        <f>IF(AND($A39&lt;&gt;"",BM$3&gt;=$J39,BM$3&lt;=$M39),1,"")</f>
        <v/>
      </c>
      <c r="BN39">
        <f>IF(AND($A39&lt;&gt;"",BN$3&gt;=$J39,BN$3&lt;=$M39),1,"")</f>
        <v/>
      </c>
      <c r="BO39">
        <f>IF(AND($A39&lt;&gt;"",BO$3&gt;=$J39,BO$3&lt;=$M39),1,"")</f>
        <v/>
      </c>
      <c r="BP39">
        <f>IF(AND($A39&lt;&gt;"",BP$3&gt;=$J39,BP$3&lt;=$M39),1,"")</f>
        <v/>
      </c>
      <c r="BQ39">
        <f>IF(AND($A39&lt;&gt;"",BQ$3&gt;=$J39,BQ$3&lt;=$M39),1,"")</f>
        <v/>
      </c>
      <c r="BR39">
        <f>IF(AND($A39&lt;&gt;"",BR$3&gt;=$J39,BR$3&lt;=$M39),1,"")</f>
        <v/>
      </c>
      <c r="BS39">
        <f>IF(AND($A39&lt;&gt;"",BS$3&gt;=$J39,BS$3&lt;=$M39),1,"")</f>
        <v/>
      </c>
      <c r="BT39">
        <f>IF(AND($A39&lt;&gt;"",BT$3&gt;=$J39,BT$3&lt;=$M39),1,"")</f>
        <v/>
      </c>
      <c r="BU39">
        <f>IF(AND($A39&lt;&gt;"",BU$3&gt;=$J39,BU$3&lt;=$M39),1,"")</f>
        <v/>
      </c>
      <c r="BV39">
        <f>IF(AND($A39&lt;&gt;"",BV$3&gt;=$J39,BV$3&lt;=$M39),1,"")</f>
        <v/>
      </c>
    </row>
    <row r="40">
      <c r="A40">
        <f>IF(Job_Master_Ring!$A40="","",Job_Master_Ring!$A40)</f>
        <v/>
      </c>
      <c r="B40">
        <f>IF($A40="","",Job_Master_Ring!B40)</f>
        <v/>
      </c>
      <c r="C40">
        <f>IF($A40="","",Job_Master_Ring!C40)</f>
        <v/>
      </c>
      <c r="D40">
        <f>IF($A40="","",Job_Master_Ring!D40)</f>
        <v/>
      </c>
      <c r="E40">
        <f>IF($A40="","",IF($I40&lt;&gt;"",$I40,IFERROR(INDEX(Machine_List!$B$72:$B$81,MATCH(1,(Machine_List!$H$72:$H$81&lt;=IFERROR(VLOOKUP($B40,CHOOSE(MATCH($C40,Settings!$L$4:$L$10,0),OPR_BR1!$A$4:$K$18,OPR_BR2!$A$4:$K$18,OPR_CR2!$A$4:$K$18,OPR_CR3!$A$4:$K$18,OPR_CR4!$A$4:$K$18,OPR_RIM!$A$4:$K$18,OPR_BPR!$A$4:$K$18),10,0),0))*(Machine_List!$I$72:$I$81&gt;=IFERROR(VLOOKUP($B40,CHOOSE(MATCH($C40,Settings!$L$4:$L$10,0),OPR_BR1!$A$4:$K$18,OPR_BR2!$A$4:$K$18,OPR_CR2!$A$4:$K$18,OPR_CR3!$A$4:$K$18,OPR_CR4!$A$4:$K$18,OPR_RIM!$A$4:$K$18,OPR_BPR!$A$4:$K$18),11,0),9999)),0)),"NO COMPATIBLE MACHINE")))</f>
        <v/>
      </c>
      <c r="F40">
        <f>IF($E40="","",IFERROR(VLOOKUP($E40,Machine_List!$B:$G,6,0),""))</f>
        <v/>
      </c>
      <c r="G40" s="17">
        <f>IF($E40="","",IFERROR(VLOOKUP($E40,Machine_List!$B:$C,2,0),""))</f>
        <v/>
      </c>
      <c r="H40">
        <f>IF($E40="","",IFERROR(VLOOKUP($E40,Machine_List!$B:$D,3,0),""))</f>
        <v/>
      </c>
      <c r="J40" s="16">
        <f>IF($A40="","",IF($I40&lt;&gt;"",$I40,MAX(VENT_Plan!$M40,IFERROR(LOOKUP(2,1/($E$3:INDIRECT("E"&amp;(ROW()-1))=$E40),$M$3:INDIRECT("M"&amp;(ROW()-1))),VENT_Plan!$M40))))</f>
        <v/>
      </c>
      <c r="K40">
        <f>IF($A40="","",IFERROR(VLOOKUP(B40,CHOOSE(MATCH($C40,Settings!$L$4:$L$10,0),OPR_BR1!$A$4:$I$18,OPR_BR2!$A$4:$I$18,OPR_CR2!$A$4:$I$18,OPR_CR3!$A$4:$I$18,OPR_CR4!$A$4:$I$18,OPR_RIM!$A$4:$I$18,OPR_BPR!$A$4:$I$18),8,0),0))</f>
        <v/>
      </c>
      <c r="L40">
        <f>IF($A40="","",K40*D40)</f>
        <v/>
      </c>
      <c r="M40" s="16">
        <f>IF($A40="","",IF(AND(ISNUMBER(G40),G40&gt;=J40,G40&lt;=(J40+(L40/(IF(F40="Contract Workman",Settings!$K$5,Settings!$K$4))))),J40+(L40/(IF(F40="Contract Workman",Settings!$K$5,Settings!$K$4)))+(H40/(IF(F40="Contract Workman",Settings!$K$5,Settings!$K$4))),J40+(L40/(IF(F40="Contract Workman",Settings!$K$5,Settings!$K$4)))))</f>
        <v/>
      </c>
      <c r="N40">
        <f>IF($A40="","",IF(F40="Contract Workman",IF(AND(MOD(M40,1)&gt;=8/24,MOD(M40,1)&lt;20/24),"Shift S1","Shift S2"),IF(AND(MOD(M40,1)&gt;=7/24,MOD(M40,1)&lt;15/24),"Shift A",IF(AND(MOD(M40,1)&gt;=15/24,MOD(M40,1)&lt;23/24),"Shift B","Shift C"))))</f>
        <v/>
      </c>
      <c r="O40">
        <f>IF(B40="","",IF(IFERROR(ISNUMBER(SEARCH(TEXT(B40,"0"),VLOOKUP(E40,Machine_List!$B:$J,9,0))),FALSE),"✅ "&amp; E40,"❌ Sug: "&amp;IFERROR(INDEX(Machine_List!$B$72:$B$81,MATCH(1,(Machine_List!$H$72:$H$81&lt;=IFERROR(VLOOKUP($B40,OPR_BR1!$A$4:$K$18,10,0),0))*(Machine_List!$I$72:$I$81&gt;=IFERROR(VLOOKUP($B40,OPR_BR1!$A$4:$K$18,11,0),9999)),0)),"?")))</f>
        <v/>
      </c>
      <c r="P40">
        <f>IF(AND($A40&lt;&gt;"",P$3&gt;=$J40,P$3&lt;=$M40),1,"")</f>
        <v/>
      </c>
      <c r="Q40">
        <f>IF(AND($A40&lt;&gt;"",Q$3&gt;=$J40,Q$3&lt;=$M40),1,"")</f>
        <v/>
      </c>
      <c r="R40">
        <f>IF(AND($A40&lt;&gt;"",R$3&gt;=$J40,R$3&lt;=$M40),1,"")</f>
        <v/>
      </c>
      <c r="S40">
        <f>IF(AND($A40&lt;&gt;"",S$3&gt;=$J40,S$3&lt;=$M40),1,"")</f>
        <v/>
      </c>
      <c r="T40">
        <f>IF(AND($A40&lt;&gt;"",T$3&gt;=$J40,T$3&lt;=$M40),1,"")</f>
        <v/>
      </c>
      <c r="U40">
        <f>IF(AND($A40&lt;&gt;"",U$3&gt;=$J40,U$3&lt;=$M40),1,"")</f>
        <v/>
      </c>
      <c r="V40">
        <f>IF(AND($A40&lt;&gt;"",V$3&gt;=$J40,V$3&lt;=$M40),1,"")</f>
        <v/>
      </c>
      <c r="W40">
        <f>IF(AND($A40&lt;&gt;"",W$3&gt;=$J40,W$3&lt;=$M40),1,"")</f>
        <v/>
      </c>
      <c r="X40">
        <f>IF(AND($A40&lt;&gt;"",X$3&gt;=$J40,X$3&lt;=$M40),1,"")</f>
        <v/>
      </c>
      <c r="Y40">
        <f>IF(AND($A40&lt;&gt;"",Y$3&gt;=$J40,Y$3&lt;=$M40),1,"")</f>
        <v/>
      </c>
      <c r="Z40">
        <f>IF(AND($A40&lt;&gt;"",Z$3&gt;=$J40,Z$3&lt;=$M40),1,"")</f>
        <v/>
      </c>
      <c r="AA40">
        <f>IF(AND($A40&lt;&gt;"",AA$3&gt;=$J40,AA$3&lt;=$M40),1,"")</f>
        <v/>
      </c>
      <c r="AB40">
        <f>IF(AND($A40&lt;&gt;"",AB$3&gt;=$J40,AB$3&lt;=$M40),1,"")</f>
        <v/>
      </c>
      <c r="AC40">
        <f>IF(AND($A40&lt;&gt;"",AC$3&gt;=$J40,AC$3&lt;=$M40),1,"")</f>
        <v/>
      </c>
      <c r="AD40">
        <f>IF(AND($A40&lt;&gt;"",AD$3&gt;=$J40,AD$3&lt;=$M40),1,"")</f>
        <v/>
      </c>
      <c r="AE40">
        <f>IF(AND($A40&lt;&gt;"",AE$3&gt;=$J40,AE$3&lt;=$M40),1,"")</f>
        <v/>
      </c>
      <c r="AF40">
        <f>IF(AND($A40&lt;&gt;"",AF$3&gt;=$J40,AF$3&lt;=$M40),1,"")</f>
        <v/>
      </c>
      <c r="AG40">
        <f>IF(AND($A40&lt;&gt;"",AG$3&gt;=$J40,AG$3&lt;=$M40),1,"")</f>
        <v/>
      </c>
      <c r="AH40">
        <f>IF(AND($A40&lt;&gt;"",AH$3&gt;=$J40,AH$3&lt;=$M40),1,"")</f>
        <v/>
      </c>
      <c r="AI40">
        <f>IF(AND($A40&lt;&gt;"",AI$3&gt;=$J40,AI$3&lt;=$M40),1,"")</f>
        <v/>
      </c>
      <c r="AJ40">
        <f>IF(AND($A40&lt;&gt;"",AJ$3&gt;=$J40,AJ$3&lt;=$M40),1,"")</f>
        <v/>
      </c>
      <c r="AK40">
        <f>IF(AND($A40&lt;&gt;"",AK$3&gt;=$J40,AK$3&lt;=$M40),1,"")</f>
        <v/>
      </c>
      <c r="AL40">
        <f>IF(AND($A40&lt;&gt;"",AL$3&gt;=$J40,AL$3&lt;=$M40),1,"")</f>
        <v/>
      </c>
      <c r="AM40">
        <f>IF(AND($A40&lt;&gt;"",AM$3&gt;=$J40,AM$3&lt;=$M40),1,"")</f>
        <v/>
      </c>
      <c r="AN40">
        <f>IF(AND($A40&lt;&gt;"",AN$3&gt;=$J40,AN$3&lt;=$M40),1,"")</f>
        <v/>
      </c>
      <c r="AO40">
        <f>IF(AND($A40&lt;&gt;"",AO$3&gt;=$J40,AO$3&lt;=$M40),1,"")</f>
        <v/>
      </c>
      <c r="AP40">
        <f>IF(AND($A40&lt;&gt;"",AP$3&gt;=$J40,AP$3&lt;=$M40),1,"")</f>
        <v/>
      </c>
      <c r="AQ40">
        <f>IF(AND($A40&lt;&gt;"",AQ$3&gt;=$J40,AQ$3&lt;=$M40),1,"")</f>
        <v/>
      </c>
      <c r="AR40">
        <f>IF(AND($A40&lt;&gt;"",AR$3&gt;=$J40,AR$3&lt;=$M40),1,"")</f>
        <v/>
      </c>
      <c r="AS40">
        <f>IF(AND($A40&lt;&gt;"",AS$3&gt;=$J40,AS$3&lt;=$M40),1,"")</f>
        <v/>
      </c>
      <c r="AT40">
        <f>IF(AND($A40&lt;&gt;"",AT$3&gt;=$J40,AT$3&lt;=$M40),1,"")</f>
        <v/>
      </c>
      <c r="AU40">
        <f>IF(AND($A40&lt;&gt;"",AU$3&gt;=$J40,AU$3&lt;=$M40),1,"")</f>
        <v/>
      </c>
      <c r="AV40">
        <f>IF(AND($A40&lt;&gt;"",AV$3&gt;=$J40,AV$3&lt;=$M40),1,"")</f>
        <v/>
      </c>
      <c r="AW40">
        <f>IF(AND($A40&lt;&gt;"",AW$3&gt;=$J40,AW$3&lt;=$M40),1,"")</f>
        <v/>
      </c>
      <c r="AX40">
        <f>IF(AND($A40&lt;&gt;"",AX$3&gt;=$J40,AX$3&lt;=$M40),1,"")</f>
        <v/>
      </c>
      <c r="AY40">
        <f>IF(AND($A40&lt;&gt;"",AY$3&gt;=$J40,AY$3&lt;=$M40),1,"")</f>
        <v/>
      </c>
      <c r="AZ40">
        <f>IF(AND($A40&lt;&gt;"",AZ$3&gt;=$J40,AZ$3&lt;=$M40),1,"")</f>
        <v/>
      </c>
      <c r="BA40">
        <f>IF(AND($A40&lt;&gt;"",BA$3&gt;=$J40,BA$3&lt;=$M40),1,"")</f>
        <v/>
      </c>
      <c r="BB40">
        <f>IF(AND($A40&lt;&gt;"",BB$3&gt;=$J40,BB$3&lt;=$M40),1,"")</f>
        <v/>
      </c>
      <c r="BC40">
        <f>IF(AND($A40&lt;&gt;"",BC$3&gt;=$J40,BC$3&lt;=$M40),1,"")</f>
        <v/>
      </c>
      <c r="BD40">
        <f>IF(AND($A40&lt;&gt;"",BD$3&gt;=$J40,BD$3&lt;=$M40),1,"")</f>
        <v/>
      </c>
      <c r="BE40">
        <f>IF(AND($A40&lt;&gt;"",BE$3&gt;=$J40,BE$3&lt;=$M40),1,"")</f>
        <v/>
      </c>
      <c r="BF40">
        <f>IF(AND($A40&lt;&gt;"",BF$3&gt;=$J40,BF$3&lt;=$M40),1,"")</f>
        <v/>
      </c>
      <c r="BG40">
        <f>IF(AND($A40&lt;&gt;"",BG$3&gt;=$J40,BG$3&lt;=$M40),1,"")</f>
        <v/>
      </c>
      <c r="BH40">
        <f>IF(AND($A40&lt;&gt;"",BH$3&gt;=$J40,BH$3&lt;=$M40),1,"")</f>
        <v/>
      </c>
      <c r="BI40">
        <f>IF(AND($A40&lt;&gt;"",BI$3&gt;=$J40,BI$3&lt;=$M40),1,"")</f>
        <v/>
      </c>
      <c r="BJ40">
        <f>IF(AND($A40&lt;&gt;"",BJ$3&gt;=$J40,BJ$3&lt;=$M40),1,"")</f>
        <v/>
      </c>
      <c r="BK40">
        <f>IF(AND($A40&lt;&gt;"",BK$3&gt;=$J40,BK$3&lt;=$M40),1,"")</f>
        <v/>
      </c>
      <c r="BL40">
        <f>IF(AND($A40&lt;&gt;"",BL$3&gt;=$J40,BL$3&lt;=$M40),1,"")</f>
        <v/>
      </c>
      <c r="BM40">
        <f>IF(AND($A40&lt;&gt;"",BM$3&gt;=$J40,BM$3&lt;=$M40),1,"")</f>
        <v/>
      </c>
      <c r="BN40">
        <f>IF(AND($A40&lt;&gt;"",BN$3&gt;=$J40,BN$3&lt;=$M40),1,"")</f>
        <v/>
      </c>
      <c r="BO40">
        <f>IF(AND($A40&lt;&gt;"",BO$3&gt;=$J40,BO$3&lt;=$M40),1,"")</f>
        <v/>
      </c>
      <c r="BP40">
        <f>IF(AND($A40&lt;&gt;"",BP$3&gt;=$J40,BP$3&lt;=$M40),1,"")</f>
        <v/>
      </c>
      <c r="BQ40">
        <f>IF(AND($A40&lt;&gt;"",BQ$3&gt;=$J40,BQ$3&lt;=$M40),1,"")</f>
        <v/>
      </c>
      <c r="BR40">
        <f>IF(AND($A40&lt;&gt;"",BR$3&gt;=$J40,BR$3&lt;=$M40),1,"")</f>
        <v/>
      </c>
      <c r="BS40">
        <f>IF(AND($A40&lt;&gt;"",BS$3&gt;=$J40,BS$3&lt;=$M40),1,"")</f>
        <v/>
      </c>
      <c r="BT40">
        <f>IF(AND($A40&lt;&gt;"",BT$3&gt;=$J40,BT$3&lt;=$M40),1,"")</f>
        <v/>
      </c>
      <c r="BU40">
        <f>IF(AND($A40&lt;&gt;"",BU$3&gt;=$J40,BU$3&lt;=$M40),1,"")</f>
        <v/>
      </c>
      <c r="BV40">
        <f>IF(AND($A40&lt;&gt;"",BV$3&gt;=$J40,BV$3&lt;=$M40),1,"")</f>
        <v/>
      </c>
    </row>
    <row r="41">
      <c r="A41">
        <f>IF(Job_Master_Ring!$A41="","",Job_Master_Ring!$A41)</f>
        <v/>
      </c>
      <c r="B41">
        <f>IF($A41="","",Job_Master_Ring!B41)</f>
        <v/>
      </c>
      <c r="C41">
        <f>IF($A41="","",Job_Master_Ring!C41)</f>
        <v/>
      </c>
      <c r="D41">
        <f>IF($A41="","",Job_Master_Ring!D41)</f>
        <v/>
      </c>
      <c r="E41">
        <f>IF($A41="","",IF($I41&lt;&gt;"",$I41,IFERROR(INDEX(Machine_List!$B$72:$B$81,MATCH(1,(Machine_List!$H$72:$H$81&lt;=IFERROR(VLOOKUP($B41,CHOOSE(MATCH($C41,Settings!$L$4:$L$10,0),OPR_BR1!$A$4:$K$18,OPR_BR2!$A$4:$K$18,OPR_CR2!$A$4:$K$18,OPR_CR3!$A$4:$K$18,OPR_CR4!$A$4:$K$18,OPR_RIM!$A$4:$K$18,OPR_BPR!$A$4:$K$18),10,0),0))*(Machine_List!$I$72:$I$81&gt;=IFERROR(VLOOKUP($B41,CHOOSE(MATCH($C41,Settings!$L$4:$L$10,0),OPR_BR1!$A$4:$K$18,OPR_BR2!$A$4:$K$18,OPR_CR2!$A$4:$K$18,OPR_CR3!$A$4:$K$18,OPR_CR4!$A$4:$K$18,OPR_RIM!$A$4:$K$18,OPR_BPR!$A$4:$K$18),11,0),9999)),0)),"NO COMPATIBLE MACHINE")))</f>
        <v/>
      </c>
      <c r="F41">
        <f>IF($E41="","",IFERROR(VLOOKUP($E41,Machine_List!$B:$G,6,0),""))</f>
        <v/>
      </c>
      <c r="G41" s="17">
        <f>IF($E41="","",IFERROR(VLOOKUP($E41,Machine_List!$B:$C,2,0),""))</f>
        <v/>
      </c>
      <c r="H41">
        <f>IF($E41="","",IFERROR(VLOOKUP($E41,Machine_List!$B:$D,3,0),""))</f>
        <v/>
      </c>
      <c r="J41" s="16">
        <f>IF($A41="","",IF($I41&lt;&gt;"",$I41,MAX(VENT_Plan!$M41,IFERROR(LOOKUP(2,1/($E$3:INDIRECT("E"&amp;(ROW()-1))=$E41),$M$3:INDIRECT("M"&amp;(ROW()-1))),VENT_Plan!$M41))))</f>
        <v/>
      </c>
      <c r="K41">
        <f>IF($A41="","",IFERROR(VLOOKUP(B41,CHOOSE(MATCH($C41,Settings!$L$4:$L$10,0),OPR_BR1!$A$4:$I$18,OPR_BR2!$A$4:$I$18,OPR_CR2!$A$4:$I$18,OPR_CR3!$A$4:$I$18,OPR_CR4!$A$4:$I$18,OPR_RIM!$A$4:$I$18,OPR_BPR!$A$4:$I$18),8,0),0))</f>
        <v/>
      </c>
      <c r="L41">
        <f>IF($A41="","",K41*D41)</f>
        <v/>
      </c>
      <c r="M41" s="16">
        <f>IF($A41="","",IF(AND(ISNUMBER(G41),G41&gt;=J41,G41&lt;=(J41+(L41/(IF(F41="Contract Workman",Settings!$K$5,Settings!$K$4))))),J41+(L41/(IF(F41="Contract Workman",Settings!$K$5,Settings!$K$4)))+(H41/(IF(F41="Contract Workman",Settings!$K$5,Settings!$K$4))),J41+(L41/(IF(F41="Contract Workman",Settings!$K$5,Settings!$K$4)))))</f>
        <v/>
      </c>
      <c r="N41">
        <f>IF($A41="","",IF(F41="Contract Workman",IF(AND(MOD(M41,1)&gt;=8/24,MOD(M41,1)&lt;20/24),"Shift S1","Shift S2"),IF(AND(MOD(M41,1)&gt;=7/24,MOD(M41,1)&lt;15/24),"Shift A",IF(AND(MOD(M41,1)&gt;=15/24,MOD(M41,1)&lt;23/24),"Shift B","Shift C"))))</f>
        <v/>
      </c>
      <c r="O41">
        <f>IF(B41="","",IF(IFERROR(ISNUMBER(SEARCH(TEXT(B41,"0"),VLOOKUP(E41,Machine_List!$B:$J,9,0))),FALSE),"✅ "&amp; E41,"❌ Sug: "&amp;IFERROR(INDEX(Machine_List!$B$72:$B$81,MATCH(1,(Machine_List!$H$72:$H$81&lt;=IFERROR(VLOOKUP($B41,OPR_BR1!$A$4:$K$18,10,0),0))*(Machine_List!$I$72:$I$81&gt;=IFERROR(VLOOKUP($B41,OPR_BR1!$A$4:$K$18,11,0),9999)),0)),"?")))</f>
        <v/>
      </c>
      <c r="P41">
        <f>IF(AND($A41&lt;&gt;"",P$3&gt;=$J41,P$3&lt;=$M41),1,"")</f>
        <v/>
      </c>
      <c r="Q41">
        <f>IF(AND($A41&lt;&gt;"",Q$3&gt;=$J41,Q$3&lt;=$M41),1,"")</f>
        <v/>
      </c>
      <c r="R41">
        <f>IF(AND($A41&lt;&gt;"",R$3&gt;=$J41,R$3&lt;=$M41),1,"")</f>
        <v/>
      </c>
      <c r="S41">
        <f>IF(AND($A41&lt;&gt;"",S$3&gt;=$J41,S$3&lt;=$M41),1,"")</f>
        <v/>
      </c>
      <c r="T41">
        <f>IF(AND($A41&lt;&gt;"",T$3&gt;=$J41,T$3&lt;=$M41),1,"")</f>
        <v/>
      </c>
      <c r="U41">
        <f>IF(AND($A41&lt;&gt;"",U$3&gt;=$J41,U$3&lt;=$M41),1,"")</f>
        <v/>
      </c>
      <c r="V41">
        <f>IF(AND($A41&lt;&gt;"",V$3&gt;=$J41,V$3&lt;=$M41),1,"")</f>
        <v/>
      </c>
      <c r="W41">
        <f>IF(AND($A41&lt;&gt;"",W$3&gt;=$J41,W$3&lt;=$M41),1,"")</f>
        <v/>
      </c>
      <c r="X41">
        <f>IF(AND($A41&lt;&gt;"",X$3&gt;=$J41,X$3&lt;=$M41),1,"")</f>
        <v/>
      </c>
      <c r="Y41">
        <f>IF(AND($A41&lt;&gt;"",Y$3&gt;=$J41,Y$3&lt;=$M41),1,"")</f>
        <v/>
      </c>
      <c r="Z41">
        <f>IF(AND($A41&lt;&gt;"",Z$3&gt;=$J41,Z$3&lt;=$M41),1,"")</f>
        <v/>
      </c>
      <c r="AA41">
        <f>IF(AND($A41&lt;&gt;"",AA$3&gt;=$J41,AA$3&lt;=$M41),1,"")</f>
        <v/>
      </c>
      <c r="AB41">
        <f>IF(AND($A41&lt;&gt;"",AB$3&gt;=$J41,AB$3&lt;=$M41),1,"")</f>
        <v/>
      </c>
      <c r="AC41">
        <f>IF(AND($A41&lt;&gt;"",AC$3&gt;=$J41,AC$3&lt;=$M41),1,"")</f>
        <v/>
      </c>
      <c r="AD41">
        <f>IF(AND($A41&lt;&gt;"",AD$3&gt;=$J41,AD$3&lt;=$M41),1,"")</f>
        <v/>
      </c>
      <c r="AE41">
        <f>IF(AND($A41&lt;&gt;"",AE$3&gt;=$J41,AE$3&lt;=$M41),1,"")</f>
        <v/>
      </c>
      <c r="AF41">
        <f>IF(AND($A41&lt;&gt;"",AF$3&gt;=$J41,AF$3&lt;=$M41),1,"")</f>
        <v/>
      </c>
      <c r="AG41">
        <f>IF(AND($A41&lt;&gt;"",AG$3&gt;=$J41,AG$3&lt;=$M41),1,"")</f>
        <v/>
      </c>
      <c r="AH41">
        <f>IF(AND($A41&lt;&gt;"",AH$3&gt;=$J41,AH$3&lt;=$M41),1,"")</f>
        <v/>
      </c>
      <c r="AI41">
        <f>IF(AND($A41&lt;&gt;"",AI$3&gt;=$J41,AI$3&lt;=$M41),1,"")</f>
        <v/>
      </c>
      <c r="AJ41">
        <f>IF(AND($A41&lt;&gt;"",AJ$3&gt;=$J41,AJ$3&lt;=$M41),1,"")</f>
        <v/>
      </c>
      <c r="AK41">
        <f>IF(AND($A41&lt;&gt;"",AK$3&gt;=$J41,AK$3&lt;=$M41),1,"")</f>
        <v/>
      </c>
      <c r="AL41">
        <f>IF(AND($A41&lt;&gt;"",AL$3&gt;=$J41,AL$3&lt;=$M41),1,"")</f>
        <v/>
      </c>
      <c r="AM41">
        <f>IF(AND($A41&lt;&gt;"",AM$3&gt;=$J41,AM$3&lt;=$M41),1,"")</f>
        <v/>
      </c>
      <c r="AN41">
        <f>IF(AND($A41&lt;&gt;"",AN$3&gt;=$J41,AN$3&lt;=$M41),1,"")</f>
        <v/>
      </c>
      <c r="AO41">
        <f>IF(AND($A41&lt;&gt;"",AO$3&gt;=$J41,AO$3&lt;=$M41),1,"")</f>
        <v/>
      </c>
      <c r="AP41">
        <f>IF(AND($A41&lt;&gt;"",AP$3&gt;=$J41,AP$3&lt;=$M41),1,"")</f>
        <v/>
      </c>
      <c r="AQ41">
        <f>IF(AND($A41&lt;&gt;"",AQ$3&gt;=$J41,AQ$3&lt;=$M41),1,"")</f>
        <v/>
      </c>
      <c r="AR41">
        <f>IF(AND($A41&lt;&gt;"",AR$3&gt;=$J41,AR$3&lt;=$M41),1,"")</f>
        <v/>
      </c>
      <c r="AS41">
        <f>IF(AND($A41&lt;&gt;"",AS$3&gt;=$J41,AS$3&lt;=$M41),1,"")</f>
        <v/>
      </c>
      <c r="AT41">
        <f>IF(AND($A41&lt;&gt;"",AT$3&gt;=$J41,AT$3&lt;=$M41),1,"")</f>
        <v/>
      </c>
      <c r="AU41">
        <f>IF(AND($A41&lt;&gt;"",AU$3&gt;=$J41,AU$3&lt;=$M41),1,"")</f>
        <v/>
      </c>
      <c r="AV41">
        <f>IF(AND($A41&lt;&gt;"",AV$3&gt;=$J41,AV$3&lt;=$M41),1,"")</f>
        <v/>
      </c>
      <c r="AW41">
        <f>IF(AND($A41&lt;&gt;"",AW$3&gt;=$J41,AW$3&lt;=$M41),1,"")</f>
        <v/>
      </c>
      <c r="AX41">
        <f>IF(AND($A41&lt;&gt;"",AX$3&gt;=$J41,AX$3&lt;=$M41),1,"")</f>
        <v/>
      </c>
      <c r="AY41">
        <f>IF(AND($A41&lt;&gt;"",AY$3&gt;=$J41,AY$3&lt;=$M41),1,"")</f>
        <v/>
      </c>
      <c r="AZ41">
        <f>IF(AND($A41&lt;&gt;"",AZ$3&gt;=$J41,AZ$3&lt;=$M41),1,"")</f>
        <v/>
      </c>
      <c r="BA41">
        <f>IF(AND($A41&lt;&gt;"",BA$3&gt;=$J41,BA$3&lt;=$M41),1,"")</f>
        <v/>
      </c>
      <c r="BB41">
        <f>IF(AND($A41&lt;&gt;"",BB$3&gt;=$J41,BB$3&lt;=$M41),1,"")</f>
        <v/>
      </c>
      <c r="BC41">
        <f>IF(AND($A41&lt;&gt;"",BC$3&gt;=$J41,BC$3&lt;=$M41),1,"")</f>
        <v/>
      </c>
      <c r="BD41">
        <f>IF(AND($A41&lt;&gt;"",BD$3&gt;=$J41,BD$3&lt;=$M41),1,"")</f>
        <v/>
      </c>
      <c r="BE41">
        <f>IF(AND($A41&lt;&gt;"",BE$3&gt;=$J41,BE$3&lt;=$M41),1,"")</f>
        <v/>
      </c>
      <c r="BF41">
        <f>IF(AND($A41&lt;&gt;"",BF$3&gt;=$J41,BF$3&lt;=$M41),1,"")</f>
        <v/>
      </c>
      <c r="BG41">
        <f>IF(AND($A41&lt;&gt;"",BG$3&gt;=$J41,BG$3&lt;=$M41),1,"")</f>
        <v/>
      </c>
      <c r="BH41">
        <f>IF(AND($A41&lt;&gt;"",BH$3&gt;=$J41,BH$3&lt;=$M41),1,"")</f>
        <v/>
      </c>
      <c r="BI41">
        <f>IF(AND($A41&lt;&gt;"",BI$3&gt;=$J41,BI$3&lt;=$M41),1,"")</f>
        <v/>
      </c>
      <c r="BJ41">
        <f>IF(AND($A41&lt;&gt;"",BJ$3&gt;=$J41,BJ$3&lt;=$M41),1,"")</f>
        <v/>
      </c>
      <c r="BK41">
        <f>IF(AND($A41&lt;&gt;"",BK$3&gt;=$J41,BK$3&lt;=$M41),1,"")</f>
        <v/>
      </c>
      <c r="BL41">
        <f>IF(AND($A41&lt;&gt;"",BL$3&gt;=$J41,BL$3&lt;=$M41),1,"")</f>
        <v/>
      </c>
      <c r="BM41">
        <f>IF(AND($A41&lt;&gt;"",BM$3&gt;=$J41,BM$3&lt;=$M41),1,"")</f>
        <v/>
      </c>
      <c r="BN41">
        <f>IF(AND($A41&lt;&gt;"",BN$3&gt;=$J41,BN$3&lt;=$M41),1,"")</f>
        <v/>
      </c>
      <c r="BO41">
        <f>IF(AND($A41&lt;&gt;"",BO$3&gt;=$J41,BO$3&lt;=$M41),1,"")</f>
        <v/>
      </c>
      <c r="BP41">
        <f>IF(AND($A41&lt;&gt;"",BP$3&gt;=$J41,BP$3&lt;=$M41),1,"")</f>
        <v/>
      </c>
      <c r="BQ41">
        <f>IF(AND($A41&lt;&gt;"",BQ$3&gt;=$J41,BQ$3&lt;=$M41),1,"")</f>
        <v/>
      </c>
      <c r="BR41">
        <f>IF(AND($A41&lt;&gt;"",BR$3&gt;=$J41,BR$3&lt;=$M41),1,"")</f>
        <v/>
      </c>
      <c r="BS41">
        <f>IF(AND($A41&lt;&gt;"",BS$3&gt;=$J41,BS$3&lt;=$M41),1,"")</f>
        <v/>
      </c>
      <c r="BT41">
        <f>IF(AND($A41&lt;&gt;"",BT$3&gt;=$J41,BT$3&lt;=$M41),1,"")</f>
        <v/>
      </c>
      <c r="BU41">
        <f>IF(AND($A41&lt;&gt;"",BU$3&gt;=$J41,BU$3&lt;=$M41),1,"")</f>
        <v/>
      </c>
      <c r="BV41">
        <f>IF(AND($A41&lt;&gt;"",BV$3&gt;=$J41,BV$3&lt;=$M41),1,"")</f>
        <v/>
      </c>
    </row>
    <row r="42">
      <c r="A42">
        <f>IF(Job_Master_Ring!$A42="","",Job_Master_Ring!$A42)</f>
        <v/>
      </c>
      <c r="B42">
        <f>IF($A42="","",Job_Master_Ring!B42)</f>
        <v/>
      </c>
      <c r="C42">
        <f>IF($A42="","",Job_Master_Ring!C42)</f>
        <v/>
      </c>
      <c r="D42">
        <f>IF($A42="","",Job_Master_Ring!D42)</f>
        <v/>
      </c>
      <c r="E42">
        <f>IF($A42="","",IF($I42&lt;&gt;"",$I42,IFERROR(INDEX(Machine_List!$B$72:$B$81,MATCH(1,(Machine_List!$H$72:$H$81&lt;=IFERROR(VLOOKUP($B42,CHOOSE(MATCH($C42,Settings!$L$4:$L$10,0),OPR_BR1!$A$4:$K$18,OPR_BR2!$A$4:$K$18,OPR_CR2!$A$4:$K$18,OPR_CR3!$A$4:$K$18,OPR_CR4!$A$4:$K$18,OPR_RIM!$A$4:$K$18,OPR_BPR!$A$4:$K$18),10,0),0))*(Machine_List!$I$72:$I$81&gt;=IFERROR(VLOOKUP($B42,CHOOSE(MATCH($C42,Settings!$L$4:$L$10,0),OPR_BR1!$A$4:$K$18,OPR_BR2!$A$4:$K$18,OPR_CR2!$A$4:$K$18,OPR_CR3!$A$4:$K$18,OPR_CR4!$A$4:$K$18,OPR_RIM!$A$4:$K$18,OPR_BPR!$A$4:$K$18),11,0),9999)),0)),"NO COMPATIBLE MACHINE")))</f>
        <v/>
      </c>
      <c r="F42">
        <f>IF($E42="","",IFERROR(VLOOKUP($E42,Machine_List!$B:$G,6,0),""))</f>
        <v/>
      </c>
      <c r="G42" s="17">
        <f>IF($E42="","",IFERROR(VLOOKUP($E42,Machine_List!$B:$C,2,0),""))</f>
        <v/>
      </c>
      <c r="H42">
        <f>IF($E42="","",IFERROR(VLOOKUP($E42,Machine_List!$B:$D,3,0),""))</f>
        <v/>
      </c>
      <c r="J42" s="16">
        <f>IF($A42="","",IF($I42&lt;&gt;"",$I42,MAX(VENT_Plan!$M42,IFERROR(LOOKUP(2,1/($E$3:INDIRECT("E"&amp;(ROW()-1))=$E42),$M$3:INDIRECT("M"&amp;(ROW()-1))),VENT_Plan!$M42))))</f>
        <v/>
      </c>
      <c r="K42">
        <f>IF($A42="","",IFERROR(VLOOKUP(B42,CHOOSE(MATCH($C42,Settings!$L$4:$L$10,0),OPR_BR1!$A$4:$I$18,OPR_BR2!$A$4:$I$18,OPR_CR2!$A$4:$I$18,OPR_CR3!$A$4:$I$18,OPR_CR4!$A$4:$I$18,OPR_RIM!$A$4:$I$18,OPR_BPR!$A$4:$I$18),8,0),0))</f>
        <v/>
      </c>
      <c r="L42">
        <f>IF($A42="","",K42*D42)</f>
        <v/>
      </c>
      <c r="M42" s="16">
        <f>IF($A42="","",IF(AND(ISNUMBER(G42),G42&gt;=J42,G42&lt;=(J42+(L42/(IF(F42="Contract Workman",Settings!$K$5,Settings!$K$4))))),J42+(L42/(IF(F42="Contract Workman",Settings!$K$5,Settings!$K$4)))+(H42/(IF(F42="Contract Workman",Settings!$K$5,Settings!$K$4))),J42+(L42/(IF(F42="Contract Workman",Settings!$K$5,Settings!$K$4)))))</f>
        <v/>
      </c>
      <c r="N42">
        <f>IF($A42="","",IF(F42="Contract Workman",IF(AND(MOD(M42,1)&gt;=8/24,MOD(M42,1)&lt;20/24),"Shift S1","Shift S2"),IF(AND(MOD(M42,1)&gt;=7/24,MOD(M42,1)&lt;15/24),"Shift A",IF(AND(MOD(M42,1)&gt;=15/24,MOD(M42,1)&lt;23/24),"Shift B","Shift C"))))</f>
        <v/>
      </c>
      <c r="O42">
        <f>IF(B42="","",IF(IFERROR(ISNUMBER(SEARCH(TEXT(B42,"0"),VLOOKUP(E42,Machine_List!$B:$J,9,0))),FALSE),"✅ "&amp; E42,"❌ Sug: "&amp;IFERROR(INDEX(Machine_List!$B$72:$B$81,MATCH(1,(Machine_List!$H$72:$H$81&lt;=IFERROR(VLOOKUP($B42,OPR_BR1!$A$4:$K$18,10,0),0))*(Machine_List!$I$72:$I$81&gt;=IFERROR(VLOOKUP($B42,OPR_BR1!$A$4:$K$18,11,0),9999)),0)),"?")))</f>
        <v/>
      </c>
      <c r="P42">
        <f>IF(AND($A42&lt;&gt;"",P$3&gt;=$J42,P$3&lt;=$M42),1,"")</f>
        <v/>
      </c>
      <c r="Q42">
        <f>IF(AND($A42&lt;&gt;"",Q$3&gt;=$J42,Q$3&lt;=$M42),1,"")</f>
        <v/>
      </c>
      <c r="R42">
        <f>IF(AND($A42&lt;&gt;"",R$3&gt;=$J42,R$3&lt;=$M42),1,"")</f>
        <v/>
      </c>
      <c r="S42">
        <f>IF(AND($A42&lt;&gt;"",S$3&gt;=$J42,S$3&lt;=$M42),1,"")</f>
        <v/>
      </c>
      <c r="T42">
        <f>IF(AND($A42&lt;&gt;"",T$3&gt;=$J42,T$3&lt;=$M42),1,"")</f>
        <v/>
      </c>
      <c r="U42">
        <f>IF(AND($A42&lt;&gt;"",U$3&gt;=$J42,U$3&lt;=$M42),1,"")</f>
        <v/>
      </c>
      <c r="V42">
        <f>IF(AND($A42&lt;&gt;"",V$3&gt;=$J42,V$3&lt;=$M42),1,"")</f>
        <v/>
      </c>
      <c r="W42">
        <f>IF(AND($A42&lt;&gt;"",W$3&gt;=$J42,W$3&lt;=$M42),1,"")</f>
        <v/>
      </c>
      <c r="X42">
        <f>IF(AND($A42&lt;&gt;"",X$3&gt;=$J42,X$3&lt;=$M42),1,"")</f>
        <v/>
      </c>
      <c r="Y42">
        <f>IF(AND($A42&lt;&gt;"",Y$3&gt;=$J42,Y$3&lt;=$M42),1,"")</f>
        <v/>
      </c>
      <c r="Z42">
        <f>IF(AND($A42&lt;&gt;"",Z$3&gt;=$J42,Z$3&lt;=$M42),1,"")</f>
        <v/>
      </c>
      <c r="AA42">
        <f>IF(AND($A42&lt;&gt;"",AA$3&gt;=$J42,AA$3&lt;=$M42),1,"")</f>
        <v/>
      </c>
      <c r="AB42">
        <f>IF(AND($A42&lt;&gt;"",AB$3&gt;=$J42,AB$3&lt;=$M42),1,"")</f>
        <v/>
      </c>
      <c r="AC42">
        <f>IF(AND($A42&lt;&gt;"",AC$3&gt;=$J42,AC$3&lt;=$M42),1,"")</f>
        <v/>
      </c>
      <c r="AD42">
        <f>IF(AND($A42&lt;&gt;"",AD$3&gt;=$J42,AD$3&lt;=$M42),1,"")</f>
        <v/>
      </c>
      <c r="AE42">
        <f>IF(AND($A42&lt;&gt;"",AE$3&gt;=$J42,AE$3&lt;=$M42),1,"")</f>
        <v/>
      </c>
      <c r="AF42">
        <f>IF(AND($A42&lt;&gt;"",AF$3&gt;=$J42,AF$3&lt;=$M42),1,"")</f>
        <v/>
      </c>
      <c r="AG42">
        <f>IF(AND($A42&lt;&gt;"",AG$3&gt;=$J42,AG$3&lt;=$M42),1,"")</f>
        <v/>
      </c>
      <c r="AH42">
        <f>IF(AND($A42&lt;&gt;"",AH$3&gt;=$J42,AH$3&lt;=$M42),1,"")</f>
        <v/>
      </c>
      <c r="AI42">
        <f>IF(AND($A42&lt;&gt;"",AI$3&gt;=$J42,AI$3&lt;=$M42),1,"")</f>
        <v/>
      </c>
      <c r="AJ42">
        <f>IF(AND($A42&lt;&gt;"",AJ$3&gt;=$J42,AJ$3&lt;=$M42),1,"")</f>
        <v/>
      </c>
      <c r="AK42">
        <f>IF(AND($A42&lt;&gt;"",AK$3&gt;=$J42,AK$3&lt;=$M42),1,"")</f>
        <v/>
      </c>
      <c r="AL42">
        <f>IF(AND($A42&lt;&gt;"",AL$3&gt;=$J42,AL$3&lt;=$M42),1,"")</f>
        <v/>
      </c>
      <c r="AM42">
        <f>IF(AND($A42&lt;&gt;"",AM$3&gt;=$J42,AM$3&lt;=$M42),1,"")</f>
        <v/>
      </c>
      <c r="AN42">
        <f>IF(AND($A42&lt;&gt;"",AN$3&gt;=$J42,AN$3&lt;=$M42),1,"")</f>
        <v/>
      </c>
      <c r="AO42">
        <f>IF(AND($A42&lt;&gt;"",AO$3&gt;=$J42,AO$3&lt;=$M42),1,"")</f>
        <v/>
      </c>
      <c r="AP42">
        <f>IF(AND($A42&lt;&gt;"",AP$3&gt;=$J42,AP$3&lt;=$M42),1,"")</f>
        <v/>
      </c>
      <c r="AQ42">
        <f>IF(AND($A42&lt;&gt;"",AQ$3&gt;=$J42,AQ$3&lt;=$M42),1,"")</f>
        <v/>
      </c>
      <c r="AR42">
        <f>IF(AND($A42&lt;&gt;"",AR$3&gt;=$J42,AR$3&lt;=$M42),1,"")</f>
        <v/>
      </c>
      <c r="AS42">
        <f>IF(AND($A42&lt;&gt;"",AS$3&gt;=$J42,AS$3&lt;=$M42),1,"")</f>
        <v/>
      </c>
      <c r="AT42">
        <f>IF(AND($A42&lt;&gt;"",AT$3&gt;=$J42,AT$3&lt;=$M42),1,"")</f>
        <v/>
      </c>
      <c r="AU42">
        <f>IF(AND($A42&lt;&gt;"",AU$3&gt;=$J42,AU$3&lt;=$M42),1,"")</f>
        <v/>
      </c>
      <c r="AV42">
        <f>IF(AND($A42&lt;&gt;"",AV$3&gt;=$J42,AV$3&lt;=$M42),1,"")</f>
        <v/>
      </c>
      <c r="AW42">
        <f>IF(AND($A42&lt;&gt;"",AW$3&gt;=$J42,AW$3&lt;=$M42),1,"")</f>
        <v/>
      </c>
      <c r="AX42">
        <f>IF(AND($A42&lt;&gt;"",AX$3&gt;=$J42,AX$3&lt;=$M42),1,"")</f>
        <v/>
      </c>
      <c r="AY42">
        <f>IF(AND($A42&lt;&gt;"",AY$3&gt;=$J42,AY$3&lt;=$M42),1,"")</f>
        <v/>
      </c>
      <c r="AZ42">
        <f>IF(AND($A42&lt;&gt;"",AZ$3&gt;=$J42,AZ$3&lt;=$M42),1,"")</f>
        <v/>
      </c>
      <c r="BA42">
        <f>IF(AND($A42&lt;&gt;"",BA$3&gt;=$J42,BA$3&lt;=$M42),1,"")</f>
        <v/>
      </c>
      <c r="BB42">
        <f>IF(AND($A42&lt;&gt;"",BB$3&gt;=$J42,BB$3&lt;=$M42),1,"")</f>
        <v/>
      </c>
      <c r="BC42">
        <f>IF(AND($A42&lt;&gt;"",BC$3&gt;=$J42,BC$3&lt;=$M42),1,"")</f>
        <v/>
      </c>
      <c r="BD42">
        <f>IF(AND($A42&lt;&gt;"",BD$3&gt;=$J42,BD$3&lt;=$M42),1,"")</f>
        <v/>
      </c>
      <c r="BE42">
        <f>IF(AND($A42&lt;&gt;"",BE$3&gt;=$J42,BE$3&lt;=$M42),1,"")</f>
        <v/>
      </c>
      <c r="BF42">
        <f>IF(AND($A42&lt;&gt;"",BF$3&gt;=$J42,BF$3&lt;=$M42),1,"")</f>
        <v/>
      </c>
      <c r="BG42">
        <f>IF(AND($A42&lt;&gt;"",BG$3&gt;=$J42,BG$3&lt;=$M42),1,"")</f>
        <v/>
      </c>
      <c r="BH42">
        <f>IF(AND($A42&lt;&gt;"",BH$3&gt;=$J42,BH$3&lt;=$M42),1,"")</f>
        <v/>
      </c>
      <c r="BI42">
        <f>IF(AND($A42&lt;&gt;"",BI$3&gt;=$J42,BI$3&lt;=$M42),1,"")</f>
        <v/>
      </c>
      <c r="BJ42">
        <f>IF(AND($A42&lt;&gt;"",BJ$3&gt;=$J42,BJ$3&lt;=$M42),1,"")</f>
        <v/>
      </c>
      <c r="BK42">
        <f>IF(AND($A42&lt;&gt;"",BK$3&gt;=$J42,BK$3&lt;=$M42),1,"")</f>
        <v/>
      </c>
      <c r="BL42">
        <f>IF(AND($A42&lt;&gt;"",BL$3&gt;=$J42,BL$3&lt;=$M42),1,"")</f>
        <v/>
      </c>
      <c r="BM42">
        <f>IF(AND($A42&lt;&gt;"",BM$3&gt;=$J42,BM$3&lt;=$M42),1,"")</f>
        <v/>
      </c>
      <c r="BN42">
        <f>IF(AND($A42&lt;&gt;"",BN$3&gt;=$J42,BN$3&lt;=$M42),1,"")</f>
        <v/>
      </c>
      <c r="BO42">
        <f>IF(AND($A42&lt;&gt;"",BO$3&gt;=$J42,BO$3&lt;=$M42),1,"")</f>
        <v/>
      </c>
      <c r="BP42">
        <f>IF(AND($A42&lt;&gt;"",BP$3&gt;=$J42,BP$3&lt;=$M42),1,"")</f>
        <v/>
      </c>
      <c r="BQ42">
        <f>IF(AND($A42&lt;&gt;"",BQ$3&gt;=$J42,BQ$3&lt;=$M42),1,"")</f>
        <v/>
      </c>
      <c r="BR42">
        <f>IF(AND($A42&lt;&gt;"",BR$3&gt;=$J42,BR$3&lt;=$M42),1,"")</f>
        <v/>
      </c>
      <c r="BS42">
        <f>IF(AND($A42&lt;&gt;"",BS$3&gt;=$J42,BS$3&lt;=$M42),1,"")</f>
        <v/>
      </c>
      <c r="BT42">
        <f>IF(AND($A42&lt;&gt;"",BT$3&gt;=$J42,BT$3&lt;=$M42),1,"")</f>
        <v/>
      </c>
      <c r="BU42">
        <f>IF(AND($A42&lt;&gt;"",BU$3&gt;=$J42,BU$3&lt;=$M42),1,"")</f>
        <v/>
      </c>
      <c r="BV42">
        <f>IF(AND($A42&lt;&gt;"",BV$3&gt;=$J42,BV$3&lt;=$M42),1,"")</f>
        <v/>
      </c>
    </row>
    <row r="43">
      <c r="A43">
        <f>IF(Job_Master_Ring!$A43="","",Job_Master_Ring!$A43)</f>
        <v/>
      </c>
      <c r="B43">
        <f>IF($A43="","",Job_Master_Ring!B43)</f>
        <v/>
      </c>
      <c r="C43">
        <f>IF($A43="","",Job_Master_Ring!C43)</f>
        <v/>
      </c>
      <c r="D43">
        <f>IF($A43="","",Job_Master_Ring!D43)</f>
        <v/>
      </c>
      <c r="E43">
        <f>IF($A43="","",IF($I43&lt;&gt;"",$I43,IFERROR(INDEX(Machine_List!$B$72:$B$81,MATCH(1,(Machine_List!$H$72:$H$81&lt;=IFERROR(VLOOKUP($B43,CHOOSE(MATCH($C43,Settings!$L$4:$L$10,0),OPR_BR1!$A$4:$K$18,OPR_BR2!$A$4:$K$18,OPR_CR2!$A$4:$K$18,OPR_CR3!$A$4:$K$18,OPR_CR4!$A$4:$K$18,OPR_RIM!$A$4:$K$18,OPR_BPR!$A$4:$K$18),10,0),0))*(Machine_List!$I$72:$I$81&gt;=IFERROR(VLOOKUP($B43,CHOOSE(MATCH($C43,Settings!$L$4:$L$10,0),OPR_BR1!$A$4:$K$18,OPR_BR2!$A$4:$K$18,OPR_CR2!$A$4:$K$18,OPR_CR3!$A$4:$K$18,OPR_CR4!$A$4:$K$18,OPR_RIM!$A$4:$K$18,OPR_BPR!$A$4:$K$18),11,0),9999)),0)),"NO COMPATIBLE MACHINE")))</f>
        <v/>
      </c>
      <c r="F43">
        <f>IF($E43="","",IFERROR(VLOOKUP($E43,Machine_List!$B:$G,6,0),""))</f>
        <v/>
      </c>
      <c r="G43" s="17">
        <f>IF($E43="","",IFERROR(VLOOKUP($E43,Machine_List!$B:$C,2,0),""))</f>
        <v/>
      </c>
      <c r="H43">
        <f>IF($E43="","",IFERROR(VLOOKUP($E43,Machine_List!$B:$D,3,0),""))</f>
        <v/>
      </c>
      <c r="J43" s="16">
        <f>IF($A43="","",IF($I43&lt;&gt;"",$I43,MAX(VENT_Plan!$M43,IFERROR(LOOKUP(2,1/($E$3:INDIRECT("E"&amp;(ROW()-1))=$E43),$M$3:INDIRECT("M"&amp;(ROW()-1))),VENT_Plan!$M43))))</f>
        <v/>
      </c>
      <c r="K43">
        <f>IF($A43="","",IFERROR(VLOOKUP(B43,CHOOSE(MATCH($C43,Settings!$L$4:$L$10,0),OPR_BR1!$A$4:$I$18,OPR_BR2!$A$4:$I$18,OPR_CR2!$A$4:$I$18,OPR_CR3!$A$4:$I$18,OPR_CR4!$A$4:$I$18,OPR_RIM!$A$4:$I$18,OPR_BPR!$A$4:$I$18),8,0),0))</f>
        <v/>
      </c>
      <c r="L43">
        <f>IF($A43="","",K43*D43)</f>
        <v/>
      </c>
      <c r="M43" s="16">
        <f>IF($A43="","",IF(AND(ISNUMBER(G43),G43&gt;=J43,G43&lt;=(J43+(L43/(IF(F43="Contract Workman",Settings!$K$5,Settings!$K$4))))),J43+(L43/(IF(F43="Contract Workman",Settings!$K$5,Settings!$K$4)))+(H43/(IF(F43="Contract Workman",Settings!$K$5,Settings!$K$4))),J43+(L43/(IF(F43="Contract Workman",Settings!$K$5,Settings!$K$4)))))</f>
        <v/>
      </c>
      <c r="N43">
        <f>IF($A43="","",IF(F43="Contract Workman",IF(AND(MOD(M43,1)&gt;=8/24,MOD(M43,1)&lt;20/24),"Shift S1","Shift S2"),IF(AND(MOD(M43,1)&gt;=7/24,MOD(M43,1)&lt;15/24),"Shift A",IF(AND(MOD(M43,1)&gt;=15/24,MOD(M43,1)&lt;23/24),"Shift B","Shift C"))))</f>
        <v/>
      </c>
      <c r="O43">
        <f>IF(B43="","",IF(IFERROR(ISNUMBER(SEARCH(TEXT(B43,"0"),VLOOKUP(E43,Machine_List!$B:$J,9,0))),FALSE),"✅ "&amp; E43,"❌ Sug: "&amp;IFERROR(INDEX(Machine_List!$B$72:$B$81,MATCH(1,(Machine_List!$H$72:$H$81&lt;=IFERROR(VLOOKUP($B43,OPR_BR1!$A$4:$K$18,10,0),0))*(Machine_List!$I$72:$I$81&gt;=IFERROR(VLOOKUP($B43,OPR_BR1!$A$4:$K$18,11,0),9999)),0)),"?")))</f>
        <v/>
      </c>
      <c r="P43">
        <f>IF(AND($A43&lt;&gt;"",P$3&gt;=$J43,P$3&lt;=$M43),1,"")</f>
        <v/>
      </c>
      <c r="Q43">
        <f>IF(AND($A43&lt;&gt;"",Q$3&gt;=$J43,Q$3&lt;=$M43),1,"")</f>
        <v/>
      </c>
      <c r="R43">
        <f>IF(AND($A43&lt;&gt;"",R$3&gt;=$J43,R$3&lt;=$M43),1,"")</f>
        <v/>
      </c>
      <c r="S43">
        <f>IF(AND($A43&lt;&gt;"",S$3&gt;=$J43,S$3&lt;=$M43),1,"")</f>
        <v/>
      </c>
      <c r="T43">
        <f>IF(AND($A43&lt;&gt;"",T$3&gt;=$J43,T$3&lt;=$M43),1,"")</f>
        <v/>
      </c>
      <c r="U43">
        <f>IF(AND($A43&lt;&gt;"",U$3&gt;=$J43,U$3&lt;=$M43),1,"")</f>
        <v/>
      </c>
      <c r="V43">
        <f>IF(AND($A43&lt;&gt;"",V$3&gt;=$J43,V$3&lt;=$M43),1,"")</f>
        <v/>
      </c>
      <c r="W43">
        <f>IF(AND($A43&lt;&gt;"",W$3&gt;=$J43,W$3&lt;=$M43),1,"")</f>
        <v/>
      </c>
      <c r="X43">
        <f>IF(AND($A43&lt;&gt;"",X$3&gt;=$J43,X$3&lt;=$M43),1,"")</f>
        <v/>
      </c>
      <c r="Y43">
        <f>IF(AND($A43&lt;&gt;"",Y$3&gt;=$J43,Y$3&lt;=$M43),1,"")</f>
        <v/>
      </c>
      <c r="Z43">
        <f>IF(AND($A43&lt;&gt;"",Z$3&gt;=$J43,Z$3&lt;=$M43),1,"")</f>
        <v/>
      </c>
      <c r="AA43">
        <f>IF(AND($A43&lt;&gt;"",AA$3&gt;=$J43,AA$3&lt;=$M43),1,"")</f>
        <v/>
      </c>
      <c r="AB43">
        <f>IF(AND($A43&lt;&gt;"",AB$3&gt;=$J43,AB$3&lt;=$M43),1,"")</f>
        <v/>
      </c>
      <c r="AC43">
        <f>IF(AND($A43&lt;&gt;"",AC$3&gt;=$J43,AC$3&lt;=$M43),1,"")</f>
        <v/>
      </c>
      <c r="AD43">
        <f>IF(AND($A43&lt;&gt;"",AD$3&gt;=$J43,AD$3&lt;=$M43),1,"")</f>
        <v/>
      </c>
      <c r="AE43">
        <f>IF(AND($A43&lt;&gt;"",AE$3&gt;=$J43,AE$3&lt;=$M43),1,"")</f>
        <v/>
      </c>
      <c r="AF43">
        <f>IF(AND($A43&lt;&gt;"",AF$3&gt;=$J43,AF$3&lt;=$M43),1,"")</f>
        <v/>
      </c>
      <c r="AG43">
        <f>IF(AND($A43&lt;&gt;"",AG$3&gt;=$J43,AG$3&lt;=$M43),1,"")</f>
        <v/>
      </c>
      <c r="AH43">
        <f>IF(AND($A43&lt;&gt;"",AH$3&gt;=$J43,AH$3&lt;=$M43),1,"")</f>
        <v/>
      </c>
      <c r="AI43">
        <f>IF(AND($A43&lt;&gt;"",AI$3&gt;=$J43,AI$3&lt;=$M43),1,"")</f>
        <v/>
      </c>
      <c r="AJ43">
        <f>IF(AND($A43&lt;&gt;"",AJ$3&gt;=$J43,AJ$3&lt;=$M43),1,"")</f>
        <v/>
      </c>
      <c r="AK43">
        <f>IF(AND($A43&lt;&gt;"",AK$3&gt;=$J43,AK$3&lt;=$M43),1,"")</f>
        <v/>
      </c>
      <c r="AL43">
        <f>IF(AND($A43&lt;&gt;"",AL$3&gt;=$J43,AL$3&lt;=$M43),1,"")</f>
        <v/>
      </c>
      <c r="AM43">
        <f>IF(AND($A43&lt;&gt;"",AM$3&gt;=$J43,AM$3&lt;=$M43),1,"")</f>
        <v/>
      </c>
      <c r="AN43">
        <f>IF(AND($A43&lt;&gt;"",AN$3&gt;=$J43,AN$3&lt;=$M43),1,"")</f>
        <v/>
      </c>
      <c r="AO43">
        <f>IF(AND($A43&lt;&gt;"",AO$3&gt;=$J43,AO$3&lt;=$M43),1,"")</f>
        <v/>
      </c>
      <c r="AP43">
        <f>IF(AND($A43&lt;&gt;"",AP$3&gt;=$J43,AP$3&lt;=$M43),1,"")</f>
        <v/>
      </c>
      <c r="AQ43">
        <f>IF(AND($A43&lt;&gt;"",AQ$3&gt;=$J43,AQ$3&lt;=$M43),1,"")</f>
        <v/>
      </c>
      <c r="AR43">
        <f>IF(AND($A43&lt;&gt;"",AR$3&gt;=$J43,AR$3&lt;=$M43),1,"")</f>
        <v/>
      </c>
      <c r="AS43">
        <f>IF(AND($A43&lt;&gt;"",AS$3&gt;=$J43,AS$3&lt;=$M43),1,"")</f>
        <v/>
      </c>
      <c r="AT43">
        <f>IF(AND($A43&lt;&gt;"",AT$3&gt;=$J43,AT$3&lt;=$M43),1,"")</f>
        <v/>
      </c>
      <c r="AU43">
        <f>IF(AND($A43&lt;&gt;"",AU$3&gt;=$J43,AU$3&lt;=$M43),1,"")</f>
        <v/>
      </c>
      <c r="AV43">
        <f>IF(AND($A43&lt;&gt;"",AV$3&gt;=$J43,AV$3&lt;=$M43),1,"")</f>
        <v/>
      </c>
      <c r="AW43">
        <f>IF(AND($A43&lt;&gt;"",AW$3&gt;=$J43,AW$3&lt;=$M43),1,"")</f>
        <v/>
      </c>
      <c r="AX43">
        <f>IF(AND($A43&lt;&gt;"",AX$3&gt;=$J43,AX$3&lt;=$M43),1,"")</f>
        <v/>
      </c>
      <c r="AY43">
        <f>IF(AND($A43&lt;&gt;"",AY$3&gt;=$J43,AY$3&lt;=$M43),1,"")</f>
        <v/>
      </c>
      <c r="AZ43">
        <f>IF(AND($A43&lt;&gt;"",AZ$3&gt;=$J43,AZ$3&lt;=$M43),1,"")</f>
        <v/>
      </c>
      <c r="BA43">
        <f>IF(AND($A43&lt;&gt;"",BA$3&gt;=$J43,BA$3&lt;=$M43),1,"")</f>
        <v/>
      </c>
      <c r="BB43">
        <f>IF(AND($A43&lt;&gt;"",BB$3&gt;=$J43,BB$3&lt;=$M43),1,"")</f>
        <v/>
      </c>
      <c r="BC43">
        <f>IF(AND($A43&lt;&gt;"",BC$3&gt;=$J43,BC$3&lt;=$M43),1,"")</f>
        <v/>
      </c>
      <c r="BD43">
        <f>IF(AND($A43&lt;&gt;"",BD$3&gt;=$J43,BD$3&lt;=$M43),1,"")</f>
        <v/>
      </c>
      <c r="BE43">
        <f>IF(AND($A43&lt;&gt;"",BE$3&gt;=$J43,BE$3&lt;=$M43),1,"")</f>
        <v/>
      </c>
      <c r="BF43">
        <f>IF(AND($A43&lt;&gt;"",BF$3&gt;=$J43,BF$3&lt;=$M43),1,"")</f>
        <v/>
      </c>
      <c r="BG43">
        <f>IF(AND($A43&lt;&gt;"",BG$3&gt;=$J43,BG$3&lt;=$M43),1,"")</f>
        <v/>
      </c>
      <c r="BH43">
        <f>IF(AND($A43&lt;&gt;"",BH$3&gt;=$J43,BH$3&lt;=$M43),1,"")</f>
        <v/>
      </c>
      <c r="BI43">
        <f>IF(AND($A43&lt;&gt;"",BI$3&gt;=$J43,BI$3&lt;=$M43),1,"")</f>
        <v/>
      </c>
      <c r="BJ43">
        <f>IF(AND($A43&lt;&gt;"",BJ$3&gt;=$J43,BJ$3&lt;=$M43),1,"")</f>
        <v/>
      </c>
      <c r="BK43">
        <f>IF(AND($A43&lt;&gt;"",BK$3&gt;=$J43,BK$3&lt;=$M43),1,"")</f>
        <v/>
      </c>
      <c r="BL43">
        <f>IF(AND($A43&lt;&gt;"",BL$3&gt;=$J43,BL$3&lt;=$M43),1,"")</f>
        <v/>
      </c>
      <c r="BM43">
        <f>IF(AND($A43&lt;&gt;"",BM$3&gt;=$J43,BM$3&lt;=$M43),1,"")</f>
        <v/>
      </c>
      <c r="BN43">
        <f>IF(AND($A43&lt;&gt;"",BN$3&gt;=$J43,BN$3&lt;=$M43),1,"")</f>
        <v/>
      </c>
      <c r="BO43">
        <f>IF(AND($A43&lt;&gt;"",BO$3&gt;=$J43,BO$3&lt;=$M43),1,"")</f>
        <v/>
      </c>
      <c r="BP43">
        <f>IF(AND($A43&lt;&gt;"",BP$3&gt;=$J43,BP$3&lt;=$M43),1,"")</f>
        <v/>
      </c>
      <c r="BQ43">
        <f>IF(AND($A43&lt;&gt;"",BQ$3&gt;=$J43,BQ$3&lt;=$M43),1,"")</f>
        <v/>
      </c>
      <c r="BR43">
        <f>IF(AND($A43&lt;&gt;"",BR$3&gt;=$J43,BR$3&lt;=$M43),1,"")</f>
        <v/>
      </c>
      <c r="BS43">
        <f>IF(AND($A43&lt;&gt;"",BS$3&gt;=$J43,BS$3&lt;=$M43),1,"")</f>
        <v/>
      </c>
      <c r="BT43">
        <f>IF(AND($A43&lt;&gt;"",BT$3&gt;=$J43,BT$3&lt;=$M43),1,"")</f>
        <v/>
      </c>
      <c r="BU43">
        <f>IF(AND($A43&lt;&gt;"",BU$3&gt;=$J43,BU$3&lt;=$M43),1,"")</f>
        <v/>
      </c>
      <c r="BV43">
        <f>IF(AND($A43&lt;&gt;"",BV$3&gt;=$J43,BV$3&lt;=$M43),1,"")</f>
        <v/>
      </c>
    </row>
    <row r="44">
      <c r="A44">
        <f>IF(Job_Master_Ring!$A44="","",Job_Master_Ring!$A44)</f>
        <v/>
      </c>
      <c r="B44">
        <f>IF($A44="","",Job_Master_Ring!B44)</f>
        <v/>
      </c>
      <c r="C44">
        <f>IF($A44="","",Job_Master_Ring!C44)</f>
        <v/>
      </c>
      <c r="D44">
        <f>IF($A44="","",Job_Master_Ring!D44)</f>
        <v/>
      </c>
      <c r="E44">
        <f>IF($A44="","",IF($I44&lt;&gt;"",$I44,IFERROR(INDEX(Machine_List!$B$72:$B$81,MATCH(1,(Machine_List!$H$72:$H$81&lt;=IFERROR(VLOOKUP($B44,CHOOSE(MATCH($C44,Settings!$L$4:$L$10,0),OPR_BR1!$A$4:$K$18,OPR_BR2!$A$4:$K$18,OPR_CR2!$A$4:$K$18,OPR_CR3!$A$4:$K$18,OPR_CR4!$A$4:$K$18,OPR_RIM!$A$4:$K$18,OPR_BPR!$A$4:$K$18),10,0),0))*(Machine_List!$I$72:$I$81&gt;=IFERROR(VLOOKUP($B44,CHOOSE(MATCH($C44,Settings!$L$4:$L$10,0),OPR_BR1!$A$4:$K$18,OPR_BR2!$A$4:$K$18,OPR_CR2!$A$4:$K$18,OPR_CR3!$A$4:$K$18,OPR_CR4!$A$4:$K$18,OPR_RIM!$A$4:$K$18,OPR_BPR!$A$4:$K$18),11,0),9999)),0)),"NO COMPATIBLE MACHINE")))</f>
        <v/>
      </c>
      <c r="F44">
        <f>IF($E44="","",IFERROR(VLOOKUP($E44,Machine_List!$B:$G,6,0),""))</f>
        <v/>
      </c>
      <c r="G44" s="17">
        <f>IF($E44="","",IFERROR(VLOOKUP($E44,Machine_List!$B:$C,2,0),""))</f>
        <v/>
      </c>
      <c r="H44">
        <f>IF($E44="","",IFERROR(VLOOKUP($E44,Machine_List!$B:$D,3,0),""))</f>
        <v/>
      </c>
      <c r="J44" s="16">
        <f>IF($A44="","",IF($I44&lt;&gt;"",$I44,MAX(VENT_Plan!$M44,IFERROR(LOOKUP(2,1/($E$3:INDIRECT("E"&amp;(ROW()-1))=$E44),$M$3:INDIRECT("M"&amp;(ROW()-1))),VENT_Plan!$M44))))</f>
        <v/>
      </c>
      <c r="K44">
        <f>IF($A44="","",IFERROR(VLOOKUP(B44,CHOOSE(MATCH($C44,Settings!$L$4:$L$10,0),OPR_BR1!$A$4:$I$18,OPR_BR2!$A$4:$I$18,OPR_CR2!$A$4:$I$18,OPR_CR3!$A$4:$I$18,OPR_CR4!$A$4:$I$18,OPR_RIM!$A$4:$I$18,OPR_BPR!$A$4:$I$18),8,0),0))</f>
        <v/>
      </c>
      <c r="L44">
        <f>IF($A44="","",K44*D44)</f>
        <v/>
      </c>
      <c r="M44" s="16">
        <f>IF($A44="","",IF(AND(ISNUMBER(G44),G44&gt;=J44,G44&lt;=(J44+(L44/(IF(F44="Contract Workman",Settings!$K$5,Settings!$K$4))))),J44+(L44/(IF(F44="Contract Workman",Settings!$K$5,Settings!$K$4)))+(H44/(IF(F44="Contract Workman",Settings!$K$5,Settings!$K$4))),J44+(L44/(IF(F44="Contract Workman",Settings!$K$5,Settings!$K$4)))))</f>
        <v/>
      </c>
      <c r="N44">
        <f>IF($A44="","",IF(F44="Contract Workman",IF(AND(MOD(M44,1)&gt;=8/24,MOD(M44,1)&lt;20/24),"Shift S1","Shift S2"),IF(AND(MOD(M44,1)&gt;=7/24,MOD(M44,1)&lt;15/24),"Shift A",IF(AND(MOD(M44,1)&gt;=15/24,MOD(M44,1)&lt;23/24),"Shift B","Shift C"))))</f>
        <v/>
      </c>
      <c r="O44">
        <f>IF(B44="","",IF(IFERROR(ISNUMBER(SEARCH(TEXT(B44,"0"),VLOOKUP(E44,Machine_List!$B:$J,9,0))),FALSE),"✅ "&amp; E44,"❌ Sug: "&amp;IFERROR(INDEX(Machine_List!$B$72:$B$81,MATCH(1,(Machine_List!$H$72:$H$81&lt;=IFERROR(VLOOKUP($B44,OPR_BR1!$A$4:$K$18,10,0),0))*(Machine_List!$I$72:$I$81&gt;=IFERROR(VLOOKUP($B44,OPR_BR1!$A$4:$K$18,11,0),9999)),0)),"?")))</f>
        <v/>
      </c>
      <c r="P44">
        <f>IF(AND($A44&lt;&gt;"",P$3&gt;=$J44,P$3&lt;=$M44),1,"")</f>
        <v/>
      </c>
      <c r="Q44">
        <f>IF(AND($A44&lt;&gt;"",Q$3&gt;=$J44,Q$3&lt;=$M44),1,"")</f>
        <v/>
      </c>
      <c r="R44">
        <f>IF(AND($A44&lt;&gt;"",R$3&gt;=$J44,R$3&lt;=$M44),1,"")</f>
        <v/>
      </c>
      <c r="S44">
        <f>IF(AND($A44&lt;&gt;"",S$3&gt;=$J44,S$3&lt;=$M44),1,"")</f>
        <v/>
      </c>
      <c r="T44">
        <f>IF(AND($A44&lt;&gt;"",T$3&gt;=$J44,T$3&lt;=$M44),1,"")</f>
        <v/>
      </c>
      <c r="U44">
        <f>IF(AND($A44&lt;&gt;"",U$3&gt;=$J44,U$3&lt;=$M44),1,"")</f>
        <v/>
      </c>
      <c r="V44">
        <f>IF(AND($A44&lt;&gt;"",V$3&gt;=$J44,V$3&lt;=$M44),1,"")</f>
        <v/>
      </c>
      <c r="W44">
        <f>IF(AND($A44&lt;&gt;"",W$3&gt;=$J44,W$3&lt;=$M44),1,"")</f>
        <v/>
      </c>
      <c r="X44">
        <f>IF(AND($A44&lt;&gt;"",X$3&gt;=$J44,X$3&lt;=$M44),1,"")</f>
        <v/>
      </c>
      <c r="Y44">
        <f>IF(AND($A44&lt;&gt;"",Y$3&gt;=$J44,Y$3&lt;=$M44),1,"")</f>
        <v/>
      </c>
      <c r="Z44">
        <f>IF(AND($A44&lt;&gt;"",Z$3&gt;=$J44,Z$3&lt;=$M44),1,"")</f>
        <v/>
      </c>
      <c r="AA44">
        <f>IF(AND($A44&lt;&gt;"",AA$3&gt;=$J44,AA$3&lt;=$M44),1,"")</f>
        <v/>
      </c>
      <c r="AB44">
        <f>IF(AND($A44&lt;&gt;"",AB$3&gt;=$J44,AB$3&lt;=$M44),1,"")</f>
        <v/>
      </c>
      <c r="AC44">
        <f>IF(AND($A44&lt;&gt;"",AC$3&gt;=$J44,AC$3&lt;=$M44),1,"")</f>
        <v/>
      </c>
      <c r="AD44">
        <f>IF(AND($A44&lt;&gt;"",AD$3&gt;=$J44,AD$3&lt;=$M44),1,"")</f>
        <v/>
      </c>
      <c r="AE44">
        <f>IF(AND($A44&lt;&gt;"",AE$3&gt;=$J44,AE$3&lt;=$M44),1,"")</f>
        <v/>
      </c>
      <c r="AF44">
        <f>IF(AND($A44&lt;&gt;"",AF$3&gt;=$J44,AF$3&lt;=$M44),1,"")</f>
        <v/>
      </c>
      <c r="AG44">
        <f>IF(AND($A44&lt;&gt;"",AG$3&gt;=$J44,AG$3&lt;=$M44),1,"")</f>
        <v/>
      </c>
      <c r="AH44">
        <f>IF(AND($A44&lt;&gt;"",AH$3&gt;=$J44,AH$3&lt;=$M44),1,"")</f>
        <v/>
      </c>
      <c r="AI44">
        <f>IF(AND($A44&lt;&gt;"",AI$3&gt;=$J44,AI$3&lt;=$M44),1,"")</f>
        <v/>
      </c>
      <c r="AJ44">
        <f>IF(AND($A44&lt;&gt;"",AJ$3&gt;=$J44,AJ$3&lt;=$M44),1,"")</f>
        <v/>
      </c>
      <c r="AK44">
        <f>IF(AND($A44&lt;&gt;"",AK$3&gt;=$J44,AK$3&lt;=$M44),1,"")</f>
        <v/>
      </c>
      <c r="AL44">
        <f>IF(AND($A44&lt;&gt;"",AL$3&gt;=$J44,AL$3&lt;=$M44),1,"")</f>
        <v/>
      </c>
      <c r="AM44">
        <f>IF(AND($A44&lt;&gt;"",AM$3&gt;=$J44,AM$3&lt;=$M44),1,"")</f>
        <v/>
      </c>
      <c r="AN44">
        <f>IF(AND($A44&lt;&gt;"",AN$3&gt;=$J44,AN$3&lt;=$M44),1,"")</f>
        <v/>
      </c>
      <c r="AO44">
        <f>IF(AND($A44&lt;&gt;"",AO$3&gt;=$J44,AO$3&lt;=$M44),1,"")</f>
        <v/>
      </c>
      <c r="AP44">
        <f>IF(AND($A44&lt;&gt;"",AP$3&gt;=$J44,AP$3&lt;=$M44),1,"")</f>
        <v/>
      </c>
      <c r="AQ44">
        <f>IF(AND($A44&lt;&gt;"",AQ$3&gt;=$J44,AQ$3&lt;=$M44),1,"")</f>
        <v/>
      </c>
      <c r="AR44">
        <f>IF(AND($A44&lt;&gt;"",AR$3&gt;=$J44,AR$3&lt;=$M44),1,"")</f>
        <v/>
      </c>
      <c r="AS44">
        <f>IF(AND($A44&lt;&gt;"",AS$3&gt;=$J44,AS$3&lt;=$M44),1,"")</f>
        <v/>
      </c>
      <c r="AT44">
        <f>IF(AND($A44&lt;&gt;"",AT$3&gt;=$J44,AT$3&lt;=$M44),1,"")</f>
        <v/>
      </c>
      <c r="AU44">
        <f>IF(AND($A44&lt;&gt;"",AU$3&gt;=$J44,AU$3&lt;=$M44),1,"")</f>
        <v/>
      </c>
      <c r="AV44">
        <f>IF(AND($A44&lt;&gt;"",AV$3&gt;=$J44,AV$3&lt;=$M44),1,"")</f>
        <v/>
      </c>
      <c r="AW44">
        <f>IF(AND($A44&lt;&gt;"",AW$3&gt;=$J44,AW$3&lt;=$M44),1,"")</f>
        <v/>
      </c>
      <c r="AX44">
        <f>IF(AND($A44&lt;&gt;"",AX$3&gt;=$J44,AX$3&lt;=$M44),1,"")</f>
        <v/>
      </c>
      <c r="AY44">
        <f>IF(AND($A44&lt;&gt;"",AY$3&gt;=$J44,AY$3&lt;=$M44),1,"")</f>
        <v/>
      </c>
      <c r="AZ44">
        <f>IF(AND($A44&lt;&gt;"",AZ$3&gt;=$J44,AZ$3&lt;=$M44),1,"")</f>
        <v/>
      </c>
      <c r="BA44">
        <f>IF(AND($A44&lt;&gt;"",BA$3&gt;=$J44,BA$3&lt;=$M44),1,"")</f>
        <v/>
      </c>
      <c r="BB44">
        <f>IF(AND($A44&lt;&gt;"",BB$3&gt;=$J44,BB$3&lt;=$M44),1,"")</f>
        <v/>
      </c>
      <c r="BC44">
        <f>IF(AND($A44&lt;&gt;"",BC$3&gt;=$J44,BC$3&lt;=$M44),1,"")</f>
        <v/>
      </c>
      <c r="BD44">
        <f>IF(AND($A44&lt;&gt;"",BD$3&gt;=$J44,BD$3&lt;=$M44),1,"")</f>
        <v/>
      </c>
      <c r="BE44">
        <f>IF(AND($A44&lt;&gt;"",BE$3&gt;=$J44,BE$3&lt;=$M44),1,"")</f>
        <v/>
      </c>
      <c r="BF44">
        <f>IF(AND($A44&lt;&gt;"",BF$3&gt;=$J44,BF$3&lt;=$M44),1,"")</f>
        <v/>
      </c>
      <c r="BG44">
        <f>IF(AND($A44&lt;&gt;"",BG$3&gt;=$J44,BG$3&lt;=$M44),1,"")</f>
        <v/>
      </c>
      <c r="BH44">
        <f>IF(AND($A44&lt;&gt;"",BH$3&gt;=$J44,BH$3&lt;=$M44),1,"")</f>
        <v/>
      </c>
      <c r="BI44">
        <f>IF(AND($A44&lt;&gt;"",BI$3&gt;=$J44,BI$3&lt;=$M44),1,"")</f>
        <v/>
      </c>
      <c r="BJ44">
        <f>IF(AND($A44&lt;&gt;"",BJ$3&gt;=$J44,BJ$3&lt;=$M44),1,"")</f>
        <v/>
      </c>
      <c r="BK44">
        <f>IF(AND($A44&lt;&gt;"",BK$3&gt;=$J44,BK$3&lt;=$M44),1,"")</f>
        <v/>
      </c>
      <c r="BL44">
        <f>IF(AND($A44&lt;&gt;"",BL$3&gt;=$J44,BL$3&lt;=$M44),1,"")</f>
        <v/>
      </c>
      <c r="BM44">
        <f>IF(AND($A44&lt;&gt;"",BM$3&gt;=$J44,BM$3&lt;=$M44),1,"")</f>
        <v/>
      </c>
      <c r="BN44">
        <f>IF(AND($A44&lt;&gt;"",BN$3&gt;=$J44,BN$3&lt;=$M44),1,"")</f>
        <v/>
      </c>
      <c r="BO44">
        <f>IF(AND($A44&lt;&gt;"",BO$3&gt;=$J44,BO$3&lt;=$M44),1,"")</f>
        <v/>
      </c>
      <c r="BP44">
        <f>IF(AND($A44&lt;&gt;"",BP$3&gt;=$J44,BP$3&lt;=$M44),1,"")</f>
        <v/>
      </c>
      <c r="BQ44">
        <f>IF(AND($A44&lt;&gt;"",BQ$3&gt;=$J44,BQ$3&lt;=$M44),1,"")</f>
        <v/>
      </c>
      <c r="BR44">
        <f>IF(AND($A44&lt;&gt;"",BR$3&gt;=$J44,BR$3&lt;=$M44),1,"")</f>
        <v/>
      </c>
      <c r="BS44">
        <f>IF(AND($A44&lt;&gt;"",BS$3&gt;=$J44,BS$3&lt;=$M44),1,"")</f>
        <v/>
      </c>
      <c r="BT44">
        <f>IF(AND($A44&lt;&gt;"",BT$3&gt;=$J44,BT$3&lt;=$M44),1,"")</f>
        <v/>
      </c>
      <c r="BU44">
        <f>IF(AND($A44&lt;&gt;"",BU$3&gt;=$J44,BU$3&lt;=$M44),1,"")</f>
        <v/>
      </c>
      <c r="BV44">
        <f>IF(AND($A44&lt;&gt;"",BV$3&gt;=$J44,BV$3&lt;=$M44),1,"")</f>
        <v/>
      </c>
    </row>
    <row r="45">
      <c r="A45">
        <f>IF(Job_Master_Ring!$A45="","",Job_Master_Ring!$A45)</f>
        <v/>
      </c>
      <c r="B45">
        <f>IF($A45="","",Job_Master_Ring!B45)</f>
        <v/>
      </c>
      <c r="C45">
        <f>IF($A45="","",Job_Master_Ring!C45)</f>
        <v/>
      </c>
      <c r="D45">
        <f>IF($A45="","",Job_Master_Ring!D45)</f>
        <v/>
      </c>
      <c r="E45">
        <f>IF($A45="","",IF($I45&lt;&gt;"",$I45,IFERROR(INDEX(Machine_List!$B$72:$B$81,MATCH(1,(Machine_List!$H$72:$H$81&lt;=IFERROR(VLOOKUP($B45,CHOOSE(MATCH($C45,Settings!$L$4:$L$10,0),OPR_BR1!$A$4:$K$18,OPR_BR2!$A$4:$K$18,OPR_CR2!$A$4:$K$18,OPR_CR3!$A$4:$K$18,OPR_CR4!$A$4:$K$18,OPR_RIM!$A$4:$K$18,OPR_BPR!$A$4:$K$18),10,0),0))*(Machine_List!$I$72:$I$81&gt;=IFERROR(VLOOKUP($B45,CHOOSE(MATCH($C45,Settings!$L$4:$L$10,0),OPR_BR1!$A$4:$K$18,OPR_BR2!$A$4:$K$18,OPR_CR2!$A$4:$K$18,OPR_CR3!$A$4:$K$18,OPR_CR4!$A$4:$K$18,OPR_RIM!$A$4:$K$18,OPR_BPR!$A$4:$K$18),11,0),9999)),0)),"NO COMPATIBLE MACHINE")))</f>
        <v/>
      </c>
      <c r="F45">
        <f>IF($E45="","",IFERROR(VLOOKUP($E45,Machine_List!$B:$G,6,0),""))</f>
        <v/>
      </c>
      <c r="G45" s="17">
        <f>IF($E45="","",IFERROR(VLOOKUP($E45,Machine_List!$B:$C,2,0),""))</f>
        <v/>
      </c>
      <c r="H45">
        <f>IF($E45="","",IFERROR(VLOOKUP($E45,Machine_List!$B:$D,3,0),""))</f>
        <v/>
      </c>
      <c r="J45" s="16">
        <f>IF($A45="","",IF($I45&lt;&gt;"",$I45,MAX(VENT_Plan!$M45,IFERROR(LOOKUP(2,1/($E$3:INDIRECT("E"&amp;(ROW()-1))=$E45),$M$3:INDIRECT("M"&amp;(ROW()-1))),VENT_Plan!$M45))))</f>
        <v/>
      </c>
      <c r="K45">
        <f>IF($A45="","",IFERROR(VLOOKUP(B45,CHOOSE(MATCH($C45,Settings!$L$4:$L$10,0),OPR_BR1!$A$4:$I$18,OPR_BR2!$A$4:$I$18,OPR_CR2!$A$4:$I$18,OPR_CR3!$A$4:$I$18,OPR_CR4!$A$4:$I$18,OPR_RIM!$A$4:$I$18,OPR_BPR!$A$4:$I$18),8,0),0))</f>
        <v/>
      </c>
      <c r="L45">
        <f>IF($A45="","",K45*D45)</f>
        <v/>
      </c>
      <c r="M45" s="16">
        <f>IF($A45="","",IF(AND(ISNUMBER(G45),G45&gt;=J45,G45&lt;=(J45+(L45/(IF(F45="Contract Workman",Settings!$K$5,Settings!$K$4))))),J45+(L45/(IF(F45="Contract Workman",Settings!$K$5,Settings!$K$4)))+(H45/(IF(F45="Contract Workman",Settings!$K$5,Settings!$K$4))),J45+(L45/(IF(F45="Contract Workman",Settings!$K$5,Settings!$K$4)))))</f>
        <v/>
      </c>
      <c r="N45">
        <f>IF($A45="","",IF(F45="Contract Workman",IF(AND(MOD(M45,1)&gt;=8/24,MOD(M45,1)&lt;20/24),"Shift S1","Shift S2"),IF(AND(MOD(M45,1)&gt;=7/24,MOD(M45,1)&lt;15/24),"Shift A",IF(AND(MOD(M45,1)&gt;=15/24,MOD(M45,1)&lt;23/24),"Shift B","Shift C"))))</f>
        <v/>
      </c>
      <c r="O45">
        <f>IF(B45="","",IF(IFERROR(ISNUMBER(SEARCH(TEXT(B45,"0"),VLOOKUP(E45,Machine_List!$B:$J,9,0))),FALSE),"✅ "&amp; E45,"❌ Sug: "&amp;IFERROR(INDEX(Machine_List!$B$72:$B$81,MATCH(1,(Machine_List!$H$72:$H$81&lt;=IFERROR(VLOOKUP($B45,OPR_BR1!$A$4:$K$18,10,0),0))*(Machine_List!$I$72:$I$81&gt;=IFERROR(VLOOKUP($B45,OPR_BR1!$A$4:$K$18,11,0),9999)),0)),"?")))</f>
        <v/>
      </c>
      <c r="P45">
        <f>IF(AND($A45&lt;&gt;"",P$3&gt;=$J45,P$3&lt;=$M45),1,"")</f>
        <v/>
      </c>
      <c r="Q45">
        <f>IF(AND($A45&lt;&gt;"",Q$3&gt;=$J45,Q$3&lt;=$M45),1,"")</f>
        <v/>
      </c>
      <c r="R45">
        <f>IF(AND($A45&lt;&gt;"",R$3&gt;=$J45,R$3&lt;=$M45),1,"")</f>
        <v/>
      </c>
      <c r="S45">
        <f>IF(AND($A45&lt;&gt;"",S$3&gt;=$J45,S$3&lt;=$M45),1,"")</f>
        <v/>
      </c>
      <c r="T45">
        <f>IF(AND($A45&lt;&gt;"",T$3&gt;=$J45,T$3&lt;=$M45),1,"")</f>
        <v/>
      </c>
      <c r="U45">
        <f>IF(AND($A45&lt;&gt;"",U$3&gt;=$J45,U$3&lt;=$M45),1,"")</f>
        <v/>
      </c>
      <c r="V45">
        <f>IF(AND($A45&lt;&gt;"",V$3&gt;=$J45,V$3&lt;=$M45),1,"")</f>
        <v/>
      </c>
      <c r="W45">
        <f>IF(AND($A45&lt;&gt;"",W$3&gt;=$J45,W$3&lt;=$M45),1,"")</f>
        <v/>
      </c>
      <c r="X45">
        <f>IF(AND($A45&lt;&gt;"",X$3&gt;=$J45,X$3&lt;=$M45),1,"")</f>
        <v/>
      </c>
      <c r="Y45">
        <f>IF(AND($A45&lt;&gt;"",Y$3&gt;=$J45,Y$3&lt;=$M45),1,"")</f>
        <v/>
      </c>
      <c r="Z45">
        <f>IF(AND($A45&lt;&gt;"",Z$3&gt;=$J45,Z$3&lt;=$M45),1,"")</f>
        <v/>
      </c>
      <c r="AA45">
        <f>IF(AND($A45&lt;&gt;"",AA$3&gt;=$J45,AA$3&lt;=$M45),1,"")</f>
        <v/>
      </c>
      <c r="AB45">
        <f>IF(AND($A45&lt;&gt;"",AB$3&gt;=$J45,AB$3&lt;=$M45),1,"")</f>
        <v/>
      </c>
      <c r="AC45">
        <f>IF(AND($A45&lt;&gt;"",AC$3&gt;=$J45,AC$3&lt;=$M45),1,"")</f>
        <v/>
      </c>
      <c r="AD45">
        <f>IF(AND($A45&lt;&gt;"",AD$3&gt;=$J45,AD$3&lt;=$M45),1,"")</f>
        <v/>
      </c>
      <c r="AE45">
        <f>IF(AND($A45&lt;&gt;"",AE$3&gt;=$J45,AE$3&lt;=$M45),1,"")</f>
        <v/>
      </c>
      <c r="AF45">
        <f>IF(AND($A45&lt;&gt;"",AF$3&gt;=$J45,AF$3&lt;=$M45),1,"")</f>
        <v/>
      </c>
      <c r="AG45">
        <f>IF(AND($A45&lt;&gt;"",AG$3&gt;=$J45,AG$3&lt;=$M45),1,"")</f>
        <v/>
      </c>
      <c r="AH45">
        <f>IF(AND($A45&lt;&gt;"",AH$3&gt;=$J45,AH$3&lt;=$M45),1,"")</f>
        <v/>
      </c>
      <c r="AI45">
        <f>IF(AND($A45&lt;&gt;"",AI$3&gt;=$J45,AI$3&lt;=$M45),1,"")</f>
        <v/>
      </c>
      <c r="AJ45">
        <f>IF(AND($A45&lt;&gt;"",AJ$3&gt;=$J45,AJ$3&lt;=$M45),1,"")</f>
        <v/>
      </c>
      <c r="AK45">
        <f>IF(AND($A45&lt;&gt;"",AK$3&gt;=$J45,AK$3&lt;=$M45),1,"")</f>
        <v/>
      </c>
      <c r="AL45">
        <f>IF(AND($A45&lt;&gt;"",AL$3&gt;=$J45,AL$3&lt;=$M45),1,"")</f>
        <v/>
      </c>
      <c r="AM45">
        <f>IF(AND($A45&lt;&gt;"",AM$3&gt;=$J45,AM$3&lt;=$M45),1,"")</f>
        <v/>
      </c>
      <c r="AN45">
        <f>IF(AND($A45&lt;&gt;"",AN$3&gt;=$J45,AN$3&lt;=$M45),1,"")</f>
        <v/>
      </c>
      <c r="AO45">
        <f>IF(AND($A45&lt;&gt;"",AO$3&gt;=$J45,AO$3&lt;=$M45),1,"")</f>
        <v/>
      </c>
      <c r="AP45">
        <f>IF(AND($A45&lt;&gt;"",AP$3&gt;=$J45,AP$3&lt;=$M45),1,"")</f>
        <v/>
      </c>
      <c r="AQ45">
        <f>IF(AND($A45&lt;&gt;"",AQ$3&gt;=$J45,AQ$3&lt;=$M45),1,"")</f>
        <v/>
      </c>
      <c r="AR45">
        <f>IF(AND($A45&lt;&gt;"",AR$3&gt;=$J45,AR$3&lt;=$M45),1,"")</f>
        <v/>
      </c>
      <c r="AS45">
        <f>IF(AND($A45&lt;&gt;"",AS$3&gt;=$J45,AS$3&lt;=$M45),1,"")</f>
        <v/>
      </c>
      <c r="AT45">
        <f>IF(AND($A45&lt;&gt;"",AT$3&gt;=$J45,AT$3&lt;=$M45),1,"")</f>
        <v/>
      </c>
      <c r="AU45">
        <f>IF(AND($A45&lt;&gt;"",AU$3&gt;=$J45,AU$3&lt;=$M45),1,"")</f>
        <v/>
      </c>
      <c r="AV45">
        <f>IF(AND($A45&lt;&gt;"",AV$3&gt;=$J45,AV$3&lt;=$M45),1,"")</f>
        <v/>
      </c>
      <c r="AW45">
        <f>IF(AND($A45&lt;&gt;"",AW$3&gt;=$J45,AW$3&lt;=$M45),1,"")</f>
        <v/>
      </c>
      <c r="AX45">
        <f>IF(AND($A45&lt;&gt;"",AX$3&gt;=$J45,AX$3&lt;=$M45),1,"")</f>
        <v/>
      </c>
      <c r="AY45">
        <f>IF(AND($A45&lt;&gt;"",AY$3&gt;=$J45,AY$3&lt;=$M45),1,"")</f>
        <v/>
      </c>
      <c r="AZ45">
        <f>IF(AND($A45&lt;&gt;"",AZ$3&gt;=$J45,AZ$3&lt;=$M45),1,"")</f>
        <v/>
      </c>
      <c r="BA45">
        <f>IF(AND($A45&lt;&gt;"",BA$3&gt;=$J45,BA$3&lt;=$M45),1,"")</f>
        <v/>
      </c>
      <c r="BB45">
        <f>IF(AND($A45&lt;&gt;"",BB$3&gt;=$J45,BB$3&lt;=$M45),1,"")</f>
        <v/>
      </c>
      <c r="BC45">
        <f>IF(AND($A45&lt;&gt;"",BC$3&gt;=$J45,BC$3&lt;=$M45),1,"")</f>
        <v/>
      </c>
      <c r="BD45">
        <f>IF(AND($A45&lt;&gt;"",BD$3&gt;=$J45,BD$3&lt;=$M45),1,"")</f>
        <v/>
      </c>
      <c r="BE45">
        <f>IF(AND($A45&lt;&gt;"",BE$3&gt;=$J45,BE$3&lt;=$M45),1,"")</f>
        <v/>
      </c>
      <c r="BF45">
        <f>IF(AND($A45&lt;&gt;"",BF$3&gt;=$J45,BF$3&lt;=$M45),1,"")</f>
        <v/>
      </c>
      <c r="BG45">
        <f>IF(AND($A45&lt;&gt;"",BG$3&gt;=$J45,BG$3&lt;=$M45),1,"")</f>
        <v/>
      </c>
      <c r="BH45">
        <f>IF(AND($A45&lt;&gt;"",BH$3&gt;=$J45,BH$3&lt;=$M45),1,"")</f>
        <v/>
      </c>
      <c r="BI45">
        <f>IF(AND($A45&lt;&gt;"",BI$3&gt;=$J45,BI$3&lt;=$M45),1,"")</f>
        <v/>
      </c>
      <c r="BJ45">
        <f>IF(AND($A45&lt;&gt;"",BJ$3&gt;=$J45,BJ$3&lt;=$M45),1,"")</f>
        <v/>
      </c>
      <c r="BK45">
        <f>IF(AND($A45&lt;&gt;"",BK$3&gt;=$J45,BK$3&lt;=$M45),1,"")</f>
        <v/>
      </c>
      <c r="BL45">
        <f>IF(AND($A45&lt;&gt;"",BL$3&gt;=$J45,BL$3&lt;=$M45),1,"")</f>
        <v/>
      </c>
      <c r="BM45">
        <f>IF(AND($A45&lt;&gt;"",BM$3&gt;=$J45,BM$3&lt;=$M45),1,"")</f>
        <v/>
      </c>
      <c r="BN45">
        <f>IF(AND($A45&lt;&gt;"",BN$3&gt;=$J45,BN$3&lt;=$M45),1,"")</f>
        <v/>
      </c>
      <c r="BO45">
        <f>IF(AND($A45&lt;&gt;"",BO$3&gt;=$J45,BO$3&lt;=$M45),1,"")</f>
        <v/>
      </c>
      <c r="BP45">
        <f>IF(AND($A45&lt;&gt;"",BP$3&gt;=$J45,BP$3&lt;=$M45),1,"")</f>
        <v/>
      </c>
      <c r="BQ45">
        <f>IF(AND($A45&lt;&gt;"",BQ$3&gt;=$J45,BQ$3&lt;=$M45),1,"")</f>
        <v/>
      </c>
      <c r="BR45">
        <f>IF(AND($A45&lt;&gt;"",BR$3&gt;=$J45,BR$3&lt;=$M45),1,"")</f>
        <v/>
      </c>
      <c r="BS45">
        <f>IF(AND($A45&lt;&gt;"",BS$3&gt;=$J45,BS$3&lt;=$M45),1,"")</f>
        <v/>
      </c>
      <c r="BT45">
        <f>IF(AND($A45&lt;&gt;"",BT$3&gt;=$J45,BT$3&lt;=$M45),1,"")</f>
        <v/>
      </c>
      <c r="BU45">
        <f>IF(AND($A45&lt;&gt;"",BU$3&gt;=$J45,BU$3&lt;=$M45),1,"")</f>
        <v/>
      </c>
      <c r="BV45">
        <f>IF(AND($A45&lt;&gt;"",BV$3&gt;=$J45,BV$3&lt;=$M45),1,"")</f>
        <v/>
      </c>
    </row>
    <row r="46">
      <c r="A46">
        <f>IF(Job_Master_Ring!$A46="","",Job_Master_Ring!$A46)</f>
        <v/>
      </c>
      <c r="B46">
        <f>IF($A46="","",Job_Master_Ring!B46)</f>
        <v/>
      </c>
      <c r="C46">
        <f>IF($A46="","",Job_Master_Ring!C46)</f>
        <v/>
      </c>
      <c r="D46">
        <f>IF($A46="","",Job_Master_Ring!D46)</f>
        <v/>
      </c>
      <c r="E46">
        <f>IF($A46="","",IF($I46&lt;&gt;"",$I46,IFERROR(INDEX(Machine_List!$B$72:$B$81,MATCH(1,(Machine_List!$H$72:$H$81&lt;=IFERROR(VLOOKUP($B46,CHOOSE(MATCH($C46,Settings!$L$4:$L$10,0),OPR_BR1!$A$4:$K$18,OPR_BR2!$A$4:$K$18,OPR_CR2!$A$4:$K$18,OPR_CR3!$A$4:$K$18,OPR_CR4!$A$4:$K$18,OPR_RIM!$A$4:$K$18,OPR_BPR!$A$4:$K$18),10,0),0))*(Machine_List!$I$72:$I$81&gt;=IFERROR(VLOOKUP($B46,CHOOSE(MATCH($C46,Settings!$L$4:$L$10,0),OPR_BR1!$A$4:$K$18,OPR_BR2!$A$4:$K$18,OPR_CR2!$A$4:$K$18,OPR_CR3!$A$4:$K$18,OPR_CR4!$A$4:$K$18,OPR_RIM!$A$4:$K$18,OPR_BPR!$A$4:$K$18),11,0),9999)),0)),"NO COMPATIBLE MACHINE")))</f>
        <v/>
      </c>
      <c r="F46">
        <f>IF($E46="","",IFERROR(VLOOKUP($E46,Machine_List!$B:$G,6,0),""))</f>
        <v/>
      </c>
      <c r="G46" s="17">
        <f>IF($E46="","",IFERROR(VLOOKUP($E46,Machine_List!$B:$C,2,0),""))</f>
        <v/>
      </c>
      <c r="H46">
        <f>IF($E46="","",IFERROR(VLOOKUP($E46,Machine_List!$B:$D,3,0),""))</f>
        <v/>
      </c>
      <c r="J46" s="16">
        <f>IF($A46="","",IF($I46&lt;&gt;"",$I46,MAX(VENT_Plan!$M46,IFERROR(LOOKUP(2,1/($E$3:INDIRECT("E"&amp;(ROW()-1))=$E46),$M$3:INDIRECT("M"&amp;(ROW()-1))),VENT_Plan!$M46))))</f>
        <v/>
      </c>
      <c r="K46">
        <f>IF($A46="","",IFERROR(VLOOKUP(B46,CHOOSE(MATCH($C46,Settings!$L$4:$L$10,0),OPR_BR1!$A$4:$I$18,OPR_BR2!$A$4:$I$18,OPR_CR2!$A$4:$I$18,OPR_CR3!$A$4:$I$18,OPR_CR4!$A$4:$I$18,OPR_RIM!$A$4:$I$18,OPR_BPR!$A$4:$I$18),8,0),0))</f>
        <v/>
      </c>
      <c r="L46">
        <f>IF($A46="","",K46*D46)</f>
        <v/>
      </c>
      <c r="M46" s="16">
        <f>IF($A46="","",IF(AND(ISNUMBER(G46),G46&gt;=J46,G46&lt;=(J46+(L46/(IF(F46="Contract Workman",Settings!$K$5,Settings!$K$4))))),J46+(L46/(IF(F46="Contract Workman",Settings!$K$5,Settings!$K$4)))+(H46/(IF(F46="Contract Workman",Settings!$K$5,Settings!$K$4))),J46+(L46/(IF(F46="Contract Workman",Settings!$K$5,Settings!$K$4)))))</f>
        <v/>
      </c>
      <c r="N46">
        <f>IF($A46="","",IF(F46="Contract Workman",IF(AND(MOD(M46,1)&gt;=8/24,MOD(M46,1)&lt;20/24),"Shift S1","Shift S2"),IF(AND(MOD(M46,1)&gt;=7/24,MOD(M46,1)&lt;15/24),"Shift A",IF(AND(MOD(M46,1)&gt;=15/24,MOD(M46,1)&lt;23/24),"Shift B","Shift C"))))</f>
        <v/>
      </c>
      <c r="O46">
        <f>IF(B46="","",IF(IFERROR(ISNUMBER(SEARCH(TEXT(B46,"0"),VLOOKUP(E46,Machine_List!$B:$J,9,0))),FALSE),"✅ "&amp; E46,"❌ Sug: "&amp;IFERROR(INDEX(Machine_List!$B$72:$B$81,MATCH(1,(Machine_List!$H$72:$H$81&lt;=IFERROR(VLOOKUP($B46,OPR_BR1!$A$4:$K$18,10,0),0))*(Machine_List!$I$72:$I$81&gt;=IFERROR(VLOOKUP($B46,OPR_BR1!$A$4:$K$18,11,0),9999)),0)),"?")))</f>
        <v/>
      </c>
      <c r="P46">
        <f>IF(AND($A46&lt;&gt;"",P$3&gt;=$J46,P$3&lt;=$M46),1,"")</f>
        <v/>
      </c>
      <c r="Q46">
        <f>IF(AND($A46&lt;&gt;"",Q$3&gt;=$J46,Q$3&lt;=$M46),1,"")</f>
        <v/>
      </c>
      <c r="R46">
        <f>IF(AND($A46&lt;&gt;"",R$3&gt;=$J46,R$3&lt;=$M46),1,"")</f>
        <v/>
      </c>
      <c r="S46">
        <f>IF(AND($A46&lt;&gt;"",S$3&gt;=$J46,S$3&lt;=$M46),1,"")</f>
        <v/>
      </c>
      <c r="T46">
        <f>IF(AND($A46&lt;&gt;"",T$3&gt;=$J46,T$3&lt;=$M46),1,"")</f>
        <v/>
      </c>
      <c r="U46">
        <f>IF(AND($A46&lt;&gt;"",U$3&gt;=$J46,U$3&lt;=$M46),1,"")</f>
        <v/>
      </c>
      <c r="V46">
        <f>IF(AND($A46&lt;&gt;"",V$3&gt;=$J46,V$3&lt;=$M46),1,"")</f>
        <v/>
      </c>
      <c r="W46">
        <f>IF(AND($A46&lt;&gt;"",W$3&gt;=$J46,W$3&lt;=$M46),1,"")</f>
        <v/>
      </c>
      <c r="X46">
        <f>IF(AND($A46&lt;&gt;"",X$3&gt;=$J46,X$3&lt;=$M46),1,"")</f>
        <v/>
      </c>
      <c r="Y46">
        <f>IF(AND($A46&lt;&gt;"",Y$3&gt;=$J46,Y$3&lt;=$M46),1,"")</f>
        <v/>
      </c>
      <c r="Z46">
        <f>IF(AND($A46&lt;&gt;"",Z$3&gt;=$J46,Z$3&lt;=$M46),1,"")</f>
        <v/>
      </c>
      <c r="AA46">
        <f>IF(AND($A46&lt;&gt;"",AA$3&gt;=$J46,AA$3&lt;=$M46),1,"")</f>
        <v/>
      </c>
      <c r="AB46">
        <f>IF(AND($A46&lt;&gt;"",AB$3&gt;=$J46,AB$3&lt;=$M46),1,"")</f>
        <v/>
      </c>
      <c r="AC46">
        <f>IF(AND($A46&lt;&gt;"",AC$3&gt;=$J46,AC$3&lt;=$M46),1,"")</f>
        <v/>
      </c>
      <c r="AD46">
        <f>IF(AND($A46&lt;&gt;"",AD$3&gt;=$J46,AD$3&lt;=$M46),1,"")</f>
        <v/>
      </c>
      <c r="AE46">
        <f>IF(AND($A46&lt;&gt;"",AE$3&gt;=$J46,AE$3&lt;=$M46),1,"")</f>
        <v/>
      </c>
      <c r="AF46">
        <f>IF(AND($A46&lt;&gt;"",AF$3&gt;=$J46,AF$3&lt;=$M46),1,"")</f>
        <v/>
      </c>
      <c r="AG46">
        <f>IF(AND($A46&lt;&gt;"",AG$3&gt;=$J46,AG$3&lt;=$M46),1,"")</f>
        <v/>
      </c>
      <c r="AH46">
        <f>IF(AND($A46&lt;&gt;"",AH$3&gt;=$J46,AH$3&lt;=$M46),1,"")</f>
        <v/>
      </c>
      <c r="AI46">
        <f>IF(AND($A46&lt;&gt;"",AI$3&gt;=$J46,AI$3&lt;=$M46),1,"")</f>
        <v/>
      </c>
      <c r="AJ46">
        <f>IF(AND($A46&lt;&gt;"",AJ$3&gt;=$J46,AJ$3&lt;=$M46),1,"")</f>
        <v/>
      </c>
      <c r="AK46">
        <f>IF(AND($A46&lt;&gt;"",AK$3&gt;=$J46,AK$3&lt;=$M46),1,"")</f>
        <v/>
      </c>
      <c r="AL46">
        <f>IF(AND($A46&lt;&gt;"",AL$3&gt;=$J46,AL$3&lt;=$M46),1,"")</f>
        <v/>
      </c>
      <c r="AM46">
        <f>IF(AND($A46&lt;&gt;"",AM$3&gt;=$J46,AM$3&lt;=$M46),1,"")</f>
        <v/>
      </c>
      <c r="AN46">
        <f>IF(AND($A46&lt;&gt;"",AN$3&gt;=$J46,AN$3&lt;=$M46),1,"")</f>
        <v/>
      </c>
      <c r="AO46">
        <f>IF(AND($A46&lt;&gt;"",AO$3&gt;=$J46,AO$3&lt;=$M46),1,"")</f>
        <v/>
      </c>
      <c r="AP46">
        <f>IF(AND($A46&lt;&gt;"",AP$3&gt;=$J46,AP$3&lt;=$M46),1,"")</f>
        <v/>
      </c>
      <c r="AQ46">
        <f>IF(AND($A46&lt;&gt;"",AQ$3&gt;=$J46,AQ$3&lt;=$M46),1,"")</f>
        <v/>
      </c>
      <c r="AR46">
        <f>IF(AND($A46&lt;&gt;"",AR$3&gt;=$J46,AR$3&lt;=$M46),1,"")</f>
        <v/>
      </c>
      <c r="AS46">
        <f>IF(AND($A46&lt;&gt;"",AS$3&gt;=$J46,AS$3&lt;=$M46),1,"")</f>
        <v/>
      </c>
      <c r="AT46">
        <f>IF(AND($A46&lt;&gt;"",AT$3&gt;=$J46,AT$3&lt;=$M46),1,"")</f>
        <v/>
      </c>
      <c r="AU46">
        <f>IF(AND($A46&lt;&gt;"",AU$3&gt;=$J46,AU$3&lt;=$M46),1,"")</f>
        <v/>
      </c>
      <c r="AV46">
        <f>IF(AND($A46&lt;&gt;"",AV$3&gt;=$J46,AV$3&lt;=$M46),1,"")</f>
        <v/>
      </c>
      <c r="AW46">
        <f>IF(AND($A46&lt;&gt;"",AW$3&gt;=$J46,AW$3&lt;=$M46),1,"")</f>
        <v/>
      </c>
      <c r="AX46">
        <f>IF(AND($A46&lt;&gt;"",AX$3&gt;=$J46,AX$3&lt;=$M46),1,"")</f>
        <v/>
      </c>
      <c r="AY46">
        <f>IF(AND($A46&lt;&gt;"",AY$3&gt;=$J46,AY$3&lt;=$M46),1,"")</f>
        <v/>
      </c>
      <c r="AZ46">
        <f>IF(AND($A46&lt;&gt;"",AZ$3&gt;=$J46,AZ$3&lt;=$M46),1,"")</f>
        <v/>
      </c>
      <c r="BA46">
        <f>IF(AND($A46&lt;&gt;"",BA$3&gt;=$J46,BA$3&lt;=$M46),1,"")</f>
        <v/>
      </c>
      <c r="BB46">
        <f>IF(AND($A46&lt;&gt;"",BB$3&gt;=$J46,BB$3&lt;=$M46),1,"")</f>
        <v/>
      </c>
      <c r="BC46">
        <f>IF(AND($A46&lt;&gt;"",BC$3&gt;=$J46,BC$3&lt;=$M46),1,"")</f>
        <v/>
      </c>
      <c r="BD46">
        <f>IF(AND($A46&lt;&gt;"",BD$3&gt;=$J46,BD$3&lt;=$M46),1,"")</f>
        <v/>
      </c>
      <c r="BE46">
        <f>IF(AND($A46&lt;&gt;"",BE$3&gt;=$J46,BE$3&lt;=$M46),1,"")</f>
        <v/>
      </c>
      <c r="BF46">
        <f>IF(AND($A46&lt;&gt;"",BF$3&gt;=$J46,BF$3&lt;=$M46),1,"")</f>
        <v/>
      </c>
      <c r="BG46">
        <f>IF(AND($A46&lt;&gt;"",BG$3&gt;=$J46,BG$3&lt;=$M46),1,"")</f>
        <v/>
      </c>
      <c r="BH46">
        <f>IF(AND($A46&lt;&gt;"",BH$3&gt;=$J46,BH$3&lt;=$M46),1,"")</f>
        <v/>
      </c>
      <c r="BI46">
        <f>IF(AND($A46&lt;&gt;"",BI$3&gt;=$J46,BI$3&lt;=$M46),1,"")</f>
        <v/>
      </c>
      <c r="BJ46">
        <f>IF(AND($A46&lt;&gt;"",BJ$3&gt;=$J46,BJ$3&lt;=$M46),1,"")</f>
        <v/>
      </c>
      <c r="BK46">
        <f>IF(AND($A46&lt;&gt;"",BK$3&gt;=$J46,BK$3&lt;=$M46),1,"")</f>
        <v/>
      </c>
      <c r="BL46">
        <f>IF(AND($A46&lt;&gt;"",BL$3&gt;=$J46,BL$3&lt;=$M46),1,"")</f>
        <v/>
      </c>
      <c r="BM46">
        <f>IF(AND($A46&lt;&gt;"",BM$3&gt;=$J46,BM$3&lt;=$M46),1,"")</f>
        <v/>
      </c>
      <c r="BN46">
        <f>IF(AND($A46&lt;&gt;"",BN$3&gt;=$J46,BN$3&lt;=$M46),1,"")</f>
        <v/>
      </c>
      <c r="BO46">
        <f>IF(AND($A46&lt;&gt;"",BO$3&gt;=$J46,BO$3&lt;=$M46),1,"")</f>
        <v/>
      </c>
      <c r="BP46">
        <f>IF(AND($A46&lt;&gt;"",BP$3&gt;=$J46,BP$3&lt;=$M46),1,"")</f>
        <v/>
      </c>
      <c r="BQ46">
        <f>IF(AND($A46&lt;&gt;"",BQ$3&gt;=$J46,BQ$3&lt;=$M46),1,"")</f>
        <v/>
      </c>
      <c r="BR46">
        <f>IF(AND($A46&lt;&gt;"",BR$3&gt;=$J46,BR$3&lt;=$M46),1,"")</f>
        <v/>
      </c>
      <c r="BS46">
        <f>IF(AND($A46&lt;&gt;"",BS$3&gt;=$J46,BS$3&lt;=$M46),1,"")</f>
        <v/>
      </c>
      <c r="BT46">
        <f>IF(AND($A46&lt;&gt;"",BT$3&gt;=$J46,BT$3&lt;=$M46),1,"")</f>
        <v/>
      </c>
      <c r="BU46">
        <f>IF(AND($A46&lt;&gt;"",BU$3&gt;=$J46,BU$3&lt;=$M46),1,"")</f>
        <v/>
      </c>
      <c r="BV46">
        <f>IF(AND($A46&lt;&gt;"",BV$3&gt;=$J46,BV$3&lt;=$M46),1,"")</f>
        <v/>
      </c>
    </row>
    <row r="47">
      <c r="A47">
        <f>IF(Job_Master_Ring!$A47="","",Job_Master_Ring!$A47)</f>
        <v/>
      </c>
      <c r="B47">
        <f>IF($A47="","",Job_Master_Ring!B47)</f>
        <v/>
      </c>
      <c r="C47">
        <f>IF($A47="","",Job_Master_Ring!C47)</f>
        <v/>
      </c>
      <c r="D47">
        <f>IF($A47="","",Job_Master_Ring!D47)</f>
        <v/>
      </c>
      <c r="E47">
        <f>IF($A47="","",IF($I47&lt;&gt;"",$I47,IFERROR(INDEX(Machine_List!$B$72:$B$81,MATCH(1,(Machine_List!$H$72:$H$81&lt;=IFERROR(VLOOKUP($B47,CHOOSE(MATCH($C47,Settings!$L$4:$L$10,0),OPR_BR1!$A$4:$K$18,OPR_BR2!$A$4:$K$18,OPR_CR2!$A$4:$K$18,OPR_CR3!$A$4:$K$18,OPR_CR4!$A$4:$K$18,OPR_RIM!$A$4:$K$18,OPR_BPR!$A$4:$K$18),10,0),0))*(Machine_List!$I$72:$I$81&gt;=IFERROR(VLOOKUP($B47,CHOOSE(MATCH($C47,Settings!$L$4:$L$10,0),OPR_BR1!$A$4:$K$18,OPR_BR2!$A$4:$K$18,OPR_CR2!$A$4:$K$18,OPR_CR3!$A$4:$K$18,OPR_CR4!$A$4:$K$18,OPR_RIM!$A$4:$K$18,OPR_BPR!$A$4:$K$18),11,0),9999)),0)),"NO COMPATIBLE MACHINE")))</f>
        <v/>
      </c>
      <c r="F47">
        <f>IF($E47="","",IFERROR(VLOOKUP($E47,Machine_List!$B:$G,6,0),""))</f>
        <v/>
      </c>
      <c r="G47" s="17">
        <f>IF($E47="","",IFERROR(VLOOKUP($E47,Machine_List!$B:$C,2,0),""))</f>
        <v/>
      </c>
      <c r="H47">
        <f>IF($E47="","",IFERROR(VLOOKUP($E47,Machine_List!$B:$D,3,0),""))</f>
        <v/>
      </c>
      <c r="J47" s="16">
        <f>IF($A47="","",IF($I47&lt;&gt;"",$I47,MAX(VENT_Plan!$M47,IFERROR(LOOKUP(2,1/($E$3:INDIRECT("E"&amp;(ROW()-1))=$E47),$M$3:INDIRECT("M"&amp;(ROW()-1))),VENT_Plan!$M47))))</f>
        <v/>
      </c>
      <c r="K47">
        <f>IF($A47="","",IFERROR(VLOOKUP(B47,CHOOSE(MATCH($C47,Settings!$L$4:$L$10,0),OPR_BR1!$A$4:$I$18,OPR_BR2!$A$4:$I$18,OPR_CR2!$A$4:$I$18,OPR_CR3!$A$4:$I$18,OPR_CR4!$A$4:$I$18,OPR_RIM!$A$4:$I$18,OPR_BPR!$A$4:$I$18),8,0),0))</f>
        <v/>
      </c>
      <c r="L47">
        <f>IF($A47="","",K47*D47)</f>
        <v/>
      </c>
      <c r="M47" s="16">
        <f>IF($A47="","",IF(AND(ISNUMBER(G47),G47&gt;=J47,G47&lt;=(J47+(L47/(IF(F47="Contract Workman",Settings!$K$5,Settings!$K$4))))),J47+(L47/(IF(F47="Contract Workman",Settings!$K$5,Settings!$K$4)))+(H47/(IF(F47="Contract Workman",Settings!$K$5,Settings!$K$4))),J47+(L47/(IF(F47="Contract Workman",Settings!$K$5,Settings!$K$4)))))</f>
        <v/>
      </c>
      <c r="N47">
        <f>IF($A47="","",IF(F47="Contract Workman",IF(AND(MOD(M47,1)&gt;=8/24,MOD(M47,1)&lt;20/24),"Shift S1","Shift S2"),IF(AND(MOD(M47,1)&gt;=7/24,MOD(M47,1)&lt;15/24),"Shift A",IF(AND(MOD(M47,1)&gt;=15/24,MOD(M47,1)&lt;23/24),"Shift B","Shift C"))))</f>
        <v/>
      </c>
      <c r="O47">
        <f>IF(B47="","",IF(IFERROR(ISNUMBER(SEARCH(TEXT(B47,"0"),VLOOKUP(E47,Machine_List!$B:$J,9,0))),FALSE),"✅ "&amp; E47,"❌ Sug: "&amp;IFERROR(INDEX(Machine_List!$B$72:$B$81,MATCH(1,(Machine_List!$H$72:$H$81&lt;=IFERROR(VLOOKUP($B47,OPR_BR1!$A$4:$K$18,10,0),0))*(Machine_List!$I$72:$I$81&gt;=IFERROR(VLOOKUP($B47,OPR_BR1!$A$4:$K$18,11,0),9999)),0)),"?")))</f>
        <v/>
      </c>
      <c r="P47">
        <f>IF(AND($A47&lt;&gt;"",P$3&gt;=$J47,P$3&lt;=$M47),1,"")</f>
        <v/>
      </c>
      <c r="Q47">
        <f>IF(AND($A47&lt;&gt;"",Q$3&gt;=$J47,Q$3&lt;=$M47),1,"")</f>
        <v/>
      </c>
      <c r="R47">
        <f>IF(AND($A47&lt;&gt;"",R$3&gt;=$J47,R$3&lt;=$M47),1,"")</f>
        <v/>
      </c>
      <c r="S47">
        <f>IF(AND($A47&lt;&gt;"",S$3&gt;=$J47,S$3&lt;=$M47),1,"")</f>
        <v/>
      </c>
      <c r="T47">
        <f>IF(AND($A47&lt;&gt;"",T$3&gt;=$J47,T$3&lt;=$M47),1,"")</f>
        <v/>
      </c>
      <c r="U47">
        <f>IF(AND($A47&lt;&gt;"",U$3&gt;=$J47,U$3&lt;=$M47),1,"")</f>
        <v/>
      </c>
      <c r="V47">
        <f>IF(AND($A47&lt;&gt;"",V$3&gt;=$J47,V$3&lt;=$M47),1,"")</f>
        <v/>
      </c>
      <c r="W47">
        <f>IF(AND($A47&lt;&gt;"",W$3&gt;=$J47,W$3&lt;=$M47),1,"")</f>
        <v/>
      </c>
      <c r="X47">
        <f>IF(AND($A47&lt;&gt;"",X$3&gt;=$J47,X$3&lt;=$M47),1,"")</f>
        <v/>
      </c>
      <c r="Y47">
        <f>IF(AND($A47&lt;&gt;"",Y$3&gt;=$J47,Y$3&lt;=$M47),1,"")</f>
        <v/>
      </c>
      <c r="Z47">
        <f>IF(AND($A47&lt;&gt;"",Z$3&gt;=$J47,Z$3&lt;=$M47),1,"")</f>
        <v/>
      </c>
      <c r="AA47">
        <f>IF(AND($A47&lt;&gt;"",AA$3&gt;=$J47,AA$3&lt;=$M47),1,"")</f>
        <v/>
      </c>
      <c r="AB47">
        <f>IF(AND($A47&lt;&gt;"",AB$3&gt;=$J47,AB$3&lt;=$M47),1,"")</f>
        <v/>
      </c>
      <c r="AC47">
        <f>IF(AND($A47&lt;&gt;"",AC$3&gt;=$J47,AC$3&lt;=$M47),1,"")</f>
        <v/>
      </c>
      <c r="AD47">
        <f>IF(AND($A47&lt;&gt;"",AD$3&gt;=$J47,AD$3&lt;=$M47),1,"")</f>
        <v/>
      </c>
      <c r="AE47">
        <f>IF(AND($A47&lt;&gt;"",AE$3&gt;=$J47,AE$3&lt;=$M47),1,"")</f>
        <v/>
      </c>
      <c r="AF47">
        <f>IF(AND($A47&lt;&gt;"",AF$3&gt;=$J47,AF$3&lt;=$M47),1,"")</f>
        <v/>
      </c>
      <c r="AG47">
        <f>IF(AND($A47&lt;&gt;"",AG$3&gt;=$J47,AG$3&lt;=$M47),1,"")</f>
        <v/>
      </c>
      <c r="AH47">
        <f>IF(AND($A47&lt;&gt;"",AH$3&gt;=$J47,AH$3&lt;=$M47),1,"")</f>
        <v/>
      </c>
      <c r="AI47">
        <f>IF(AND($A47&lt;&gt;"",AI$3&gt;=$J47,AI$3&lt;=$M47),1,"")</f>
        <v/>
      </c>
      <c r="AJ47">
        <f>IF(AND($A47&lt;&gt;"",AJ$3&gt;=$J47,AJ$3&lt;=$M47),1,"")</f>
        <v/>
      </c>
      <c r="AK47">
        <f>IF(AND($A47&lt;&gt;"",AK$3&gt;=$J47,AK$3&lt;=$M47),1,"")</f>
        <v/>
      </c>
      <c r="AL47">
        <f>IF(AND($A47&lt;&gt;"",AL$3&gt;=$J47,AL$3&lt;=$M47),1,"")</f>
        <v/>
      </c>
      <c r="AM47">
        <f>IF(AND($A47&lt;&gt;"",AM$3&gt;=$J47,AM$3&lt;=$M47),1,"")</f>
        <v/>
      </c>
      <c r="AN47">
        <f>IF(AND($A47&lt;&gt;"",AN$3&gt;=$J47,AN$3&lt;=$M47),1,"")</f>
        <v/>
      </c>
      <c r="AO47">
        <f>IF(AND($A47&lt;&gt;"",AO$3&gt;=$J47,AO$3&lt;=$M47),1,"")</f>
        <v/>
      </c>
      <c r="AP47">
        <f>IF(AND($A47&lt;&gt;"",AP$3&gt;=$J47,AP$3&lt;=$M47),1,"")</f>
        <v/>
      </c>
      <c r="AQ47">
        <f>IF(AND($A47&lt;&gt;"",AQ$3&gt;=$J47,AQ$3&lt;=$M47),1,"")</f>
        <v/>
      </c>
      <c r="AR47">
        <f>IF(AND($A47&lt;&gt;"",AR$3&gt;=$J47,AR$3&lt;=$M47),1,"")</f>
        <v/>
      </c>
      <c r="AS47">
        <f>IF(AND($A47&lt;&gt;"",AS$3&gt;=$J47,AS$3&lt;=$M47),1,"")</f>
        <v/>
      </c>
      <c r="AT47">
        <f>IF(AND($A47&lt;&gt;"",AT$3&gt;=$J47,AT$3&lt;=$M47),1,"")</f>
        <v/>
      </c>
      <c r="AU47">
        <f>IF(AND($A47&lt;&gt;"",AU$3&gt;=$J47,AU$3&lt;=$M47),1,"")</f>
        <v/>
      </c>
      <c r="AV47">
        <f>IF(AND($A47&lt;&gt;"",AV$3&gt;=$J47,AV$3&lt;=$M47),1,"")</f>
        <v/>
      </c>
      <c r="AW47">
        <f>IF(AND($A47&lt;&gt;"",AW$3&gt;=$J47,AW$3&lt;=$M47),1,"")</f>
        <v/>
      </c>
      <c r="AX47">
        <f>IF(AND($A47&lt;&gt;"",AX$3&gt;=$J47,AX$3&lt;=$M47),1,"")</f>
        <v/>
      </c>
      <c r="AY47">
        <f>IF(AND($A47&lt;&gt;"",AY$3&gt;=$J47,AY$3&lt;=$M47),1,"")</f>
        <v/>
      </c>
      <c r="AZ47">
        <f>IF(AND($A47&lt;&gt;"",AZ$3&gt;=$J47,AZ$3&lt;=$M47),1,"")</f>
        <v/>
      </c>
      <c r="BA47">
        <f>IF(AND($A47&lt;&gt;"",BA$3&gt;=$J47,BA$3&lt;=$M47),1,"")</f>
        <v/>
      </c>
      <c r="BB47">
        <f>IF(AND($A47&lt;&gt;"",BB$3&gt;=$J47,BB$3&lt;=$M47),1,"")</f>
        <v/>
      </c>
      <c r="BC47">
        <f>IF(AND($A47&lt;&gt;"",BC$3&gt;=$J47,BC$3&lt;=$M47),1,"")</f>
        <v/>
      </c>
      <c r="BD47">
        <f>IF(AND($A47&lt;&gt;"",BD$3&gt;=$J47,BD$3&lt;=$M47),1,"")</f>
        <v/>
      </c>
      <c r="BE47">
        <f>IF(AND($A47&lt;&gt;"",BE$3&gt;=$J47,BE$3&lt;=$M47),1,"")</f>
        <v/>
      </c>
      <c r="BF47">
        <f>IF(AND($A47&lt;&gt;"",BF$3&gt;=$J47,BF$3&lt;=$M47),1,"")</f>
        <v/>
      </c>
      <c r="BG47">
        <f>IF(AND($A47&lt;&gt;"",BG$3&gt;=$J47,BG$3&lt;=$M47),1,"")</f>
        <v/>
      </c>
      <c r="BH47">
        <f>IF(AND($A47&lt;&gt;"",BH$3&gt;=$J47,BH$3&lt;=$M47),1,"")</f>
        <v/>
      </c>
      <c r="BI47">
        <f>IF(AND($A47&lt;&gt;"",BI$3&gt;=$J47,BI$3&lt;=$M47),1,"")</f>
        <v/>
      </c>
      <c r="BJ47">
        <f>IF(AND($A47&lt;&gt;"",BJ$3&gt;=$J47,BJ$3&lt;=$M47),1,"")</f>
        <v/>
      </c>
      <c r="BK47">
        <f>IF(AND($A47&lt;&gt;"",BK$3&gt;=$J47,BK$3&lt;=$M47),1,"")</f>
        <v/>
      </c>
      <c r="BL47">
        <f>IF(AND($A47&lt;&gt;"",BL$3&gt;=$J47,BL$3&lt;=$M47),1,"")</f>
        <v/>
      </c>
      <c r="BM47">
        <f>IF(AND($A47&lt;&gt;"",BM$3&gt;=$J47,BM$3&lt;=$M47),1,"")</f>
        <v/>
      </c>
      <c r="BN47">
        <f>IF(AND($A47&lt;&gt;"",BN$3&gt;=$J47,BN$3&lt;=$M47),1,"")</f>
        <v/>
      </c>
      <c r="BO47">
        <f>IF(AND($A47&lt;&gt;"",BO$3&gt;=$J47,BO$3&lt;=$M47),1,"")</f>
        <v/>
      </c>
      <c r="BP47">
        <f>IF(AND($A47&lt;&gt;"",BP$3&gt;=$J47,BP$3&lt;=$M47),1,"")</f>
        <v/>
      </c>
      <c r="BQ47">
        <f>IF(AND($A47&lt;&gt;"",BQ$3&gt;=$J47,BQ$3&lt;=$M47),1,"")</f>
        <v/>
      </c>
      <c r="BR47">
        <f>IF(AND($A47&lt;&gt;"",BR$3&gt;=$J47,BR$3&lt;=$M47),1,"")</f>
        <v/>
      </c>
      <c r="BS47">
        <f>IF(AND($A47&lt;&gt;"",BS$3&gt;=$J47,BS$3&lt;=$M47),1,"")</f>
        <v/>
      </c>
      <c r="BT47">
        <f>IF(AND($A47&lt;&gt;"",BT$3&gt;=$J47,BT$3&lt;=$M47),1,"")</f>
        <v/>
      </c>
      <c r="BU47">
        <f>IF(AND($A47&lt;&gt;"",BU$3&gt;=$J47,BU$3&lt;=$M47),1,"")</f>
        <v/>
      </c>
      <c r="BV47">
        <f>IF(AND($A47&lt;&gt;"",BV$3&gt;=$J47,BV$3&lt;=$M47),1,"")</f>
        <v/>
      </c>
    </row>
    <row r="48">
      <c r="A48">
        <f>IF(Job_Master_Ring!$A48="","",Job_Master_Ring!$A48)</f>
        <v/>
      </c>
      <c r="B48">
        <f>IF($A48="","",Job_Master_Ring!B48)</f>
        <v/>
      </c>
      <c r="C48">
        <f>IF($A48="","",Job_Master_Ring!C48)</f>
        <v/>
      </c>
      <c r="D48">
        <f>IF($A48="","",Job_Master_Ring!D48)</f>
        <v/>
      </c>
      <c r="E48">
        <f>IF($A48="","",IF($I48&lt;&gt;"",$I48,IFERROR(INDEX(Machine_List!$B$72:$B$81,MATCH(1,(Machine_List!$H$72:$H$81&lt;=IFERROR(VLOOKUP($B48,CHOOSE(MATCH($C48,Settings!$L$4:$L$10,0),OPR_BR1!$A$4:$K$18,OPR_BR2!$A$4:$K$18,OPR_CR2!$A$4:$K$18,OPR_CR3!$A$4:$K$18,OPR_CR4!$A$4:$K$18,OPR_RIM!$A$4:$K$18,OPR_BPR!$A$4:$K$18),10,0),0))*(Machine_List!$I$72:$I$81&gt;=IFERROR(VLOOKUP($B48,CHOOSE(MATCH($C48,Settings!$L$4:$L$10,0),OPR_BR1!$A$4:$K$18,OPR_BR2!$A$4:$K$18,OPR_CR2!$A$4:$K$18,OPR_CR3!$A$4:$K$18,OPR_CR4!$A$4:$K$18,OPR_RIM!$A$4:$K$18,OPR_BPR!$A$4:$K$18),11,0),9999)),0)),"NO COMPATIBLE MACHINE")))</f>
        <v/>
      </c>
      <c r="F48">
        <f>IF($E48="","",IFERROR(VLOOKUP($E48,Machine_List!$B:$G,6,0),""))</f>
        <v/>
      </c>
      <c r="G48" s="17">
        <f>IF($E48="","",IFERROR(VLOOKUP($E48,Machine_List!$B:$C,2,0),""))</f>
        <v/>
      </c>
      <c r="H48">
        <f>IF($E48="","",IFERROR(VLOOKUP($E48,Machine_List!$B:$D,3,0),""))</f>
        <v/>
      </c>
      <c r="J48" s="16">
        <f>IF($A48="","",IF($I48&lt;&gt;"",$I48,MAX(VENT_Plan!$M48,IFERROR(LOOKUP(2,1/($E$3:INDIRECT("E"&amp;(ROW()-1))=$E48),$M$3:INDIRECT("M"&amp;(ROW()-1))),VENT_Plan!$M48))))</f>
        <v/>
      </c>
      <c r="K48">
        <f>IF($A48="","",IFERROR(VLOOKUP(B48,CHOOSE(MATCH($C48,Settings!$L$4:$L$10,0),OPR_BR1!$A$4:$I$18,OPR_BR2!$A$4:$I$18,OPR_CR2!$A$4:$I$18,OPR_CR3!$A$4:$I$18,OPR_CR4!$A$4:$I$18,OPR_RIM!$A$4:$I$18,OPR_BPR!$A$4:$I$18),8,0),0))</f>
        <v/>
      </c>
      <c r="L48">
        <f>IF($A48="","",K48*D48)</f>
        <v/>
      </c>
      <c r="M48" s="16">
        <f>IF($A48="","",IF(AND(ISNUMBER(G48),G48&gt;=J48,G48&lt;=(J48+(L48/(IF(F48="Contract Workman",Settings!$K$5,Settings!$K$4))))),J48+(L48/(IF(F48="Contract Workman",Settings!$K$5,Settings!$K$4)))+(H48/(IF(F48="Contract Workman",Settings!$K$5,Settings!$K$4))),J48+(L48/(IF(F48="Contract Workman",Settings!$K$5,Settings!$K$4)))))</f>
        <v/>
      </c>
      <c r="N48">
        <f>IF($A48="","",IF(F48="Contract Workman",IF(AND(MOD(M48,1)&gt;=8/24,MOD(M48,1)&lt;20/24),"Shift S1","Shift S2"),IF(AND(MOD(M48,1)&gt;=7/24,MOD(M48,1)&lt;15/24),"Shift A",IF(AND(MOD(M48,1)&gt;=15/24,MOD(M48,1)&lt;23/24),"Shift B","Shift C"))))</f>
        <v/>
      </c>
      <c r="O48">
        <f>IF(B48="","",IF(IFERROR(ISNUMBER(SEARCH(TEXT(B48,"0"),VLOOKUP(E48,Machine_List!$B:$J,9,0))),FALSE),"✅ "&amp; E48,"❌ Sug: "&amp;IFERROR(INDEX(Machine_List!$B$72:$B$81,MATCH(1,(Machine_List!$H$72:$H$81&lt;=IFERROR(VLOOKUP($B48,OPR_BR1!$A$4:$K$18,10,0),0))*(Machine_List!$I$72:$I$81&gt;=IFERROR(VLOOKUP($B48,OPR_BR1!$A$4:$K$18,11,0),9999)),0)),"?")))</f>
        <v/>
      </c>
      <c r="P48">
        <f>IF(AND($A48&lt;&gt;"",P$3&gt;=$J48,P$3&lt;=$M48),1,"")</f>
        <v/>
      </c>
      <c r="Q48">
        <f>IF(AND($A48&lt;&gt;"",Q$3&gt;=$J48,Q$3&lt;=$M48),1,"")</f>
        <v/>
      </c>
      <c r="R48">
        <f>IF(AND($A48&lt;&gt;"",R$3&gt;=$J48,R$3&lt;=$M48),1,"")</f>
        <v/>
      </c>
      <c r="S48">
        <f>IF(AND($A48&lt;&gt;"",S$3&gt;=$J48,S$3&lt;=$M48),1,"")</f>
        <v/>
      </c>
      <c r="T48">
        <f>IF(AND($A48&lt;&gt;"",T$3&gt;=$J48,T$3&lt;=$M48),1,"")</f>
        <v/>
      </c>
      <c r="U48">
        <f>IF(AND($A48&lt;&gt;"",U$3&gt;=$J48,U$3&lt;=$M48),1,"")</f>
        <v/>
      </c>
      <c r="V48">
        <f>IF(AND($A48&lt;&gt;"",V$3&gt;=$J48,V$3&lt;=$M48),1,"")</f>
        <v/>
      </c>
      <c r="W48">
        <f>IF(AND($A48&lt;&gt;"",W$3&gt;=$J48,W$3&lt;=$M48),1,"")</f>
        <v/>
      </c>
      <c r="X48">
        <f>IF(AND($A48&lt;&gt;"",X$3&gt;=$J48,X$3&lt;=$M48),1,"")</f>
        <v/>
      </c>
      <c r="Y48">
        <f>IF(AND($A48&lt;&gt;"",Y$3&gt;=$J48,Y$3&lt;=$M48),1,"")</f>
        <v/>
      </c>
      <c r="Z48">
        <f>IF(AND($A48&lt;&gt;"",Z$3&gt;=$J48,Z$3&lt;=$M48),1,"")</f>
        <v/>
      </c>
      <c r="AA48">
        <f>IF(AND($A48&lt;&gt;"",AA$3&gt;=$J48,AA$3&lt;=$M48),1,"")</f>
        <v/>
      </c>
      <c r="AB48">
        <f>IF(AND($A48&lt;&gt;"",AB$3&gt;=$J48,AB$3&lt;=$M48),1,"")</f>
        <v/>
      </c>
      <c r="AC48">
        <f>IF(AND($A48&lt;&gt;"",AC$3&gt;=$J48,AC$3&lt;=$M48),1,"")</f>
        <v/>
      </c>
      <c r="AD48">
        <f>IF(AND($A48&lt;&gt;"",AD$3&gt;=$J48,AD$3&lt;=$M48),1,"")</f>
        <v/>
      </c>
      <c r="AE48">
        <f>IF(AND($A48&lt;&gt;"",AE$3&gt;=$J48,AE$3&lt;=$M48),1,"")</f>
        <v/>
      </c>
      <c r="AF48">
        <f>IF(AND($A48&lt;&gt;"",AF$3&gt;=$J48,AF$3&lt;=$M48),1,"")</f>
        <v/>
      </c>
      <c r="AG48">
        <f>IF(AND($A48&lt;&gt;"",AG$3&gt;=$J48,AG$3&lt;=$M48),1,"")</f>
        <v/>
      </c>
      <c r="AH48">
        <f>IF(AND($A48&lt;&gt;"",AH$3&gt;=$J48,AH$3&lt;=$M48),1,"")</f>
        <v/>
      </c>
      <c r="AI48">
        <f>IF(AND($A48&lt;&gt;"",AI$3&gt;=$J48,AI$3&lt;=$M48),1,"")</f>
        <v/>
      </c>
      <c r="AJ48">
        <f>IF(AND($A48&lt;&gt;"",AJ$3&gt;=$J48,AJ$3&lt;=$M48),1,"")</f>
        <v/>
      </c>
      <c r="AK48">
        <f>IF(AND($A48&lt;&gt;"",AK$3&gt;=$J48,AK$3&lt;=$M48),1,"")</f>
        <v/>
      </c>
      <c r="AL48">
        <f>IF(AND($A48&lt;&gt;"",AL$3&gt;=$J48,AL$3&lt;=$M48),1,"")</f>
        <v/>
      </c>
      <c r="AM48">
        <f>IF(AND($A48&lt;&gt;"",AM$3&gt;=$J48,AM$3&lt;=$M48),1,"")</f>
        <v/>
      </c>
      <c r="AN48">
        <f>IF(AND($A48&lt;&gt;"",AN$3&gt;=$J48,AN$3&lt;=$M48),1,"")</f>
        <v/>
      </c>
      <c r="AO48">
        <f>IF(AND($A48&lt;&gt;"",AO$3&gt;=$J48,AO$3&lt;=$M48),1,"")</f>
        <v/>
      </c>
      <c r="AP48">
        <f>IF(AND($A48&lt;&gt;"",AP$3&gt;=$J48,AP$3&lt;=$M48),1,"")</f>
        <v/>
      </c>
      <c r="AQ48">
        <f>IF(AND($A48&lt;&gt;"",AQ$3&gt;=$J48,AQ$3&lt;=$M48),1,"")</f>
        <v/>
      </c>
      <c r="AR48">
        <f>IF(AND($A48&lt;&gt;"",AR$3&gt;=$J48,AR$3&lt;=$M48),1,"")</f>
        <v/>
      </c>
      <c r="AS48">
        <f>IF(AND($A48&lt;&gt;"",AS$3&gt;=$J48,AS$3&lt;=$M48),1,"")</f>
        <v/>
      </c>
      <c r="AT48">
        <f>IF(AND($A48&lt;&gt;"",AT$3&gt;=$J48,AT$3&lt;=$M48),1,"")</f>
        <v/>
      </c>
      <c r="AU48">
        <f>IF(AND($A48&lt;&gt;"",AU$3&gt;=$J48,AU$3&lt;=$M48),1,"")</f>
        <v/>
      </c>
      <c r="AV48">
        <f>IF(AND($A48&lt;&gt;"",AV$3&gt;=$J48,AV$3&lt;=$M48),1,"")</f>
        <v/>
      </c>
      <c r="AW48">
        <f>IF(AND($A48&lt;&gt;"",AW$3&gt;=$J48,AW$3&lt;=$M48),1,"")</f>
        <v/>
      </c>
      <c r="AX48">
        <f>IF(AND($A48&lt;&gt;"",AX$3&gt;=$J48,AX$3&lt;=$M48),1,"")</f>
        <v/>
      </c>
      <c r="AY48">
        <f>IF(AND($A48&lt;&gt;"",AY$3&gt;=$J48,AY$3&lt;=$M48),1,"")</f>
        <v/>
      </c>
      <c r="AZ48">
        <f>IF(AND($A48&lt;&gt;"",AZ$3&gt;=$J48,AZ$3&lt;=$M48),1,"")</f>
        <v/>
      </c>
      <c r="BA48">
        <f>IF(AND($A48&lt;&gt;"",BA$3&gt;=$J48,BA$3&lt;=$M48),1,"")</f>
        <v/>
      </c>
      <c r="BB48">
        <f>IF(AND($A48&lt;&gt;"",BB$3&gt;=$J48,BB$3&lt;=$M48),1,"")</f>
        <v/>
      </c>
      <c r="BC48">
        <f>IF(AND($A48&lt;&gt;"",BC$3&gt;=$J48,BC$3&lt;=$M48),1,"")</f>
        <v/>
      </c>
      <c r="BD48">
        <f>IF(AND($A48&lt;&gt;"",BD$3&gt;=$J48,BD$3&lt;=$M48),1,"")</f>
        <v/>
      </c>
      <c r="BE48">
        <f>IF(AND($A48&lt;&gt;"",BE$3&gt;=$J48,BE$3&lt;=$M48),1,"")</f>
        <v/>
      </c>
      <c r="BF48">
        <f>IF(AND($A48&lt;&gt;"",BF$3&gt;=$J48,BF$3&lt;=$M48),1,"")</f>
        <v/>
      </c>
      <c r="BG48">
        <f>IF(AND($A48&lt;&gt;"",BG$3&gt;=$J48,BG$3&lt;=$M48),1,"")</f>
        <v/>
      </c>
      <c r="BH48">
        <f>IF(AND($A48&lt;&gt;"",BH$3&gt;=$J48,BH$3&lt;=$M48),1,"")</f>
        <v/>
      </c>
      <c r="BI48">
        <f>IF(AND($A48&lt;&gt;"",BI$3&gt;=$J48,BI$3&lt;=$M48),1,"")</f>
        <v/>
      </c>
      <c r="BJ48">
        <f>IF(AND($A48&lt;&gt;"",BJ$3&gt;=$J48,BJ$3&lt;=$M48),1,"")</f>
        <v/>
      </c>
      <c r="BK48">
        <f>IF(AND($A48&lt;&gt;"",BK$3&gt;=$J48,BK$3&lt;=$M48),1,"")</f>
        <v/>
      </c>
      <c r="BL48">
        <f>IF(AND($A48&lt;&gt;"",BL$3&gt;=$J48,BL$3&lt;=$M48),1,"")</f>
        <v/>
      </c>
      <c r="BM48">
        <f>IF(AND($A48&lt;&gt;"",BM$3&gt;=$J48,BM$3&lt;=$M48),1,"")</f>
        <v/>
      </c>
      <c r="BN48">
        <f>IF(AND($A48&lt;&gt;"",BN$3&gt;=$J48,BN$3&lt;=$M48),1,"")</f>
        <v/>
      </c>
      <c r="BO48">
        <f>IF(AND($A48&lt;&gt;"",BO$3&gt;=$J48,BO$3&lt;=$M48),1,"")</f>
        <v/>
      </c>
      <c r="BP48">
        <f>IF(AND($A48&lt;&gt;"",BP$3&gt;=$J48,BP$3&lt;=$M48),1,"")</f>
        <v/>
      </c>
      <c r="BQ48">
        <f>IF(AND($A48&lt;&gt;"",BQ$3&gt;=$J48,BQ$3&lt;=$M48),1,"")</f>
        <v/>
      </c>
      <c r="BR48">
        <f>IF(AND($A48&lt;&gt;"",BR$3&gt;=$J48,BR$3&lt;=$M48),1,"")</f>
        <v/>
      </c>
      <c r="BS48">
        <f>IF(AND($A48&lt;&gt;"",BS$3&gt;=$J48,BS$3&lt;=$M48),1,"")</f>
        <v/>
      </c>
      <c r="BT48">
        <f>IF(AND($A48&lt;&gt;"",BT$3&gt;=$J48,BT$3&lt;=$M48),1,"")</f>
        <v/>
      </c>
      <c r="BU48">
        <f>IF(AND($A48&lt;&gt;"",BU$3&gt;=$J48,BU$3&lt;=$M48),1,"")</f>
        <v/>
      </c>
      <c r="BV48">
        <f>IF(AND($A48&lt;&gt;"",BV$3&gt;=$J48,BV$3&lt;=$M48),1,"")</f>
        <v/>
      </c>
    </row>
    <row r="49">
      <c r="A49">
        <f>IF(Job_Master_Ring!$A49="","",Job_Master_Ring!$A49)</f>
        <v/>
      </c>
      <c r="B49">
        <f>IF($A49="","",Job_Master_Ring!B49)</f>
        <v/>
      </c>
      <c r="C49">
        <f>IF($A49="","",Job_Master_Ring!C49)</f>
        <v/>
      </c>
      <c r="D49">
        <f>IF($A49="","",Job_Master_Ring!D49)</f>
        <v/>
      </c>
      <c r="E49">
        <f>IF($A49="","",IF($I49&lt;&gt;"",$I49,IFERROR(INDEX(Machine_List!$B$72:$B$81,MATCH(1,(Machine_List!$H$72:$H$81&lt;=IFERROR(VLOOKUP($B49,CHOOSE(MATCH($C49,Settings!$L$4:$L$10,0),OPR_BR1!$A$4:$K$18,OPR_BR2!$A$4:$K$18,OPR_CR2!$A$4:$K$18,OPR_CR3!$A$4:$K$18,OPR_CR4!$A$4:$K$18,OPR_RIM!$A$4:$K$18,OPR_BPR!$A$4:$K$18),10,0),0))*(Machine_List!$I$72:$I$81&gt;=IFERROR(VLOOKUP($B49,CHOOSE(MATCH($C49,Settings!$L$4:$L$10,0),OPR_BR1!$A$4:$K$18,OPR_BR2!$A$4:$K$18,OPR_CR2!$A$4:$K$18,OPR_CR3!$A$4:$K$18,OPR_CR4!$A$4:$K$18,OPR_RIM!$A$4:$K$18,OPR_BPR!$A$4:$K$18),11,0),9999)),0)),"NO COMPATIBLE MACHINE")))</f>
        <v/>
      </c>
      <c r="F49">
        <f>IF($E49="","",IFERROR(VLOOKUP($E49,Machine_List!$B:$G,6,0),""))</f>
        <v/>
      </c>
      <c r="G49" s="17">
        <f>IF($E49="","",IFERROR(VLOOKUP($E49,Machine_List!$B:$C,2,0),""))</f>
        <v/>
      </c>
      <c r="H49">
        <f>IF($E49="","",IFERROR(VLOOKUP($E49,Machine_List!$B:$D,3,0),""))</f>
        <v/>
      </c>
      <c r="J49" s="16">
        <f>IF($A49="","",IF($I49&lt;&gt;"",$I49,MAX(VENT_Plan!$M49,IFERROR(LOOKUP(2,1/($E$3:INDIRECT("E"&amp;(ROW()-1))=$E49),$M$3:INDIRECT("M"&amp;(ROW()-1))),VENT_Plan!$M49))))</f>
        <v/>
      </c>
      <c r="K49">
        <f>IF($A49="","",IFERROR(VLOOKUP(B49,CHOOSE(MATCH($C49,Settings!$L$4:$L$10,0),OPR_BR1!$A$4:$I$18,OPR_BR2!$A$4:$I$18,OPR_CR2!$A$4:$I$18,OPR_CR3!$A$4:$I$18,OPR_CR4!$A$4:$I$18,OPR_RIM!$A$4:$I$18,OPR_BPR!$A$4:$I$18),8,0),0))</f>
        <v/>
      </c>
      <c r="L49">
        <f>IF($A49="","",K49*D49)</f>
        <v/>
      </c>
      <c r="M49" s="16">
        <f>IF($A49="","",IF(AND(ISNUMBER(G49),G49&gt;=J49,G49&lt;=(J49+(L49/(IF(F49="Contract Workman",Settings!$K$5,Settings!$K$4))))),J49+(L49/(IF(F49="Contract Workman",Settings!$K$5,Settings!$K$4)))+(H49/(IF(F49="Contract Workman",Settings!$K$5,Settings!$K$4))),J49+(L49/(IF(F49="Contract Workman",Settings!$K$5,Settings!$K$4)))))</f>
        <v/>
      </c>
      <c r="N49">
        <f>IF($A49="","",IF(F49="Contract Workman",IF(AND(MOD(M49,1)&gt;=8/24,MOD(M49,1)&lt;20/24),"Shift S1","Shift S2"),IF(AND(MOD(M49,1)&gt;=7/24,MOD(M49,1)&lt;15/24),"Shift A",IF(AND(MOD(M49,1)&gt;=15/24,MOD(M49,1)&lt;23/24),"Shift B","Shift C"))))</f>
        <v/>
      </c>
      <c r="O49">
        <f>IF(B49="","",IF(IFERROR(ISNUMBER(SEARCH(TEXT(B49,"0"),VLOOKUP(E49,Machine_List!$B:$J,9,0))),FALSE),"✅ "&amp; E49,"❌ Sug: "&amp;IFERROR(INDEX(Machine_List!$B$72:$B$81,MATCH(1,(Machine_List!$H$72:$H$81&lt;=IFERROR(VLOOKUP($B49,OPR_BR1!$A$4:$K$18,10,0),0))*(Machine_List!$I$72:$I$81&gt;=IFERROR(VLOOKUP($B49,OPR_BR1!$A$4:$K$18,11,0),9999)),0)),"?")))</f>
        <v/>
      </c>
      <c r="P49">
        <f>IF(AND($A49&lt;&gt;"",P$3&gt;=$J49,P$3&lt;=$M49),1,"")</f>
        <v/>
      </c>
      <c r="Q49">
        <f>IF(AND($A49&lt;&gt;"",Q$3&gt;=$J49,Q$3&lt;=$M49),1,"")</f>
        <v/>
      </c>
      <c r="R49">
        <f>IF(AND($A49&lt;&gt;"",R$3&gt;=$J49,R$3&lt;=$M49),1,"")</f>
        <v/>
      </c>
      <c r="S49">
        <f>IF(AND($A49&lt;&gt;"",S$3&gt;=$J49,S$3&lt;=$M49),1,"")</f>
        <v/>
      </c>
      <c r="T49">
        <f>IF(AND($A49&lt;&gt;"",T$3&gt;=$J49,T$3&lt;=$M49),1,"")</f>
        <v/>
      </c>
      <c r="U49">
        <f>IF(AND($A49&lt;&gt;"",U$3&gt;=$J49,U$3&lt;=$M49),1,"")</f>
        <v/>
      </c>
      <c r="V49">
        <f>IF(AND($A49&lt;&gt;"",V$3&gt;=$J49,V$3&lt;=$M49),1,"")</f>
        <v/>
      </c>
      <c r="W49">
        <f>IF(AND($A49&lt;&gt;"",W$3&gt;=$J49,W$3&lt;=$M49),1,"")</f>
        <v/>
      </c>
      <c r="X49">
        <f>IF(AND($A49&lt;&gt;"",X$3&gt;=$J49,X$3&lt;=$M49),1,"")</f>
        <v/>
      </c>
      <c r="Y49">
        <f>IF(AND($A49&lt;&gt;"",Y$3&gt;=$J49,Y$3&lt;=$M49),1,"")</f>
        <v/>
      </c>
      <c r="Z49">
        <f>IF(AND($A49&lt;&gt;"",Z$3&gt;=$J49,Z$3&lt;=$M49),1,"")</f>
        <v/>
      </c>
      <c r="AA49">
        <f>IF(AND($A49&lt;&gt;"",AA$3&gt;=$J49,AA$3&lt;=$M49),1,"")</f>
        <v/>
      </c>
      <c r="AB49">
        <f>IF(AND($A49&lt;&gt;"",AB$3&gt;=$J49,AB$3&lt;=$M49),1,"")</f>
        <v/>
      </c>
      <c r="AC49">
        <f>IF(AND($A49&lt;&gt;"",AC$3&gt;=$J49,AC$3&lt;=$M49),1,"")</f>
        <v/>
      </c>
      <c r="AD49">
        <f>IF(AND($A49&lt;&gt;"",AD$3&gt;=$J49,AD$3&lt;=$M49),1,"")</f>
        <v/>
      </c>
      <c r="AE49">
        <f>IF(AND($A49&lt;&gt;"",AE$3&gt;=$J49,AE$3&lt;=$M49),1,"")</f>
        <v/>
      </c>
      <c r="AF49">
        <f>IF(AND($A49&lt;&gt;"",AF$3&gt;=$J49,AF$3&lt;=$M49),1,"")</f>
        <v/>
      </c>
      <c r="AG49">
        <f>IF(AND($A49&lt;&gt;"",AG$3&gt;=$J49,AG$3&lt;=$M49),1,"")</f>
        <v/>
      </c>
      <c r="AH49">
        <f>IF(AND($A49&lt;&gt;"",AH$3&gt;=$J49,AH$3&lt;=$M49),1,"")</f>
        <v/>
      </c>
      <c r="AI49">
        <f>IF(AND($A49&lt;&gt;"",AI$3&gt;=$J49,AI$3&lt;=$M49),1,"")</f>
        <v/>
      </c>
      <c r="AJ49">
        <f>IF(AND($A49&lt;&gt;"",AJ$3&gt;=$J49,AJ$3&lt;=$M49),1,"")</f>
        <v/>
      </c>
      <c r="AK49">
        <f>IF(AND($A49&lt;&gt;"",AK$3&gt;=$J49,AK$3&lt;=$M49),1,"")</f>
        <v/>
      </c>
      <c r="AL49">
        <f>IF(AND($A49&lt;&gt;"",AL$3&gt;=$J49,AL$3&lt;=$M49),1,"")</f>
        <v/>
      </c>
      <c r="AM49">
        <f>IF(AND($A49&lt;&gt;"",AM$3&gt;=$J49,AM$3&lt;=$M49),1,"")</f>
        <v/>
      </c>
      <c r="AN49">
        <f>IF(AND($A49&lt;&gt;"",AN$3&gt;=$J49,AN$3&lt;=$M49),1,"")</f>
        <v/>
      </c>
      <c r="AO49">
        <f>IF(AND($A49&lt;&gt;"",AO$3&gt;=$J49,AO$3&lt;=$M49),1,"")</f>
        <v/>
      </c>
      <c r="AP49">
        <f>IF(AND($A49&lt;&gt;"",AP$3&gt;=$J49,AP$3&lt;=$M49),1,"")</f>
        <v/>
      </c>
      <c r="AQ49">
        <f>IF(AND($A49&lt;&gt;"",AQ$3&gt;=$J49,AQ$3&lt;=$M49),1,"")</f>
        <v/>
      </c>
      <c r="AR49">
        <f>IF(AND($A49&lt;&gt;"",AR$3&gt;=$J49,AR$3&lt;=$M49),1,"")</f>
        <v/>
      </c>
      <c r="AS49">
        <f>IF(AND($A49&lt;&gt;"",AS$3&gt;=$J49,AS$3&lt;=$M49),1,"")</f>
        <v/>
      </c>
      <c r="AT49">
        <f>IF(AND($A49&lt;&gt;"",AT$3&gt;=$J49,AT$3&lt;=$M49),1,"")</f>
        <v/>
      </c>
      <c r="AU49">
        <f>IF(AND($A49&lt;&gt;"",AU$3&gt;=$J49,AU$3&lt;=$M49),1,"")</f>
        <v/>
      </c>
      <c r="AV49">
        <f>IF(AND($A49&lt;&gt;"",AV$3&gt;=$J49,AV$3&lt;=$M49),1,"")</f>
        <v/>
      </c>
      <c r="AW49">
        <f>IF(AND($A49&lt;&gt;"",AW$3&gt;=$J49,AW$3&lt;=$M49),1,"")</f>
        <v/>
      </c>
      <c r="AX49">
        <f>IF(AND($A49&lt;&gt;"",AX$3&gt;=$J49,AX$3&lt;=$M49),1,"")</f>
        <v/>
      </c>
      <c r="AY49">
        <f>IF(AND($A49&lt;&gt;"",AY$3&gt;=$J49,AY$3&lt;=$M49),1,"")</f>
        <v/>
      </c>
      <c r="AZ49">
        <f>IF(AND($A49&lt;&gt;"",AZ$3&gt;=$J49,AZ$3&lt;=$M49),1,"")</f>
        <v/>
      </c>
      <c r="BA49">
        <f>IF(AND($A49&lt;&gt;"",BA$3&gt;=$J49,BA$3&lt;=$M49),1,"")</f>
        <v/>
      </c>
      <c r="BB49">
        <f>IF(AND($A49&lt;&gt;"",BB$3&gt;=$J49,BB$3&lt;=$M49),1,"")</f>
        <v/>
      </c>
      <c r="BC49">
        <f>IF(AND($A49&lt;&gt;"",BC$3&gt;=$J49,BC$3&lt;=$M49),1,"")</f>
        <v/>
      </c>
      <c r="BD49">
        <f>IF(AND($A49&lt;&gt;"",BD$3&gt;=$J49,BD$3&lt;=$M49),1,"")</f>
        <v/>
      </c>
      <c r="BE49">
        <f>IF(AND($A49&lt;&gt;"",BE$3&gt;=$J49,BE$3&lt;=$M49),1,"")</f>
        <v/>
      </c>
      <c r="BF49">
        <f>IF(AND($A49&lt;&gt;"",BF$3&gt;=$J49,BF$3&lt;=$M49),1,"")</f>
        <v/>
      </c>
      <c r="BG49">
        <f>IF(AND($A49&lt;&gt;"",BG$3&gt;=$J49,BG$3&lt;=$M49),1,"")</f>
        <v/>
      </c>
      <c r="BH49">
        <f>IF(AND($A49&lt;&gt;"",BH$3&gt;=$J49,BH$3&lt;=$M49),1,"")</f>
        <v/>
      </c>
      <c r="BI49">
        <f>IF(AND($A49&lt;&gt;"",BI$3&gt;=$J49,BI$3&lt;=$M49),1,"")</f>
        <v/>
      </c>
      <c r="BJ49">
        <f>IF(AND($A49&lt;&gt;"",BJ$3&gt;=$J49,BJ$3&lt;=$M49),1,"")</f>
        <v/>
      </c>
      <c r="BK49">
        <f>IF(AND($A49&lt;&gt;"",BK$3&gt;=$J49,BK$3&lt;=$M49),1,"")</f>
        <v/>
      </c>
      <c r="BL49">
        <f>IF(AND($A49&lt;&gt;"",BL$3&gt;=$J49,BL$3&lt;=$M49),1,"")</f>
        <v/>
      </c>
      <c r="BM49">
        <f>IF(AND($A49&lt;&gt;"",BM$3&gt;=$J49,BM$3&lt;=$M49),1,"")</f>
        <v/>
      </c>
      <c r="BN49">
        <f>IF(AND($A49&lt;&gt;"",BN$3&gt;=$J49,BN$3&lt;=$M49),1,"")</f>
        <v/>
      </c>
      <c r="BO49">
        <f>IF(AND($A49&lt;&gt;"",BO$3&gt;=$J49,BO$3&lt;=$M49),1,"")</f>
        <v/>
      </c>
      <c r="BP49">
        <f>IF(AND($A49&lt;&gt;"",BP$3&gt;=$J49,BP$3&lt;=$M49),1,"")</f>
        <v/>
      </c>
      <c r="BQ49">
        <f>IF(AND($A49&lt;&gt;"",BQ$3&gt;=$J49,BQ$3&lt;=$M49),1,"")</f>
        <v/>
      </c>
      <c r="BR49">
        <f>IF(AND($A49&lt;&gt;"",BR$3&gt;=$J49,BR$3&lt;=$M49),1,"")</f>
        <v/>
      </c>
      <c r="BS49">
        <f>IF(AND($A49&lt;&gt;"",BS$3&gt;=$J49,BS$3&lt;=$M49),1,"")</f>
        <v/>
      </c>
      <c r="BT49">
        <f>IF(AND($A49&lt;&gt;"",BT$3&gt;=$J49,BT$3&lt;=$M49),1,"")</f>
        <v/>
      </c>
      <c r="BU49">
        <f>IF(AND($A49&lt;&gt;"",BU$3&gt;=$J49,BU$3&lt;=$M49),1,"")</f>
        <v/>
      </c>
      <c r="BV49">
        <f>IF(AND($A49&lt;&gt;"",BV$3&gt;=$J49,BV$3&lt;=$M49),1,"")</f>
        <v/>
      </c>
    </row>
    <row r="50">
      <c r="A50">
        <f>IF(Job_Master_Ring!$A50="","",Job_Master_Ring!$A50)</f>
        <v/>
      </c>
      <c r="B50">
        <f>IF($A50="","",Job_Master_Ring!B50)</f>
        <v/>
      </c>
      <c r="C50">
        <f>IF($A50="","",Job_Master_Ring!C50)</f>
        <v/>
      </c>
      <c r="D50">
        <f>IF($A50="","",Job_Master_Ring!D50)</f>
        <v/>
      </c>
      <c r="E50">
        <f>IF($A50="","",IF($I50&lt;&gt;"",$I50,IFERROR(INDEX(Machine_List!$B$72:$B$81,MATCH(1,(Machine_List!$H$72:$H$81&lt;=IFERROR(VLOOKUP($B50,CHOOSE(MATCH($C50,Settings!$L$4:$L$10,0),OPR_BR1!$A$4:$K$18,OPR_BR2!$A$4:$K$18,OPR_CR2!$A$4:$K$18,OPR_CR3!$A$4:$K$18,OPR_CR4!$A$4:$K$18,OPR_RIM!$A$4:$K$18,OPR_BPR!$A$4:$K$18),10,0),0))*(Machine_List!$I$72:$I$81&gt;=IFERROR(VLOOKUP($B50,CHOOSE(MATCH($C50,Settings!$L$4:$L$10,0),OPR_BR1!$A$4:$K$18,OPR_BR2!$A$4:$K$18,OPR_CR2!$A$4:$K$18,OPR_CR3!$A$4:$K$18,OPR_CR4!$A$4:$K$18,OPR_RIM!$A$4:$K$18,OPR_BPR!$A$4:$K$18),11,0),9999)),0)),"NO COMPATIBLE MACHINE")))</f>
        <v/>
      </c>
      <c r="F50">
        <f>IF($E50="","",IFERROR(VLOOKUP($E50,Machine_List!$B:$G,6,0),""))</f>
        <v/>
      </c>
      <c r="G50" s="17">
        <f>IF($E50="","",IFERROR(VLOOKUP($E50,Machine_List!$B:$C,2,0),""))</f>
        <v/>
      </c>
      <c r="H50">
        <f>IF($E50="","",IFERROR(VLOOKUP($E50,Machine_List!$B:$D,3,0),""))</f>
        <v/>
      </c>
      <c r="J50" s="16">
        <f>IF($A50="","",IF($I50&lt;&gt;"",$I50,MAX(VENT_Plan!$M50,IFERROR(LOOKUP(2,1/($E$3:INDIRECT("E"&amp;(ROW()-1))=$E50),$M$3:INDIRECT("M"&amp;(ROW()-1))),VENT_Plan!$M50))))</f>
        <v/>
      </c>
      <c r="K50">
        <f>IF($A50="","",IFERROR(VLOOKUP(B50,CHOOSE(MATCH($C50,Settings!$L$4:$L$10,0),OPR_BR1!$A$4:$I$18,OPR_BR2!$A$4:$I$18,OPR_CR2!$A$4:$I$18,OPR_CR3!$A$4:$I$18,OPR_CR4!$A$4:$I$18,OPR_RIM!$A$4:$I$18,OPR_BPR!$A$4:$I$18),8,0),0))</f>
        <v/>
      </c>
      <c r="L50">
        <f>IF($A50="","",K50*D50)</f>
        <v/>
      </c>
      <c r="M50" s="16">
        <f>IF($A50="","",IF(AND(ISNUMBER(G50),G50&gt;=J50,G50&lt;=(J50+(L50/(IF(F50="Contract Workman",Settings!$K$5,Settings!$K$4))))),J50+(L50/(IF(F50="Contract Workman",Settings!$K$5,Settings!$K$4)))+(H50/(IF(F50="Contract Workman",Settings!$K$5,Settings!$K$4))),J50+(L50/(IF(F50="Contract Workman",Settings!$K$5,Settings!$K$4)))))</f>
        <v/>
      </c>
      <c r="N50">
        <f>IF($A50="","",IF(F50="Contract Workman",IF(AND(MOD(M50,1)&gt;=8/24,MOD(M50,1)&lt;20/24),"Shift S1","Shift S2"),IF(AND(MOD(M50,1)&gt;=7/24,MOD(M50,1)&lt;15/24),"Shift A",IF(AND(MOD(M50,1)&gt;=15/24,MOD(M50,1)&lt;23/24),"Shift B","Shift C"))))</f>
        <v/>
      </c>
      <c r="O50">
        <f>IF(B50="","",IF(IFERROR(ISNUMBER(SEARCH(TEXT(B50,"0"),VLOOKUP(E50,Machine_List!$B:$J,9,0))),FALSE),"✅ "&amp; E50,"❌ Sug: "&amp;IFERROR(INDEX(Machine_List!$B$72:$B$81,MATCH(1,(Machine_List!$H$72:$H$81&lt;=IFERROR(VLOOKUP($B50,OPR_BR1!$A$4:$K$18,10,0),0))*(Machine_List!$I$72:$I$81&gt;=IFERROR(VLOOKUP($B50,OPR_BR1!$A$4:$K$18,11,0),9999)),0)),"?")))</f>
        <v/>
      </c>
      <c r="P50">
        <f>IF(AND($A50&lt;&gt;"",P$3&gt;=$J50,P$3&lt;=$M50),1,"")</f>
        <v/>
      </c>
      <c r="Q50">
        <f>IF(AND($A50&lt;&gt;"",Q$3&gt;=$J50,Q$3&lt;=$M50),1,"")</f>
        <v/>
      </c>
      <c r="R50">
        <f>IF(AND($A50&lt;&gt;"",R$3&gt;=$J50,R$3&lt;=$M50),1,"")</f>
        <v/>
      </c>
      <c r="S50">
        <f>IF(AND($A50&lt;&gt;"",S$3&gt;=$J50,S$3&lt;=$M50),1,"")</f>
        <v/>
      </c>
      <c r="T50">
        <f>IF(AND($A50&lt;&gt;"",T$3&gt;=$J50,T$3&lt;=$M50),1,"")</f>
        <v/>
      </c>
      <c r="U50">
        <f>IF(AND($A50&lt;&gt;"",U$3&gt;=$J50,U$3&lt;=$M50),1,"")</f>
        <v/>
      </c>
      <c r="V50">
        <f>IF(AND($A50&lt;&gt;"",V$3&gt;=$J50,V$3&lt;=$M50),1,"")</f>
        <v/>
      </c>
      <c r="W50">
        <f>IF(AND($A50&lt;&gt;"",W$3&gt;=$J50,W$3&lt;=$M50),1,"")</f>
        <v/>
      </c>
      <c r="X50">
        <f>IF(AND($A50&lt;&gt;"",X$3&gt;=$J50,X$3&lt;=$M50),1,"")</f>
        <v/>
      </c>
      <c r="Y50">
        <f>IF(AND($A50&lt;&gt;"",Y$3&gt;=$J50,Y$3&lt;=$M50),1,"")</f>
        <v/>
      </c>
      <c r="Z50">
        <f>IF(AND($A50&lt;&gt;"",Z$3&gt;=$J50,Z$3&lt;=$M50),1,"")</f>
        <v/>
      </c>
      <c r="AA50">
        <f>IF(AND($A50&lt;&gt;"",AA$3&gt;=$J50,AA$3&lt;=$M50),1,"")</f>
        <v/>
      </c>
      <c r="AB50">
        <f>IF(AND($A50&lt;&gt;"",AB$3&gt;=$J50,AB$3&lt;=$M50),1,"")</f>
        <v/>
      </c>
      <c r="AC50">
        <f>IF(AND($A50&lt;&gt;"",AC$3&gt;=$J50,AC$3&lt;=$M50),1,"")</f>
        <v/>
      </c>
      <c r="AD50">
        <f>IF(AND($A50&lt;&gt;"",AD$3&gt;=$J50,AD$3&lt;=$M50),1,"")</f>
        <v/>
      </c>
      <c r="AE50">
        <f>IF(AND($A50&lt;&gt;"",AE$3&gt;=$J50,AE$3&lt;=$M50),1,"")</f>
        <v/>
      </c>
      <c r="AF50">
        <f>IF(AND($A50&lt;&gt;"",AF$3&gt;=$J50,AF$3&lt;=$M50),1,"")</f>
        <v/>
      </c>
      <c r="AG50">
        <f>IF(AND($A50&lt;&gt;"",AG$3&gt;=$J50,AG$3&lt;=$M50),1,"")</f>
        <v/>
      </c>
      <c r="AH50">
        <f>IF(AND($A50&lt;&gt;"",AH$3&gt;=$J50,AH$3&lt;=$M50),1,"")</f>
        <v/>
      </c>
      <c r="AI50">
        <f>IF(AND($A50&lt;&gt;"",AI$3&gt;=$J50,AI$3&lt;=$M50),1,"")</f>
        <v/>
      </c>
      <c r="AJ50">
        <f>IF(AND($A50&lt;&gt;"",AJ$3&gt;=$J50,AJ$3&lt;=$M50),1,"")</f>
        <v/>
      </c>
      <c r="AK50">
        <f>IF(AND($A50&lt;&gt;"",AK$3&gt;=$J50,AK$3&lt;=$M50),1,"")</f>
        <v/>
      </c>
      <c r="AL50">
        <f>IF(AND($A50&lt;&gt;"",AL$3&gt;=$J50,AL$3&lt;=$M50),1,"")</f>
        <v/>
      </c>
      <c r="AM50">
        <f>IF(AND($A50&lt;&gt;"",AM$3&gt;=$J50,AM$3&lt;=$M50),1,"")</f>
        <v/>
      </c>
      <c r="AN50">
        <f>IF(AND($A50&lt;&gt;"",AN$3&gt;=$J50,AN$3&lt;=$M50),1,"")</f>
        <v/>
      </c>
      <c r="AO50">
        <f>IF(AND($A50&lt;&gt;"",AO$3&gt;=$J50,AO$3&lt;=$M50),1,"")</f>
        <v/>
      </c>
      <c r="AP50">
        <f>IF(AND($A50&lt;&gt;"",AP$3&gt;=$J50,AP$3&lt;=$M50),1,"")</f>
        <v/>
      </c>
      <c r="AQ50">
        <f>IF(AND($A50&lt;&gt;"",AQ$3&gt;=$J50,AQ$3&lt;=$M50),1,"")</f>
        <v/>
      </c>
      <c r="AR50">
        <f>IF(AND($A50&lt;&gt;"",AR$3&gt;=$J50,AR$3&lt;=$M50),1,"")</f>
        <v/>
      </c>
      <c r="AS50">
        <f>IF(AND($A50&lt;&gt;"",AS$3&gt;=$J50,AS$3&lt;=$M50),1,"")</f>
        <v/>
      </c>
      <c r="AT50">
        <f>IF(AND($A50&lt;&gt;"",AT$3&gt;=$J50,AT$3&lt;=$M50),1,"")</f>
        <v/>
      </c>
      <c r="AU50">
        <f>IF(AND($A50&lt;&gt;"",AU$3&gt;=$J50,AU$3&lt;=$M50),1,"")</f>
        <v/>
      </c>
      <c r="AV50">
        <f>IF(AND($A50&lt;&gt;"",AV$3&gt;=$J50,AV$3&lt;=$M50),1,"")</f>
        <v/>
      </c>
      <c r="AW50">
        <f>IF(AND($A50&lt;&gt;"",AW$3&gt;=$J50,AW$3&lt;=$M50),1,"")</f>
        <v/>
      </c>
      <c r="AX50">
        <f>IF(AND($A50&lt;&gt;"",AX$3&gt;=$J50,AX$3&lt;=$M50),1,"")</f>
        <v/>
      </c>
      <c r="AY50">
        <f>IF(AND($A50&lt;&gt;"",AY$3&gt;=$J50,AY$3&lt;=$M50),1,"")</f>
        <v/>
      </c>
      <c r="AZ50">
        <f>IF(AND($A50&lt;&gt;"",AZ$3&gt;=$J50,AZ$3&lt;=$M50),1,"")</f>
        <v/>
      </c>
      <c r="BA50">
        <f>IF(AND($A50&lt;&gt;"",BA$3&gt;=$J50,BA$3&lt;=$M50),1,"")</f>
        <v/>
      </c>
      <c r="BB50">
        <f>IF(AND($A50&lt;&gt;"",BB$3&gt;=$J50,BB$3&lt;=$M50),1,"")</f>
        <v/>
      </c>
      <c r="BC50">
        <f>IF(AND($A50&lt;&gt;"",BC$3&gt;=$J50,BC$3&lt;=$M50),1,"")</f>
        <v/>
      </c>
      <c r="BD50">
        <f>IF(AND($A50&lt;&gt;"",BD$3&gt;=$J50,BD$3&lt;=$M50),1,"")</f>
        <v/>
      </c>
      <c r="BE50">
        <f>IF(AND($A50&lt;&gt;"",BE$3&gt;=$J50,BE$3&lt;=$M50),1,"")</f>
        <v/>
      </c>
      <c r="BF50">
        <f>IF(AND($A50&lt;&gt;"",BF$3&gt;=$J50,BF$3&lt;=$M50),1,"")</f>
        <v/>
      </c>
      <c r="BG50">
        <f>IF(AND($A50&lt;&gt;"",BG$3&gt;=$J50,BG$3&lt;=$M50),1,"")</f>
        <v/>
      </c>
      <c r="BH50">
        <f>IF(AND($A50&lt;&gt;"",BH$3&gt;=$J50,BH$3&lt;=$M50),1,"")</f>
        <v/>
      </c>
      <c r="BI50">
        <f>IF(AND($A50&lt;&gt;"",BI$3&gt;=$J50,BI$3&lt;=$M50),1,"")</f>
        <v/>
      </c>
      <c r="BJ50">
        <f>IF(AND($A50&lt;&gt;"",BJ$3&gt;=$J50,BJ$3&lt;=$M50),1,"")</f>
        <v/>
      </c>
      <c r="BK50">
        <f>IF(AND($A50&lt;&gt;"",BK$3&gt;=$J50,BK$3&lt;=$M50),1,"")</f>
        <v/>
      </c>
      <c r="BL50">
        <f>IF(AND($A50&lt;&gt;"",BL$3&gt;=$J50,BL$3&lt;=$M50),1,"")</f>
        <v/>
      </c>
      <c r="BM50">
        <f>IF(AND($A50&lt;&gt;"",BM$3&gt;=$J50,BM$3&lt;=$M50),1,"")</f>
        <v/>
      </c>
      <c r="BN50">
        <f>IF(AND($A50&lt;&gt;"",BN$3&gt;=$J50,BN$3&lt;=$M50),1,"")</f>
        <v/>
      </c>
      <c r="BO50">
        <f>IF(AND($A50&lt;&gt;"",BO$3&gt;=$J50,BO$3&lt;=$M50),1,"")</f>
        <v/>
      </c>
      <c r="BP50">
        <f>IF(AND($A50&lt;&gt;"",BP$3&gt;=$J50,BP$3&lt;=$M50),1,"")</f>
        <v/>
      </c>
      <c r="BQ50">
        <f>IF(AND($A50&lt;&gt;"",BQ$3&gt;=$J50,BQ$3&lt;=$M50),1,"")</f>
        <v/>
      </c>
      <c r="BR50">
        <f>IF(AND($A50&lt;&gt;"",BR$3&gt;=$J50,BR$3&lt;=$M50),1,"")</f>
        <v/>
      </c>
      <c r="BS50">
        <f>IF(AND($A50&lt;&gt;"",BS$3&gt;=$J50,BS$3&lt;=$M50),1,"")</f>
        <v/>
      </c>
      <c r="BT50">
        <f>IF(AND($A50&lt;&gt;"",BT$3&gt;=$J50,BT$3&lt;=$M50),1,"")</f>
        <v/>
      </c>
      <c r="BU50">
        <f>IF(AND($A50&lt;&gt;"",BU$3&gt;=$J50,BU$3&lt;=$M50),1,"")</f>
        <v/>
      </c>
      <c r="BV50">
        <f>IF(AND($A50&lt;&gt;"",BV$3&gt;=$J50,BV$3&lt;=$M50),1,"")</f>
        <v/>
      </c>
    </row>
    <row r="51">
      <c r="A51">
        <f>IF(Job_Master_Ring!$A51="","",Job_Master_Ring!$A51)</f>
        <v/>
      </c>
      <c r="B51">
        <f>IF($A51="","",Job_Master_Ring!B51)</f>
        <v/>
      </c>
      <c r="C51">
        <f>IF($A51="","",Job_Master_Ring!C51)</f>
        <v/>
      </c>
      <c r="D51">
        <f>IF($A51="","",Job_Master_Ring!D51)</f>
        <v/>
      </c>
      <c r="E51">
        <f>IF($A51="","",IF($I51&lt;&gt;"",$I51,IFERROR(INDEX(Machine_List!$B$72:$B$81,MATCH(1,(Machine_List!$H$72:$H$81&lt;=IFERROR(VLOOKUP($B51,CHOOSE(MATCH($C51,Settings!$L$4:$L$10,0),OPR_BR1!$A$4:$K$18,OPR_BR2!$A$4:$K$18,OPR_CR2!$A$4:$K$18,OPR_CR3!$A$4:$K$18,OPR_CR4!$A$4:$K$18,OPR_RIM!$A$4:$K$18,OPR_BPR!$A$4:$K$18),10,0),0))*(Machine_List!$I$72:$I$81&gt;=IFERROR(VLOOKUP($B51,CHOOSE(MATCH($C51,Settings!$L$4:$L$10,0),OPR_BR1!$A$4:$K$18,OPR_BR2!$A$4:$K$18,OPR_CR2!$A$4:$K$18,OPR_CR3!$A$4:$K$18,OPR_CR4!$A$4:$K$18,OPR_RIM!$A$4:$K$18,OPR_BPR!$A$4:$K$18),11,0),9999)),0)),"NO COMPATIBLE MACHINE")))</f>
        <v/>
      </c>
      <c r="F51">
        <f>IF($E51="","",IFERROR(VLOOKUP($E51,Machine_List!$B:$G,6,0),""))</f>
        <v/>
      </c>
      <c r="G51" s="17">
        <f>IF($E51="","",IFERROR(VLOOKUP($E51,Machine_List!$B:$C,2,0),""))</f>
        <v/>
      </c>
      <c r="H51">
        <f>IF($E51="","",IFERROR(VLOOKUP($E51,Machine_List!$B:$D,3,0),""))</f>
        <v/>
      </c>
      <c r="J51" s="16">
        <f>IF($A51="","",IF($I51&lt;&gt;"",$I51,MAX(VENT_Plan!$M51,IFERROR(LOOKUP(2,1/($E$3:INDIRECT("E"&amp;(ROW()-1))=$E51),$M$3:INDIRECT("M"&amp;(ROW()-1))),VENT_Plan!$M51))))</f>
        <v/>
      </c>
      <c r="K51">
        <f>IF($A51="","",IFERROR(VLOOKUP(B51,CHOOSE(MATCH($C51,Settings!$L$4:$L$10,0),OPR_BR1!$A$4:$I$18,OPR_BR2!$A$4:$I$18,OPR_CR2!$A$4:$I$18,OPR_CR3!$A$4:$I$18,OPR_CR4!$A$4:$I$18,OPR_RIM!$A$4:$I$18,OPR_BPR!$A$4:$I$18),8,0),0))</f>
        <v/>
      </c>
      <c r="L51">
        <f>IF($A51="","",K51*D51)</f>
        <v/>
      </c>
      <c r="M51" s="16">
        <f>IF($A51="","",IF(AND(ISNUMBER(G51),G51&gt;=J51,G51&lt;=(J51+(L51/(IF(F51="Contract Workman",Settings!$K$5,Settings!$K$4))))),J51+(L51/(IF(F51="Contract Workman",Settings!$K$5,Settings!$K$4)))+(H51/(IF(F51="Contract Workman",Settings!$K$5,Settings!$K$4))),J51+(L51/(IF(F51="Contract Workman",Settings!$K$5,Settings!$K$4)))))</f>
        <v/>
      </c>
      <c r="N51">
        <f>IF($A51="","",IF(F51="Contract Workman",IF(AND(MOD(M51,1)&gt;=8/24,MOD(M51,1)&lt;20/24),"Shift S1","Shift S2"),IF(AND(MOD(M51,1)&gt;=7/24,MOD(M51,1)&lt;15/24),"Shift A",IF(AND(MOD(M51,1)&gt;=15/24,MOD(M51,1)&lt;23/24),"Shift B","Shift C"))))</f>
        <v/>
      </c>
      <c r="O51">
        <f>IF(B51="","",IF(IFERROR(ISNUMBER(SEARCH(TEXT(B51,"0"),VLOOKUP(E51,Machine_List!$B:$J,9,0))),FALSE),"✅ "&amp; E51,"❌ Sug: "&amp;IFERROR(INDEX(Machine_List!$B$72:$B$81,MATCH(1,(Machine_List!$H$72:$H$81&lt;=IFERROR(VLOOKUP($B51,OPR_BR1!$A$4:$K$18,10,0),0))*(Machine_List!$I$72:$I$81&gt;=IFERROR(VLOOKUP($B51,OPR_BR1!$A$4:$K$18,11,0),9999)),0)),"?")))</f>
        <v/>
      </c>
      <c r="P51">
        <f>IF(AND($A51&lt;&gt;"",P$3&gt;=$J51,P$3&lt;=$M51),1,"")</f>
        <v/>
      </c>
      <c r="Q51">
        <f>IF(AND($A51&lt;&gt;"",Q$3&gt;=$J51,Q$3&lt;=$M51),1,"")</f>
        <v/>
      </c>
      <c r="R51">
        <f>IF(AND($A51&lt;&gt;"",R$3&gt;=$J51,R$3&lt;=$M51),1,"")</f>
        <v/>
      </c>
      <c r="S51">
        <f>IF(AND($A51&lt;&gt;"",S$3&gt;=$J51,S$3&lt;=$M51),1,"")</f>
        <v/>
      </c>
      <c r="T51">
        <f>IF(AND($A51&lt;&gt;"",T$3&gt;=$J51,T$3&lt;=$M51),1,"")</f>
        <v/>
      </c>
      <c r="U51">
        <f>IF(AND($A51&lt;&gt;"",U$3&gt;=$J51,U$3&lt;=$M51),1,"")</f>
        <v/>
      </c>
      <c r="V51">
        <f>IF(AND($A51&lt;&gt;"",V$3&gt;=$J51,V$3&lt;=$M51),1,"")</f>
        <v/>
      </c>
      <c r="W51">
        <f>IF(AND($A51&lt;&gt;"",W$3&gt;=$J51,W$3&lt;=$M51),1,"")</f>
        <v/>
      </c>
      <c r="X51">
        <f>IF(AND($A51&lt;&gt;"",X$3&gt;=$J51,X$3&lt;=$M51),1,"")</f>
        <v/>
      </c>
      <c r="Y51">
        <f>IF(AND($A51&lt;&gt;"",Y$3&gt;=$J51,Y$3&lt;=$M51),1,"")</f>
        <v/>
      </c>
      <c r="Z51">
        <f>IF(AND($A51&lt;&gt;"",Z$3&gt;=$J51,Z$3&lt;=$M51),1,"")</f>
        <v/>
      </c>
      <c r="AA51">
        <f>IF(AND($A51&lt;&gt;"",AA$3&gt;=$J51,AA$3&lt;=$M51),1,"")</f>
        <v/>
      </c>
      <c r="AB51">
        <f>IF(AND($A51&lt;&gt;"",AB$3&gt;=$J51,AB$3&lt;=$M51),1,"")</f>
        <v/>
      </c>
      <c r="AC51">
        <f>IF(AND($A51&lt;&gt;"",AC$3&gt;=$J51,AC$3&lt;=$M51),1,"")</f>
        <v/>
      </c>
      <c r="AD51">
        <f>IF(AND($A51&lt;&gt;"",AD$3&gt;=$J51,AD$3&lt;=$M51),1,"")</f>
        <v/>
      </c>
      <c r="AE51">
        <f>IF(AND($A51&lt;&gt;"",AE$3&gt;=$J51,AE$3&lt;=$M51),1,"")</f>
        <v/>
      </c>
      <c r="AF51">
        <f>IF(AND($A51&lt;&gt;"",AF$3&gt;=$J51,AF$3&lt;=$M51),1,"")</f>
        <v/>
      </c>
      <c r="AG51">
        <f>IF(AND($A51&lt;&gt;"",AG$3&gt;=$J51,AG$3&lt;=$M51),1,"")</f>
        <v/>
      </c>
      <c r="AH51">
        <f>IF(AND($A51&lt;&gt;"",AH$3&gt;=$J51,AH$3&lt;=$M51),1,"")</f>
        <v/>
      </c>
      <c r="AI51">
        <f>IF(AND($A51&lt;&gt;"",AI$3&gt;=$J51,AI$3&lt;=$M51),1,"")</f>
        <v/>
      </c>
      <c r="AJ51">
        <f>IF(AND($A51&lt;&gt;"",AJ$3&gt;=$J51,AJ$3&lt;=$M51),1,"")</f>
        <v/>
      </c>
      <c r="AK51">
        <f>IF(AND($A51&lt;&gt;"",AK$3&gt;=$J51,AK$3&lt;=$M51),1,"")</f>
        <v/>
      </c>
      <c r="AL51">
        <f>IF(AND($A51&lt;&gt;"",AL$3&gt;=$J51,AL$3&lt;=$M51),1,"")</f>
        <v/>
      </c>
      <c r="AM51">
        <f>IF(AND($A51&lt;&gt;"",AM$3&gt;=$J51,AM$3&lt;=$M51),1,"")</f>
        <v/>
      </c>
      <c r="AN51">
        <f>IF(AND($A51&lt;&gt;"",AN$3&gt;=$J51,AN$3&lt;=$M51),1,"")</f>
        <v/>
      </c>
      <c r="AO51">
        <f>IF(AND($A51&lt;&gt;"",AO$3&gt;=$J51,AO$3&lt;=$M51),1,"")</f>
        <v/>
      </c>
      <c r="AP51">
        <f>IF(AND($A51&lt;&gt;"",AP$3&gt;=$J51,AP$3&lt;=$M51),1,"")</f>
        <v/>
      </c>
      <c r="AQ51">
        <f>IF(AND($A51&lt;&gt;"",AQ$3&gt;=$J51,AQ$3&lt;=$M51),1,"")</f>
        <v/>
      </c>
      <c r="AR51">
        <f>IF(AND($A51&lt;&gt;"",AR$3&gt;=$J51,AR$3&lt;=$M51),1,"")</f>
        <v/>
      </c>
      <c r="AS51">
        <f>IF(AND($A51&lt;&gt;"",AS$3&gt;=$J51,AS$3&lt;=$M51),1,"")</f>
        <v/>
      </c>
      <c r="AT51">
        <f>IF(AND($A51&lt;&gt;"",AT$3&gt;=$J51,AT$3&lt;=$M51),1,"")</f>
        <v/>
      </c>
      <c r="AU51">
        <f>IF(AND($A51&lt;&gt;"",AU$3&gt;=$J51,AU$3&lt;=$M51),1,"")</f>
        <v/>
      </c>
      <c r="AV51">
        <f>IF(AND($A51&lt;&gt;"",AV$3&gt;=$J51,AV$3&lt;=$M51),1,"")</f>
        <v/>
      </c>
      <c r="AW51">
        <f>IF(AND($A51&lt;&gt;"",AW$3&gt;=$J51,AW$3&lt;=$M51),1,"")</f>
        <v/>
      </c>
      <c r="AX51">
        <f>IF(AND($A51&lt;&gt;"",AX$3&gt;=$J51,AX$3&lt;=$M51),1,"")</f>
        <v/>
      </c>
      <c r="AY51">
        <f>IF(AND($A51&lt;&gt;"",AY$3&gt;=$J51,AY$3&lt;=$M51),1,"")</f>
        <v/>
      </c>
      <c r="AZ51">
        <f>IF(AND($A51&lt;&gt;"",AZ$3&gt;=$J51,AZ$3&lt;=$M51),1,"")</f>
        <v/>
      </c>
      <c r="BA51">
        <f>IF(AND($A51&lt;&gt;"",BA$3&gt;=$J51,BA$3&lt;=$M51),1,"")</f>
        <v/>
      </c>
      <c r="BB51">
        <f>IF(AND($A51&lt;&gt;"",BB$3&gt;=$J51,BB$3&lt;=$M51),1,"")</f>
        <v/>
      </c>
      <c r="BC51">
        <f>IF(AND($A51&lt;&gt;"",BC$3&gt;=$J51,BC$3&lt;=$M51),1,"")</f>
        <v/>
      </c>
      <c r="BD51">
        <f>IF(AND($A51&lt;&gt;"",BD$3&gt;=$J51,BD$3&lt;=$M51),1,"")</f>
        <v/>
      </c>
      <c r="BE51">
        <f>IF(AND($A51&lt;&gt;"",BE$3&gt;=$J51,BE$3&lt;=$M51),1,"")</f>
        <v/>
      </c>
      <c r="BF51">
        <f>IF(AND($A51&lt;&gt;"",BF$3&gt;=$J51,BF$3&lt;=$M51),1,"")</f>
        <v/>
      </c>
      <c r="BG51">
        <f>IF(AND($A51&lt;&gt;"",BG$3&gt;=$J51,BG$3&lt;=$M51),1,"")</f>
        <v/>
      </c>
      <c r="BH51">
        <f>IF(AND($A51&lt;&gt;"",BH$3&gt;=$J51,BH$3&lt;=$M51),1,"")</f>
        <v/>
      </c>
      <c r="BI51">
        <f>IF(AND($A51&lt;&gt;"",BI$3&gt;=$J51,BI$3&lt;=$M51),1,"")</f>
        <v/>
      </c>
      <c r="BJ51">
        <f>IF(AND($A51&lt;&gt;"",BJ$3&gt;=$J51,BJ$3&lt;=$M51),1,"")</f>
        <v/>
      </c>
      <c r="BK51">
        <f>IF(AND($A51&lt;&gt;"",BK$3&gt;=$J51,BK$3&lt;=$M51),1,"")</f>
        <v/>
      </c>
      <c r="BL51">
        <f>IF(AND($A51&lt;&gt;"",BL$3&gt;=$J51,BL$3&lt;=$M51),1,"")</f>
        <v/>
      </c>
      <c r="BM51">
        <f>IF(AND($A51&lt;&gt;"",BM$3&gt;=$J51,BM$3&lt;=$M51),1,"")</f>
        <v/>
      </c>
      <c r="BN51">
        <f>IF(AND($A51&lt;&gt;"",BN$3&gt;=$J51,BN$3&lt;=$M51),1,"")</f>
        <v/>
      </c>
      <c r="BO51">
        <f>IF(AND($A51&lt;&gt;"",BO$3&gt;=$J51,BO$3&lt;=$M51),1,"")</f>
        <v/>
      </c>
      <c r="BP51">
        <f>IF(AND($A51&lt;&gt;"",BP$3&gt;=$J51,BP$3&lt;=$M51),1,"")</f>
        <v/>
      </c>
      <c r="BQ51">
        <f>IF(AND($A51&lt;&gt;"",BQ$3&gt;=$J51,BQ$3&lt;=$M51),1,"")</f>
        <v/>
      </c>
      <c r="BR51">
        <f>IF(AND($A51&lt;&gt;"",BR$3&gt;=$J51,BR$3&lt;=$M51),1,"")</f>
        <v/>
      </c>
      <c r="BS51">
        <f>IF(AND($A51&lt;&gt;"",BS$3&gt;=$J51,BS$3&lt;=$M51),1,"")</f>
        <v/>
      </c>
      <c r="BT51">
        <f>IF(AND($A51&lt;&gt;"",BT$3&gt;=$J51,BT$3&lt;=$M51),1,"")</f>
        <v/>
      </c>
      <c r="BU51">
        <f>IF(AND($A51&lt;&gt;"",BU$3&gt;=$J51,BU$3&lt;=$M51),1,"")</f>
        <v/>
      </c>
      <c r="BV51">
        <f>IF(AND($A51&lt;&gt;"",BV$3&gt;=$J51,BV$3&lt;=$M51),1,"")</f>
        <v/>
      </c>
    </row>
    <row r="52">
      <c r="A52">
        <f>IF(Job_Master_Ring!$A52="","",Job_Master_Ring!$A52)</f>
        <v/>
      </c>
      <c r="B52">
        <f>IF($A52="","",Job_Master_Ring!B52)</f>
        <v/>
      </c>
      <c r="C52">
        <f>IF($A52="","",Job_Master_Ring!C52)</f>
        <v/>
      </c>
      <c r="D52">
        <f>IF($A52="","",Job_Master_Ring!D52)</f>
        <v/>
      </c>
      <c r="E52">
        <f>IF($A52="","",IF($I52&lt;&gt;"",$I52,IFERROR(INDEX(Machine_List!$B$72:$B$81,MATCH(1,(Machine_List!$H$72:$H$81&lt;=IFERROR(VLOOKUP($B52,CHOOSE(MATCH($C52,Settings!$L$4:$L$10,0),OPR_BR1!$A$4:$K$18,OPR_BR2!$A$4:$K$18,OPR_CR2!$A$4:$K$18,OPR_CR3!$A$4:$K$18,OPR_CR4!$A$4:$K$18,OPR_RIM!$A$4:$K$18,OPR_BPR!$A$4:$K$18),10,0),0))*(Machine_List!$I$72:$I$81&gt;=IFERROR(VLOOKUP($B52,CHOOSE(MATCH($C52,Settings!$L$4:$L$10,0),OPR_BR1!$A$4:$K$18,OPR_BR2!$A$4:$K$18,OPR_CR2!$A$4:$K$18,OPR_CR3!$A$4:$K$18,OPR_CR4!$A$4:$K$18,OPR_RIM!$A$4:$K$18,OPR_BPR!$A$4:$K$18),11,0),9999)),0)),"NO COMPATIBLE MACHINE")))</f>
        <v/>
      </c>
      <c r="F52">
        <f>IF($E52="","",IFERROR(VLOOKUP($E52,Machine_List!$B:$G,6,0),""))</f>
        <v/>
      </c>
      <c r="G52" s="17">
        <f>IF($E52="","",IFERROR(VLOOKUP($E52,Machine_List!$B:$C,2,0),""))</f>
        <v/>
      </c>
      <c r="H52">
        <f>IF($E52="","",IFERROR(VLOOKUP($E52,Machine_List!$B:$D,3,0),""))</f>
        <v/>
      </c>
      <c r="J52" s="16">
        <f>IF($A52="","",IF($I52&lt;&gt;"",$I52,MAX(VENT_Plan!$M52,IFERROR(LOOKUP(2,1/($E$3:INDIRECT("E"&amp;(ROW()-1))=$E52),$M$3:INDIRECT("M"&amp;(ROW()-1))),VENT_Plan!$M52))))</f>
        <v/>
      </c>
      <c r="K52">
        <f>IF($A52="","",IFERROR(VLOOKUP(B52,CHOOSE(MATCH($C52,Settings!$L$4:$L$10,0),OPR_BR1!$A$4:$I$18,OPR_BR2!$A$4:$I$18,OPR_CR2!$A$4:$I$18,OPR_CR3!$A$4:$I$18,OPR_CR4!$A$4:$I$18,OPR_RIM!$A$4:$I$18,OPR_BPR!$A$4:$I$18),8,0),0))</f>
        <v/>
      </c>
      <c r="L52">
        <f>IF($A52="","",K52*D52)</f>
        <v/>
      </c>
      <c r="M52" s="16">
        <f>IF($A52="","",IF(AND(ISNUMBER(G52),G52&gt;=J52,G52&lt;=(J52+(L52/(IF(F52="Contract Workman",Settings!$K$5,Settings!$K$4))))),J52+(L52/(IF(F52="Contract Workman",Settings!$K$5,Settings!$K$4)))+(H52/(IF(F52="Contract Workman",Settings!$K$5,Settings!$K$4))),J52+(L52/(IF(F52="Contract Workman",Settings!$K$5,Settings!$K$4)))))</f>
        <v/>
      </c>
      <c r="N52">
        <f>IF($A52="","",IF(F52="Contract Workman",IF(AND(MOD(M52,1)&gt;=8/24,MOD(M52,1)&lt;20/24),"Shift S1","Shift S2"),IF(AND(MOD(M52,1)&gt;=7/24,MOD(M52,1)&lt;15/24),"Shift A",IF(AND(MOD(M52,1)&gt;=15/24,MOD(M52,1)&lt;23/24),"Shift B","Shift C"))))</f>
        <v/>
      </c>
      <c r="O52">
        <f>IF(B52="","",IF(IFERROR(ISNUMBER(SEARCH(TEXT(B52,"0"),VLOOKUP(E52,Machine_List!$B:$J,9,0))),FALSE),"✅ "&amp; E52,"❌ Sug: "&amp;IFERROR(INDEX(Machine_List!$B$72:$B$81,MATCH(1,(Machine_List!$H$72:$H$81&lt;=IFERROR(VLOOKUP($B52,OPR_BR1!$A$4:$K$18,10,0),0))*(Machine_List!$I$72:$I$81&gt;=IFERROR(VLOOKUP($B52,OPR_BR1!$A$4:$K$18,11,0),9999)),0)),"?")))</f>
        <v/>
      </c>
      <c r="P52">
        <f>IF(AND($A52&lt;&gt;"",P$3&gt;=$J52,P$3&lt;=$M52),1,"")</f>
        <v/>
      </c>
      <c r="Q52">
        <f>IF(AND($A52&lt;&gt;"",Q$3&gt;=$J52,Q$3&lt;=$M52),1,"")</f>
        <v/>
      </c>
      <c r="R52">
        <f>IF(AND($A52&lt;&gt;"",R$3&gt;=$J52,R$3&lt;=$M52),1,"")</f>
        <v/>
      </c>
      <c r="S52">
        <f>IF(AND($A52&lt;&gt;"",S$3&gt;=$J52,S$3&lt;=$M52),1,"")</f>
        <v/>
      </c>
      <c r="T52">
        <f>IF(AND($A52&lt;&gt;"",T$3&gt;=$J52,T$3&lt;=$M52),1,"")</f>
        <v/>
      </c>
      <c r="U52">
        <f>IF(AND($A52&lt;&gt;"",U$3&gt;=$J52,U$3&lt;=$M52),1,"")</f>
        <v/>
      </c>
      <c r="V52">
        <f>IF(AND($A52&lt;&gt;"",V$3&gt;=$J52,V$3&lt;=$M52),1,"")</f>
        <v/>
      </c>
      <c r="W52">
        <f>IF(AND($A52&lt;&gt;"",W$3&gt;=$J52,W$3&lt;=$M52),1,"")</f>
        <v/>
      </c>
      <c r="X52">
        <f>IF(AND($A52&lt;&gt;"",X$3&gt;=$J52,X$3&lt;=$M52),1,"")</f>
        <v/>
      </c>
      <c r="Y52">
        <f>IF(AND($A52&lt;&gt;"",Y$3&gt;=$J52,Y$3&lt;=$M52),1,"")</f>
        <v/>
      </c>
      <c r="Z52">
        <f>IF(AND($A52&lt;&gt;"",Z$3&gt;=$J52,Z$3&lt;=$M52),1,"")</f>
        <v/>
      </c>
      <c r="AA52">
        <f>IF(AND($A52&lt;&gt;"",AA$3&gt;=$J52,AA$3&lt;=$M52),1,"")</f>
        <v/>
      </c>
      <c r="AB52">
        <f>IF(AND($A52&lt;&gt;"",AB$3&gt;=$J52,AB$3&lt;=$M52),1,"")</f>
        <v/>
      </c>
      <c r="AC52">
        <f>IF(AND($A52&lt;&gt;"",AC$3&gt;=$J52,AC$3&lt;=$M52),1,"")</f>
        <v/>
      </c>
      <c r="AD52">
        <f>IF(AND($A52&lt;&gt;"",AD$3&gt;=$J52,AD$3&lt;=$M52),1,"")</f>
        <v/>
      </c>
      <c r="AE52">
        <f>IF(AND($A52&lt;&gt;"",AE$3&gt;=$J52,AE$3&lt;=$M52),1,"")</f>
        <v/>
      </c>
      <c r="AF52">
        <f>IF(AND($A52&lt;&gt;"",AF$3&gt;=$J52,AF$3&lt;=$M52),1,"")</f>
        <v/>
      </c>
      <c r="AG52">
        <f>IF(AND($A52&lt;&gt;"",AG$3&gt;=$J52,AG$3&lt;=$M52),1,"")</f>
        <v/>
      </c>
      <c r="AH52">
        <f>IF(AND($A52&lt;&gt;"",AH$3&gt;=$J52,AH$3&lt;=$M52),1,"")</f>
        <v/>
      </c>
      <c r="AI52">
        <f>IF(AND($A52&lt;&gt;"",AI$3&gt;=$J52,AI$3&lt;=$M52),1,"")</f>
        <v/>
      </c>
      <c r="AJ52">
        <f>IF(AND($A52&lt;&gt;"",AJ$3&gt;=$J52,AJ$3&lt;=$M52),1,"")</f>
        <v/>
      </c>
      <c r="AK52">
        <f>IF(AND($A52&lt;&gt;"",AK$3&gt;=$J52,AK$3&lt;=$M52),1,"")</f>
        <v/>
      </c>
      <c r="AL52">
        <f>IF(AND($A52&lt;&gt;"",AL$3&gt;=$J52,AL$3&lt;=$M52),1,"")</f>
        <v/>
      </c>
      <c r="AM52">
        <f>IF(AND($A52&lt;&gt;"",AM$3&gt;=$J52,AM$3&lt;=$M52),1,"")</f>
        <v/>
      </c>
      <c r="AN52">
        <f>IF(AND($A52&lt;&gt;"",AN$3&gt;=$J52,AN$3&lt;=$M52),1,"")</f>
        <v/>
      </c>
      <c r="AO52">
        <f>IF(AND($A52&lt;&gt;"",AO$3&gt;=$J52,AO$3&lt;=$M52),1,"")</f>
        <v/>
      </c>
      <c r="AP52">
        <f>IF(AND($A52&lt;&gt;"",AP$3&gt;=$J52,AP$3&lt;=$M52),1,"")</f>
        <v/>
      </c>
      <c r="AQ52">
        <f>IF(AND($A52&lt;&gt;"",AQ$3&gt;=$J52,AQ$3&lt;=$M52),1,"")</f>
        <v/>
      </c>
      <c r="AR52">
        <f>IF(AND($A52&lt;&gt;"",AR$3&gt;=$J52,AR$3&lt;=$M52),1,"")</f>
        <v/>
      </c>
      <c r="AS52">
        <f>IF(AND($A52&lt;&gt;"",AS$3&gt;=$J52,AS$3&lt;=$M52),1,"")</f>
        <v/>
      </c>
      <c r="AT52">
        <f>IF(AND($A52&lt;&gt;"",AT$3&gt;=$J52,AT$3&lt;=$M52),1,"")</f>
        <v/>
      </c>
      <c r="AU52">
        <f>IF(AND($A52&lt;&gt;"",AU$3&gt;=$J52,AU$3&lt;=$M52),1,"")</f>
        <v/>
      </c>
      <c r="AV52">
        <f>IF(AND($A52&lt;&gt;"",AV$3&gt;=$J52,AV$3&lt;=$M52),1,"")</f>
        <v/>
      </c>
      <c r="AW52">
        <f>IF(AND($A52&lt;&gt;"",AW$3&gt;=$J52,AW$3&lt;=$M52),1,"")</f>
        <v/>
      </c>
      <c r="AX52">
        <f>IF(AND($A52&lt;&gt;"",AX$3&gt;=$J52,AX$3&lt;=$M52),1,"")</f>
        <v/>
      </c>
      <c r="AY52">
        <f>IF(AND($A52&lt;&gt;"",AY$3&gt;=$J52,AY$3&lt;=$M52),1,"")</f>
        <v/>
      </c>
      <c r="AZ52">
        <f>IF(AND($A52&lt;&gt;"",AZ$3&gt;=$J52,AZ$3&lt;=$M52),1,"")</f>
        <v/>
      </c>
      <c r="BA52">
        <f>IF(AND($A52&lt;&gt;"",BA$3&gt;=$J52,BA$3&lt;=$M52),1,"")</f>
        <v/>
      </c>
      <c r="BB52">
        <f>IF(AND($A52&lt;&gt;"",BB$3&gt;=$J52,BB$3&lt;=$M52),1,"")</f>
        <v/>
      </c>
      <c r="BC52">
        <f>IF(AND($A52&lt;&gt;"",BC$3&gt;=$J52,BC$3&lt;=$M52),1,"")</f>
        <v/>
      </c>
      <c r="BD52">
        <f>IF(AND($A52&lt;&gt;"",BD$3&gt;=$J52,BD$3&lt;=$M52),1,"")</f>
        <v/>
      </c>
      <c r="BE52">
        <f>IF(AND($A52&lt;&gt;"",BE$3&gt;=$J52,BE$3&lt;=$M52),1,"")</f>
        <v/>
      </c>
      <c r="BF52">
        <f>IF(AND($A52&lt;&gt;"",BF$3&gt;=$J52,BF$3&lt;=$M52),1,"")</f>
        <v/>
      </c>
      <c r="BG52">
        <f>IF(AND($A52&lt;&gt;"",BG$3&gt;=$J52,BG$3&lt;=$M52),1,"")</f>
        <v/>
      </c>
      <c r="BH52">
        <f>IF(AND($A52&lt;&gt;"",BH$3&gt;=$J52,BH$3&lt;=$M52),1,"")</f>
        <v/>
      </c>
      <c r="BI52">
        <f>IF(AND($A52&lt;&gt;"",BI$3&gt;=$J52,BI$3&lt;=$M52),1,"")</f>
        <v/>
      </c>
      <c r="BJ52">
        <f>IF(AND($A52&lt;&gt;"",BJ$3&gt;=$J52,BJ$3&lt;=$M52),1,"")</f>
        <v/>
      </c>
      <c r="BK52">
        <f>IF(AND($A52&lt;&gt;"",BK$3&gt;=$J52,BK$3&lt;=$M52),1,"")</f>
        <v/>
      </c>
      <c r="BL52">
        <f>IF(AND($A52&lt;&gt;"",BL$3&gt;=$J52,BL$3&lt;=$M52),1,"")</f>
        <v/>
      </c>
      <c r="BM52">
        <f>IF(AND($A52&lt;&gt;"",BM$3&gt;=$J52,BM$3&lt;=$M52),1,"")</f>
        <v/>
      </c>
      <c r="BN52">
        <f>IF(AND($A52&lt;&gt;"",BN$3&gt;=$J52,BN$3&lt;=$M52),1,"")</f>
        <v/>
      </c>
      <c r="BO52">
        <f>IF(AND($A52&lt;&gt;"",BO$3&gt;=$J52,BO$3&lt;=$M52),1,"")</f>
        <v/>
      </c>
      <c r="BP52">
        <f>IF(AND($A52&lt;&gt;"",BP$3&gt;=$J52,BP$3&lt;=$M52),1,"")</f>
        <v/>
      </c>
      <c r="BQ52">
        <f>IF(AND($A52&lt;&gt;"",BQ$3&gt;=$J52,BQ$3&lt;=$M52),1,"")</f>
        <v/>
      </c>
      <c r="BR52">
        <f>IF(AND($A52&lt;&gt;"",BR$3&gt;=$J52,BR$3&lt;=$M52),1,"")</f>
        <v/>
      </c>
      <c r="BS52">
        <f>IF(AND($A52&lt;&gt;"",BS$3&gt;=$J52,BS$3&lt;=$M52),1,"")</f>
        <v/>
      </c>
      <c r="BT52">
        <f>IF(AND($A52&lt;&gt;"",BT$3&gt;=$J52,BT$3&lt;=$M52),1,"")</f>
        <v/>
      </c>
      <c r="BU52">
        <f>IF(AND($A52&lt;&gt;"",BU$3&gt;=$J52,BU$3&lt;=$M52),1,"")</f>
        <v/>
      </c>
      <c r="BV52">
        <f>IF(AND($A52&lt;&gt;"",BV$3&gt;=$J52,BV$3&lt;=$M52),1,"")</f>
        <v/>
      </c>
    </row>
    <row r="53">
      <c r="A53">
        <f>IF(Job_Master_Ring!$A53="","",Job_Master_Ring!$A53)</f>
        <v/>
      </c>
      <c r="B53">
        <f>IF($A53="","",Job_Master_Ring!B53)</f>
        <v/>
      </c>
      <c r="C53">
        <f>IF($A53="","",Job_Master_Ring!C53)</f>
        <v/>
      </c>
      <c r="D53">
        <f>IF($A53="","",Job_Master_Ring!D53)</f>
        <v/>
      </c>
      <c r="E53">
        <f>IF($A53="","",IF($I53&lt;&gt;"",$I53,IFERROR(INDEX(Machine_List!$B$72:$B$81,MATCH(1,(Machine_List!$H$72:$H$81&lt;=IFERROR(VLOOKUP($B53,CHOOSE(MATCH($C53,Settings!$L$4:$L$10,0),OPR_BR1!$A$4:$K$18,OPR_BR2!$A$4:$K$18,OPR_CR2!$A$4:$K$18,OPR_CR3!$A$4:$K$18,OPR_CR4!$A$4:$K$18,OPR_RIM!$A$4:$K$18,OPR_BPR!$A$4:$K$18),10,0),0))*(Machine_List!$I$72:$I$81&gt;=IFERROR(VLOOKUP($B53,CHOOSE(MATCH($C53,Settings!$L$4:$L$10,0),OPR_BR1!$A$4:$K$18,OPR_BR2!$A$4:$K$18,OPR_CR2!$A$4:$K$18,OPR_CR3!$A$4:$K$18,OPR_CR4!$A$4:$K$18,OPR_RIM!$A$4:$K$18,OPR_BPR!$A$4:$K$18),11,0),9999)),0)),"NO COMPATIBLE MACHINE")))</f>
        <v/>
      </c>
      <c r="F53">
        <f>IF($E53="","",IFERROR(VLOOKUP($E53,Machine_List!$B:$G,6,0),""))</f>
        <v/>
      </c>
      <c r="G53" s="17">
        <f>IF($E53="","",IFERROR(VLOOKUP($E53,Machine_List!$B:$C,2,0),""))</f>
        <v/>
      </c>
      <c r="H53">
        <f>IF($E53="","",IFERROR(VLOOKUP($E53,Machine_List!$B:$D,3,0),""))</f>
        <v/>
      </c>
      <c r="J53" s="16">
        <f>IF($A53="","",IF($I53&lt;&gt;"",$I53,MAX(VENT_Plan!$M53,IFERROR(LOOKUP(2,1/($E$3:INDIRECT("E"&amp;(ROW()-1))=$E53),$M$3:INDIRECT("M"&amp;(ROW()-1))),VENT_Plan!$M53))))</f>
        <v/>
      </c>
      <c r="K53">
        <f>IF($A53="","",IFERROR(VLOOKUP(B53,CHOOSE(MATCH($C53,Settings!$L$4:$L$10,0),OPR_BR1!$A$4:$I$18,OPR_BR2!$A$4:$I$18,OPR_CR2!$A$4:$I$18,OPR_CR3!$A$4:$I$18,OPR_CR4!$A$4:$I$18,OPR_RIM!$A$4:$I$18,OPR_BPR!$A$4:$I$18),8,0),0))</f>
        <v/>
      </c>
      <c r="L53">
        <f>IF($A53="","",K53*D53)</f>
        <v/>
      </c>
      <c r="M53" s="16">
        <f>IF($A53="","",IF(AND(ISNUMBER(G53),G53&gt;=J53,G53&lt;=(J53+(L53/(IF(F53="Contract Workman",Settings!$K$5,Settings!$K$4))))),J53+(L53/(IF(F53="Contract Workman",Settings!$K$5,Settings!$K$4)))+(H53/(IF(F53="Contract Workman",Settings!$K$5,Settings!$K$4))),J53+(L53/(IF(F53="Contract Workman",Settings!$K$5,Settings!$K$4)))))</f>
        <v/>
      </c>
      <c r="N53">
        <f>IF($A53="","",IF(F53="Contract Workman",IF(AND(MOD(M53,1)&gt;=8/24,MOD(M53,1)&lt;20/24),"Shift S1","Shift S2"),IF(AND(MOD(M53,1)&gt;=7/24,MOD(M53,1)&lt;15/24),"Shift A",IF(AND(MOD(M53,1)&gt;=15/24,MOD(M53,1)&lt;23/24),"Shift B","Shift C"))))</f>
        <v/>
      </c>
      <c r="O53">
        <f>IF(B53="","",IF(IFERROR(ISNUMBER(SEARCH(TEXT(B53,"0"),VLOOKUP(E53,Machine_List!$B:$J,9,0))),FALSE),"✅ "&amp; E53,"❌ Sug: "&amp;IFERROR(INDEX(Machine_List!$B$72:$B$81,MATCH(1,(Machine_List!$H$72:$H$81&lt;=IFERROR(VLOOKUP($B53,OPR_BR1!$A$4:$K$18,10,0),0))*(Machine_List!$I$72:$I$81&gt;=IFERROR(VLOOKUP($B53,OPR_BR1!$A$4:$K$18,11,0),9999)),0)),"?")))</f>
        <v/>
      </c>
      <c r="P53">
        <f>IF(AND($A53&lt;&gt;"",P$3&gt;=$J53,P$3&lt;=$M53),1,"")</f>
        <v/>
      </c>
      <c r="Q53">
        <f>IF(AND($A53&lt;&gt;"",Q$3&gt;=$J53,Q$3&lt;=$M53),1,"")</f>
        <v/>
      </c>
      <c r="R53">
        <f>IF(AND($A53&lt;&gt;"",R$3&gt;=$J53,R$3&lt;=$M53),1,"")</f>
        <v/>
      </c>
      <c r="S53">
        <f>IF(AND($A53&lt;&gt;"",S$3&gt;=$J53,S$3&lt;=$M53),1,"")</f>
        <v/>
      </c>
      <c r="T53">
        <f>IF(AND($A53&lt;&gt;"",T$3&gt;=$J53,T$3&lt;=$M53),1,"")</f>
        <v/>
      </c>
      <c r="U53">
        <f>IF(AND($A53&lt;&gt;"",U$3&gt;=$J53,U$3&lt;=$M53),1,"")</f>
        <v/>
      </c>
      <c r="V53">
        <f>IF(AND($A53&lt;&gt;"",V$3&gt;=$J53,V$3&lt;=$M53),1,"")</f>
        <v/>
      </c>
      <c r="W53">
        <f>IF(AND($A53&lt;&gt;"",W$3&gt;=$J53,W$3&lt;=$M53),1,"")</f>
        <v/>
      </c>
      <c r="X53">
        <f>IF(AND($A53&lt;&gt;"",X$3&gt;=$J53,X$3&lt;=$M53),1,"")</f>
        <v/>
      </c>
      <c r="Y53">
        <f>IF(AND($A53&lt;&gt;"",Y$3&gt;=$J53,Y$3&lt;=$M53),1,"")</f>
        <v/>
      </c>
      <c r="Z53">
        <f>IF(AND($A53&lt;&gt;"",Z$3&gt;=$J53,Z$3&lt;=$M53),1,"")</f>
        <v/>
      </c>
      <c r="AA53">
        <f>IF(AND($A53&lt;&gt;"",AA$3&gt;=$J53,AA$3&lt;=$M53),1,"")</f>
        <v/>
      </c>
      <c r="AB53">
        <f>IF(AND($A53&lt;&gt;"",AB$3&gt;=$J53,AB$3&lt;=$M53),1,"")</f>
        <v/>
      </c>
      <c r="AC53">
        <f>IF(AND($A53&lt;&gt;"",AC$3&gt;=$J53,AC$3&lt;=$M53),1,"")</f>
        <v/>
      </c>
      <c r="AD53">
        <f>IF(AND($A53&lt;&gt;"",AD$3&gt;=$J53,AD$3&lt;=$M53),1,"")</f>
        <v/>
      </c>
      <c r="AE53">
        <f>IF(AND($A53&lt;&gt;"",AE$3&gt;=$J53,AE$3&lt;=$M53),1,"")</f>
        <v/>
      </c>
      <c r="AF53">
        <f>IF(AND($A53&lt;&gt;"",AF$3&gt;=$J53,AF$3&lt;=$M53),1,"")</f>
        <v/>
      </c>
      <c r="AG53">
        <f>IF(AND($A53&lt;&gt;"",AG$3&gt;=$J53,AG$3&lt;=$M53),1,"")</f>
        <v/>
      </c>
      <c r="AH53">
        <f>IF(AND($A53&lt;&gt;"",AH$3&gt;=$J53,AH$3&lt;=$M53),1,"")</f>
        <v/>
      </c>
      <c r="AI53">
        <f>IF(AND($A53&lt;&gt;"",AI$3&gt;=$J53,AI$3&lt;=$M53),1,"")</f>
        <v/>
      </c>
      <c r="AJ53">
        <f>IF(AND($A53&lt;&gt;"",AJ$3&gt;=$J53,AJ$3&lt;=$M53),1,"")</f>
        <v/>
      </c>
      <c r="AK53">
        <f>IF(AND($A53&lt;&gt;"",AK$3&gt;=$J53,AK$3&lt;=$M53),1,"")</f>
        <v/>
      </c>
      <c r="AL53">
        <f>IF(AND($A53&lt;&gt;"",AL$3&gt;=$J53,AL$3&lt;=$M53),1,"")</f>
        <v/>
      </c>
      <c r="AM53">
        <f>IF(AND($A53&lt;&gt;"",AM$3&gt;=$J53,AM$3&lt;=$M53),1,"")</f>
        <v/>
      </c>
      <c r="AN53">
        <f>IF(AND($A53&lt;&gt;"",AN$3&gt;=$J53,AN$3&lt;=$M53),1,"")</f>
        <v/>
      </c>
      <c r="AO53">
        <f>IF(AND($A53&lt;&gt;"",AO$3&gt;=$J53,AO$3&lt;=$M53),1,"")</f>
        <v/>
      </c>
      <c r="AP53">
        <f>IF(AND($A53&lt;&gt;"",AP$3&gt;=$J53,AP$3&lt;=$M53),1,"")</f>
        <v/>
      </c>
      <c r="AQ53">
        <f>IF(AND($A53&lt;&gt;"",AQ$3&gt;=$J53,AQ$3&lt;=$M53),1,"")</f>
        <v/>
      </c>
      <c r="AR53">
        <f>IF(AND($A53&lt;&gt;"",AR$3&gt;=$J53,AR$3&lt;=$M53),1,"")</f>
        <v/>
      </c>
      <c r="AS53">
        <f>IF(AND($A53&lt;&gt;"",AS$3&gt;=$J53,AS$3&lt;=$M53),1,"")</f>
        <v/>
      </c>
      <c r="AT53">
        <f>IF(AND($A53&lt;&gt;"",AT$3&gt;=$J53,AT$3&lt;=$M53),1,"")</f>
        <v/>
      </c>
      <c r="AU53">
        <f>IF(AND($A53&lt;&gt;"",AU$3&gt;=$J53,AU$3&lt;=$M53),1,"")</f>
        <v/>
      </c>
      <c r="AV53">
        <f>IF(AND($A53&lt;&gt;"",AV$3&gt;=$J53,AV$3&lt;=$M53),1,"")</f>
        <v/>
      </c>
      <c r="AW53">
        <f>IF(AND($A53&lt;&gt;"",AW$3&gt;=$J53,AW$3&lt;=$M53),1,"")</f>
        <v/>
      </c>
      <c r="AX53">
        <f>IF(AND($A53&lt;&gt;"",AX$3&gt;=$J53,AX$3&lt;=$M53),1,"")</f>
        <v/>
      </c>
      <c r="AY53">
        <f>IF(AND($A53&lt;&gt;"",AY$3&gt;=$J53,AY$3&lt;=$M53),1,"")</f>
        <v/>
      </c>
      <c r="AZ53">
        <f>IF(AND($A53&lt;&gt;"",AZ$3&gt;=$J53,AZ$3&lt;=$M53),1,"")</f>
        <v/>
      </c>
      <c r="BA53">
        <f>IF(AND($A53&lt;&gt;"",BA$3&gt;=$J53,BA$3&lt;=$M53),1,"")</f>
        <v/>
      </c>
      <c r="BB53">
        <f>IF(AND($A53&lt;&gt;"",BB$3&gt;=$J53,BB$3&lt;=$M53),1,"")</f>
        <v/>
      </c>
      <c r="BC53">
        <f>IF(AND($A53&lt;&gt;"",BC$3&gt;=$J53,BC$3&lt;=$M53),1,"")</f>
        <v/>
      </c>
      <c r="BD53">
        <f>IF(AND($A53&lt;&gt;"",BD$3&gt;=$J53,BD$3&lt;=$M53),1,"")</f>
        <v/>
      </c>
      <c r="BE53">
        <f>IF(AND($A53&lt;&gt;"",BE$3&gt;=$J53,BE$3&lt;=$M53),1,"")</f>
        <v/>
      </c>
      <c r="BF53">
        <f>IF(AND($A53&lt;&gt;"",BF$3&gt;=$J53,BF$3&lt;=$M53),1,"")</f>
        <v/>
      </c>
      <c r="BG53">
        <f>IF(AND($A53&lt;&gt;"",BG$3&gt;=$J53,BG$3&lt;=$M53),1,"")</f>
        <v/>
      </c>
      <c r="BH53">
        <f>IF(AND($A53&lt;&gt;"",BH$3&gt;=$J53,BH$3&lt;=$M53),1,"")</f>
        <v/>
      </c>
      <c r="BI53">
        <f>IF(AND($A53&lt;&gt;"",BI$3&gt;=$J53,BI$3&lt;=$M53),1,"")</f>
        <v/>
      </c>
      <c r="BJ53">
        <f>IF(AND($A53&lt;&gt;"",BJ$3&gt;=$J53,BJ$3&lt;=$M53),1,"")</f>
        <v/>
      </c>
      <c r="BK53">
        <f>IF(AND($A53&lt;&gt;"",BK$3&gt;=$J53,BK$3&lt;=$M53),1,"")</f>
        <v/>
      </c>
      <c r="BL53">
        <f>IF(AND($A53&lt;&gt;"",BL$3&gt;=$J53,BL$3&lt;=$M53),1,"")</f>
        <v/>
      </c>
      <c r="BM53">
        <f>IF(AND($A53&lt;&gt;"",BM$3&gt;=$J53,BM$3&lt;=$M53),1,"")</f>
        <v/>
      </c>
      <c r="BN53">
        <f>IF(AND($A53&lt;&gt;"",BN$3&gt;=$J53,BN$3&lt;=$M53),1,"")</f>
        <v/>
      </c>
      <c r="BO53">
        <f>IF(AND($A53&lt;&gt;"",BO$3&gt;=$J53,BO$3&lt;=$M53),1,"")</f>
        <v/>
      </c>
      <c r="BP53">
        <f>IF(AND($A53&lt;&gt;"",BP$3&gt;=$J53,BP$3&lt;=$M53),1,"")</f>
        <v/>
      </c>
      <c r="BQ53">
        <f>IF(AND($A53&lt;&gt;"",BQ$3&gt;=$J53,BQ$3&lt;=$M53),1,"")</f>
        <v/>
      </c>
      <c r="BR53">
        <f>IF(AND($A53&lt;&gt;"",BR$3&gt;=$J53,BR$3&lt;=$M53),1,"")</f>
        <v/>
      </c>
      <c r="BS53">
        <f>IF(AND($A53&lt;&gt;"",BS$3&gt;=$J53,BS$3&lt;=$M53),1,"")</f>
        <v/>
      </c>
      <c r="BT53">
        <f>IF(AND($A53&lt;&gt;"",BT$3&gt;=$J53,BT$3&lt;=$M53),1,"")</f>
        <v/>
      </c>
      <c r="BU53">
        <f>IF(AND($A53&lt;&gt;"",BU$3&gt;=$J53,BU$3&lt;=$M53),1,"")</f>
        <v/>
      </c>
      <c r="BV53">
        <f>IF(AND($A53&lt;&gt;"",BV$3&gt;=$J53,BV$3&lt;=$M53),1,"")</f>
        <v/>
      </c>
    </row>
    <row r="54">
      <c r="A54">
        <f>IF(Job_Master_Ring!$A54="","",Job_Master_Ring!$A54)</f>
        <v/>
      </c>
      <c r="B54">
        <f>IF($A54="","",Job_Master_Ring!B54)</f>
        <v/>
      </c>
      <c r="C54">
        <f>IF($A54="","",Job_Master_Ring!C54)</f>
        <v/>
      </c>
      <c r="D54">
        <f>IF($A54="","",Job_Master_Ring!D54)</f>
        <v/>
      </c>
      <c r="E54">
        <f>IF($A54="","",IF($I54&lt;&gt;"",$I54,IFERROR(INDEX(Machine_List!$B$72:$B$81,MATCH(1,(Machine_List!$H$72:$H$81&lt;=IFERROR(VLOOKUP($B54,CHOOSE(MATCH($C54,Settings!$L$4:$L$10,0),OPR_BR1!$A$4:$K$18,OPR_BR2!$A$4:$K$18,OPR_CR2!$A$4:$K$18,OPR_CR3!$A$4:$K$18,OPR_CR4!$A$4:$K$18,OPR_RIM!$A$4:$K$18,OPR_BPR!$A$4:$K$18),10,0),0))*(Machine_List!$I$72:$I$81&gt;=IFERROR(VLOOKUP($B54,CHOOSE(MATCH($C54,Settings!$L$4:$L$10,0),OPR_BR1!$A$4:$K$18,OPR_BR2!$A$4:$K$18,OPR_CR2!$A$4:$K$18,OPR_CR3!$A$4:$K$18,OPR_CR4!$A$4:$K$18,OPR_RIM!$A$4:$K$18,OPR_BPR!$A$4:$K$18),11,0),9999)),0)),"NO COMPATIBLE MACHINE")))</f>
        <v/>
      </c>
      <c r="F54">
        <f>IF($E54="","",IFERROR(VLOOKUP($E54,Machine_List!$B:$G,6,0),""))</f>
        <v/>
      </c>
      <c r="G54" s="17">
        <f>IF($E54="","",IFERROR(VLOOKUP($E54,Machine_List!$B:$C,2,0),""))</f>
        <v/>
      </c>
      <c r="H54">
        <f>IF($E54="","",IFERROR(VLOOKUP($E54,Machine_List!$B:$D,3,0),""))</f>
        <v/>
      </c>
      <c r="J54" s="16">
        <f>IF($A54="","",IF($I54&lt;&gt;"",$I54,MAX(VENT_Plan!$M54,IFERROR(LOOKUP(2,1/($E$3:INDIRECT("E"&amp;(ROW()-1))=$E54),$M$3:INDIRECT("M"&amp;(ROW()-1))),VENT_Plan!$M54))))</f>
        <v/>
      </c>
      <c r="K54">
        <f>IF($A54="","",IFERROR(VLOOKUP(B54,CHOOSE(MATCH($C54,Settings!$L$4:$L$10,0),OPR_BR1!$A$4:$I$18,OPR_BR2!$A$4:$I$18,OPR_CR2!$A$4:$I$18,OPR_CR3!$A$4:$I$18,OPR_CR4!$A$4:$I$18,OPR_RIM!$A$4:$I$18,OPR_BPR!$A$4:$I$18),8,0),0))</f>
        <v/>
      </c>
      <c r="L54">
        <f>IF($A54="","",K54*D54)</f>
        <v/>
      </c>
      <c r="M54" s="16">
        <f>IF($A54="","",IF(AND(ISNUMBER(G54),G54&gt;=J54,G54&lt;=(J54+(L54/(IF(F54="Contract Workman",Settings!$K$5,Settings!$K$4))))),J54+(L54/(IF(F54="Contract Workman",Settings!$K$5,Settings!$K$4)))+(H54/(IF(F54="Contract Workman",Settings!$K$5,Settings!$K$4))),J54+(L54/(IF(F54="Contract Workman",Settings!$K$5,Settings!$K$4)))))</f>
        <v/>
      </c>
      <c r="N54">
        <f>IF($A54="","",IF(F54="Contract Workman",IF(AND(MOD(M54,1)&gt;=8/24,MOD(M54,1)&lt;20/24),"Shift S1","Shift S2"),IF(AND(MOD(M54,1)&gt;=7/24,MOD(M54,1)&lt;15/24),"Shift A",IF(AND(MOD(M54,1)&gt;=15/24,MOD(M54,1)&lt;23/24),"Shift B","Shift C"))))</f>
        <v/>
      </c>
      <c r="O54">
        <f>IF(B54="","",IF(IFERROR(ISNUMBER(SEARCH(TEXT(B54,"0"),VLOOKUP(E54,Machine_List!$B:$J,9,0))),FALSE),"✅ "&amp; E54,"❌ Sug: "&amp;IFERROR(INDEX(Machine_List!$B$72:$B$81,MATCH(1,(Machine_List!$H$72:$H$81&lt;=IFERROR(VLOOKUP($B54,OPR_BR1!$A$4:$K$18,10,0),0))*(Machine_List!$I$72:$I$81&gt;=IFERROR(VLOOKUP($B54,OPR_BR1!$A$4:$K$18,11,0),9999)),0)),"?")))</f>
        <v/>
      </c>
      <c r="P54">
        <f>IF(AND($A54&lt;&gt;"",P$3&gt;=$J54,P$3&lt;=$M54),1,"")</f>
        <v/>
      </c>
      <c r="Q54">
        <f>IF(AND($A54&lt;&gt;"",Q$3&gt;=$J54,Q$3&lt;=$M54),1,"")</f>
        <v/>
      </c>
      <c r="R54">
        <f>IF(AND($A54&lt;&gt;"",R$3&gt;=$J54,R$3&lt;=$M54),1,"")</f>
        <v/>
      </c>
      <c r="S54">
        <f>IF(AND($A54&lt;&gt;"",S$3&gt;=$J54,S$3&lt;=$M54),1,"")</f>
        <v/>
      </c>
      <c r="T54">
        <f>IF(AND($A54&lt;&gt;"",T$3&gt;=$J54,T$3&lt;=$M54),1,"")</f>
        <v/>
      </c>
      <c r="U54">
        <f>IF(AND($A54&lt;&gt;"",U$3&gt;=$J54,U$3&lt;=$M54),1,"")</f>
        <v/>
      </c>
      <c r="V54">
        <f>IF(AND($A54&lt;&gt;"",V$3&gt;=$J54,V$3&lt;=$M54),1,"")</f>
        <v/>
      </c>
      <c r="W54">
        <f>IF(AND($A54&lt;&gt;"",W$3&gt;=$J54,W$3&lt;=$M54),1,"")</f>
        <v/>
      </c>
      <c r="X54">
        <f>IF(AND($A54&lt;&gt;"",X$3&gt;=$J54,X$3&lt;=$M54),1,"")</f>
        <v/>
      </c>
      <c r="Y54">
        <f>IF(AND($A54&lt;&gt;"",Y$3&gt;=$J54,Y$3&lt;=$M54),1,"")</f>
        <v/>
      </c>
      <c r="Z54">
        <f>IF(AND($A54&lt;&gt;"",Z$3&gt;=$J54,Z$3&lt;=$M54),1,"")</f>
        <v/>
      </c>
      <c r="AA54">
        <f>IF(AND($A54&lt;&gt;"",AA$3&gt;=$J54,AA$3&lt;=$M54),1,"")</f>
        <v/>
      </c>
      <c r="AB54">
        <f>IF(AND($A54&lt;&gt;"",AB$3&gt;=$J54,AB$3&lt;=$M54),1,"")</f>
        <v/>
      </c>
      <c r="AC54">
        <f>IF(AND($A54&lt;&gt;"",AC$3&gt;=$J54,AC$3&lt;=$M54),1,"")</f>
        <v/>
      </c>
      <c r="AD54">
        <f>IF(AND($A54&lt;&gt;"",AD$3&gt;=$J54,AD$3&lt;=$M54),1,"")</f>
        <v/>
      </c>
      <c r="AE54">
        <f>IF(AND($A54&lt;&gt;"",AE$3&gt;=$J54,AE$3&lt;=$M54),1,"")</f>
        <v/>
      </c>
      <c r="AF54">
        <f>IF(AND($A54&lt;&gt;"",AF$3&gt;=$J54,AF$3&lt;=$M54),1,"")</f>
        <v/>
      </c>
      <c r="AG54">
        <f>IF(AND($A54&lt;&gt;"",AG$3&gt;=$J54,AG$3&lt;=$M54),1,"")</f>
        <v/>
      </c>
      <c r="AH54">
        <f>IF(AND($A54&lt;&gt;"",AH$3&gt;=$J54,AH$3&lt;=$M54),1,"")</f>
        <v/>
      </c>
      <c r="AI54">
        <f>IF(AND($A54&lt;&gt;"",AI$3&gt;=$J54,AI$3&lt;=$M54),1,"")</f>
        <v/>
      </c>
      <c r="AJ54">
        <f>IF(AND($A54&lt;&gt;"",AJ$3&gt;=$J54,AJ$3&lt;=$M54),1,"")</f>
        <v/>
      </c>
      <c r="AK54">
        <f>IF(AND($A54&lt;&gt;"",AK$3&gt;=$J54,AK$3&lt;=$M54),1,"")</f>
        <v/>
      </c>
      <c r="AL54">
        <f>IF(AND($A54&lt;&gt;"",AL$3&gt;=$J54,AL$3&lt;=$M54),1,"")</f>
        <v/>
      </c>
      <c r="AM54">
        <f>IF(AND($A54&lt;&gt;"",AM$3&gt;=$J54,AM$3&lt;=$M54),1,"")</f>
        <v/>
      </c>
      <c r="AN54">
        <f>IF(AND($A54&lt;&gt;"",AN$3&gt;=$J54,AN$3&lt;=$M54),1,"")</f>
        <v/>
      </c>
      <c r="AO54">
        <f>IF(AND($A54&lt;&gt;"",AO$3&gt;=$J54,AO$3&lt;=$M54),1,"")</f>
        <v/>
      </c>
      <c r="AP54">
        <f>IF(AND($A54&lt;&gt;"",AP$3&gt;=$J54,AP$3&lt;=$M54),1,"")</f>
        <v/>
      </c>
      <c r="AQ54">
        <f>IF(AND($A54&lt;&gt;"",AQ$3&gt;=$J54,AQ$3&lt;=$M54),1,"")</f>
        <v/>
      </c>
      <c r="AR54">
        <f>IF(AND($A54&lt;&gt;"",AR$3&gt;=$J54,AR$3&lt;=$M54),1,"")</f>
        <v/>
      </c>
      <c r="AS54">
        <f>IF(AND($A54&lt;&gt;"",AS$3&gt;=$J54,AS$3&lt;=$M54),1,"")</f>
        <v/>
      </c>
      <c r="AT54">
        <f>IF(AND($A54&lt;&gt;"",AT$3&gt;=$J54,AT$3&lt;=$M54),1,"")</f>
        <v/>
      </c>
      <c r="AU54">
        <f>IF(AND($A54&lt;&gt;"",AU$3&gt;=$J54,AU$3&lt;=$M54),1,"")</f>
        <v/>
      </c>
      <c r="AV54">
        <f>IF(AND($A54&lt;&gt;"",AV$3&gt;=$J54,AV$3&lt;=$M54),1,"")</f>
        <v/>
      </c>
      <c r="AW54">
        <f>IF(AND($A54&lt;&gt;"",AW$3&gt;=$J54,AW$3&lt;=$M54),1,"")</f>
        <v/>
      </c>
      <c r="AX54">
        <f>IF(AND($A54&lt;&gt;"",AX$3&gt;=$J54,AX$3&lt;=$M54),1,"")</f>
        <v/>
      </c>
      <c r="AY54">
        <f>IF(AND($A54&lt;&gt;"",AY$3&gt;=$J54,AY$3&lt;=$M54),1,"")</f>
        <v/>
      </c>
      <c r="AZ54">
        <f>IF(AND($A54&lt;&gt;"",AZ$3&gt;=$J54,AZ$3&lt;=$M54),1,"")</f>
        <v/>
      </c>
      <c r="BA54">
        <f>IF(AND($A54&lt;&gt;"",BA$3&gt;=$J54,BA$3&lt;=$M54),1,"")</f>
        <v/>
      </c>
      <c r="BB54">
        <f>IF(AND($A54&lt;&gt;"",BB$3&gt;=$J54,BB$3&lt;=$M54),1,"")</f>
        <v/>
      </c>
      <c r="BC54">
        <f>IF(AND($A54&lt;&gt;"",BC$3&gt;=$J54,BC$3&lt;=$M54),1,"")</f>
        <v/>
      </c>
      <c r="BD54">
        <f>IF(AND($A54&lt;&gt;"",BD$3&gt;=$J54,BD$3&lt;=$M54),1,"")</f>
        <v/>
      </c>
      <c r="BE54">
        <f>IF(AND($A54&lt;&gt;"",BE$3&gt;=$J54,BE$3&lt;=$M54),1,"")</f>
        <v/>
      </c>
      <c r="BF54">
        <f>IF(AND($A54&lt;&gt;"",BF$3&gt;=$J54,BF$3&lt;=$M54),1,"")</f>
        <v/>
      </c>
      <c r="BG54">
        <f>IF(AND($A54&lt;&gt;"",BG$3&gt;=$J54,BG$3&lt;=$M54),1,"")</f>
        <v/>
      </c>
      <c r="BH54">
        <f>IF(AND($A54&lt;&gt;"",BH$3&gt;=$J54,BH$3&lt;=$M54),1,"")</f>
        <v/>
      </c>
      <c r="BI54">
        <f>IF(AND($A54&lt;&gt;"",BI$3&gt;=$J54,BI$3&lt;=$M54),1,"")</f>
        <v/>
      </c>
      <c r="BJ54">
        <f>IF(AND($A54&lt;&gt;"",BJ$3&gt;=$J54,BJ$3&lt;=$M54),1,"")</f>
        <v/>
      </c>
      <c r="BK54">
        <f>IF(AND($A54&lt;&gt;"",BK$3&gt;=$J54,BK$3&lt;=$M54),1,"")</f>
        <v/>
      </c>
      <c r="BL54">
        <f>IF(AND($A54&lt;&gt;"",BL$3&gt;=$J54,BL$3&lt;=$M54),1,"")</f>
        <v/>
      </c>
      <c r="BM54">
        <f>IF(AND($A54&lt;&gt;"",BM$3&gt;=$J54,BM$3&lt;=$M54),1,"")</f>
        <v/>
      </c>
      <c r="BN54">
        <f>IF(AND($A54&lt;&gt;"",BN$3&gt;=$J54,BN$3&lt;=$M54),1,"")</f>
        <v/>
      </c>
      <c r="BO54">
        <f>IF(AND($A54&lt;&gt;"",BO$3&gt;=$J54,BO$3&lt;=$M54),1,"")</f>
        <v/>
      </c>
      <c r="BP54">
        <f>IF(AND($A54&lt;&gt;"",BP$3&gt;=$J54,BP$3&lt;=$M54),1,"")</f>
        <v/>
      </c>
      <c r="BQ54">
        <f>IF(AND($A54&lt;&gt;"",BQ$3&gt;=$J54,BQ$3&lt;=$M54),1,"")</f>
        <v/>
      </c>
      <c r="BR54">
        <f>IF(AND($A54&lt;&gt;"",BR$3&gt;=$J54,BR$3&lt;=$M54),1,"")</f>
        <v/>
      </c>
      <c r="BS54">
        <f>IF(AND($A54&lt;&gt;"",BS$3&gt;=$J54,BS$3&lt;=$M54),1,"")</f>
        <v/>
      </c>
      <c r="BT54">
        <f>IF(AND($A54&lt;&gt;"",BT$3&gt;=$J54,BT$3&lt;=$M54),1,"")</f>
        <v/>
      </c>
      <c r="BU54">
        <f>IF(AND($A54&lt;&gt;"",BU$3&gt;=$J54,BU$3&lt;=$M54),1,"")</f>
        <v/>
      </c>
      <c r="BV54">
        <f>IF(AND($A54&lt;&gt;"",BV$3&gt;=$J54,BV$3&lt;=$M54),1,"")</f>
        <v/>
      </c>
    </row>
    <row r="55">
      <c r="A55">
        <f>IF(Job_Master_Ring!$A55="","",Job_Master_Ring!$A55)</f>
        <v/>
      </c>
      <c r="B55">
        <f>IF($A55="","",Job_Master_Ring!B55)</f>
        <v/>
      </c>
      <c r="C55">
        <f>IF($A55="","",Job_Master_Ring!C55)</f>
        <v/>
      </c>
      <c r="D55">
        <f>IF($A55="","",Job_Master_Ring!D55)</f>
        <v/>
      </c>
      <c r="E55">
        <f>IF($A55="","",IF($I55&lt;&gt;"",$I55,IFERROR(INDEX(Machine_List!$B$72:$B$81,MATCH(1,(Machine_List!$H$72:$H$81&lt;=IFERROR(VLOOKUP($B55,CHOOSE(MATCH($C55,Settings!$L$4:$L$10,0),OPR_BR1!$A$4:$K$18,OPR_BR2!$A$4:$K$18,OPR_CR2!$A$4:$K$18,OPR_CR3!$A$4:$K$18,OPR_CR4!$A$4:$K$18,OPR_RIM!$A$4:$K$18,OPR_BPR!$A$4:$K$18),10,0),0))*(Machine_List!$I$72:$I$81&gt;=IFERROR(VLOOKUP($B55,CHOOSE(MATCH($C55,Settings!$L$4:$L$10,0),OPR_BR1!$A$4:$K$18,OPR_BR2!$A$4:$K$18,OPR_CR2!$A$4:$K$18,OPR_CR3!$A$4:$K$18,OPR_CR4!$A$4:$K$18,OPR_RIM!$A$4:$K$18,OPR_BPR!$A$4:$K$18),11,0),9999)),0)),"NO COMPATIBLE MACHINE")))</f>
        <v/>
      </c>
      <c r="F55">
        <f>IF($E55="","",IFERROR(VLOOKUP($E55,Machine_List!$B:$G,6,0),""))</f>
        <v/>
      </c>
      <c r="G55" s="17">
        <f>IF($E55="","",IFERROR(VLOOKUP($E55,Machine_List!$B:$C,2,0),""))</f>
        <v/>
      </c>
      <c r="H55">
        <f>IF($E55="","",IFERROR(VLOOKUP($E55,Machine_List!$B:$D,3,0),""))</f>
        <v/>
      </c>
      <c r="J55" s="16">
        <f>IF($A55="","",IF($I55&lt;&gt;"",$I55,MAX(VENT_Plan!$M55,IFERROR(LOOKUP(2,1/($E$3:INDIRECT("E"&amp;(ROW()-1))=$E55),$M$3:INDIRECT("M"&amp;(ROW()-1))),VENT_Plan!$M55))))</f>
        <v/>
      </c>
      <c r="K55">
        <f>IF($A55="","",IFERROR(VLOOKUP(B55,CHOOSE(MATCH($C55,Settings!$L$4:$L$10,0),OPR_BR1!$A$4:$I$18,OPR_BR2!$A$4:$I$18,OPR_CR2!$A$4:$I$18,OPR_CR3!$A$4:$I$18,OPR_CR4!$A$4:$I$18,OPR_RIM!$A$4:$I$18,OPR_BPR!$A$4:$I$18),8,0),0))</f>
        <v/>
      </c>
      <c r="L55">
        <f>IF($A55="","",K55*D55)</f>
        <v/>
      </c>
      <c r="M55" s="16">
        <f>IF($A55="","",IF(AND(ISNUMBER(G55),G55&gt;=J55,G55&lt;=(J55+(L55/(IF(F55="Contract Workman",Settings!$K$5,Settings!$K$4))))),J55+(L55/(IF(F55="Contract Workman",Settings!$K$5,Settings!$K$4)))+(H55/(IF(F55="Contract Workman",Settings!$K$5,Settings!$K$4))),J55+(L55/(IF(F55="Contract Workman",Settings!$K$5,Settings!$K$4)))))</f>
        <v/>
      </c>
      <c r="N55">
        <f>IF($A55="","",IF(F55="Contract Workman",IF(AND(MOD(M55,1)&gt;=8/24,MOD(M55,1)&lt;20/24),"Shift S1","Shift S2"),IF(AND(MOD(M55,1)&gt;=7/24,MOD(M55,1)&lt;15/24),"Shift A",IF(AND(MOD(M55,1)&gt;=15/24,MOD(M55,1)&lt;23/24),"Shift B","Shift C"))))</f>
        <v/>
      </c>
      <c r="O55">
        <f>IF(B55="","",IF(IFERROR(ISNUMBER(SEARCH(TEXT(B55,"0"),VLOOKUP(E55,Machine_List!$B:$J,9,0))),FALSE),"✅ "&amp; E55,"❌ Sug: "&amp;IFERROR(INDEX(Machine_List!$B$72:$B$81,MATCH(1,(Machine_List!$H$72:$H$81&lt;=IFERROR(VLOOKUP($B55,OPR_BR1!$A$4:$K$18,10,0),0))*(Machine_List!$I$72:$I$81&gt;=IFERROR(VLOOKUP($B55,OPR_BR1!$A$4:$K$18,11,0),9999)),0)),"?")))</f>
        <v/>
      </c>
      <c r="P55">
        <f>IF(AND($A55&lt;&gt;"",P$3&gt;=$J55,P$3&lt;=$M55),1,"")</f>
        <v/>
      </c>
      <c r="Q55">
        <f>IF(AND($A55&lt;&gt;"",Q$3&gt;=$J55,Q$3&lt;=$M55),1,"")</f>
        <v/>
      </c>
      <c r="R55">
        <f>IF(AND($A55&lt;&gt;"",R$3&gt;=$J55,R$3&lt;=$M55),1,"")</f>
        <v/>
      </c>
      <c r="S55">
        <f>IF(AND($A55&lt;&gt;"",S$3&gt;=$J55,S$3&lt;=$M55),1,"")</f>
        <v/>
      </c>
      <c r="T55">
        <f>IF(AND($A55&lt;&gt;"",T$3&gt;=$J55,T$3&lt;=$M55),1,"")</f>
        <v/>
      </c>
      <c r="U55">
        <f>IF(AND($A55&lt;&gt;"",U$3&gt;=$J55,U$3&lt;=$M55),1,"")</f>
        <v/>
      </c>
      <c r="V55">
        <f>IF(AND($A55&lt;&gt;"",V$3&gt;=$J55,V$3&lt;=$M55),1,"")</f>
        <v/>
      </c>
      <c r="W55">
        <f>IF(AND($A55&lt;&gt;"",W$3&gt;=$J55,W$3&lt;=$M55),1,"")</f>
        <v/>
      </c>
      <c r="X55">
        <f>IF(AND($A55&lt;&gt;"",X$3&gt;=$J55,X$3&lt;=$M55),1,"")</f>
        <v/>
      </c>
      <c r="Y55">
        <f>IF(AND($A55&lt;&gt;"",Y$3&gt;=$J55,Y$3&lt;=$M55),1,"")</f>
        <v/>
      </c>
      <c r="Z55">
        <f>IF(AND($A55&lt;&gt;"",Z$3&gt;=$J55,Z$3&lt;=$M55),1,"")</f>
        <v/>
      </c>
      <c r="AA55">
        <f>IF(AND($A55&lt;&gt;"",AA$3&gt;=$J55,AA$3&lt;=$M55),1,"")</f>
        <v/>
      </c>
      <c r="AB55">
        <f>IF(AND($A55&lt;&gt;"",AB$3&gt;=$J55,AB$3&lt;=$M55),1,"")</f>
        <v/>
      </c>
      <c r="AC55">
        <f>IF(AND($A55&lt;&gt;"",AC$3&gt;=$J55,AC$3&lt;=$M55),1,"")</f>
        <v/>
      </c>
      <c r="AD55">
        <f>IF(AND($A55&lt;&gt;"",AD$3&gt;=$J55,AD$3&lt;=$M55),1,"")</f>
        <v/>
      </c>
      <c r="AE55">
        <f>IF(AND($A55&lt;&gt;"",AE$3&gt;=$J55,AE$3&lt;=$M55),1,"")</f>
        <v/>
      </c>
      <c r="AF55">
        <f>IF(AND($A55&lt;&gt;"",AF$3&gt;=$J55,AF$3&lt;=$M55),1,"")</f>
        <v/>
      </c>
      <c r="AG55">
        <f>IF(AND($A55&lt;&gt;"",AG$3&gt;=$J55,AG$3&lt;=$M55),1,"")</f>
        <v/>
      </c>
      <c r="AH55">
        <f>IF(AND($A55&lt;&gt;"",AH$3&gt;=$J55,AH$3&lt;=$M55),1,"")</f>
        <v/>
      </c>
      <c r="AI55">
        <f>IF(AND($A55&lt;&gt;"",AI$3&gt;=$J55,AI$3&lt;=$M55),1,"")</f>
        <v/>
      </c>
      <c r="AJ55">
        <f>IF(AND($A55&lt;&gt;"",AJ$3&gt;=$J55,AJ$3&lt;=$M55),1,"")</f>
        <v/>
      </c>
      <c r="AK55">
        <f>IF(AND($A55&lt;&gt;"",AK$3&gt;=$J55,AK$3&lt;=$M55),1,"")</f>
        <v/>
      </c>
      <c r="AL55">
        <f>IF(AND($A55&lt;&gt;"",AL$3&gt;=$J55,AL$3&lt;=$M55),1,"")</f>
        <v/>
      </c>
      <c r="AM55">
        <f>IF(AND($A55&lt;&gt;"",AM$3&gt;=$J55,AM$3&lt;=$M55),1,"")</f>
        <v/>
      </c>
      <c r="AN55">
        <f>IF(AND($A55&lt;&gt;"",AN$3&gt;=$J55,AN$3&lt;=$M55),1,"")</f>
        <v/>
      </c>
      <c r="AO55">
        <f>IF(AND($A55&lt;&gt;"",AO$3&gt;=$J55,AO$3&lt;=$M55),1,"")</f>
        <v/>
      </c>
      <c r="AP55">
        <f>IF(AND($A55&lt;&gt;"",AP$3&gt;=$J55,AP$3&lt;=$M55),1,"")</f>
        <v/>
      </c>
      <c r="AQ55">
        <f>IF(AND($A55&lt;&gt;"",AQ$3&gt;=$J55,AQ$3&lt;=$M55),1,"")</f>
        <v/>
      </c>
      <c r="AR55">
        <f>IF(AND($A55&lt;&gt;"",AR$3&gt;=$J55,AR$3&lt;=$M55),1,"")</f>
        <v/>
      </c>
      <c r="AS55">
        <f>IF(AND($A55&lt;&gt;"",AS$3&gt;=$J55,AS$3&lt;=$M55),1,"")</f>
        <v/>
      </c>
      <c r="AT55">
        <f>IF(AND($A55&lt;&gt;"",AT$3&gt;=$J55,AT$3&lt;=$M55),1,"")</f>
        <v/>
      </c>
      <c r="AU55">
        <f>IF(AND($A55&lt;&gt;"",AU$3&gt;=$J55,AU$3&lt;=$M55),1,"")</f>
        <v/>
      </c>
      <c r="AV55">
        <f>IF(AND($A55&lt;&gt;"",AV$3&gt;=$J55,AV$3&lt;=$M55),1,"")</f>
        <v/>
      </c>
      <c r="AW55">
        <f>IF(AND($A55&lt;&gt;"",AW$3&gt;=$J55,AW$3&lt;=$M55),1,"")</f>
        <v/>
      </c>
      <c r="AX55">
        <f>IF(AND($A55&lt;&gt;"",AX$3&gt;=$J55,AX$3&lt;=$M55),1,"")</f>
        <v/>
      </c>
      <c r="AY55">
        <f>IF(AND($A55&lt;&gt;"",AY$3&gt;=$J55,AY$3&lt;=$M55),1,"")</f>
        <v/>
      </c>
      <c r="AZ55">
        <f>IF(AND($A55&lt;&gt;"",AZ$3&gt;=$J55,AZ$3&lt;=$M55),1,"")</f>
        <v/>
      </c>
      <c r="BA55">
        <f>IF(AND($A55&lt;&gt;"",BA$3&gt;=$J55,BA$3&lt;=$M55),1,"")</f>
        <v/>
      </c>
      <c r="BB55">
        <f>IF(AND($A55&lt;&gt;"",BB$3&gt;=$J55,BB$3&lt;=$M55),1,"")</f>
        <v/>
      </c>
      <c r="BC55">
        <f>IF(AND($A55&lt;&gt;"",BC$3&gt;=$J55,BC$3&lt;=$M55),1,"")</f>
        <v/>
      </c>
      <c r="BD55">
        <f>IF(AND($A55&lt;&gt;"",BD$3&gt;=$J55,BD$3&lt;=$M55),1,"")</f>
        <v/>
      </c>
      <c r="BE55">
        <f>IF(AND($A55&lt;&gt;"",BE$3&gt;=$J55,BE$3&lt;=$M55),1,"")</f>
        <v/>
      </c>
      <c r="BF55">
        <f>IF(AND($A55&lt;&gt;"",BF$3&gt;=$J55,BF$3&lt;=$M55),1,"")</f>
        <v/>
      </c>
      <c r="BG55">
        <f>IF(AND($A55&lt;&gt;"",BG$3&gt;=$J55,BG$3&lt;=$M55),1,"")</f>
        <v/>
      </c>
      <c r="BH55">
        <f>IF(AND($A55&lt;&gt;"",BH$3&gt;=$J55,BH$3&lt;=$M55),1,"")</f>
        <v/>
      </c>
      <c r="BI55">
        <f>IF(AND($A55&lt;&gt;"",BI$3&gt;=$J55,BI$3&lt;=$M55),1,"")</f>
        <v/>
      </c>
      <c r="BJ55">
        <f>IF(AND($A55&lt;&gt;"",BJ$3&gt;=$J55,BJ$3&lt;=$M55),1,"")</f>
        <v/>
      </c>
      <c r="BK55">
        <f>IF(AND($A55&lt;&gt;"",BK$3&gt;=$J55,BK$3&lt;=$M55),1,"")</f>
        <v/>
      </c>
      <c r="BL55">
        <f>IF(AND($A55&lt;&gt;"",BL$3&gt;=$J55,BL$3&lt;=$M55),1,"")</f>
        <v/>
      </c>
      <c r="BM55">
        <f>IF(AND($A55&lt;&gt;"",BM$3&gt;=$J55,BM$3&lt;=$M55),1,"")</f>
        <v/>
      </c>
      <c r="BN55">
        <f>IF(AND($A55&lt;&gt;"",BN$3&gt;=$J55,BN$3&lt;=$M55),1,"")</f>
        <v/>
      </c>
      <c r="BO55">
        <f>IF(AND($A55&lt;&gt;"",BO$3&gt;=$J55,BO$3&lt;=$M55),1,"")</f>
        <v/>
      </c>
      <c r="BP55">
        <f>IF(AND($A55&lt;&gt;"",BP$3&gt;=$J55,BP$3&lt;=$M55),1,"")</f>
        <v/>
      </c>
      <c r="BQ55">
        <f>IF(AND($A55&lt;&gt;"",BQ$3&gt;=$J55,BQ$3&lt;=$M55),1,"")</f>
        <v/>
      </c>
      <c r="BR55">
        <f>IF(AND($A55&lt;&gt;"",BR$3&gt;=$J55,BR$3&lt;=$M55),1,"")</f>
        <v/>
      </c>
      <c r="BS55">
        <f>IF(AND($A55&lt;&gt;"",BS$3&gt;=$J55,BS$3&lt;=$M55),1,"")</f>
        <v/>
      </c>
      <c r="BT55">
        <f>IF(AND($A55&lt;&gt;"",BT$3&gt;=$J55,BT$3&lt;=$M55),1,"")</f>
        <v/>
      </c>
      <c r="BU55">
        <f>IF(AND($A55&lt;&gt;"",BU$3&gt;=$J55,BU$3&lt;=$M55),1,"")</f>
        <v/>
      </c>
      <c r="BV55">
        <f>IF(AND($A55&lt;&gt;"",BV$3&gt;=$J55,BV$3&lt;=$M55),1,"")</f>
        <v/>
      </c>
    </row>
    <row r="56">
      <c r="A56">
        <f>IF(Job_Master_Ring!$A56="","",Job_Master_Ring!$A56)</f>
        <v/>
      </c>
      <c r="B56">
        <f>IF($A56="","",Job_Master_Ring!B56)</f>
        <v/>
      </c>
      <c r="C56">
        <f>IF($A56="","",Job_Master_Ring!C56)</f>
        <v/>
      </c>
      <c r="D56">
        <f>IF($A56="","",Job_Master_Ring!D56)</f>
        <v/>
      </c>
      <c r="E56">
        <f>IF($A56="","",IF($I56&lt;&gt;"",$I56,IFERROR(INDEX(Machine_List!$B$72:$B$81,MATCH(1,(Machine_List!$H$72:$H$81&lt;=IFERROR(VLOOKUP($B56,CHOOSE(MATCH($C56,Settings!$L$4:$L$10,0),OPR_BR1!$A$4:$K$18,OPR_BR2!$A$4:$K$18,OPR_CR2!$A$4:$K$18,OPR_CR3!$A$4:$K$18,OPR_CR4!$A$4:$K$18,OPR_RIM!$A$4:$K$18,OPR_BPR!$A$4:$K$18),10,0),0))*(Machine_List!$I$72:$I$81&gt;=IFERROR(VLOOKUP($B56,CHOOSE(MATCH($C56,Settings!$L$4:$L$10,0),OPR_BR1!$A$4:$K$18,OPR_BR2!$A$4:$K$18,OPR_CR2!$A$4:$K$18,OPR_CR3!$A$4:$K$18,OPR_CR4!$A$4:$K$18,OPR_RIM!$A$4:$K$18,OPR_BPR!$A$4:$K$18),11,0),9999)),0)),"NO COMPATIBLE MACHINE")))</f>
        <v/>
      </c>
      <c r="F56">
        <f>IF($E56="","",IFERROR(VLOOKUP($E56,Machine_List!$B:$G,6,0),""))</f>
        <v/>
      </c>
      <c r="G56" s="17">
        <f>IF($E56="","",IFERROR(VLOOKUP($E56,Machine_List!$B:$C,2,0),""))</f>
        <v/>
      </c>
      <c r="H56">
        <f>IF($E56="","",IFERROR(VLOOKUP($E56,Machine_List!$B:$D,3,0),""))</f>
        <v/>
      </c>
      <c r="J56" s="16">
        <f>IF($A56="","",IF($I56&lt;&gt;"",$I56,MAX(VENT_Plan!$M56,IFERROR(LOOKUP(2,1/($E$3:INDIRECT("E"&amp;(ROW()-1))=$E56),$M$3:INDIRECT("M"&amp;(ROW()-1))),VENT_Plan!$M56))))</f>
        <v/>
      </c>
      <c r="K56">
        <f>IF($A56="","",IFERROR(VLOOKUP(B56,CHOOSE(MATCH($C56,Settings!$L$4:$L$10,0),OPR_BR1!$A$4:$I$18,OPR_BR2!$A$4:$I$18,OPR_CR2!$A$4:$I$18,OPR_CR3!$A$4:$I$18,OPR_CR4!$A$4:$I$18,OPR_RIM!$A$4:$I$18,OPR_BPR!$A$4:$I$18),8,0),0))</f>
        <v/>
      </c>
      <c r="L56">
        <f>IF($A56="","",K56*D56)</f>
        <v/>
      </c>
      <c r="M56" s="16">
        <f>IF($A56="","",IF(AND(ISNUMBER(G56),G56&gt;=J56,G56&lt;=(J56+(L56/(IF(F56="Contract Workman",Settings!$K$5,Settings!$K$4))))),J56+(L56/(IF(F56="Contract Workman",Settings!$K$5,Settings!$K$4)))+(H56/(IF(F56="Contract Workman",Settings!$K$5,Settings!$K$4))),J56+(L56/(IF(F56="Contract Workman",Settings!$K$5,Settings!$K$4)))))</f>
        <v/>
      </c>
      <c r="N56">
        <f>IF($A56="","",IF(F56="Contract Workman",IF(AND(MOD(M56,1)&gt;=8/24,MOD(M56,1)&lt;20/24),"Shift S1","Shift S2"),IF(AND(MOD(M56,1)&gt;=7/24,MOD(M56,1)&lt;15/24),"Shift A",IF(AND(MOD(M56,1)&gt;=15/24,MOD(M56,1)&lt;23/24),"Shift B","Shift C"))))</f>
        <v/>
      </c>
      <c r="O56">
        <f>IF(B56="","",IF(IFERROR(ISNUMBER(SEARCH(TEXT(B56,"0"),VLOOKUP(E56,Machine_List!$B:$J,9,0))),FALSE),"✅ "&amp; E56,"❌ Sug: "&amp;IFERROR(INDEX(Machine_List!$B$72:$B$81,MATCH(1,(Machine_List!$H$72:$H$81&lt;=IFERROR(VLOOKUP($B56,OPR_BR1!$A$4:$K$18,10,0),0))*(Machine_List!$I$72:$I$81&gt;=IFERROR(VLOOKUP($B56,OPR_BR1!$A$4:$K$18,11,0),9999)),0)),"?")))</f>
        <v/>
      </c>
      <c r="P56">
        <f>IF(AND($A56&lt;&gt;"",P$3&gt;=$J56,P$3&lt;=$M56),1,"")</f>
        <v/>
      </c>
      <c r="Q56">
        <f>IF(AND($A56&lt;&gt;"",Q$3&gt;=$J56,Q$3&lt;=$M56),1,"")</f>
        <v/>
      </c>
      <c r="R56">
        <f>IF(AND($A56&lt;&gt;"",R$3&gt;=$J56,R$3&lt;=$M56),1,"")</f>
        <v/>
      </c>
      <c r="S56">
        <f>IF(AND($A56&lt;&gt;"",S$3&gt;=$J56,S$3&lt;=$M56),1,"")</f>
        <v/>
      </c>
      <c r="T56">
        <f>IF(AND($A56&lt;&gt;"",T$3&gt;=$J56,T$3&lt;=$M56),1,"")</f>
        <v/>
      </c>
      <c r="U56">
        <f>IF(AND($A56&lt;&gt;"",U$3&gt;=$J56,U$3&lt;=$M56),1,"")</f>
        <v/>
      </c>
      <c r="V56">
        <f>IF(AND($A56&lt;&gt;"",V$3&gt;=$J56,V$3&lt;=$M56),1,"")</f>
        <v/>
      </c>
      <c r="W56">
        <f>IF(AND($A56&lt;&gt;"",W$3&gt;=$J56,W$3&lt;=$M56),1,"")</f>
        <v/>
      </c>
      <c r="X56">
        <f>IF(AND($A56&lt;&gt;"",X$3&gt;=$J56,X$3&lt;=$M56),1,"")</f>
        <v/>
      </c>
      <c r="Y56">
        <f>IF(AND($A56&lt;&gt;"",Y$3&gt;=$J56,Y$3&lt;=$M56),1,"")</f>
        <v/>
      </c>
      <c r="Z56">
        <f>IF(AND($A56&lt;&gt;"",Z$3&gt;=$J56,Z$3&lt;=$M56),1,"")</f>
        <v/>
      </c>
      <c r="AA56">
        <f>IF(AND($A56&lt;&gt;"",AA$3&gt;=$J56,AA$3&lt;=$M56),1,"")</f>
        <v/>
      </c>
      <c r="AB56">
        <f>IF(AND($A56&lt;&gt;"",AB$3&gt;=$J56,AB$3&lt;=$M56),1,"")</f>
        <v/>
      </c>
      <c r="AC56">
        <f>IF(AND($A56&lt;&gt;"",AC$3&gt;=$J56,AC$3&lt;=$M56),1,"")</f>
        <v/>
      </c>
      <c r="AD56">
        <f>IF(AND($A56&lt;&gt;"",AD$3&gt;=$J56,AD$3&lt;=$M56),1,"")</f>
        <v/>
      </c>
      <c r="AE56">
        <f>IF(AND($A56&lt;&gt;"",AE$3&gt;=$J56,AE$3&lt;=$M56),1,"")</f>
        <v/>
      </c>
      <c r="AF56">
        <f>IF(AND($A56&lt;&gt;"",AF$3&gt;=$J56,AF$3&lt;=$M56),1,"")</f>
        <v/>
      </c>
      <c r="AG56">
        <f>IF(AND($A56&lt;&gt;"",AG$3&gt;=$J56,AG$3&lt;=$M56),1,"")</f>
        <v/>
      </c>
      <c r="AH56">
        <f>IF(AND($A56&lt;&gt;"",AH$3&gt;=$J56,AH$3&lt;=$M56),1,"")</f>
        <v/>
      </c>
      <c r="AI56">
        <f>IF(AND($A56&lt;&gt;"",AI$3&gt;=$J56,AI$3&lt;=$M56),1,"")</f>
        <v/>
      </c>
      <c r="AJ56">
        <f>IF(AND($A56&lt;&gt;"",AJ$3&gt;=$J56,AJ$3&lt;=$M56),1,"")</f>
        <v/>
      </c>
      <c r="AK56">
        <f>IF(AND($A56&lt;&gt;"",AK$3&gt;=$J56,AK$3&lt;=$M56),1,"")</f>
        <v/>
      </c>
      <c r="AL56">
        <f>IF(AND($A56&lt;&gt;"",AL$3&gt;=$J56,AL$3&lt;=$M56),1,"")</f>
        <v/>
      </c>
      <c r="AM56">
        <f>IF(AND($A56&lt;&gt;"",AM$3&gt;=$J56,AM$3&lt;=$M56),1,"")</f>
        <v/>
      </c>
      <c r="AN56">
        <f>IF(AND($A56&lt;&gt;"",AN$3&gt;=$J56,AN$3&lt;=$M56),1,"")</f>
        <v/>
      </c>
      <c r="AO56">
        <f>IF(AND($A56&lt;&gt;"",AO$3&gt;=$J56,AO$3&lt;=$M56),1,"")</f>
        <v/>
      </c>
      <c r="AP56">
        <f>IF(AND($A56&lt;&gt;"",AP$3&gt;=$J56,AP$3&lt;=$M56),1,"")</f>
        <v/>
      </c>
      <c r="AQ56">
        <f>IF(AND($A56&lt;&gt;"",AQ$3&gt;=$J56,AQ$3&lt;=$M56),1,"")</f>
        <v/>
      </c>
      <c r="AR56">
        <f>IF(AND($A56&lt;&gt;"",AR$3&gt;=$J56,AR$3&lt;=$M56),1,"")</f>
        <v/>
      </c>
      <c r="AS56">
        <f>IF(AND($A56&lt;&gt;"",AS$3&gt;=$J56,AS$3&lt;=$M56),1,"")</f>
        <v/>
      </c>
      <c r="AT56">
        <f>IF(AND($A56&lt;&gt;"",AT$3&gt;=$J56,AT$3&lt;=$M56),1,"")</f>
        <v/>
      </c>
      <c r="AU56">
        <f>IF(AND($A56&lt;&gt;"",AU$3&gt;=$J56,AU$3&lt;=$M56),1,"")</f>
        <v/>
      </c>
      <c r="AV56">
        <f>IF(AND($A56&lt;&gt;"",AV$3&gt;=$J56,AV$3&lt;=$M56),1,"")</f>
        <v/>
      </c>
      <c r="AW56">
        <f>IF(AND($A56&lt;&gt;"",AW$3&gt;=$J56,AW$3&lt;=$M56),1,"")</f>
        <v/>
      </c>
      <c r="AX56">
        <f>IF(AND($A56&lt;&gt;"",AX$3&gt;=$J56,AX$3&lt;=$M56),1,"")</f>
        <v/>
      </c>
      <c r="AY56">
        <f>IF(AND($A56&lt;&gt;"",AY$3&gt;=$J56,AY$3&lt;=$M56),1,"")</f>
        <v/>
      </c>
      <c r="AZ56">
        <f>IF(AND($A56&lt;&gt;"",AZ$3&gt;=$J56,AZ$3&lt;=$M56),1,"")</f>
        <v/>
      </c>
      <c r="BA56">
        <f>IF(AND($A56&lt;&gt;"",BA$3&gt;=$J56,BA$3&lt;=$M56),1,"")</f>
        <v/>
      </c>
      <c r="BB56">
        <f>IF(AND($A56&lt;&gt;"",BB$3&gt;=$J56,BB$3&lt;=$M56),1,"")</f>
        <v/>
      </c>
      <c r="BC56">
        <f>IF(AND($A56&lt;&gt;"",BC$3&gt;=$J56,BC$3&lt;=$M56),1,"")</f>
        <v/>
      </c>
      <c r="BD56">
        <f>IF(AND($A56&lt;&gt;"",BD$3&gt;=$J56,BD$3&lt;=$M56),1,"")</f>
        <v/>
      </c>
      <c r="BE56">
        <f>IF(AND($A56&lt;&gt;"",BE$3&gt;=$J56,BE$3&lt;=$M56),1,"")</f>
        <v/>
      </c>
      <c r="BF56">
        <f>IF(AND($A56&lt;&gt;"",BF$3&gt;=$J56,BF$3&lt;=$M56),1,"")</f>
        <v/>
      </c>
      <c r="BG56">
        <f>IF(AND($A56&lt;&gt;"",BG$3&gt;=$J56,BG$3&lt;=$M56),1,"")</f>
        <v/>
      </c>
      <c r="BH56">
        <f>IF(AND($A56&lt;&gt;"",BH$3&gt;=$J56,BH$3&lt;=$M56),1,"")</f>
        <v/>
      </c>
      <c r="BI56">
        <f>IF(AND($A56&lt;&gt;"",BI$3&gt;=$J56,BI$3&lt;=$M56),1,"")</f>
        <v/>
      </c>
      <c r="BJ56">
        <f>IF(AND($A56&lt;&gt;"",BJ$3&gt;=$J56,BJ$3&lt;=$M56),1,"")</f>
        <v/>
      </c>
      <c r="BK56">
        <f>IF(AND($A56&lt;&gt;"",BK$3&gt;=$J56,BK$3&lt;=$M56),1,"")</f>
        <v/>
      </c>
      <c r="BL56">
        <f>IF(AND($A56&lt;&gt;"",BL$3&gt;=$J56,BL$3&lt;=$M56),1,"")</f>
        <v/>
      </c>
      <c r="BM56">
        <f>IF(AND($A56&lt;&gt;"",BM$3&gt;=$J56,BM$3&lt;=$M56),1,"")</f>
        <v/>
      </c>
      <c r="BN56">
        <f>IF(AND($A56&lt;&gt;"",BN$3&gt;=$J56,BN$3&lt;=$M56),1,"")</f>
        <v/>
      </c>
      <c r="BO56">
        <f>IF(AND($A56&lt;&gt;"",BO$3&gt;=$J56,BO$3&lt;=$M56),1,"")</f>
        <v/>
      </c>
      <c r="BP56">
        <f>IF(AND($A56&lt;&gt;"",BP$3&gt;=$J56,BP$3&lt;=$M56),1,"")</f>
        <v/>
      </c>
      <c r="BQ56">
        <f>IF(AND($A56&lt;&gt;"",BQ$3&gt;=$J56,BQ$3&lt;=$M56),1,"")</f>
        <v/>
      </c>
      <c r="BR56">
        <f>IF(AND($A56&lt;&gt;"",BR$3&gt;=$J56,BR$3&lt;=$M56),1,"")</f>
        <v/>
      </c>
      <c r="BS56">
        <f>IF(AND($A56&lt;&gt;"",BS$3&gt;=$J56,BS$3&lt;=$M56),1,"")</f>
        <v/>
      </c>
      <c r="BT56">
        <f>IF(AND($A56&lt;&gt;"",BT$3&gt;=$J56,BT$3&lt;=$M56),1,"")</f>
        <v/>
      </c>
      <c r="BU56">
        <f>IF(AND($A56&lt;&gt;"",BU$3&gt;=$J56,BU$3&lt;=$M56),1,"")</f>
        <v/>
      </c>
      <c r="BV56">
        <f>IF(AND($A56&lt;&gt;"",BV$3&gt;=$J56,BV$3&lt;=$M56),1,"")</f>
        <v/>
      </c>
    </row>
    <row r="57">
      <c r="A57">
        <f>IF(Job_Master_Ring!$A57="","",Job_Master_Ring!$A57)</f>
        <v/>
      </c>
      <c r="B57">
        <f>IF($A57="","",Job_Master_Ring!B57)</f>
        <v/>
      </c>
      <c r="C57">
        <f>IF($A57="","",Job_Master_Ring!C57)</f>
        <v/>
      </c>
      <c r="D57">
        <f>IF($A57="","",Job_Master_Ring!D57)</f>
        <v/>
      </c>
      <c r="E57">
        <f>IF($A57="","",IF($I57&lt;&gt;"",$I57,IFERROR(INDEX(Machine_List!$B$72:$B$81,MATCH(1,(Machine_List!$H$72:$H$81&lt;=IFERROR(VLOOKUP($B57,CHOOSE(MATCH($C57,Settings!$L$4:$L$10,0),OPR_BR1!$A$4:$K$18,OPR_BR2!$A$4:$K$18,OPR_CR2!$A$4:$K$18,OPR_CR3!$A$4:$K$18,OPR_CR4!$A$4:$K$18,OPR_RIM!$A$4:$K$18,OPR_BPR!$A$4:$K$18),10,0),0))*(Machine_List!$I$72:$I$81&gt;=IFERROR(VLOOKUP($B57,CHOOSE(MATCH($C57,Settings!$L$4:$L$10,0),OPR_BR1!$A$4:$K$18,OPR_BR2!$A$4:$K$18,OPR_CR2!$A$4:$K$18,OPR_CR3!$A$4:$K$18,OPR_CR4!$A$4:$K$18,OPR_RIM!$A$4:$K$18,OPR_BPR!$A$4:$K$18),11,0),9999)),0)),"NO COMPATIBLE MACHINE")))</f>
        <v/>
      </c>
      <c r="F57">
        <f>IF($E57="","",IFERROR(VLOOKUP($E57,Machine_List!$B:$G,6,0),""))</f>
        <v/>
      </c>
      <c r="G57" s="17">
        <f>IF($E57="","",IFERROR(VLOOKUP($E57,Machine_List!$B:$C,2,0),""))</f>
        <v/>
      </c>
      <c r="H57">
        <f>IF($E57="","",IFERROR(VLOOKUP($E57,Machine_List!$B:$D,3,0),""))</f>
        <v/>
      </c>
      <c r="J57" s="16">
        <f>IF($A57="","",IF($I57&lt;&gt;"",$I57,MAX(VENT_Plan!$M57,IFERROR(LOOKUP(2,1/($E$3:INDIRECT("E"&amp;(ROW()-1))=$E57),$M$3:INDIRECT("M"&amp;(ROW()-1))),VENT_Plan!$M57))))</f>
        <v/>
      </c>
      <c r="K57">
        <f>IF($A57="","",IFERROR(VLOOKUP(B57,CHOOSE(MATCH($C57,Settings!$L$4:$L$10,0),OPR_BR1!$A$4:$I$18,OPR_BR2!$A$4:$I$18,OPR_CR2!$A$4:$I$18,OPR_CR3!$A$4:$I$18,OPR_CR4!$A$4:$I$18,OPR_RIM!$A$4:$I$18,OPR_BPR!$A$4:$I$18),8,0),0))</f>
        <v/>
      </c>
      <c r="L57">
        <f>IF($A57="","",K57*D57)</f>
        <v/>
      </c>
      <c r="M57" s="16">
        <f>IF($A57="","",IF(AND(ISNUMBER(G57),G57&gt;=J57,G57&lt;=(J57+(L57/(IF(F57="Contract Workman",Settings!$K$5,Settings!$K$4))))),J57+(L57/(IF(F57="Contract Workman",Settings!$K$5,Settings!$K$4)))+(H57/(IF(F57="Contract Workman",Settings!$K$5,Settings!$K$4))),J57+(L57/(IF(F57="Contract Workman",Settings!$K$5,Settings!$K$4)))))</f>
        <v/>
      </c>
      <c r="N57">
        <f>IF($A57="","",IF(F57="Contract Workman",IF(AND(MOD(M57,1)&gt;=8/24,MOD(M57,1)&lt;20/24),"Shift S1","Shift S2"),IF(AND(MOD(M57,1)&gt;=7/24,MOD(M57,1)&lt;15/24),"Shift A",IF(AND(MOD(M57,1)&gt;=15/24,MOD(M57,1)&lt;23/24),"Shift B","Shift C"))))</f>
        <v/>
      </c>
      <c r="O57">
        <f>IF(B57="","",IF(IFERROR(ISNUMBER(SEARCH(TEXT(B57,"0"),VLOOKUP(E57,Machine_List!$B:$J,9,0))),FALSE),"✅ "&amp; E57,"❌ Sug: "&amp;IFERROR(INDEX(Machine_List!$B$72:$B$81,MATCH(1,(Machine_List!$H$72:$H$81&lt;=IFERROR(VLOOKUP($B57,OPR_BR1!$A$4:$K$18,10,0),0))*(Machine_List!$I$72:$I$81&gt;=IFERROR(VLOOKUP($B57,OPR_BR1!$A$4:$K$18,11,0),9999)),0)),"?")))</f>
        <v/>
      </c>
      <c r="P57">
        <f>IF(AND($A57&lt;&gt;"",P$3&gt;=$J57,P$3&lt;=$M57),1,"")</f>
        <v/>
      </c>
      <c r="Q57">
        <f>IF(AND($A57&lt;&gt;"",Q$3&gt;=$J57,Q$3&lt;=$M57),1,"")</f>
        <v/>
      </c>
      <c r="R57">
        <f>IF(AND($A57&lt;&gt;"",R$3&gt;=$J57,R$3&lt;=$M57),1,"")</f>
        <v/>
      </c>
      <c r="S57">
        <f>IF(AND($A57&lt;&gt;"",S$3&gt;=$J57,S$3&lt;=$M57),1,"")</f>
        <v/>
      </c>
      <c r="T57">
        <f>IF(AND($A57&lt;&gt;"",T$3&gt;=$J57,T$3&lt;=$M57),1,"")</f>
        <v/>
      </c>
      <c r="U57">
        <f>IF(AND($A57&lt;&gt;"",U$3&gt;=$J57,U$3&lt;=$M57),1,"")</f>
        <v/>
      </c>
      <c r="V57">
        <f>IF(AND($A57&lt;&gt;"",V$3&gt;=$J57,V$3&lt;=$M57),1,"")</f>
        <v/>
      </c>
      <c r="W57">
        <f>IF(AND($A57&lt;&gt;"",W$3&gt;=$J57,W$3&lt;=$M57),1,"")</f>
        <v/>
      </c>
      <c r="X57">
        <f>IF(AND($A57&lt;&gt;"",X$3&gt;=$J57,X$3&lt;=$M57),1,"")</f>
        <v/>
      </c>
      <c r="Y57">
        <f>IF(AND($A57&lt;&gt;"",Y$3&gt;=$J57,Y$3&lt;=$M57),1,"")</f>
        <v/>
      </c>
      <c r="Z57">
        <f>IF(AND($A57&lt;&gt;"",Z$3&gt;=$J57,Z$3&lt;=$M57),1,"")</f>
        <v/>
      </c>
      <c r="AA57">
        <f>IF(AND($A57&lt;&gt;"",AA$3&gt;=$J57,AA$3&lt;=$M57),1,"")</f>
        <v/>
      </c>
      <c r="AB57">
        <f>IF(AND($A57&lt;&gt;"",AB$3&gt;=$J57,AB$3&lt;=$M57),1,"")</f>
        <v/>
      </c>
      <c r="AC57">
        <f>IF(AND($A57&lt;&gt;"",AC$3&gt;=$J57,AC$3&lt;=$M57),1,"")</f>
        <v/>
      </c>
      <c r="AD57">
        <f>IF(AND($A57&lt;&gt;"",AD$3&gt;=$J57,AD$3&lt;=$M57),1,"")</f>
        <v/>
      </c>
      <c r="AE57">
        <f>IF(AND($A57&lt;&gt;"",AE$3&gt;=$J57,AE$3&lt;=$M57),1,"")</f>
        <v/>
      </c>
      <c r="AF57">
        <f>IF(AND($A57&lt;&gt;"",AF$3&gt;=$J57,AF$3&lt;=$M57),1,"")</f>
        <v/>
      </c>
      <c r="AG57">
        <f>IF(AND($A57&lt;&gt;"",AG$3&gt;=$J57,AG$3&lt;=$M57),1,"")</f>
        <v/>
      </c>
      <c r="AH57">
        <f>IF(AND($A57&lt;&gt;"",AH$3&gt;=$J57,AH$3&lt;=$M57),1,"")</f>
        <v/>
      </c>
      <c r="AI57">
        <f>IF(AND($A57&lt;&gt;"",AI$3&gt;=$J57,AI$3&lt;=$M57),1,"")</f>
        <v/>
      </c>
      <c r="AJ57">
        <f>IF(AND($A57&lt;&gt;"",AJ$3&gt;=$J57,AJ$3&lt;=$M57),1,"")</f>
        <v/>
      </c>
      <c r="AK57">
        <f>IF(AND($A57&lt;&gt;"",AK$3&gt;=$J57,AK$3&lt;=$M57),1,"")</f>
        <v/>
      </c>
      <c r="AL57">
        <f>IF(AND($A57&lt;&gt;"",AL$3&gt;=$J57,AL$3&lt;=$M57),1,"")</f>
        <v/>
      </c>
      <c r="AM57">
        <f>IF(AND($A57&lt;&gt;"",AM$3&gt;=$J57,AM$3&lt;=$M57),1,"")</f>
        <v/>
      </c>
      <c r="AN57">
        <f>IF(AND($A57&lt;&gt;"",AN$3&gt;=$J57,AN$3&lt;=$M57),1,"")</f>
        <v/>
      </c>
      <c r="AO57">
        <f>IF(AND($A57&lt;&gt;"",AO$3&gt;=$J57,AO$3&lt;=$M57),1,"")</f>
        <v/>
      </c>
      <c r="AP57">
        <f>IF(AND($A57&lt;&gt;"",AP$3&gt;=$J57,AP$3&lt;=$M57),1,"")</f>
        <v/>
      </c>
      <c r="AQ57">
        <f>IF(AND($A57&lt;&gt;"",AQ$3&gt;=$J57,AQ$3&lt;=$M57),1,"")</f>
        <v/>
      </c>
      <c r="AR57">
        <f>IF(AND($A57&lt;&gt;"",AR$3&gt;=$J57,AR$3&lt;=$M57),1,"")</f>
        <v/>
      </c>
      <c r="AS57">
        <f>IF(AND($A57&lt;&gt;"",AS$3&gt;=$J57,AS$3&lt;=$M57),1,"")</f>
        <v/>
      </c>
      <c r="AT57">
        <f>IF(AND($A57&lt;&gt;"",AT$3&gt;=$J57,AT$3&lt;=$M57),1,"")</f>
        <v/>
      </c>
      <c r="AU57">
        <f>IF(AND($A57&lt;&gt;"",AU$3&gt;=$J57,AU$3&lt;=$M57),1,"")</f>
        <v/>
      </c>
      <c r="AV57">
        <f>IF(AND($A57&lt;&gt;"",AV$3&gt;=$J57,AV$3&lt;=$M57),1,"")</f>
        <v/>
      </c>
      <c r="AW57">
        <f>IF(AND($A57&lt;&gt;"",AW$3&gt;=$J57,AW$3&lt;=$M57),1,"")</f>
        <v/>
      </c>
      <c r="AX57">
        <f>IF(AND($A57&lt;&gt;"",AX$3&gt;=$J57,AX$3&lt;=$M57),1,"")</f>
        <v/>
      </c>
      <c r="AY57">
        <f>IF(AND($A57&lt;&gt;"",AY$3&gt;=$J57,AY$3&lt;=$M57),1,"")</f>
        <v/>
      </c>
      <c r="AZ57">
        <f>IF(AND($A57&lt;&gt;"",AZ$3&gt;=$J57,AZ$3&lt;=$M57),1,"")</f>
        <v/>
      </c>
      <c r="BA57">
        <f>IF(AND($A57&lt;&gt;"",BA$3&gt;=$J57,BA$3&lt;=$M57),1,"")</f>
        <v/>
      </c>
      <c r="BB57">
        <f>IF(AND($A57&lt;&gt;"",BB$3&gt;=$J57,BB$3&lt;=$M57),1,"")</f>
        <v/>
      </c>
      <c r="BC57">
        <f>IF(AND($A57&lt;&gt;"",BC$3&gt;=$J57,BC$3&lt;=$M57),1,"")</f>
        <v/>
      </c>
      <c r="BD57">
        <f>IF(AND($A57&lt;&gt;"",BD$3&gt;=$J57,BD$3&lt;=$M57),1,"")</f>
        <v/>
      </c>
      <c r="BE57">
        <f>IF(AND($A57&lt;&gt;"",BE$3&gt;=$J57,BE$3&lt;=$M57),1,"")</f>
        <v/>
      </c>
      <c r="BF57">
        <f>IF(AND($A57&lt;&gt;"",BF$3&gt;=$J57,BF$3&lt;=$M57),1,"")</f>
        <v/>
      </c>
      <c r="BG57">
        <f>IF(AND($A57&lt;&gt;"",BG$3&gt;=$J57,BG$3&lt;=$M57),1,"")</f>
        <v/>
      </c>
      <c r="BH57">
        <f>IF(AND($A57&lt;&gt;"",BH$3&gt;=$J57,BH$3&lt;=$M57),1,"")</f>
        <v/>
      </c>
      <c r="BI57">
        <f>IF(AND($A57&lt;&gt;"",BI$3&gt;=$J57,BI$3&lt;=$M57),1,"")</f>
        <v/>
      </c>
      <c r="BJ57">
        <f>IF(AND($A57&lt;&gt;"",BJ$3&gt;=$J57,BJ$3&lt;=$M57),1,"")</f>
        <v/>
      </c>
      <c r="BK57">
        <f>IF(AND($A57&lt;&gt;"",BK$3&gt;=$J57,BK$3&lt;=$M57),1,"")</f>
        <v/>
      </c>
      <c r="BL57">
        <f>IF(AND($A57&lt;&gt;"",BL$3&gt;=$J57,BL$3&lt;=$M57),1,"")</f>
        <v/>
      </c>
      <c r="BM57">
        <f>IF(AND($A57&lt;&gt;"",BM$3&gt;=$J57,BM$3&lt;=$M57),1,"")</f>
        <v/>
      </c>
      <c r="BN57">
        <f>IF(AND($A57&lt;&gt;"",BN$3&gt;=$J57,BN$3&lt;=$M57),1,"")</f>
        <v/>
      </c>
      <c r="BO57">
        <f>IF(AND($A57&lt;&gt;"",BO$3&gt;=$J57,BO$3&lt;=$M57),1,"")</f>
        <v/>
      </c>
      <c r="BP57">
        <f>IF(AND($A57&lt;&gt;"",BP$3&gt;=$J57,BP$3&lt;=$M57),1,"")</f>
        <v/>
      </c>
      <c r="BQ57">
        <f>IF(AND($A57&lt;&gt;"",BQ$3&gt;=$J57,BQ$3&lt;=$M57),1,"")</f>
        <v/>
      </c>
      <c r="BR57">
        <f>IF(AND($A57&lt;&gt;"",BR$3&gt;=$J57,BR$3&lt;=$M57),1,"")</f>
        <v/>
      </c>
      <c r="BS57">
        <f>IF(AND($A57&lt;&gt;"",BS$3&gt;=$J57,BS$3&lt;=$M57),1,"")</f>
        <v/>
      </c>
      <c r="BT57">
        <f>IF(AND($A57&lt;&gt;"",BT$3&gt;=$J57,BT$3&lt;=$M57),1,"")</f>
        <v/>
      </c>
      <c r="BU57">
        <f>IF(AND($A57&lt;&gt;"",BU$3&gt;=$J57,BU$3&lt;=$M57),1,"")</f>
        <v/>
      </c>
      <c r="BV57">
        <f>IF(AND($A57&lt;&gt;"",BV$3&gt;=$J57,BV$3&lt;=$M57),1,"")</f>
        <v/>
      </c>
    </row>
    <row r="58">
      <c r="A58">
        <f>IF(Job_Master_Ring!$A58="","",Job_Master_Ring!$A58)</f>
        <v/>
      </c>
      <c r="B58">
        <f>IF($A58="","",Job_Master_Ring!B58)</f>
        <v/>
      </c>
      <c r="C58">
        <f>IF($A58="","",Job_Master_Ring!C58)</f>
        <v/>
      </c>
      <c r="D58">
        <f>IF($A58="","",Job_Master_Ring!D58)</f>
        <v/>
      </c>
      <c r="E58">
        <f>IF($A58="","",IF($I58&lt;&gt;"",$I58,IFERROR(INDEX(Machine_List!$B$72:$B$81,MATCH(1,(Machine_List!$H$72:$H$81&lt;=IFERROR(VLOOKUP($B58,CHOOSE(MATCH($C58,Settings!$L$4:$L$10,0),OPR_BR1!$A$4:$K$18,OPR_BR2!$A$4:$K$18,OPR_CR2!$A$4:$K$18,OPR_CR3!$A$4:$K$18,OPR_CR4!$A$4:$K$18,OPR_RIM!$A$4:$K$18,OPR_BPR!$A$4:$K$18),10,0),0))*(Machine_List!$I$72:$I$81&gt;=IFERROR(VLOOKUP($B58,CHOOSE(MATCH($C58,Settings!$L$4:$L$10,0),OPR_BR1!$A$4:$K$18,OPR_BR2!$A$4:$K$18,OPR_CR2!$A$4:$K$18,OPR_CR3!$A$4:$K$18,OPR_CR4!$A$4:$K$18,OPR_RIM!$A$4:$K$18,OPR_BPR!$A$4:$K$18),11,0),9999)),0)),"NO COMPATIBLE MACHINE")))</f>
        <v/>
      </c>
      <c r="F58">
        <f>IF($E58="","",IFERROR(VLOOKUP($E58,Machine_List!$B:$G,6,0),""))</f>
        <v/>
      </c>
      <c r="G58" s="17">
        <f>IF($E58="","",IFERROR(VLOOKUP($E58,Machine_List!$B:$C,2,0),""))</f>
        <v/>
      </c>
      <c r="H58">
        <f>IF($E58="","",IFERROR(VLOOKUP($E58,Machine_List!$B:$D,3,0),""))</f>
        <v/>
      </c>
      <c r="J58" s="16">
        <f>IF($A58="","",IF($I58&lt;&gt;"",$I58,MAX(VENT_Plan!$M58,IFERROR(LOOKUP(2,1/($E$3:INDIRECT("E"&amp;(ROW()-1))=$E58),$M$3:INDIRECT("M"&amp;(ROW()-1))),VENT_Plan!$M58))))</f>
        <v/>
      </c>
      <c r="K58">
        <f>IF($A58="","",IFERROR(VLOOKUP(B58,CHOOSE(MATCH($C58,Settings!$L$4:$L$10,0),OPR_BR1!$A$4:$I$18,OPR_BR2!$A$4:$I$18,OPR_CR2!$A$4:$I$18,OPR_CR3!$A$4:$I$18,OPR_CR4!$A$4:$I$18,OPR_RIM!$A$4:$I$18,OPR_BPR!$A$4:$I$18),8,0),0))</f>
        <v/>
      </c>
      <c r="L58">
        <f>IF($A58="","",K58*D58)</f>
        <v/>
      </c>
      <c r="M58" s="16">
        <f>IF($A58="","",IF(AND(ISNUMBER(G58),G58&gt;=J58,G58&lt;=(J58+(L58/(IF(F58="Contract Workman",Settings!$K$5,Settings!$K$4))))),J58+(L58/(IF(F58="Contract Workman",Settings!$K$5,Settings!$K$4)))+(H58/(IF(F58="Contract Workman",Settings!$K$5,Settings!$K$4))),J58+(L58/(IF(F58="Contract Workman",Settings!$K$5,Settings!$K$4)))))</f>
        <v/>
      </c>
      <c r="N58">
        <f>IF($A58="","",IF(F58="Contract Workman",IF(AND(MOD(M58,1)&gt;=8/24,MOD(M58,1)&lt;20/24),"Shift S1","Shift S2"),IF(AND(MOD(M58,1)&gt;=7/24,MOD(M58,1)&lt;15/24),"Shift A",IF(AND(MOD(M58,1)&gt;=15/24,MOD(M58,1)&lt;23/24),"Shift B","Shift C"))))</f>
        <v/>
      </c>
      <c r="O58">
        <f>IF(B58="","",IF(IFERROR(ISNUMBER(SEARCH(TEXT(B58,"0"),VLOOKUP(E58,Machine_List!$B:$J,9,0))),FALSE),"✅ "&amp; E58,"❌ Sug: "&amp;IFERROR(INDEX(Machine_List!$B$72:$B$81,MATCH(1,(Machine_List!$H$72:$H$81&lt;=IFERROR(VLOOKUP($B58,OPR_BR1!$A$4:$K$18,10,0),0))*(Machine_List!$I$72:$I$81&gt;=IFERROR(VLOOKUP($B58,OPR_BR1!$A$4:$K$18,11,0),9999)),0)),"?")))</f>
        <v/>
      </c>
      <c r="P58">
        <f>IF(AND($A58&lt;&gt;"",P$3&gt;=$J58,P$3&lt;=$M58),1,"")</f>
        <v/>
      </c>
      <c r="Q58">
        <f>IF(AND($A58&lt;&gt;"",Q$3&gt;=$J58,Q$3&lt;=$M58),1,"")</f>
        <v/>
      </c>
      <c r="R58">
        <f>IF(AND($A58&lt;&gt;"",R$3&gt;=$J58,R$3&lt;=$M58),1,"")</f>
        <v/>
      </c>
      <c r="S58">
        <f>IF(AND($A58&lt;&gt;"",S$3&gt;=$J58,S$3&lt;=$M58),1,"")</f>
        <v/>
      </c>
      <c r="T58">
        <f>IF(AND($A58&lt;&gt;"",T$3&gt;=$J58,T$3&lt;=$M58),1,"")</f>
        <v/>
      </c>
      <c r="U58">
        <f>IF(AND($A58&lt;&gt;"",U$3&gt;=$J58,U$3&lt;=$M58),1,"")</f>
        <v/>
      </c>
      <c r="V58">
        <f>IF(AND($A58&lt;&gt;"",V$3&gt;=$J58,V$3&lt;=$M58),1,"")</f>
        <v/>
      </c>
      <c r="W58">
        <f>IF(AND($A58&lt;&gt;"",W$3&gt;=$J58,W$3&lt;=$M58),1,"")</f>
        <v/>
      </c>
      <c r="X58">
        <f>IF(AND($A58&lt;&gt;"",X$3&gt;=$J58,X$3&lt;=$M58),1,"")</f>
        <v/>
      </c>
      <c r="Y58">
        <f>IF(AND($A58&lt;&gt;"",Y$3&gt;=$J58,Y$3&lt;=$M58),1,"")</f>
        <v/>
      </c>
      <c r="Z58">
        <f>IF(AND($A58&lt;&gt;"",Z$3&gt;=$J58,Z$3&lt;=$M58),1,"")</f>
        <v/>
      </c>
      <c r="AA58">
        <f>IF(AND($A58&lt;&gt;"",AA$3&gt;=$J58,AA$3&lt;=$M58),1,"")</f>
        <v/>
      </c>
      <c r="AB58">
        <f>IF(AND($A58&lt;&gt;"",AB$3&gt;=$J58,AB$3&lt;=$M58),1,"")</f>
        <v/>
      </c>
      <c r="AC58">
        <f>IF(AND($A58&lt;&gt;"",AC$3&gt;=$J58,AC$3&lt;=$M58),1,"")</f>
        <v/>
      </c>
      <c r="AD58">
        <f>IF(AND($A58&lt;&gt;"",AD$3&gt;=$J58,AD$3&lt;=$M58),1,"")</f>
        <v/>
      </c>
      <c r="AE58">
        <f>IF(AND($A58&lt;&gt;"",AE$3&gt;=$J58,AE$3&lt;=$M58),1,"")</f>
        <v/>
      </c>
      <c r="AF58">
        <f>IF(AND($A58&lt;&gt;"",AF$3&gt;=$J58,AF$3&lt;=$M58),1,"")</f>
        <v/>
      </c>
      <c r="AG58">
        <f>IF(AND($A58&lt;&gt;"",AG$3&gt;=$J58,AG$3&lt;=$M58),1,"")</f>
        <v/>
      </c>
      <c r="AH58">
        <f>IF(AND($A58&lt;&gt;"",AH$3&gt;=$J58,AH$3&lt;=$M58),1,"")</f>
        <v/>
      </c>
      <c r="AI58">
        <f>IF(AND($A58&lt;&gt;"",AI$3&gt;=$J58,AI$3&lt;=$M58),1,"")</f>
        <v/>
      </c>
      <c r="AJ58">
        <f>IF(AND($A58&lt;&gt;"",AJ$3&gt;=$J58,AJ$3&lt;=$M58),1,"")</f>
        <v/>
      </c>
      <c r="AK58">
        <f>IF(AND($A58&lt;&gt;"",AK$3&gt;=$J58,AK$3&lt;=$M58),1,"")</f>
        <v/>
      </c>
      <c r="AL58">
        <f>IF(AND($A58&lt;&gt;"",AL$3&gt;=$J58,AL$3&lt;=$M58),1,"")</f>
        <v/>
      </c>
      <c r="AM58">
        <f>IF(AND($A58&lt;&gt;"",AM$3&gt;=$J58,AM$3&lt;=$M58),1,"")</f>
        <v/>
      </c>
      <c r="AN58">
        <f>IF(AND($A58&lt;&gt;"",AN$3&gt;=$J58,AN$3&lt;=$M58),1,"")</f>
        <v/>
      </c>
      <c r="AO58">
        <f>IF(AND($A58&lt;&gt;"",AO$3&gt;=$J58,AO$3&lt;=$M58),1,"")</f>
        <v/>
      </c>
      <c r="AP58">
        <f>IF(AND($A58&lt;&gt;"",AP$3&gt;=$J58,AP$3&lt;=$M58),1,"")</f>
        <v/>
      </c>
      <c r="AQ58">
        <f>IF(AND($A58&lt;&gt;"",AQ$3&gt;=$J58,AQ$3&lt;=$M58),1,"")</f>
        <v/>
      </c>
      <c r="AR58">
        <f>IF(AND($A58&lt;&gt;"",AR$3&gt;=$J58,AR$3&lt;=$M58),1,"")</f>
        <v/>
      </c>
      <c r="AS58">
        <f>IF(AND($A58&lt;&gt;"",AS$3&gt;=$J58,AS$3&lt;=$M58),1,"")</f>
        <v/>
      </c>
      <c r="AT58">
        <f>IF(AND($A58&lt;&gt;"",AT$3&gt;=$J58,AT$3&lt;=$M58),1,"")</f>
        <v/>
      </c>
      <c r="AU58">
        <f>IF(AND($A58&lt;&gt;"",AU$3&gt;=$J58,AU$3&lt;=$M58),1,"")</f>
        <v/>
      </c>
      <c r="AV58">
        <f>IF(AND($A58&lt;&gt;"",AV$3&gt;=$J58,AV$3&lt;=$M58),1,"")</f>
        <v/>
      </c>
      <c r="AW58">
        <f>IF(AND($A58&lt;&gt;"",AW$3&gt;=$J58,AW$3&lt;=$M58),1,"")</f>
        <v/>
      </c>
      <c r="AX58">
        <f>IF(AND($A58&lt;&gt;"",AX$3&gt;=$J58,AX$3&lt;=$M58),1,"")</f>
        <v/>
      </c>
      <c r="AY58">
        <f>IF(AND($A58&lt;&gt;"",AY$3&gt;=$J58,AY$3&lt;=$M58),1,"")</f>
        <v/>
      </c>
      <c r="AZ58">
        <f>IF(AND($A58&lt;&gt;"",AZ$3&gt;=$J58,AZ$3&lt;=$M58),1,"")</f>
        <v/>
      </c>
      <c r="BA58">
        <f>IF(AND($A58&lt;&gt;"",BA$3&gt;=$J58,BA$3&lt;=$M58),1,"")</f>
        <v/>
      </c>
      <c r="BB58">
        <f>IF(AND($A58&lt;&gt;"",BB$3&gt;=$J58,BB$3&lt;=$M58),1,"")</f>
        <v/>
      </c>
      <c r="BC58">
        <f>IF(AND($A58&lt;&gt;"",BC$3&gt;=$J58,BC$3&lt;=$M58),1,"")</f>
        <v/>
      </c>
      <c r="BD58">
        <f>IF(AND($A58&lt;&gt;"",BD$3&gt;=$J58,BD$3&lt;=$M58),1,"")</f>
        <v/>
      </c>
      <c r="BE58">
        <f>IF(AND($A58&lt;&gt;"",BE$3&gt;=$J58,BE$3&lt;=$M58),1,"")</f>
        <v/>
      </c>
      <c r="BF58">
        <f>IF(AND($A58&lt;&gt;"",BF$3&gt;=$J58,BF$3&lt;=$M58),1,"")</f>
        <v/>
      </c>
      <c r="BG58">
        <f>IF(AND($A58&lt;&gt;"",BG$3&gt;=$J58,BG$3&lt;=$M58),1,"")</f>
        <v/>
      </c>
      <c r="BH58">
        <f>IF(AND($A58&lt;&gt;"",BH$3&gt;=$J58,BH$3&lt;=$M58),1,"")</f>
        <v/>
      </c>
      <c r="BI58">
        <f>IF(AND($A58&lt;&gt;"",BI$3&gt;=$J58,BI$3&lt;=$M58),1,"")</f>
        <v/>
      </c>
      <c r="BJ58">
        <f>IF(AND($A58&lt;&gt;"",BJ$3&gt;=$J58,BJ$3&lt;=$M58),1,"")</f>
        <v/>
      </c>
      <c r="BK58">
        <f>IF(AND($A58&lt;&gt;"",BK$3&gt;=$J58,BK$3&lt;=$M58),1,"")</f>
        <v/>
      </c>
      <c r="BL58">
        <f>IF(AND($A58&lt;&gt;"",BL$3&gt;=$J58,BL$3&lt;=$M58),1,"")</f>
        <v/>
      </c>
      <c r="BM58">
        <f>IF(AND($A58&lt;&gt;"",BM$3&gt;=$J58,BM$3&lt;=$M58),1,"")</f>
        <v/>
      </c>
      <c r="BN58">
        <f>IF(AND($A58&lt;&gt;"",BN$3&gt;=$J58,BN$3&lt;=$M58),1,"")</f>
        <v/>
      </c>
      <c r="BO58">
        <f>IF(AND($A58&lt;&gt;"",BO$3&gt;=$J58,BO$3&lt;=$M58),1,"")</f>
        <v/>
      </c>
      <c r="BP58">
        <f>IF(AND($A58&lt;&gt;"",BP$3&gt;=$J58,BP$3&lt;=$M58),1,"")</f>
        <v/>
      </c>
      <c r="BQ58">
        <f>IF(AND($A58&lt;&gt;"",BQ$3&gt;=$J58,BQ$3&lt;=$M58),1,"")</f>
        <v/>
      </c>
      <c r="BR58">
        <f>IF(AND($A58&lt;&gt;"",BR$3&gt;=$J58,BR$3&lt;=$M58),1,"")</f>
        <v/>
      </c>
      <c r="BS58">
        <f>IF(AND($A58&lt;&gt;"",BS$3&gt;=$J58,BS$3&lt;=$M58),1,"")</f>
        <v/>
      </c>
      <c r="BT58">
        <f>IF(AND($A58&lt;&gt;"",BT$3&gt;=$J58,BT$3&lt;=$M58),1,"")</f>
        <v/>
      </c>
      <c r="BU58">
        <f>IF(AND($A58&lt;&gt;"",BU$3&gt;=$J58,BU$3&lt;=$M58),1,"")</f>
        <v/>
      </c>
      <c r="BV58">
        <f>IF(AND($A58&lt;&gt;"",BV$3&gt;=$J58,BV$3&lt;=$M58),1,"")</f>
        <v/>
      </c>
    </row>
    <row r="59">
      <c r="A59">
        <f>IF(Job_Master_Ring!$A59="","",Job_Master_Ring!$A59)</f>
        <v/>
      </c>
      <c r="B59">
        <f>IF($A59="","",Job_Master_Ring!B59)</f>
        <v/>
      </c>
      <c r="C59">
        <f>IF($A59="","",Job_Master_Ring!C59)</f>
        <v/>
      </c>
      <c r="D59">
        <f>IF($A59="","",Job_Master_Ring!D59)</f>
        <v/>
      </c>
      <c r="E59">
        <f>IF($A59="","",IF($I59&lt;&gt;"",$I59,IFERROR(INDEX(Machine_List!$B$72:$B$81,MATCH(1,(Machine_List!$H$72:$H$81&lt;=IFERROR(VLOOKUP($B59,CHOOSE(MATCH($C59,Settings!$L$4:$L$10,0),OPR_BR1!$A$4:$K$18,OPR_BR2!$A$4:$K$18,OPR_CR2!$A$4:$K$18,OPR_CR3!$A$4:$K$18,OPR_CR4!$A$4:$K$18,OPR_RIM!$A$4:$K$18,OPR_BPR!$A$4:$K$18),10,0),0))*(Machine_List!$I$72:$I$81&gt;=IFERROR(VLOOKUP($B59,CHOOSE(MATCH($C59,Settings!$L$4:$L$10,0),OPR_BR1!$A$4:$K$18,OPR_BR2!$A$4:$K$18,OPR_CR2!$A$4:$K$18,OPR_CR3!$A$4:$K$18,OPR_CR4!$A$4:$K$18,OPR_RIM!$A$4:$K$18,OPR_BPR!$A$4:$K$18),11,0),9999)),0)),"NO COMPATIBLE MACHINE")))</f>
        <v/>
      </c>
      <c r="F59">
        <f>IF($E59="","",IFERROR(VLOOKUP($E59,Machine_List!$B:$G,6,0),""))</f>
        <v/>
      </c>
      <c r="G59" s="17">
        <f>IF($E59="","",IFERROR(VLOOKUP($E59,Machine_List!$B:$C,2,0),""))</f>
        <v/>
      </c>
      <c r="H59">
        <f>IF($E59="","",IFERROR(VLOOKUP($E59,Machine_List!$B:$D,3,0),""))</f>
        <v/>
      </c>
      <c r="J59" s="16">
        <f>IF($A59="","",IF($I59&lt;&gt;"",$I59,MAX(VENT_Plan!$M59,IFERROR(LOOKUP(2,1/($E$3:INDIRECT("E"&amp;(ROW()-1))=$E59),$M$3:INDIRECT("M"&amp;(ROW()-1))),VENT_Plan!$M59))))</f>
        <v/>
      </c>
      <c r="K59">
        <f>IF($A59="","",IFERROR(VLOOKUP(B59,CHOOSE(MATCH($C59,Settings!$L$4:$L$10,0),OPR_BR1!$A$4:$I$18,OPR_BR2!$A$4:$I$18,OPR_CR2!$A$4:$I$18,OPR_CR3!$A$4:$I$18,OPR_CR4!$A$4:$I$18,OPR_RIM!$A$4:$I$18,OPR_BPR!$A$4:$I$18),8,0),0))</f>
        <v/>
      </c>
      <c r="L59">
        <f>IF($A59="","",K59*D59)</f>
        <v/>
      </c>
      <c r="M59" s="16">
        <f>IF($A59="","",IF(AND(ISNUMBER(G59),G59&gt;=J59,G59&lt;=(J59+(L59/(IF(F59="Contract Workman",Settings!$K$5,Settings!$K$4))))),J59+(L59/(IF(F59="Contract Workman",Settings!$K$5,Settings!$K$4)))+(H59/(IF(F59="Contract Workman",Settings!$K$5,Settings!$K$4))),J59+(L59/(IF(F59="Contract Workman",Settings!$K$5,Settings!$K$4)))))</f>
        <v/>
      </c>
      <c r="N59">
        <f>IF($A59="","",IF(F59="Contract Workman",IF(AND(MOD(M59,1)&gt;=8/24,MOD(M59,1)&lt;20/24),"Shift S1","Shift S2"),IF(AND(MOD(M59,1)&gt;=7/24,MOD(M59,1)&lt;15/24),"Shift A",IF(AND(MOD(M59,1)&gt;=15/24,MOD(M59,1)&lt;23/24),"Shift B","Shift C"))))</f>
        <v/>
      </c>
      <c r="O59">
        <f>IF(B59="","",IF(IFERROR(ISNUMBER(SEARCH(TEXT(B59,"0"),VLOOKUP(E59,Machine_List!$B:$J,9,0))),FALSE),"✅ "&amp; E59,"❌ Sug: "&amp;IFERROR(INDEX(Machine_List!$B$72:$B$81,MATCH(1,(Machine_List!$H$72:$H$81&lt;=IFERROR(VLOOKUP($B59,OPR_BR1!$A$4:$K$18,10,0),0))*(Machine_List!$I$72:$I$81&gt;=IFERROR(VLOOKUP($B59,OPR_BR1!$A$4:$K$18,11,0),9999)),0)),"?")))</f>
        <v/>
      </c>
      <c r="P59">
        <f>IF(AND($A59&lt;&gt;"",P$3&gt;=$J59,P$3&lt;=$M59),1,"")</f>
        <v/>
      </c>
      <c r="Q59">
        <f>IF(AND($A59&lt;&gt;"",Q$3&gt;=$J59,Q$3&lt;=$M59),1,"")</f>
        <v/>
      </c>
      <c r="R59">
        <f>IF(AND($A59&lt;&gt;"",R$3&gt;=$J59,R$3&lt;=$M59),1,"")</f>
        <v/>
      </c>
      <c r="S59">
        <f>IF(AND($A59&lt;&gt;"",S$3&gt;=$J59,S$3&lt;=$M59),1,"")</f>
        <v/>
      </c>
      <c r="T59">
        <f>IF(AND($A59&lt;&gt;"",T$3&gt;=$J59,T$3&lt;=$M59),1,"")</f>
        <v/>
      </c>
      <c r="U59">
        <f>IF(AND($A59&lt;&gt;"",U$3&gt;=$J59,U$3&lt;=$M59),1,"")</f>
        <v/>
      </c>
      <c r="V59">
        <f>IF(AND($A59&lt;&gt;"",V$3&gt;=$J59,V$3&lt;=$M59),1,"")</f>
        <v/>
      </c>
      <c r="W59">
        <f>IF(AND($A59&lt;&gt;"",W$3&gt;=$J59,W$3&lt;=$M59),1,"")</f>
        <v/>
      </c>
      <c r="X59">
        <f>IF(AND($A59&lt;&gt;"",X$3&gt;=$J59,X$3&lt;=$M59),1,"")</f>
        <v/>
      </c>
      <c r="Y59">
        <f>IF(AND($A59&lt;&gt;"",Y$3&gt;=$J59,Y$3&lt;=$M59),1,"")</f>
        <v/>
      </c>
      <c r="Z59">
        <f>IF(AND($A59&lt;&gt;"",Z$3&gt;=$J59,Z$3&lt;=$M59),1,"")</f>
        <v/>
      </c>
      <c r="AA59">
        <f>IF(AND($A59&lt;&gt;"",AA$3&gt;=$J59,AA$3&lt;=$M59),1,"")</f>
        <v/>
      </c>
      <c r="AB59">
        <f>IF(AND($A59&lt;&gt;"",AB$3&gt;=$J59,AB$3&lt;=$M59),1,"")</f>
        <v/>
      </c>
      <c r="AC59">
        <f>IF(AND($A59&lt;&gt;"",AC$3&gt;=$J59,AC$3&lt;=$M59),1,"")</f>
        <v/>
      </c>
      <c r="AD59">
        <f>IF(AND($A59&lt;&gt;"",AD$3&gt;=$J59,AD$3&lt;=$M59),1,"")</f>
        <v/>
      </c>
      <c r="AE59">
        <f>IF(AND($A59&lt;&gt;"",AE$3&gt;=$J59,AE$3&lt;=$M59),1,"")</f>
        <v/>
      </c>
      <c r="AF59">
        <f>IF(AND($A59&lt;&gt;"",AF$3&gt;=$J59,AF$3&lt;=$M59),1,"")</f>
        <v/>
      </c>
      <c r="AG59">
        <f>IF(AND($A59&lt;&gt;"",AG$3&gt;=$J59,AG$3&lt;=$M59),1,"")</f>
        <v/>
      </c>
      <c r="AH59">
        <f>IF(AND($A59&lt;&gt;"",AH$3&gt;=$J59,AH$3&lt;=$M59),1,"")</f>
        <v/>
      </c>
      <c r="AI59">
        <f>IF(AND($A59&lt;&gt;"",AI$3&gt;=$J59,AI$3&lt;=$M59),1,"")</f>
        <v/>
      </c>
      <c r="AJ59">
        <f>IF(AND($A59&lt;&gt;"",AJ$3&gt;=$J59,AJ$3&lt;=$M59),1,"")</f>
        <v/>
      </c>
      <c r="AK59">
        <f>IF(AND($A59&lt;&gt;"",AK$3&gt;=$J59,AK$3&lt;=$M59),1,"")</f>
        <v/>
      </c>
      <c r="AL59">
        <f>IF(AND($A59&lt;&gt;"",AL$3&gt;=$J59,AL$3&lt;=$M59),1,"")</f>
        <v/>
      </c>
      <c r="AM59">
        <f>IF(AND($A59&lt;&gt;"",AM$3&gt;=$J59,AM$3&lt;=$M59),1,"")</f>
        <v/>
      </c>
      <c r="AN59">
        <f>IF(AND($A59&lt;&gt;"",AN$3&gt;=$J59,AN$3&lt;=$M59),1,"")</f>
        <v/>
      </c>
      <c r="AO59">
        <f>IF(AND($A59&lt;&gt;"",AO$3&gt;=$J59,AO$3&lt;=$M59),1,"")</f>
        <v/>
      </c>
      <c r="AP59">
        <f>IF(AND($A59&lt;&gt;"",AP$3&gt;=$J59,AP$3&lt;=$M59),1,"")</f>
        <v/>
      </c>
      <c r="AQ59">
        <f>IF(AND($A59&lt;&gt;"",AQ$3&gt;=$J59,AQ$3&lt;=$M59),1,"")</f>
        <v/>
      </c>
      <c r="AR59">
        <f>IF(AND($A59&lt;&gt;"",AR$3&gt;=$J59,AR$3&lt;=$M59),1,"")</f>
        <v/>
      </c>
      <c r="AS59">
        <f>IF(AND($A59&lt;&gt;"",AS$3&gt;=$J59,AS$3&lt;=$M59),1,"")</f>
        <v/>
      </c>
      <c r="AT59">
        <f>IF(AND($A59&lt;&gt;"",AT$3&gt;=$J59,AT$3&lt;=$M59),1,"")</f>
        <v/>
      </c>
      <c r="AU59">
        <f>IF(AND($A59&lt;&gt;"",AU$3&gt;=$J59,AU$3&lt;=$M59),1,"")</f>
        <v/>
      </c>
      <c r="AV59">
        <f>IF(AND($A59&lt;&gt;"",AV$3&gt;=$J59,AV$3&lt;=$M59),1,"")</f>
        <v/>
      </c>
      <c r="AW59">
        <f>IF(AND($A59&lt;&gt;"",AW$3&gt;=$J59,AW$3&lt;=$M59),1,"")</f>
        <v/>
      </c>
      <c r="AX59">
        <f>IF(AND($A59&lt;&gt;"",AX$3&gt;=$J59,AX$3&lt;=$M59),1,"")</f>
        <v/>
      </c>
      <c r="AY59">
        <f>IF(AND($A59&lt;&gt;"",AY$3&gt;=$J59,AY$3&lt;=$M59),1,"")</f>
        <v/>
      </c>
      <c r="AZ59">
        <f>IF(AND($A59&lt;&gt;"",AZ$3&gt;=$J59,AZ$3&lt;=$M59),1,"")</f>
        <v/>
      </c>
      <c r="BA59">
        <f>IF(AND($A59&lt;&gt;"",BA$3&gt;=$J59,BA$3&lt;=$M59),1,"")</f>
        <v/>
      </c>
      <c r="BB59">
        <f>IF(AND($A59&lt;&gt;"",BB$3&gt;=$J59,BB$3&lt;=$M59),1,"")</f>
        <v/>
      </c>
      <c r="BC59">
        <f>IF(AND($A59&lt;&gt;"",BC$3&gt;=$J59,BC$3&lt;=$M59),1,"")</f>
        <v/>
      </c>
      <c r="BD59">
        <f>IF(AND($A59&lt;&gt;"",BD$3&gt;=$J59,BD$3&lt;=$M59),1,"")</f>
        <v/>
      </c>
      <c r="BE59">
        <f>IF(AND($A59&lt;&gt;"",BE$3&gt;=$J59,BE$3&lt;=$M59),1,"")</f>
        <v/>
      </c>
      <c r="BF59">
        <f>IF(AND($A59&lt;&gt;"",BF$3&gt;=$J59,BF$3&lt;=$M59),1,"")</f>
        <v/>
      </c>
      <c r="BG59">
        <f>IF(AND($A59&lt;&gt;"",BG$3&gt;=$J59,BG$3&lt;=$M59),1,"")</f>
        <v/>
      </c>
      <c r="BH59">
        <f>IF(AND($A59&lt;&gt;"",BH$3&gt;=$J59,BH$3&lt;=$M59),1,"")</f>
        <v/>
      </c>
      <c r="BI59">
        <f>IF(AND($A59&lt;&gt;"",BI$3&gt;=$J59,BI$3&lt;=$M59),1,"")</f>
        <v/>
      </c>
      <c r="BJ59">
        <f>IF(AND($A59&lt;&gt;"",BJ$3&gt;=$J59,BJ$3&lt;=$M59),1,"")</f>
        <v/>
      </c>
      <c r="BK59">
        <f>IF(AND($A59&lt;&gt;"",BK$3&gt;=$J59,BK$3&lt;=$M59),1,"")</f>
        <v/>
      </c>
      <c r="BL59">
        <f>IF(AND($A59&lt;&gt;"",BL$3&gt;=$J59,BL$3&lt;=$M59),1,"")</f>
        <v/>
      </c>
      <c r="BM59">
        <f>IF(AND($A59&lt;&gt;"",BM$3&gt;=$J59,BM$3&lt;=$M59),1,"")</f>
        <v/>
      </c>
      <c r="BN59">
        <f>IF(AND($A59&lt;&gt;"",BN$3&gt;=$J59,BN$3&lt;=$M59),1,"")</f>
        <v/>
      </c>
      <c r="BO59">
        <f>IF(AND($A59&lt;&gt;"",BO$3&gt;=$J59,BO$3&lt;=$M59),1,"")</f>
        <v/>
      </c>
      <c r="BP59">
        <f>IF(AND($A59&lt;&gt;"",BP$3&gt;=$J59,BP$3&lt;=$M59),1,"")</f>
        <v/>
      </c>
      <c r="BQ59">
        <f>IF(AND($A59&lt;&gt;"",BQ$3&gt;=$J59,BQ$3&lt;=$M59),1,"")</f>
        <v/>
      </c>
      <c r="BR59">
        <f>IF(AND($A59&lt;&gt;"",BR$3&gt;=$J59,BR$3&lt;=$M59),1,"")</f>
        <v/>
      </c>
      <c r="BS59">
        <f>IF(AND($A59&lt;&gt;"",BS$3&gt;=$J59,BS$3&lt;=$M59),1,"")</f>
        <v/>
      </c>
      <c r="BT59">
        <f>IF(AND($A59&lt;&gt;"",BT$3&gt;=$J59,BT$3&lt;=$M59),1,"")</f>
        <v/>
      </c>
      <c r="BU59">
        <f>IF(AND($A59&lt;&gt;"",BU$3&gt;=$J59,BU$3&lt;=$M59),1,"")</f>
        <v/>
      </c>
      <c r="BV59">
        <f>IF(AND($A59&lt;&gt;"",BV$3&gt;=$J59,BV$3&lt;=$M59),1,"")</f>
        <v/>
      </c>
    </row>
    <row r="60">
      <c r="A60">
        <f>IF(Job_Master_Ring!$A60="","",Job_Master_Ring!$A60)</f>
        <v/>
      </c>
      <c r="B60">
        <f>IF($A60="","",Job_Master_Ring!B60)</f>
        <v/>
      </c>
      <c r="C60">
        <f>IF($A60="","",Job_Master_Ring!C60)</f>
        <v/>
      </c>
      <c r="D60">
        <f>IF($A60="","",Job_Master_Ring!D60)</f>
        <v/>
      </c>
      <c r="E60">
        <f>IF($A60="","",IF($I60&lt;&gt;"",$I60,IFERROR(INDEX(Machine_List!$B$72:$B$81,MATCH(1,(Machine_List!$H$72:$H$81&lt;=IFERROR(VLOOKUP($B60,CHOOSE(MATCH($C60,Settings!$L$4:$L$10,0),OPR_BR1!$A$4:$K$18,OPR_BR2!$A$4:$K$18,OPR_CR2!$A$4:$K$18,OPR_CR3!$A$4:$K$18,OPR_CR4!$A$4:$K$18,OPR_RIM!$A$4:$K$18,OPR_BPR!$A$4:$K$18),10,0),0))*(Machine_List!$I$72:$I$81&gt;=IFERROR(VLOOKUP($B60,CHOOSE(MATCH($C60,Settings!$L$4:$L$10,0),OPR_BR1!$A$4:$K$18,OPR_BR2!$A$4:$K$18,OPR_CR2!$A$4:$K$18,OPR_CR3!$A$4:$K$18,OPR_CR4!$A$4:$K$18,OPR_RIM!$A$4:$K$18,OPR_BPR!$A$4:$K$18),11,0),9999)),0)),"NO COMPATIBLE MACHINE")))</f>
        <v/>
      </c>
      <c r="F60">
        <f>IF($E60="","",IFERROR(VLOOKUP($E60,Machine_List!$B:$G,6,0),""))</f>
        <v/>
      </c>
      <c r="G60" s="17">
        <f>IF($E60="","",IFERROR(VLOOKUP($E60,Machine_List!$B:$C,2,0),""))</f>
        <v/>
      </c>
      <c r="H60">
        <f>IF($E60="","",IFERROR(VLOOKUP($E60,Machine_List!$B:$D,3,0),""))</f>
        <v/>
      </c>
      <c r="J60" s="16">
        <f>IF($A60="","",IF($I60&lt;&gt;"",$I60,MAX(VENT_Plan!$M60,IFERROR(LOOKUP(2,1/($E$3:INDIRECT("E"&amp;(ROW()-1))=$E60),$M$3:INDIRECT("M"&amp;(ROW()-1))),VENT_Plan!$M60))))</f>
        <v/>
      </c>
      <c r="K60">
        <f>IF($A60="","",IFERROR(VLOOKUP(B60,CHOOSE(MATCH($C60,Settings!$L$4:$L$10,0),OPR_BR1!$A$4:$I$18,OPR_BR2!$A$4:$I$18,OPR_CR2!$A$4:$I$18,OPR_CR3!$A$4:$I$18,OPR_CR4!$A$4:$I$18,OPR_RIM!$A$4:$I$18,OPR_BPR!$A$4:$I$18),8,0),0))</f>
        <v/>
      </c>
      <c r="L60">
        <f>IF($A60="","",K60*D60)</f>
        <v/>
      </c>
      <c r="M60" s="16">
        <f>IF($A60="","",IF(AND(ISNUMBER(G60),G60&gt;=J60,G60&lt;=(J60+(L60/(IF(F60="Contract Workman",Settings!$K$5,Settings!$K$4))))),J60+(L60/(IF(F60="Contract Workman",Settings!$K$5,Settings!$K$4)))+(H60/(IF(F60="Contract Workman",Settings!$K$5,Settings!$K$4))),J60+(L60/(IF(F60="Contract Workman",Settings!$K$5,Settings!$K$4)))))</f>
        <v/>
      </c>
      <c r="N60">
        <f>IF($A60="","",IF(F60="Contract Workman",IF(AND(MOD(M60,1)&gt;=8/24,MOD(M60,1)&lt;20/24),"Shift S1","Shift S2"),IF(AND(MOD(M60,1)&gt;=7/24,MOD(M60,1)&lt;15/24),"Shift A",IF(AND(MOD(M60,1)&gt;=15/24,MOD(M60,1)&lt;23/24),"Shift B","Shift C"))))</f>
        <v/>
      </c>
      <c r="O60">
        <f>IF(B60="","",IF(IFERROR(ISNUMBER(SEARCH(TEXT(B60,"0"),VLOOKUP(E60,Machine_List!$B:$J,9,0))),FALSE),"✅ "&amp; E60,"❌ Sug: "&amp;IFERROR(INDEX(Machine_List!$B$72:$B$81,MATCH(1,(Machine_List!$H$72:$H$81&lt;=IFERROR(VLOOKUP($B60,OPR_BR1!$A$4:$K$18,10,0),0))*(Machine_List!$I$72:$I$81&gt;=IFERROR(VLOOKUP($B60,OPR_BR1!$A$4:$K$18,11,0),9999)),0)),"?")))</f>
        <v/>
      </c>
      <c r="P60">
        <f>IF(AND($A60&lt;&gt;"",P$3&gt;=$J60,P$3&lt;=$M60),1,"")</f>
        <v/>
      </c>
      <c r="Q60">
        <f>IF(AND($A60&lt;&gt;"",Q$3&gt;=$J60,Q$3&lt;=$M60),1,"")</f>
        <v/>
      </c>
      <c r="R60">
        <f>IF(AND($A60&lt;&gt;"",R$3&gt;=$J60,R$3&lt;=$M60),1,"")</f>
        <v/>
      </c>
      <c r="S60">
        <f>IF(AND($A60&lt;&gt;"",S$3&gt;=$J60,S$3&lt;=$M60),1,"")</f>
        <v/>
      </c>
      <c r="T60">
        <f>IF(AND($A60&lt;&gt;"",T$3&gt;=$J60,T$3&lt;=$M60),1,"")</f>
        <v/>
      </c>
      <c r="U60">
        <f>IF(AND($A60&lt;&gt;"",U$3&gt;=$J60,U$3&lt;=$M60),1,"")</f>
        <v/>
      </c>
      <c r="V60">
        <f>IF(AND($A60&lt;&gt;"",V$3&gt;=$J60,V$3&lt;=$M60),1,"")</f>
        <v/>
      </c>
      <c r="W60">
        <f>IF(AND($A60&lt;&gt;"",W$3&gt;=$J60,W$3&lt;=$M60),1,"")</f>
        <v/>
      </c>
      <c r="X60">
        <f>IF(AND($A60&lt;&gt;"",X$3&gt;=$J60,X$3&lt;=$M60),1,"")</f>
        <v/>
      </c>
      <c r="Y60">
        <f>IF(AND($A60&lt;&gt;"",Y$3&gt;=$J60,Y$3&lt;=$M60),1,"")</f>
        <v/>
      </c>
      <c r="Z60">
        <f>IF(AND($A60&lt;&gt;"",Z$3&gt;=$J60,Z$3&lt;=$M60),1,"")</f>
        <v/>
      </c>
      <c r="AA60">
        <f>IF(AND($A60&lt;&gt;"",AA$3&gt;=$J60,AA$3&lt;=$M60),1,"")</f>
        <v/>
      </c>
      <c r="AB60">
        <f>IF(AND($A60&lt;&gt;"",AB$3&gt;=$J60,AB$3&lt;=$M60),1,"")</f>
        <v/>
      </c>
      <c r="AC60">
        <f>IF(AND($A60&lt;&gt;"",AC$3&gt;=$J60,AC$3&lt;=$M60),1,"")</f>
        <v/>
      </c>
      <c r="AD60">
        <f>IF(AND($A60&lt;&gt;"",AD$3&gt;=$J60,AD$3&lt;=$M60),1,"")</f>
        <v/>
      </c>
      <c r="AE60">
        <f>IF(AND($A60&lt;&gt;"",AE$3&gt;=$J60,AE$3&lt;=$M60),1,"")</f>
        <v/>
      </c>
      <c r="AF60">
        <f>IF(AND($A60&lt;&gt;"",AF$3&gt;=$J60,AF$3&lt;=$M60),1,"")</f>
        <v/>
      </c>
      <c r="AG60">
        <f>IF(AND($A60&lt;&gt;"",AG$3&gt;=$J60,AG$3&lt;=$M60),1,"")</f>
        <v/>
      </c>
      <c r="AH60">
        <f>IF(AND($A60&lt;&gt;"",AH$3&gt;=$J60,AH$3&lt;=$M60),1,"")</f>
        <v/>
      </c>
      <c r="AI60">
        <f>IF(AND($A60&lt;&gt;"",AI$3&gt;=$J60,AI$3&lt;=$M60),1,"")</f>
        <v/>
      </c>
      <c r="AJ60">
        <f>IF(AND($A60&lt;&gt;"",AJ$3&gt;=$J60,AJ$3&lt;=$M60),1,"")</f>
        <v/>
      </c>
      <c r="AK60">
        <f>IF(AND($A60&lt;&gt;"",AK$3&gt;=$J60,AK$3&lt;=$M60),1,"")</f>
        <v/>
      </c>
      <c r="AL60">
        <f>IF(AND($A60&lt;&gt;"",AL$3&gt;=$J60,AL$3&lt;=$M60),1,"")</f>
        <v/>
      </c>
      <c r="AM60">
        <f>IF(AND($A60&lt;&gt;"",AM$3&gt;=$J60,AM$3&lt;=$M60),1,"")</f>
        <v/>
      </c>
      <c r="AN60">
        <f>IF(AND($A60&lt;&gt;"",AN$3&gt;=$J60,AN$3&lt;=$M60),1,"")</f>
        <v/>
      </c>
      <c r="AO60">
        <f>IF(AND($A60&lt;&gt;"",AO$3&gt;=$J60,AO$3&lt;=$M60),1,"")</f>
        <v/>
      </c>
      <c r="AP60">
        <f>IF(AND($A60&lt;&gt;"",AP$3&gt;=$J60,AP$3&lt;=$M60),1,"")</f>
        <v/>
      </c>
      <c r="AQ60">
        <f>IF(AND($A60&lt;&gt;"",AQ$3&gt;=$J60,AQ$3&lt;=$M60),1,"")</f>
        <v/>
      </c>
      <c r="AR60">
        <f>IF(AND($A60&lt;&gt;"",AR$3&gt;=$J60,AR$3&lt;=$M60),1,"")</f>
        <v/>
      </c>
      <c r="AS60">
        <f>IF(AND($A60&lt;&gt;"",AS$3&gt;=$J60,AS$3&lt;=$M60),1,"")</f>
        <v/>
      </c>
      <c r="AT60">
        <f>IF(AND($A60&lt;&gt;"",AT$3&gt;=$J60,AT$3&lt;=$M60),1,"")</f>
        <v/>
      </c>
      <c r="AU60">
        <f>IF(AND($A60&lt;&gt;"",AU$3&gt;=$J60,AU$3&lt;=$M60),1,"")</f>
        <v/>
      </c>
      <c r="AV60">
        <f>IF(AND($A60&lt;&gt;"",AV$3&gt;=$J60,AV$3&lt;=$M60),1,"")</f>
        <v/>
      </c>
      <c r="AW60">
        <f>IF(AND($A60&lt;&gt;"",AW$3&gt;=$J60,AW$3&lt;=$M60),1,"")</f>
        <v/>
      </c>
      <c r="AX60">
        <f>IF(AND($A60&lt;&gt;"",AX$3&gt;=$J60,AX$3&lt;=$M60),1,"")</f>
        <v/>
      </c>
      <c r="AY60">
        <f>IF(AND($A60&lt;&gt;"",AY$3&gt;=$J60,AY$3&lt;=$M60),1,"")</f>
        <v/>
      </c>
      <c r="AZ60">
        <f>IF(AND($A60&lt;&gt;"",AZ$3&gt;=$J60,AZ$3&lt;=$M60),1,"")</f>
        <v/>
      </c>
      <c r="BA60">
        <f>IF(AND($A60&lt;&gt;"",BA$3&gt;=$J60,BA$3&lt;=$M60),1,"")</f>
        <v/>
      </c>
      <c r="BB60">
        <f>IF(AND($A60&lt;&gt;"",BB$3&gt;=$J60,BB$3&lt;=$M60),1,"")</f>
        <v/>
      </c>
      <c r="BC60">
        <f>IF(AND($A60&lt;&gt;"",BC$3&gt;=$J60,BC$3&lt;=$M60),1,"")</f>
        <v/>
      </c>
      <c r="BD60">
        <f>IF(AND($A60&lt;&gt;"",BD$3&gt;=$J60,BD$3&lt;=$M60),1,"")</f>
        <v/>
      </c>
      <c r="BE60">
        <f>IF(AND($A60&lt;&gt;"",BE$3&gt;=$J60,BE$3&lt;=$M60),1,"")</f>
        <v/>
      </c>
      <c r="BF60">
        <f>IF(AND($A60&lt;&gt;"",BF$3&gt;=$J60,BF$3&lt;=$M60),1,"")</f>
        <v/>
      </c>
      <c r="BG60">
        <f>IF(AND($A60&lt;&gt;"",BG$3&gt;=$J60,BG$3&lt;=$M60),1,"")</f>
        <v/>
      </c>
      <c r="BH60">
        <f>IF(AND($A60&lt;&gt;"",BH$3&gt;=$J60,BH$3&lt;=$M60),1,"")</f>
        <v/>
      </c>
      <c r="BI60">
        <f>IF(AND($A60&lt;&gt;"",BI$3&gt;=$J60,BI$3&lt;=$M60),1,"")</f>
        <v/>
      </c>
      <c r="BJ60">
        <f>IF(AND($A60&lt;&gt;"",BJ$3&gt;=$J60,BJ$3&lt;=$M60),1,"")</f>
        <v/>
      </c>
      <c r="BK60">
        <f>IF(AND($A60&lt;&gt;"",BK$3&gt;=$J60,BK$3&lt;=$M60),1,"")</f>
        <v/>
      </c>
      <c r="BL60">
        <f>IF(AND($A60&lt;&gt;"",BL$3&gt;=$J60,BL$3&lt;=$M60),1,"")</f>
        <v/>
      </c>
      <c r="BM60">
        <f>IF(AND($A60&lt;&gt;"",BM$3&gt;=$J60,BM$3&lt;=$M60),1,"")</f>
        <v/>
      </c>
      <c r="BN60">
        <f>IF(AND($A60&lt;&gt;"",BN$3&gt;=$J60,BN$3&lt;=$M60),1,"")</f>
        <v/>
      </c>
      <c r="BO60">
        <f>IF(AND($A60&lt;&gt;"",BO$3&gt;=$J60,BO$3&lt;=$M60),1,"")</f>
        <v/>
      </c>
      <c r="BP60">
        <f>IF(AND($A60&lt;&gt;"",BP$3&gt;=$J60,BP$3&lt;=$M60),1,"")</f>
        <v/>
      </c>
      <c r="BQ60">
        <f>IF(AND($A60&lt;&gt;"",BQ$3&gt;=$J60,BQ$3&lt;=$M60),1,"")</f>
        <v/>
      </c>
      <c r="BR60">
        <f>IF(AND($A60&lt;&gt;"",BR$3&gt;=$J60,BR$3&lt;=$M60),1,"")</f>
        <v/>
      </c>
      <c r="BS60">
        <f>IF(AND($A60&lt;&gt;"",BS$3&gt;=$J60,BS$3&lt;=$M60),1,"")</f>
        <v/>
      </c>
      <c r="BT60">
        <f>IF(AND($A60&lt;&gt;"",BT$3&gt;=$J60,BT$3&lt;=$M60),1,"")</f>
        <v/>
      </c>
      <c r="BU60">
        <f>IF(AND($A60&lt;&gt;"",BU$3&gt;=$J60,BU$3&lt;=$M60),1,"")</f>
        <v/>
      </c>
      <c r="BV60">
        <f>IF(AND($A60&lt;&gt;"",BV$3&gt;=$J60,BV$3&lt;=$M60),1,"")</f>
        <v/>
      </c>
    </row>
    <row r="61">
      <c r="A61">
        <f>IF(Job_Master_Ring!$A61="","",Job_Master_Ring!$A61)</f>
        <v/>
      </c>
      <c r="B61">
        <f>IF($A61="","",Job_Master_Ring!B61)</f>
        <v/>
      </c>
      <c r="C61">
        <f>IF($A61="","",Job_Master_Ring!C61)</f>
        <v/>
      </c>
      <c r="D61">
        <f>IF($A61="","",Job_Master_Ring!D61)</f>
        <v/>
      </c>
      <c r="E61">
        <f>IF($A61="","",IF($I61&lt;&gt;"",$I61,IFERROR(INDEX(Machine_List!$B$72:$B$81,MATCH(1,(Machine_List!$H$72:$H$81&lt;=IFERROR(VLOOKUP($B61,CHOOSE(MATCH($C61,Settings!$L$4:$L$10,0),OPR_BR1!$A$4:$K$18,OPR_BR2!$A$4:$K$18,OPR_CR2!$A$4:$K$18,OPR_CR3!$A$4:$K$18,OPR_CR4!$A$4:$K$18,OPR_RIM!$A$4:$K$18,OPR_BPR!$A$4:$K$18),10,0),0))*(Machine_List!$I$72:$I$81&gt;=IFERROR(VLOOKUP($B61,CHOOSE(MATCH($C61,Settings!$L$4:$L$10,0),OPR_BR1!$A$4:$K$18,OPR_BR2!$A$4:$K$18,OPR_CR2!$A$4:$K$18,OPR_CR3!$A$4:$K$18,OPR_CR4!$A$4:$K$18,OPR_RIM!$A$4:$K$18,OPR_BPR!$A$4:$K$18),11,0),9999)),0)),"NO COMPATIBLE MACHINE")))</f>
        <v/>
      </c>
      <c r="F61">
        <f>IF($E61="","",IFERROR(VLOOKUP($E61,Machine_List!$B:$G,6,0),""))</f>
        <v/>
      </c>
      <c r="G61" s="17">
        <f>IF($E61="","",IFERROR(VLOOKUP($E61,Machine_List!$B:$C,2,0),""))</f>
        <v/>
      </c>
      <c r="H61">
        <f>IF($E61="","",IFERROR(VLOOKUP($E61,Machine_List!$B:$D,3,0),""))</f>
        <v/>
      </c>
      <c r="J61" s="16">
        <f>IF($A61="","",IF($I61&lt;&gt;"",$I61,MAX(VENT_Plan!$M61,IFERROR(LOOKUP(2,1/($E$3:INDIRECT("E"&amp;(ROW()-1))=$E61),$M$3:INDIRECT("M"&amp;(ROW()-1))),VENT_Plan!$M61))))</f>
        <v/>
      </c>
      <c r="K61">
        <f>IF($A61="","",IFERROR(VLOOKUP(B61,CHOOSE(MATCH($C61,Settings!$L$4:$L$10,0),OPR_BR1!$A$4:$I$18,OPR_BR2!$A$4:$I$18,OPR_CR2!$A$4:$I$18,OPR_CR3!$A$4:$I$18,OPR_CR4!$A$4:$I$18,OPR_RIM!$A$4:$I$18,OPR_BPR!$A$4:$I$18),8,0),0))</f>
        <v/>
      </c>
      <c r="L61">
        <f>IF($A61="","",K61*D61)</f>
        <v/>
      </c>
      <c r="M61" s="16">
        <f>IF($A61="","",IF(AND(ISNUMBER(G61),G61&gt;=J61,G61&lt;=(J61+(L61/(IF(F61="Contract Workman",Settings!$K$5,Settings!$K$4))))),J61+(L61/(IF(F61="Contract Workman",Settings!$K$5,Settings!$K$4)))+(H61/(IF(F61="Contract Workman",Settings!$K$5,Settings!$K$4))),J61+(L61/(IF(F61="Contract Workman",Settings!$K$5,Settings!$K$4)))))</f>
        <v/>
      </c>
      <c r="N61">
        <f>IF($A61="","",IF(F61="Contract Workman",IF(AND(MOD(M61,1)&gt;=8/24,MOD(M61,1)&lt;20/24),"Shift S1","Shift S2"),IF(AND(MOD(M61,1)&gt;=7/24,MOD(M61,1)&lt;15/24),"Shift A",IF(AND(MOD(M61,1)&gt;=15/24,MOD(M61,1)&lt;23/24),"Shift B","Shift C"))))</f>
        <v/>
      </c>
      <c r="O61">
        <f>IF(B61="","",IF(IFERROR(ISNUMBER(SEARCH(TEXT(B61,"0"),VLOOKUP(E61,Machine_List!$B:$J,9,0))),FALSE),"✅ "&amp; E61,"❌ Sug: "&amp;IFERROR(INDEX(Machine_List!$B$72:$B$81,MATCH(1,(Machine_List!$H$72:$H$81&lt;=IFERROR(VLOOKUP($B61,OPR_BR1!$A$4:$K$18,10,0),0))*(Machine_List!$I$72:$I$81&gt;=IFERROR(VLOOKUP($B61,OPR_BR1!$A$4:$K$18,11,0),9999)),0)),"?")))</f>
        <v/>
      </c>
      <c r="P61">
        <f>IF(AND($A61&lt;&gt;"",P$3&gt;=$J61,P$3&lt;=$M61),1,"")</f>
        <v/>
      </c>
      <c r="Q61">
        <f>IF(AND($A61&lt;&gt;"",Q$3&gt;=$J61,Q$3&lt;=$M61),1,"")</f>
        <v/>
      </c>
      <c r="R61">
        <f>IF(AND($A61&lt;&gt;"",R$3&gt;=$J61,R$3&lt;=$M61),1,"")</f>
        <v/>
      </c>
      <c r="S61">
        <f>IF(AND($A61&lt;&gt;"",S$3&gt;=$J61,S$3&lt;=$M61),1,"")</f>
        <v/>
      </c>
      <c r="T61">
        <f>IF(AND($A61&lt;&gt;"",T$3&gt;=$J61,T$3&lt;=$M61),1,"")</f>
        <v/>
      </c>
      <c r="U61">
        <f>IF(AND($A61&lt;&gt;"",U$3&gt;=$J61,U$3&lt;=$M61),1,"")</f>
        <v/>
      </c>
      <c r="V61">
        <f>IF(AND($A61&lt;&gt;"",V$3&gt;=$J61,V$3&lt;=$M61),1,"")</f>
        <v/>
      </c>
      <c r="W61">
        <f>IF(AND($A61&lt;&gt;"",W$3&gt;=$J61,W$3&lt;=$M61),1,"")</f>
        <v/>
      </c>
      <c r="X61">
        <f>IF(AND($A61&lt;&gt;"",X$3&gt;=$J61,X$3&lt;=$M61),1,"")</f>
        <v/>
      </c>
      <c r="Y61">
        <f>IF(AND($A61&lt;&gt;"",Y$3&gt;=$J61,Y$3&lt;=$M61),1,"")</f>
        <v/>
      </c>
      <c r="Z61">
        <f>IF(AND($A61&lt;&gt;"",Z$3&gt;=$J61,Z$3&lt;=$M61),1,"")</f>
        <v/>
      </c>
      <c r="AA61">
        <f>IF(AND($A61&lt;&gt;"",AA$3&gt;=$J61,AA$3&lt;=$M61),1,"")</f>
        <v/>
      </c>
      <c r="AB61">
        <f>IF(AND($A61&lt;&gt;"",AB$3&gt;=$J61,AB$3&lt;=$M61),1,"")</f>
        <v/>
      </c>
      <c r="AC61">
        <f>IF(AND($A61&lt;&gt;"",AC$3&gt;=$J61,AC$3&lt;=$M61),1,"")</f>
        <v/>
      </c>
      <c r="AD61">
        <f>IF(AND($A61&lt;&gt;"",AD$3&gt;=$J61,AD$3&lt;=$M61),1,"")</f>
        <v/>
      </c>
      <c r="AE61">
        <f>IF(AND($A61&lt;&gt;"",AE$3&gt;=$J61,AE$3&lt;=$M61),1,"")</f>
        <v/>
      </c>
      <c r="AF61">
        <f>IF(AND($A61&lt;&gt;"",AF$3&gt;=$J61,AF$3&lt;=$M61),1,"")</f>
        <v/>
      </c>
      <c r="AG61">
        <f>IF(AND($A61&lt;&gt;"",AG$3&gt;=$J61,AG$3&lt;=$M61),1,"")</f>
        <v/>
      </c>
      <c r="AH61">
        <f>IF(AND($A61&lt;&gt;"",AH$3&gt;=$J61,AH$3&lt;=$M61),1,"")</f>
        <v/>
      </c>
      <c r="AI61">
        <f>IF(AND($A61&lt;&gt;"",AI$3&gt;=$J61,AI$3&lt;=$M61),1,"")</f>
        <v/>
      </c>
      <c r="AJ61">
        <f>IF(AND($A61&lt;&gt;"",AJ$3&gt;=$J61,AJ$3&lt;=$M61),1,"")</f>
        <v/>
      </c>
      <c r="AK61">
        <f>IF(AND($A61&lt;&gt;"",AK$3&gt;=$J61,AK$3&lt;=$M61),1,"")</f>
        <v/>
      </c>
      <c r="AL61">
        <f>IF(AND($A61&lt;&gt;"",AL$3&gt;=$J61,AL$3&lt;=$M61),1,"")</f>
        <v/>
      </c>
      <c r="AM61">
        <f>IF(AND($A61&lt;&gt;"",AM$3&gt;=$J61,AM$3&lt;=$M61),1,"")</f>
        <v/>
      </c>
      <c r="AN61">
        <f>IF(AND($A61&lt;&gt;"",AN$3&gt;=$J61,AN$3&lt;=$M61),1,"")</f>
        <v/>
      </c>
      <c r="AO61">
        <f>IF(AND($A61&lt;&gt;"",AO$3&gt;=$J61,AO$3&lt;=$M61),1,"")</f>
        <v/>
      </c>
      <c r="AP61">
        <f>IF(AND($A61&lt;&gt;"",AP$3&gt;=$J61,AP$3&lt;=$M61),1,"")</f>
        <v/>
      </c>
      <c r="AQ61">
        <f>IF(AND($A61&lt;&gt;"",AQ$3&gt;=$J61,AQ$3&lt;=$M61),1,"")</f>
        <v/>
      </c>
      <c r="AR61">
        <f>IF(AND($A61&lt;&gt;"",AR$3&gt;=$J61,AR$3&lt;=$M61),1,"")</f>
        <v/>
      </c>
      <c r="AS61">
        <f>IF(AND($A61&lt;&gt;"",AS$3&gt;=$J61,AS$3&lt;=$M61),1,"")</f>
        <v/>
      </c>
      <c r="AT61">
        <f>IF(AND($A61&lt;&gt;"",AT$3&gt;=$J61,AT$3&lt;=$M61),1,"")</f>
        <v/>
      </c>
      <c r="AU61">
        <f>IF(AND($A61&lt;&gt;"",AU$3&gt;=$J61,AU$3&lt;=$M61),1,"")</f>
        <v/>
      </c>
      <c r="AV61">
        <f>IF(AND($A61&lt;&gt;"",AV$3&gt;=$J61,AV$3&lt;=$M61),1,"")</f>
        <v/>
      </c>
      <c r="AW61">
        <f>IF(AND($A61&lt;&gt;"",AW$3&gt;=$J61,AW$3&lt;=$M61),1,"")</f>
        <v/>
      </c>
      <c r="AX61">
        <f>IF(AND($A61&lt;&gt;"",AX$3&gt;=$J61,AX$3&lt;=$M61),1,"")</f>
        <v/>
      </c>
      <c r="AY61">
        <f>IF(AND($A61&lt;&gt;"",AY$3&gt;=$J61,AY$3&lt;=$M61),1,"")</f>
        <v/>
      </c>
      <c r="AZ61">
        <f>IF(AND($A61&lt;&gt;"",AZ$3&gt;=$J61,AZ$3&lt;=$M61),1,"")</f>
        <v/>
      </c>
      <c r="BA61">
        <f>IF(AND($A61&lt;&gt;"",BA$3&gt;=$J61,BA$3&lt;=$M61),1,"")</f>
        <v/>
      </c>
      <c r="BB61">
        <f>IF(AND($A61&lt;&gt;"",BB$3&gt;=$J61,BB$3&lt;=$M61),1,"")</f>
        <v/>
      </c>
      <c r="BC61">
        <f>IF(AND($A61&lt;&gt;"",BC$3&gt;=$J61,BC$3&lt;=$M61),1,"")</f>
        <v/>
      </c>
      <c r="BD61">
        <f>IF(AND($A61&lt;&gt;"",BD$3&gt;=$J61,BD$3&lt;=$M61),1,"")</f>
        <v/>
      </c>
      <c r="BE61">
        <f>IF(AND($A61&lt;&gt;"",BE$3&gt;=$J61,BE$3&lt;=$M61),1,"")</f>
        <v/>
      </c>
      <c r="BF61">
        <f>IF(AND($A61&lt;&gt;"",BF$3&gt;=$J61,BF$3&lt;=$M61),1,"")</f>
        <v/>
      </c>
      <c r="BG61">
        <f>IF(AND($A61&lt;&gt;"",BG$3&gt;=$J61,BG$3&lt;=$M61),1,"")</f>
        <v/>
      </c>
      <c r="BH61">
        <f>IF(AND($A61&lt;&gt;"",BH$3&gt;=$J61,BH$3&lt;=$M61),1,"")</f>
        <v/>
      </c>
      <c r="BI61">
        <f>IF(AND($A61&lt;&gt;"",BI$3&gt;=$J61,BI$3&lt;=$M61),1,"")</f>
        <v/>
      </c>
      <c r="BJ61">
        <f>IF(AND($A61&lt;&gt;"",BJ$3&gt;=$J61,BJ$3&lt;=$M61),1,"")</f>
        <v/>
      </c>
      <c r="BK61">
        <f>IF(AND($A61&lt;&gt;"",BK$3&gt;=$J61,BK$3&lt;=$M61),1,"")</f>
        <v/>
      </c>
      <c r="BL61">
        <f>IF(AND($A61&lt;&gt;"",BL$3&gt;=$J61,BL$3&lt;=$M61),1,"")</f>
        <v/>
      </c>
      <c r="BM61">
        <f>IF(AND($A61&lt;&gt;"",BM$3&gt;=$J61,BM$3&lt;=$M61),1,"")</f>
        <v/>
      </c>
      <c r="BN61">
        <f>IF(AND($A61&lt;&gt;"",BN$3&gt;=$J61,BN$3&lt;=$M61),1,"")</f>
        <v/>
      </c>
      <c r="BO61">
        <f>IF(AND($A61&lt;&gt;"",BO$3&gt;=$J61,BO$3&lt;=$M61),1,"")</f>
        <v/>
      </c>
      <c r="BP61">
        <f>IF(AND($A61&lt;&gt;"",BP$3&gt;=$J61,BP$3&lt;=$M61),1,"")</f>
        <v/>
      </c>
      <c r="BQ61">
        <f>IF(AND($A61&lt;&gt;"",BQ$3&gt;=$J61,BQ$3&lt;=$M61),1,"")</f>
        <v/>
      </c>
      <c r="BR61">
        <f>IF(AND($A61&lt;&gt;"",BR$3&gt;=$J61,BR$3&lt;=$M61),1,"")</f>
        <v/>
      </c>
      <c r="BS61">
        <f>IF(AND($A61&lt;&gt;"",BS$3&gt;=$J61,BS$3&lt;=$M61),1,"")</f>
        <v/>
      </c>
      <c r="BT61">
        <f>IF(AND($A61&lt;&gt;"",BT$3&gt;=$J61,BT$3&lt;=$M61),1,"")</f>
        <v/>
      </c>
      <c r="BU61">
        <f>IF(AND($A61&lt;&gt;"",BU$3&gt;=$J61,BU$3&lt;=$M61),1,"")</f>
        <v/>
      </c>
      <c r="BV61">
        <f>IF(AND($A61&lt;&gt;"",BV$3&gt;=$J61,BV$3&lt;=$M61),1,"")</f>
        <v/>
      </c>
    </row>
    <row r="62">
      <c r="A62">
        <f>IF(Job_Master_Ring!$A62="","",Job_Master_Ring!$A62)</f>
        <v/>
      </c>
      <c r="B62">
        <f>IF($A62="","",Job_Master_Ring!B62)</f>
        <v/>
      </c>
      <c r="C62">
        <f>IF($A62="","",Job_Master_Ring!C62)</f>
        <v/>
      </c>
      <c r="D62">
        <f>IF($A62="","",Job_Master_Ring!D62)</f>
        <v/>
      </c>
      <c r="E62">
        <f>IF($A62="","",IF($I62&lt;&gt;"",$I62,IFERROR(INDEX(Machine_List!$B$72:$B$81,MATCH(1,(Machine_List!$H$72:$H$81&lt;=IFERROR(VLOOKUP($B62,CHOOSE(MATCH($C62,Settings!$L$4:$L$10,0),OPR_BR1!$A$4:$K$18,OPR_BR2!$A$4:$K$18,OPR_CR2!$A$4:$K$18,OPR_CR3!$A$4:$K$18,OPR_CR4!$A$4:$K$18,OPR_RIM!$A$4:$K$18,OPR_BPR!$A$4:$K$18),10,0),0))*(Machine_List!$I$72:$I$81&gt;=IFERROR(VLOOKUP($B62,CHOOSE(MATCH($C62,Settings!$L$4:$L$10,0),OPR_BR1!$A$4:$K$18,OPR_BR2!$A$4:$K$18,OPR_CR2!$A$4:$K$18,OPR_CR3!$A$4:$K$18,OPR_CR4!$A$4:$K$18,OPR_RIM!$A$4:$K$18,OPR_BPR!$A$4:$K$18),11,0),9999)),0)),"NO COMPATIBLE MACHINE")))</f>
        <v/>
      </c>
      <c r="F62">
        <f>IF($E62="","",IFERROR(VLOOKUP($E62,Machine_List!$B:$G,6,0),""))</f>
        <v/>
      </c>
      <c r="G62" s="17">
        <f>IF($E62="","",IFERROR(VLOOKUP($E62,Machine_List!$B:$C,2,0),""))</f>
        <v/>
      </c>
      <c r="H62">
        <f>IF($E62="","",IFERROR(VLOOKUP($E62,Machine_List!$B:$D,3,0),""))</f>
        <v/>
      </c>
      <c r="J62" s="16">
        <f>IF($A62="","",IF($I62&lt;&gt;"",$I62,MAX(VENT_Plan!$M62,IFERROR(LOOKUP(2,1/($E$3:INDIRECT("E"&amp;(ROW()-1))=$E62),$M$3:INDIRECT("M"&amp;(ROW()-1))),VENT_Plan!$M62))))</f>
        <v/>
      </c>
      <c r="K62">
        <f>IF($A62="","",IFERROR(VLOOKUP(B62,CHOOSE(MATCH($C62,Settings!$L$4:$L$10,0),OPR_BR1!$A$4:$I$18,OPR_BR2!$A$4:$I$18,OPR_CR2!$A$4:$I$18,OPR_CR3!$A$4:$I$18,OPR_CR4!$A$4:$I$18,OPR_RIM!$A$4:$I$18,OPR_BPR!$A$4:$I$18),8,0),0))</f>
        <v/>
      </c>
      <c r="L62">
        <f>IF($A62="","",K62*D62)</f>
        <v/>
      </c>
      <c r="M62" s="16">
        <f>IF($A62="","",IF(AND(ISNUMBER(G62),G62&gt;=J62,G62&lt;=(J62+(L62/(IF(F62="Contract Workman",Settings!$K$5,Settings!$K$4))))),J62+(L62/(IF(F62="Contract Workman",Settings!$K$5,Settings!$K$4)))+(H62/(IF(F62="Contract Workman",Settings!$K$5,Settings!$K$4))),J62+(L62/(IF(F62="Contract Workman",Settings!$K$5,Settings!$K$4)))))</f>
        <v/>
      </c>
      <c r="N62">
        <f>IF($A62="","",IF(F62="Contract Workman",IF(AND(MOD(M62,1)&gt;=8/24,MOD(M62,1)&lt;20/24),"Shift S1","Shift S2"),IF(AND(MOD(M62,1)&gt;=7/24,MOD(M62,1)&lt;15/24),"Shift A",IF(AND(MOD(M62,1)&gt;=15/24,MOD(M62,1)&lt;23/24),"Shift B","Shift C"))))</f>
        <v/>
      </c>
      <c r="O62">
        <f>IF(B62="","",IF(IFERROR(ISNUMBER(SEARCH(TEXT(B62,"0"),VLOOKUP(E62,Machine_List!$B:$J,9,0))),FALSE),"✅ "&amp; E62,"❌ Sug: "&amp;IFERROR(INDEX(Machine_List!$B$72:$B$81,MATCH(1,(Machine_List!$H$72:$H$81&lt;=IFERROR(VLOOKUP($B62,OPR_BR1!$A$4:$K$18,10,0),0))*(Machine_List!$I$72:$I$81&gt;=IFERROR(VLOOKUP($B62,OPR_BR1!$A$4:$K$18,11,0),9999)),0)),"?")))</f>
        <v/>
      </c>
      <c r="P62">
        <f>IF(AND($A62&lt;&gt;"",P$3&gt;=$J62,P$3&lt;=$M62),1,"")</f>
        <v/>
      </c>
      <c r="Q62">
        <f>IF(AND($A62&lt;&gt;"",Q$3&gt;=$J62,Q$3&lt;=$M62),1,"")</f>
        <v/>
      </c>
      <c r="R62">
        <f>IF(AND($A62&lt;&gt;"",R$3&gt;=$J62,R$3&lt;=$M62),1,"")</f>
        <v/>
      </c>
      <c r="S62">
        <f>IF(AND($A62&lt;&gt;"",S$3&gt;=$J62,S$3&lt;=$M62),1,"")</f>
        <v/>
      </c>
      <c r="T62">
        <f>IF(AND($A62&lt;&gt;"",T$3&gt;=$J62,T$3&lt;=$M62),1,"")</f>
        <v/>
      </c>
      <c r="U62">
        <f>IF(AND($A62&lt;&gt;"",U$3&gt;=$J62,U$3&lt;=$M62),1,"")</f>
        <v/>
      </c>
      <c r="V62">
        <f>IF(AND($A62&lt;&gt;"",V$3&gt;=$J62,V$3&lt;=$M62),1,"")</f>
        <v/>
      </c>
      <c r="W62">
        <f>IF(AND($A62&lt;&gt;"",W$3&gt;=$J62,W$3&lt;=$M62),1,"")</f>
        <v/>
      </c>
      <c r="X62">
        <f>IF(AND($A62&lt;&gt;"",X$3&gt;=$J62,X$3&lt;=$M62),1,"")</f>
        <v/>
      </c>
      <c r="Y62">
        <f>IF(AND($A62&lt;&gt;"",Y$3&gt;=$J62,Y$3&lt;=$M62),1,"")</f>
        <v/>
      </c>
      <c r="Z62">
        <f>IF(AND($A62&lt;&gt;"",Z$3&gt;=$J62,Z$3&lt;=$M62),1,"")</f>
        <v/>
      </c>
      <c r="AA62">
        <f>IF(AND($A62&lt;&gt;"",AA$3&gt;=$J62,AA$3&lt;=$M62),1,"")</f>
        <v/>
      </c>
      <c r="AB62">
        <f>IF(AND($A62&lt;&gt;"",AB$3&gt;=$J62,AB$3&lt;=$M62),1,"")</f>
        <v/>
      </c>
      <c r="AC62">
        <f>IF(AND($A62&lt;&gt;"",AC$3&gt;=$J62,AC$3&lt;=$M62),1,"")</f>
        <v/>
      </c>
      <c r="AD62">
        <f>IF(AND($A62&lt;&gt;"",AD$3&gt;=$J62,AD$3&lt;=$M62),1,"")</f>
        <v/>
      </c>
      <c r="AE62">
        <f>IF(AND($A62&lt;&gt;"",AE$3&gt;=$J62,AE$3&lt;=$M62),1,"")</f>
        <v/>
      </c>
      <c r="AF62">
        <f>IF(AND($A62&lt;&gt;"",AF$3&gt;=$J62,AF$3&lt;=$M62),1,"")</f>
        <v/>
      </c>
      <c r="AG62">
        <f>IF(AND($A62&lt;&gt;"",AG$3&gt;=$J62,AG$3&lt;=$M62),1,"")</f>
        <v/>
      </c>
      <c r="AH62">
        <f>IF(AND($A62&lt;&gt;"",AH$3&gt;=$J62,AH$3&lt;=$M62),1,"")</f>
        <v/>
      </c>
      <c r="AI62">
        <f>IF(AND($A62&lt;&gt;"",AI$3&gt;=$J62,AI$3&lt;=$M62),1,"")</f>
        <v/>
      </c>
      <c r="AJ62">
        <f>IF(AND($A62&lt;&gt;"",AJ$3&gt;=$J62,AJ$3&lt;=$M62),1,"")</f>
        <v/>
      </c>
      <c r="AK62">
        <f>IF(AND($A62&lt;&gt;"",AK$3&gt;=$J62,AK$3&lt;=$M62),1,"")</f>
        <v/>
      </c>
      <c r="AL62">
        <f>IF(AND($A62&lt;&gt;"",AL$3&gt;=$J62,AL$3&lt;=$M62),1,"")</f>
        <v/>
      </c>
      <c r="AM62">
        <f>IF(AND($A62&lt;&gt;"",AM$3&gt;=$J62,AM$3&lt;=$M62),1,"")</f>
        <v/>
      </c>
      <c r="AN62">
        <f>IF(AND($A62&lt;&gt;"",AN$3&gt;=$J62,AN$3&lt;=$M62),1,"")</f>
        <v/>
      </c>
      <c r="AO62">
        <f>IF(AND($A62&lt;&gt;"",AO$3&gt;=$J62,AO$3&lt;=$M62),1,"")</f>
        <v/>
      </c>
      <c r="AP62">
        <f>IF(AND($A62&lt;&gt;"",AP$3&gt;=$J62,AP$3&lt;=$M62),1,"")</f>
        <v/>
      </c>
      <c r="AQ62">
        <f>IF(AND($A62&lt;&gt;"",AQ$3&gt;=$J62,AQ$3&lt;=$M62),1,"")</f>
        <v/>
      </c>
      <c r="AR62">
        <f>IF(AND($A62&lt;&gt;"",AR$3&gt;=$J62,AR$3&lt;=$M62),1,"")</f>
        <v/>
      </c>
      <c r="AS62">
        <f>IF(AND($A62&lt;&gt;"",AS$3&gt;=$J62,AS$3&lt;=$M62),1,"")</f>
        <v/>
      </c>
      <c r="AT62">
        <f>IF(AND($A62&lt;&gt;"",AT$3&gt;=$J62,AT$3&lt;=$M62),1,"")</f>
        <v/>
      </c>
      <c r="AU62">
        <f>IF(AND($A62&lt;&gt;"",AU$3&gt;=$J62,AU$3&lt;=$M62),1,"")</f>
        <v/>
      </c>
      <c r="AV62">
        <f>IF(AND($A62&lt;&gt;"",AV$3&gt;=$J62,AV$3&lt;=$M62),1,"")</f>
        <v/>
      </c>
      <c r="AW62">
        <f>IF(AND($A62&lt;&gt;"",AW$3&gt;=$J62,AW$3&lt;=$M62),1,"")</f>
        <v/>
      </c>
      <c r="AX62">
        <f>IF(AND($A62&lt;&gt;"",AX$3&gt;=$J62,AX$3&lt;=$M62),1,"")</f>
        <v/>
      </c>
      <c r="AY62">
        <f>IF(AND($A62&lt;&gt;"",AY$3&gt;=$J62,AY$3&lt;=$M62),1,"")</f>
        <v/>
      </c>
      <c r="AZ62">
        <f>IF(AND($A62&lt;&gt;"",AZ$3&gt;=$J62,AZ$3&lt;=$M62),1,"")</f>
        <v/>
      </c>
      <c r="BA62">
        <f>IF(AND($A62&lt;&gt;"",BA$3&gt;=$J62,BA$3&lt;=$M62),1,"")</f>
        <v/>
      </c>
      <c r="BB62">
        <f>IF(AND($A62&lt;&gt;"",BB$3&gt;=$J62,BB$3&lt;=$M62),1,"")</f>
        <v/>
      </c>
      <c r="BC62">
        <f>IF(AND($A62&lt;&gt;"",BC$3&gt;=$J62,BC$3&lt;=$M62),1,"")</f>
        <v/>
      </c>
      <c r="BD62">
        <f>IF(AND($A62&lt;&gt;"",BD$3&gt;=$J62,BD$3&lt;=$M62),1,"")</f>
        <v/>
      </c>
      <c r="BE62">
        <f>IF(AND($A62&lt;&gt;"",BE$3&gt;=$J62,BE$3&lt;=$M62),1,"")</f>
        <v/>
      </c>
      <c r="BF62">
        <f>IF(AND($A62&lt;&gt;"",BF$3&gt;=$J62,BF$3&lt;=$M62),1,"")</f>
        <v/>
      </c>
      <c r="BG62">
        <f>IF(AND($A62&lt;&gt;"",BG$3&gt;=$J62,BG$3&lt;=$M62),1,"")</f>
        <v/>
      </c>
      <c r="BH62">
        <f>IF(AND($A62&lt;&gt;"",BH$3&gt;=$J62,BH$3&lt;=$M62),1,"")</f>
        <v/>
      </c>
      <c r="BI62">
        <f>IF(AND($A62&lt;&gt;"",BI$3&gt;=$J62,BI$3&lt;=$M62),1,"")</f>
        <v/>
      </c>
      <c r="BJ62">
        <f>IF(AND($A62&lt;&gt;"",BJ$3&gt;=$J62,BJ$3&lt;=$M62),1,"")</f>
        <v/>
      </c>
      <c r="BK62">
        <f>IF(AND($A62&lt;&gt;"",BK$3&gt;=$J62,BK$3&lt;=$M62),1,"")</f>
        <v/>
      </c>
      <c r="BL62">
        <f>IF(AND($A62&lt;&gt;"",BL$3&gt;=$J62,BL$3&lt;=$M62),1,"")</f>
        <v/>
      </c>
      <c r="BM62">
        <f>IF(AND($A62&lt;&gt;"",BM$3&gt;=$J62,BM$3&lt;=$M62),1,"")</f>
        <v/>
      </c>
      <c r="BN62">
        <f>IF(AND($A62&lt;&gt;"",BN$3&gt;=$J62,BN$3&lt;=$M62),1,"")</f>
        <v/>
      </c>
      <c r="BO62">
        <f>IF(AND($A62&lt;&gt;"",BO$3&gt;=$J62,BO$3&lt;=$M62),1,"")</f>
        <v/>
      </c>
      <c r="BP62">
        <f>IF(AND($A62&lt;&gt;"",BP$3&gt;=$J62,BP$3&lt;=$M62),1,"")</f>
        <v/>
      </c>
      <c r="BQ62">
        <f>IF(AND($A62&lt;&gt;"",BQ$3&gt;=$J62,BQ$3&lt;=$M62),1,"")</f>
        <v/>
      </c>
      <c r="BR62">
        <f>IF(AND($A62&lt;&gt;"",BR$3&gt;=$J62,BR$3&lt;=$M62),1,"")</f>
        <v/>
      </c>
      <c r="BS62">
        <f>IF(AND($A62&lt;&gt;"",BS$3&gt;=$J62,BS$3&lt;=$M62),1,"")</f>
        <v/>
      </c>
      <c r="BT62">
        <f>IF(AND($A62&lt;&gt;"",BT$3&gt;=$J62,BT$3&lt;=$M62),1,"")</f>
        <v/>
      </c>
      <c r="BU62">
        <f>IF(AND($A62&lt;&gt;"",BU$3&gt;=$J62,BU$3&lt;=$M62),1,"")</f>
        <v/>
      </c>
      <c r="BV62">
        <f>IF(AND($A62&lt;&gt;"",BV$3&gt;=$J62,BV$3&lt;=$M62),1,"")</f>
        <v/>
      </c>
    </row>
    <row r="63">
      <c r="A63">
        <f>IF(Job_Master_Ring!$A63="","",Job_Master_Ring!$A63)</f>
        <v/>
      </c>
      <c r="B63">
        <f>IF($A63="","",Job_Master_Ring!B63)</f>
        <v/>
      </c>
      <c r="C63">
        <f>IF($A63="","",Job_Master_Ring!C63)</f>
        <v/>
      </c>
      <c r="D63">
        <f>IF($A63="","",Job_Master_Ring!D63)</f>
        <v/>
      </c>
      <c r="E63">
        <f>IF($A63="","",IF($I63&lt;&gt;"",$I63,IFERROR(INDEX(Machine_List!$B$72:$B$81,MATCH(1,(Machine_List!$H$72:$H$81&lt;=IFERROR(VLOOKUP($B63,CHOOSE(MATCH($C63,Settings!$L$4:$L$10,0),OPR_BR1!$A$4:$K$18,OPR_BR2!$A$4:$K$18,OPR_CR2!$A$4:$K$18,OPR_CR3!$A$4:$K$18,OPR_CR4!$A$4:$K$18,OPR_RIM!$A$4:$K$18,OPR_BPR!$A$4:$K$18),10,0),0))*(Machine_List!$I$72:$I$81&gt;=IFERROR(VLOOKUP($B63,CHOOSE(MATCH($C63,Settings!$L$4:$L$10,0),OPR_BR1!$A$4:$K$18,OPR_BR2!$A$4:$K$18,OPR_CR2!$A$4:$K$18,OPR_CR3!$A$4:$K$18,OPR_CR4!$A$4:$K$18,OPR_RIM!$A$4:$K$18,OPR_BPR!$A$4:$K$18),11,0),9999)),0)),"NO COMPATIBLE MACHINE")))</f>
        <v/>
      </c>
      <c r="F63">
        <f>IF($E63="","",IFERROR(VLOOKUP($E63,Machine_List!$B:$G,6,0),""))</f>
        <v/>
      </c>
      <c r="G63" s="17">
        <f>IF($E63="","",IFERROR(VLOOKUP($E63,Machine_List!$B:$C,2,0),""))</f>
        <v/>
      </c>
      <c r="H63">
        <f>IF($E63="","",IFERROR(VLOOKUP($E63,Machine_List!$B:$D,3,0),""))</f>
        <v/>
      </c>
      <c r="J63" s="16">
        <f>IF($A63="","",IF($I63&lt;&gt;"",$I63,MAX(VENT_Plan!$M63,IFERROR(LOOKUP(2,1/($E$3:INDIRECT("E"&amp;(ROW()-1))=$E63),$M$3:INDIRECT("M"&amp;(ROW()-1))),VENT_Plan!$M63))))</f>
        <v/>
      </c>
      <c r="K63">
        <f>IF($A63="","",IFERROR(VLOOKUP(B63,CHOOSE(MATCH($C63,Settings!$L$4:$L$10,0),OPR_BR1!$A$4:$I$18,OPR_BR2!$A$4:$I$18,OPR_CR2!$A$4:$I$18,OPR_CR3!$A$4:$I$18,OPR_CR4!$A$4:$I$18,OPR_RIM!$A$4:$I$18,OPR_BPR!$A$4:$I$18),8,0),0))</f>
        <v/>
      </c>
      <c r="L63">
        <f>IF($A63="","",K63*D63)</f>
        <v/>
      </c>
      <c r="M63" s="16">
        <f>IF($A63="","",IF(AND(ISNUMBER(G63),G63&gt;=J63,G63&lt;=(J63+(L63/(IF(F63="Contract Workman",Settings!$K$5,Settings!$K$4))))),J63+(L63/(IF(F63="Contract Workman",Settings!$K$5,Settings!$K$4)))+(H63/(IF(F63="Contract Workman",Settings!$K$5,Settings!$K$4))),J63+(L63/(IF(F63="Contract Workman",Settings!$K$5,Settings!$K$4)))))</f>
        <v/>
      </c>
      <c r="N63">
        <f>IF($A63="","",IF(F63="Contract Workman",IF(AND(MOD(M63,1)&gt;=8/24,MOD(M63,1)&lt;20/24),"Shift S1","Shift S2"),IF(AND(MOD(M63,1)&gt;=7/24,MOD(M63,1)&lt;15/24),"Shift A",IF(AND(MOD(M63,1)&gt;=15/24,MOD(M63,1)&lt;23/24),"Shift B","Shift C"))))</f>
        <v/>
      </c>
      <c r="O63">
        <f>IF(B63="","",IF(IFERROR(ISNUMBER(SEARCH(TEXT(B63,"0"),VLOOKUP(E63,Machine_List!$B:$J,9,0))),FALSE),"✅ "&amp; E63,"❌ Sug: "&amp;IFERROR(INDEX(Machine_List!$B$72:$B$81,MATCH(1,(Machine_List!$H$72:$H$81&lt;=IFERROR(VLOOKUP($B63,OPR_BR1!$A$4:$K$18,10,0),0))*(Machine_List!$I$72:$I$81&gt;=IFERROR(VLOOKUP($B63,OPR_BR1!$A$4:$K$18,11,0),9999)),0)),"?")))</f>
        <v/>
      </c>
      <c r="P63">
        <f>IF(AND($A63&lt;&gt;"",P$3&gt;=$J63,P$3&lt;=$M63),1,"")</f>
        <v/>
      </c>
      <c r="Q63">
        <f>IF(AND($A63&lt;&gt;"",Q$3&gt;=$J63,Q$3&lt;=$M63),1,"")</f>
        <v/>
      </c>
      <c r="R63">
        <f>IF(AND($A63&lt;&gt;"",R$3&gt;=$J63,R$3&lt;=$M63),1,"")</f>
        <v/>
      </c>
      <c r="S63">
        <f>IF(AND($A63&lt;&gt;"",S$3&gt;=$J63,S$3&lt;=$M63),1,"")</f>
        <v/>
      </c>
      <c r="T63">
        <f>IF(AND($A63&lt;&gt;"",T$3&gt;=$J63,T$3&lt;=$M63),1,"")</f>
        <v/>
      </c>
      <c r="U63">
        <f>IF(AND($A63&lt;&gt;"",U$3&gt;=$J63,U$3&lt;=$M63),1,"")</f>
        <v/>
      </c>
      <c r="V63">
        <f>IF(AND($A63&lt;&gt;"",V$3&gt;=$J63,V$3&lt;=$M63),1,"")</f>
        <v/>
      </c>
      <c r="W63">
        <f>IF(AND($A63&lt;&gt;"",W$3&gt;=$J63,W$3&lt;=$M63),1,"")</f>
        <v/>
      </c>
      <c r="X63">
        <f>IF(AND($A63&lt;&gt;"",X$3&gt;=$J63,X$3&lt;=$M63),1,"")</f>
        <v/>
      </c>
      <c r="Y63">
        <f>IF(AND($A63&lt;&gt;"",Y$3&gt;=$J63,Y$3&lt;=$M63),1,"")</f>
        <v/>
      </c>
      <c r="Z63">
        <f>IF(AND($A63&lt;&gt;"",Z$3&gt;=$J63,Z$3&lt;=$M63),1,"")</f>
        <v/>
      </c>
      <c r="AA63">
        <f>IF(AND($A63&lt;&gt;"",AA$3&gt;=$J63,AA$3&lt;=$M63),1,"")</f>
        <v/>
      </c>
      <c r="AB63">
        <f>IF(AND($A63&lt;&gt;"",AB$3&gt;=$J63,AB$3&lt;=$M63),1,"")</f>
        <v/>
      </c>
      <c r="AC63">
        <f>IF(AND($A63&lt;&gt;"",AC$3&gt;=$J63,AC$3&lt;=$M63),1,"")</f>
        <v/>
      </c>
      <c r="AD63">
        <f>IF(AND($A63&lt;&gt;"",AD$3&gt;=$J63,AD$3&lt;=$M63),1,"")</f>
        <v/>
      </c>
      <c r="AE63">
        <f>IF(AND($A63&lt;&gt;"",AE$3&gt;=$J63,AE$3&lt;=$M63),1,"")</f>
        <v/>
      </c>
      <c r="AF63">
        <f>IF(AND($A63&lt;&gt;"",AF$3&gt;=$J63,AF$3&lt;=$M63),1,"")</f>
        <v/>
      </c>
      <c r="AG63">
        <f>IF(AND($A63&lt;&gt;"",AG$3&gt;=$J63,AG$3&lt;=$M63),1,"")</f>
        <v/>
      </c>
      <c r="AH63">
        <f>IF(AND($A63&lt;&gt;"",AH$3&gt;=$J63,AH$3&lt;=$M63),1,"")</f>
        <v/>
      </c>
      <c r="AI63">
        <f>IF(AND($A63&lt;&gt;"",AI$3&gt;=$J63,AI$3&lt;=$M63),1,"")</f>
        <v/>
      </c>
      <c r="AJ63">
        <f>IF(AND($A63&lt;&gt;"",AJ$3&gt;=$J63,AJ$3&lt;=$M63),1,"")</f>
        <v/>
      </c>
      <c r="AK63">
        <f>IF(AND($A63&lt;&gt;"",AK$3&gt;=$J63,AK$3&lt;=$M63),1,"")</f>
        <v/>
      </c>
      <c r="AL63">
        <f>IF(AND($A63&lt;&gt;"",AL$3&gt;=$J63,AL$3&lt;=$M63),1,"")</f>
        <v/>
      </c>
      <c r="AM63">
        <f>IF(AND($A63&lt;&gt;"",AM$3&gt;=$J63,AM$3&lt;=$M63),1,"")</f>
        <v/>
      </c>
      <c r="AN63">
        <f>IF(AND($A63&lt;&gt;"",AN$3&gt;=$J63,AN$3&lt;=$M63),1,"")</f>
        <v/>
      </c>
      <c r="AO63">
        <f>IF(AND($A63&lt;&gt;"",AO$3&gt;=$J63,AO$3&lt;=$M63),1,"")</f>
        <v/>
      </c>
      <c r="AP63">
        <f>IF(AND($A63&lt;&gt;"",AP$3&gt;=$J63,AP$3&lt;=$M63),1,"")</f>
        <v/>
      </c>
      <c r="AQ63">
        <f>IF(AND($A63&lt;&gt;"",AQ$3&gt;=$J63,AQ$3&lt;=$M63),1,"")</f>
        <v/>
      </c>
      <c r="AR63">
        <f>IF(AND($A63&lt;&gt;"",AR$3&gt;=$J63,AR$3&lt;=$M63),1,"")</f>
        <v/>
      </c>
      <c r="AS63">
        <f>IF(AND($A63&lt;&gt;"",AS$3&gt;=$J63,AS$3&lt;=$M63),1,"")</f>
        <v/>
      </c>
      <c r="AT63">
        <f>IF(AND($A63&lt;&gt;"",AT$3&gt;=$J63,AT$3&lt;=$M63),1,"")</f>
        <v/>
      </c>
      <c r="AU63">
        <f>IF(AND($A63&lt;&gt;"",AU$3&gt;=$J63,AU$3&lt;=$M63),1,"")</f>
        <v/>
      </c>
      <c r="AV63">
        <f>IF(AND($A63&lt;&gt;"",AV$3&gt;=$J63,AV$3&lt;=$M63),1,"")</f>
        <v/>
      </c>
      <c r="AW63">
        <f>IF(AND($A63&lt;&gt;"",AW$3&gt;=$J63,AW$3&lt;=$M63),1,"")</f>
        <v/>
      </c>
      <c r="AX63">
        <f>IF(AND($A63&lt;&gt;"",AX$3&gt;=$J63,AX$3&lt;=$M63),1,"")</f>
        <v/>
      </c>
      <c r="AY63">
        <f>IF(AND($A63&lt;&gt;"",AY$3&gt;=$J63,AY$3&lt;=$M63),1,"")</f>
        <v/>
      </c>
      <c r="AZ63">
        <f>IF(AND($A63&lt;&gt;"",AZ$3&gt;=$J63,AZ$3&lt;=$M63),1,"")</f>
        <v/>
      </c>
      <c r="BA63">
        <f>IF(AND($A63&lt;&gt;"",BA$3&gt;=$J63,BA$3&lt;=$M63),1,"")</f>
        <v/>
      </c>
      <c r="BB63">
        <f>IF(AND($A63&lt;&gt;"",BB$3&gt;=$J63,BB$3&lt;=$M63),1,"")</f>
        <v/>
      </c>
      <c r="BC63">
        <f>IF(AND($A63&lt;&gt;"",BC$3&gt;=$J63,BC$3&lt;=$M63),1,"")</f>
        <v/>
      </c>
      <c r="BD63">
        <f>IF(AND($A63&lt;&gt;"",BD$3&gt;=$J63,BD$3&lt;=$M63),1,"")</f>
        <v/>
      </c>
      <c r="BE63">
        <f>IF(AND($A63&lt;&gt;"",BE$3&gt;=$J63,BE$3&lt;=$M63),1,"")</f>
        <v/>
      </c>
      <c r="BF63">
        <f>IF(AND($A63&lt;&gt;"",BF$3&gt;=$J63,BF$3&lt;=$M63),1,"")</f>
        <v/>
      </c>
      <c r="BG63">
        <f>IF(AND($A63&lt;&gt;"",BG$3&gt;=$J63,BG$3&lt;=$M63),1,"")</f>
        <v/>
      </c>
      <c r="BH63">
        <f>IF(AND($A63&lt;&gt;"",BH$3&gt;=$J63,BH$3&lt;=$M63),1,"")</f>
        <v/>
      </c>
      <c r="BI63">
        <f>IF(AND($A63&lt;&gt;"",BI$3&gt;=$J63,BI$3&lt;=$M63),1,"")</f>
        <v/>
      </c>
      <c r="BJ63">
        <f>IF(AND($A63&lt;&gt;"",BJ$3&gt;=$J63,BJ$3&lt;=$M63),1,"")</f>
        <v/>
      </c>
      <c r="BK63">
        <f>IF(AND($A63&lt;&gt;"",BK$3&gt;=$J63,BK$3&lt;=$M63),1,"")</f>
        <v/>
      </c>
      <c r="BL63">
        <f>IF(AND($A63&lt;&gt;"",BL$3&gt;=$J63,BL$3&lt;=$M63),1,"")</f>
        <v/>
      </c>
      <c r="BM63">
        <f>IF(AND($A63&lt;&gt;"",BM$3&gt;=$J63,BM$3&lt;=$M63),1,"")</f>
        <v/>
      </c>
      <c r="BN63">
        <f>IF(AND($A63&lt;&gt;"",BN$3&gt;=$J63,BN$3&lt;=$M63),1,"")</f>
        <v/>
      </c>
      <c r="BO63">
        <f>IF(AND($A63&lt;&gt;"",BO$3&gt;=$J63,BO$3&lt;=$M63),1,"")</f>
        <v/>
      </c>
      <c r="BP63">
        <f>IF(AND($A63&lt;&gt;"",BP$3&gt;=$J63,BP$3&lt;=$M63),1,"")</f>
        <v/>
      </c>
      <c r="BQ63">
        <f>IF(AND($A63&lt;&gt;"",BQ$3&gt;=$J63,BQ$3&lt;=$M63),1,"")</f>
        <v/>
      </c>
      <c r="BR63">
        <f>IF(AND($A63&lt;&gt;"",BR$3&gt;=$J63,BR$3&lt;=$M63),1,"")</f>
        <v/>
      </c>
      <c r="BS63">
        <f>IF(AND($A63&lt;&gt;"",BS$3&gt;=$J63,BS$3&lt;=$M63),1,"")</f>
        <v/>
      </c>
      <c r="BT63">
        <f>IF(AND($A63&lt;&gt;"",BT$3&gt;=$J63,BT$3&lt;=$M63),1,"")</f>
        <v/>
      </c>
      <c r="BU63">
        <f>IF(AND($A63&lt;&gt;"",BU$3&gt;=$J63,BU$3&lt;=$M63),1,"")</f>
        <v/>
      </c>
      <c r="BV63">
        <f>IF(AND($A63&lt;&gt;"",BV$3&gt;=$J63,BV$3&lt;=$M63),1,"")</f>
        <v/>
      </c>
    </row>
    <row r="64">
      <c r="A64">
        <f>IF(Job_Master_Ring!$A64="","",Job_Master_Ring!$A64)</f>
        <v/>
      </c>
      <c r="B64">
        <f>IF($A64="","",Job_Master_Ring!B64)</f>
        <v/>
      </c>
      <c r="C64">
        <f>IF($A64="","",Job_Master_Ring!C64)</f>
        <v/>
      </c>
      <c r="D64">
        <f>IF($A64="","",Job_Master_Ring!D64)</f>
        <v/>
      </c>
      <c r="E64">
        <f>IF($A64="","",IF($I64&lt;&gt;"",$I64,IFERROR(INDEX(Machine_List!$B$72:$B$81,MATCH(1,(Machine_List!$H$72:$H$81&lt;=IFERROR(VLOOKUP($B64,CHOOSE(MATCH($C64,Settings!$L$4:$L$10,0),OPR_BR1!$A$4:$K$18,OPR_BR2!$A$4:$K$18,OPR_CR2!$A$4:$K$18,OPR_CR3!$A$4:$K$18,OPR_CR4!$A$4:$K$18,OPR_RIM!$A$4:$K$18,OPR_BPR!$A$4:$K$18),10,0),0))*(Machine_List!$I$72:$I$81&gt;=IFERROR(VLOOKUP($B64,CHOOSE(MATCH($C64,Settings!$L$4:$L$10,0),OPR_BR1!$A$4:$K$18,OPR_BR2!$A$4:$K$18,OPR_CR2!$A$4:$K$18,OPR_CR3!$A$4:$K$18,OPR_CR4!$A$4:$K$18,OPR_RIM!$A$4:$K$18,OPR_BPR!$A$4:$K$18),11,0),9999)),0)),"NO COMPATIBLE MACHINE")))</f>
        <v/>
      </c>
      <c r="F64">
        <f>IF($E64="","",IFERROR(VLOOKUP($E64,Machine_List!$B:$G,6,0),""))</f>
        <v/>
      </c>
      <c r="G64" s="17">
        <f>IF($E64="","",IFERROR(VLOOKUP($E64,Machine_List!$B:$C,2,0),""))</f>
        <v/>
      </c>
      <c r="H64">
        <f>IF($E64="","",IFERROR(VLOOKUP($E64,Machine_List!$B:$D,3,0),""))</f>
        <v/>
      </c>
      <c r="J64" s="16">
        <f>IF($A64="","",IF($I64&lt;&gt;"",$I64,MAX(VENT_Plan!$M64,IFERROR(LOOKUP(2,1/($E$3:INDIRECT("E"&amp;(ROW()-1))=$E64),$M$3:INDIRECT("M"&amp;(ROW()-1))),VENT_Plan!$M64))))</f>
        <v/>
      </c>
      <c r="K64">
        <f>IF($A64="","",IFERROR(VLOOKUP(B64,CHOOSE(MATCH($C64,Settings!$L$4:$L$10,0),OPR_BR1!$A$4:$I$18,OPR_BR2!$A$4:$I$18,OPR_CR2!$A$4:$I$18,OPR_CR3!$A$4:$I$18,OPR_CR4!$A$4:$I$18,OPR_RIM!$A$4:$I$18,OPR_BPR!$A$4:$I$18),8,0),0))</f>
        <v/>
      </c>
      <c r="L64">
        <f>IF($A64="","",K64*D64)</f>
        <v/>
      </c>
      <c r="M64" s="16">
        <f>IF($A64="","",IF(AND(ISNUMBER(G64),G64&gt;=J64,G64&lt;=(J64+(L64/(IF(F64="Contract Workman",Settings!$K$5,Settings!$K$4))))),J64+(L64/(IF(F64="Contract Workman",Settings!$K$5,Settings!$K$4)))+(H64/(IF(F64="Contract Workman",Settings!$K$5,Settings!$K$4))),J64+(L64/(IF(F64="Contract Workman",Settings!$K$5,Settings!$K$4)))))</f>
        <v/>
      </c>
      <c r="N64">
        <f>IF($A64="","",IF(F64="Contract Workman",IF(AND(MOD(M64,1)&gt;=8/24,MOD(M64,1)&lt;20/24),"Shift S1","Shift S2"),IF(AND(MOD(M64,1)&gt;=7/24,MOD(M64,1)&lt;15/24),"Shift A",IF(AND(MOD(M64,1)&gt;=15/24,MOD(M64,1)&lt;23/24),"Shift B","Shift C"))))</f>
        <v/>
      </c>
      <c r="O64">
        <f>IF(B64="","",IF(IFERROR(ISNUMBER(SEARCH(TEXT(B64,"0"),VLOOKUP(E64,Machine_List!$B:$J,9,0))),FALSE),"✅ "&amp; E64,"❌ Sug: "&amp;IFERROR(INDEX(Machine_List!$B$72:$B$81,MATCH(1,(Machine_List!$H$72:$H$81&lt;=IFERROR(VLOOKUP($B64,OPR_BR1!$A$4:$K$18,10,0),0))*(Machine_List!$I$72:$I$81&gt;=IFERROR(VLOOKUP($B64,OPR_BR1!$A$4:$K$18,11,0),9999)),0)),"?")))</f>
        <v/>
      </c>
      <c r="P64">
        <f>IF(AND($A64&lt;&gt;"",P$3&gt;=$J64,P$3&lt;=$M64),1,"")</f>
        <v/>
      </c>
      <c r="Q64">
        <f>IF(AND($A64&lt;&gt;"",Q$3&gt;=$J64,Q$3&lt;=$M64),1,"")</f>
        <v/>
      </c>
      <c r="R64">
        <f>IF(AND($A64&lt;&gt;"",R$3&gt;=$J64,R$3&lt;=$M64),1,"")</f>
        <v/>
      </c>
      <c r="S64">
        <f>IF(AND($A64&lt;&gt;"",S$3&gt;=$J64,S$3&lt;=$M64),1,"")</f>
        <v/>
      </c>
      <c r="T64">
        <f>IF(AND($A64&lt;&gt;"",T$3&gt;=$J64,T$3&lt;=$M64),1,"")</f>
        <v/>
      </c>
      <c r="U64">
        <f>IF(AND($A64&lt;&gt;"",U$3&gt;=$J64,U$3&lt;=$M64),1,"")</f>
        <v/>
      </c>
      <c r="V64">
        <f>IF(AND($A64&lt;&gt;"",V$3&gt;=$J64,V$3&lt;=$M64),1,"")</f>
        <v/>
      </c>
      <c r="W64">
        <f>IF(AND($A64&lt;&gt;"",W$3&gt;=$J64,W$3&lt;=$M64),1,"")</f>
        <v/>
      </c>
      <c r="X64">
        <f>IF(AND($A64&lt;&gt;"",X$3&gt;=$J64,X$3&lt;=$M64),1,"")</f>
        <v/>
      </c>
      <c r="Y64">
        <f>IF(AND($A64&lt;&gt;"",Y$3&gt;=$J64,Y$3&lt;=$M64),1,"")</f>
        <v/>
      </c>
      <c r="Z64">
        <f>IF(AND($A64&lt;&gt;"",Z$3&gt;=$J64,Z$3&lt;=$M64),1,"")</f>
        <v/>
      </c>
      <c r="AA64">
        <f>IF(AND($A64&lt;&gt;"",AA$3&gt;=$J64,AA$3&lt;=$M64),1,"")</f>
        <v/>
      </c>
      <c r="AB64">
        <f>IF(AND($A64&lt;&gt;"",AB$3&gt;=$J64,AB$3&lt;=$M64),1,"")</f>
        <v/>
      </c>
      <c r="AC64">
        <f>IF(AND($A64&lt;&gt;"",AC$3&gt;=$J64,AC$3&lt;=$M64),1,"")</f>
        <v/>
      </c>
      <c r="AD64">
        <f>IF(AND($A64&lt;&gt;"",AD$3&gt;=$J64,AD$3&lt;=$M64),1,"")</f>
        <v/>
      </c>
      <c r="AE64">
        <f>IF(AND($A64&lt;&gt;"",AE$3&gt;=$J64,AE$3&lt;=$M64),1,"")</f>
        <v/>
      </c>
      <c r="AF64">
        <f>IF(AND($A64&lt;&gt;"",AF$3&gt;=$J64,AF$3&lt;=$M64),1,"")</f>
        <v/>
      </c>
      <c r="AG64">
        <f>IF(AND($A64&lt;&gt;"",AG$3&gt;=$J64,AG$3&lt;=$M64),1,"")</f>
        <v/>
      </c>
      <c r="AH64">
        <f>IF(AND($A64&lt;&gt;"",AH$3&gt;=$J64,AH$3&lt;=$M64),1,"")</f>
        <v/>
      </c>
      <c r="AI64">
        <f>IF(AND($A64&lt;&gt;"",AI$3&gt;=$J64,AI$3&lt;=$M64),1,"")</f>
        <v/>
      </c>
      <c r="AJ64">
        <f>IF(AND($A64&lt;&gt;"",AJ$3&gt;=$J64,AJ$3&lt;=$M64),1,"")</f>
        <v/>
      </c>
      <c r="AK64">
        <f>IF(AND($A64&lt;&gt;"",AK$3&gt;=$J64,AK$3&lt;=$M64),1,"")</f>
        <v/>
      </c>
      <c r="AL64">
        <f>IF(AND($A64&lt;&gt;"",AL$3&gt;=$J64,AL$3&lt;=$M64),1,"")</f>
        <v/>
      </c>
      <c r="AM64">
        <f>IF(AND($A64&lt;&gt;"",AM$3&gt;=$J64,AM$3&lt;=$M64),1,"")</f>
        <v/>
      </c>
      <c r="AN64">
        <f>IF(AND($A64&lt;&gt;"",AN$3&gt;=$J64,AN$3&lt;=$M64),1,"")</f>
        <v/>
      </c>
      <c r="AO64">
        <f>IF(AND($A64&lt;&gt;"",AO$3&gt;=$J64,AO$3&lt;=$M64),1,"")</f>
        <v/>
      </c>
      <c r="AP64">
        <f>IF(AND($A64&lt;&gt;"",AP$3&gt;=$J64,AP$3&lt;=$M64),1,"")</f>
        <v/>
      </c>
      <c r="AQ64">
        <f>IF(AND($A64&lt;&gt;"",AQ$3&gt;=$J64,AQ$3&lt;=$M64),1,"")</f>
        <v/>
      </c>
      <c r="AR64">
        <f>IF(AND($A64&lt;&gt;"",AR$3&gt;=$J64,AR$3&lt;=$M64),1,"")</f>
        <v/>
      </c>
      <c r="AS64">
        <f>IF(AND($A64&lt;&gt;"",AS$3&gt;=$J64,AS$3&lt;=$M64),1,"")</f>
        <v/>
      </c>
      <c r="AT64">
        <f>IF(AND($A64&lt;&gt;"",AT$3&gt;=$J64,AT$3&lt;=$M64),1,"")</f>
        <v/>
      </c>
      <c r="AU64">
        <f>IF(AND($A64&lt;&gt;"",AU$3&gt;=$J64,AU$3&lt;=$M64),1,"")</f>
        <v/>
      </c>
      <c r="AV64">
        <f>IF(AND($A64&lt;&gt;"",AV$3&gt;=$J64,AV$3&lt;=$M64),1,"")</f>
        <v/>
      </c>
      <c r="AW64">
        <f>IF(AND($A64&lt;&gt;"",AW$3&gt;=$J64,AW$3&lt;=$M64),1,"")</f>
        <v/>
      </c>
      <c r="AX64">
        <f>IF(AND($A64&lt;&gt;"",AX$3&gt;=$J64,AX$3&lt;=$M64),1,"")</f>
        <v/>
      </c>
      <c r="AY64">
        <f>IF(AND($A64&lt;&gt;"",AY$3&gt;=$J64,AY$3&lt;=$M64),1,"")</f>
        <v/>
      </c>
      <c r="AZ64">
        <f>IF(AND($A64&lt;&gt;"",AZ$3&gt;=$J64,AZ$3&lt;=$M64),1,"")</f>
        <v/>
      </c>
      <c r="BA64">
        <f>IF(AND($A64&lt;&gt;"",BA$3&gt;=$J64,BA$3&lt;=$M64),1,"")</f>
        <v/>
      </c>
      <c r="BB64">
        <f>IF(AND($A64&lt;&gt;"",BB$3&gt;=$J64,BB$3&lt;=$M64),1,"")</f>
        <v/>
      </c>
      <c r="BC64">
        <f>IF(AND($A64&lt;&gt;"",BC$3&gt;=$J64,BC$3&lt;=$M64),1,"")</f>
        <v/>
      </c>
      <c r="BD64">
        <f>IF(AND($A64&lt;&gt;"",BD$3&gt;=$J64,BD$3&lt;=$M64),1,"")</f>
        <v/>
      </c>
      <c r="BE64">
        <f>IF(AND($A64&lt;&gt;"",BE$3&gt;=$J64,BE$3&lt;=$M64),1,"")</f>
        <v/>
      </c>
      <c r="BF64">
        <f>IF(AND($A64&lt;&gt;"",BF$3&gt;=$J64,BF$3&lt;=$M64),1,"")</f>
        <v/>
      </c>
      <c r="BG64">
        <f>IF(AND($A64&lt;&gt;"",BG$3&gt;=$J64,BG$3&lt;=$M64),1,"")</f>
        <v/>
      </c>
      <c r="BH64">
        <f>IF(AND($A64&lt;&gt;"",BH$3&gt;=$J64,BH$3&lt;=$M64),1,"")</f>
        <v/>
      </c>
      <c r="BI64">
        <f>IF(AND($A64&lt;&gt;"",BI$3&gt;=$J64,BI$3&lt;=$M64),1,"")</f>
        <v/>
      </c>
      <c r="BJ64">
        <f>IF(AND($A64&lt;&gt;"",BJ$3&gt;=$J64,BJ$3&lt;=$M64),1,"")</f>
        <v/>
      </c>
      <c r="BK64">
        <f>IF(AND($A64&lt;&gt;"",BK$3&gt;=$J64,BK$3&lt;=$M64),1,"")</f>
        <v/>
      </c>
      <c r="BL64">
        <f>IF(AND($A64&lt;&gt;"",BL$3&gt;=$J64,BL$3&lt;=$M64),1,"")</f>
        <v/>
      </c>
      <c r="BM64">
        <f>IF(AND($A64&lt;&gt;"",BM$3&gt;=$J64,BM$3&lt;=$M64),1,"")</f>
        <v/>
      </c>
      <c r="BN64">
        <f>IF(AND($A64&lt;&gt;"",BN$3&gt;=$J64,BN$3&lt;=$M64),1,"")</f>
        <v/>
      </c>
      <c r="BO64">
        <f>IF(AND($A64&lt;&gt;"",BO$3&gt;=$J64,BO$3&lt;=$M64),1,"")</f>
        <v/>
      </c>
      <c r="BP64">
        <f>IF(AND($A64&lt;&gt;"",BP$3&gt;=$J64,BP$3&lt;=$M64),1,"")</f>
        <v/>
      </c>
      <c r="BQ64">
        <f>IF(AND($A64&lt;&gt;"",BQ$3&gt;=$J64,BQ$3&lt;=$M64),1,"")</f>
        <v/>
      </c>
      <c r="BR64">
        <f>IF(AND($A64&lt;&gt;"",BR$3&gt;=$J64,BR$3&lt;=$M64),1,"")</f>
        <v/>
      </c>
      <c r="BS64">
        <f>IF(AND($A64&lt;&gt;"",BS$3&gt;=$J64,BS$3&lt;=$M64),1,"")</f>
        <v/>
      </c>
      <c r="BT64">
        <f>IF(AND($A64&lt;&gt;"",BT$3&gt;=$J64,BT$3&lt;=$M64),1,"")</f>
        <v/>
      </c>
      <c r="BU64">
        <f>IF(AND($A64&lt;&gt;"",BU$3&gt;=$J64,BU$3&lt;=$M64),1,"")</f>
        <v/>
      </c>
      <c r="BV64">
        <f>IF(AND($A64&lt;&gt;"",BV$3&gt;=$J64,BV$3&lt;=$M64),1,"")</f>
        <v/>
      </c>
    </row>
    <row r="65">
      <c r="A65">
        <f>IF(Job_Master_Ring!$A65="","",Job_Master_Ring!$A65)</f>
        <v/>
      </c>
      <c r="B65">
        <f>IF($A65="","",Job_Master_Ring!B65)</f>
        <v/>
      </c>
      <c r="C65">
        <f>IF($A65="","",Job_Master_Ring!C65)</f>
        <v/>
      </c>
      <c r="D65">
        <f>IF($A65="","",Job_Master_Ring!D65)</f>
        <v/>
      </c>
      <c r="E65">
        <f>IF($A65="","",IF($I65&lt;&gt;"",$I65,IFERROR(INDEX(Machine_List!$B$72:$B$81,MATCH(1,(Machine_List!$H$72:$H$81&lt;=IFERROR(VLOOKUP($B65,CHOOSE(MATCH($C65,Settings!$L$4:$L$10,0),OPR_BR1!$A$4:$K$18,OPR_BR2!$A$4:$K$18,OPR_CR2!$A$4:$K$18,OPR_CR3!$A$4:$K$18,OPR_CR4!$A$4:$K$18,OPR_RIM!$A$4:$K$18,OPR_BPR!$A$4:$K$18),10,0),0))*(Machine_List!$I$72:$I$81&gt;=IFERROR(VLOOKUP($B65,CHOOSE(MATCH($C65,Settings!$L$4:$L$10,0),OPR_BR1!$A$4:$K$18,OPR_BR2!$A$4:$K$18,OPR_CR2!$A$4:$K$18,OPR_CR3!$A$4:$K$18,OPR_CR4!$A$4:$K$18,OPR_RIM!$A$4:$K$18,OPR_BPR!$A$4:$K$18),11,0),9999)),0)),"NO COMPATIBLE MACHINE")))</f>
        <v/>
      </c>
      <c r="F65">
        <f>IF($E65="","",IFERROR(VLOOKUP($E65,Machine_List!$B:$G,6,0),""))</f>
        <v/>
      </c>
      <c r="G65" s="17">
        <f>IF($E65="","",IFERROR(VLOOKUP($E65,Machine_List!$B:$C,2,0),""))</f>
        <v/>
      </c>
      <c r="H65">
        <f>IF($E65="","",IFERROR(VLOOKUP($E65,Machine_List!$B:$D,3,0),""))</f>
        <v/>
      </c>
      <c r="J65" s="16">
        <f>IF($A65="","",IF($I65&lt;&gt;"",$I65,MAX(VENT_Plan!$M65,IFERROR(LOOKUP(2,1/($E$3:INDIRECT("E"&amp;(ROW()-1))=$E65),$M$3:INDIRECT("M"&amp;(ROW()-1))),VENT_Plan!$M65))))</f>
        <v/>
      </c>
      <c r="K65">
        <f>IF($A65="","",IFERROR(VLOOKUP(B65,CHOOSE(MATCH($C65,Settings!$L$4:$L$10,0),OPR_BR1!$A$4:$I$18,OPR_BR2!$A$4:$I$18,OPR_CR2!$A$4:$I$18,OPR_CR3!$A$4:$I$18,OPR_CR4!$A$4:$I$18,OPR_RIM!$A$4:$I$18,OPR_BPR!$A$4:$I$18),8,0),0))</f>
        <v/>
      </c>
      <c r="L65">
        <f>IF($A65="","",K65*D65)</f>
        <v/>
      </c>
      <c r="M65" s="16">
        <f>IF($A65="","",IF(AND(ISNUMBER(G65),G65&gt;=J65,G65&lt;=(J65+(L65/(IF(F65="Contract Workman",Settings!$K$5,Settings!$K$4))))),J65+(L65/(IF(F65="Contract Workman",Settings!$K$5,Settings!$K$4)))+(H65/(IF(F65="Contract Workman",Settings!$K$5,Settings!$K$4))),J65+(L65/(IF(F65="Contract Workman",Settings!$K$5,Settings!$K$4)))))</f>
        <v/>
      </c>
      <c r="N65">
        <f>IF($A65="","",IF(F65="Contract Workman",IF(AND(MOD(M65,1)&gt;=8/24,MOD(M65,1)&lt;20/24),"Shift S1","Shift S2"),IF(AND(MOD(M65,1)&gt;=7/24,MOD(M65,1)&lt;15/24),"Shift A",IF(AND(MOD(M65,1)&gt;=15/24,MOD(M65,1)&lt;23/24),"Shift B","Shift C"))))</f>
        <v/>
      </c>
      <c r="O65">
        <f>IF(B65="","",IF(IFERROR(ISNUMBER(SEARCH(TEXT(B65,"0"),VLOOKUP(E65,Machine_List!$B:$J,9,0))),FALSE),"✅ "&amp; E65,"❌ Sug: "&amp;IFERROR(INDEX(Machine_List!$B$72:$B$81,MATCH(1,(Machine_List!$H$72:$H$81&lt;=IFERROR(VLOOKUP($B65,OPR_BR1!$A$4:$K$18,10,0),0))*(Machine_List!$I$72:$I$81&gt;=IFERROR(VLOOKUP($B65,OPR_BR1!$A$4:$K$18,11,0),9999)),0)),"?")))</f>
        <v/>
      </c>
      <c r="P65">
        <f>IF(AND($A65&lt;&gt;"",P$3&gt;=$J65,P$3&lt;=$M65),1,"")</f>
        <v/>
      </c>
      <c r="Q65">
        <f>IF(AND($A65&lt;&gt;"",Q$3&gt;=$J65,Q$3&lt;=$M65),1,"")</f>
        <v/>
      </c>
      <c r="R65">
        <f>IF(AND($A65&lt;&gt;"",R$3&gt;=$J65,R$3&lt;=$M65),1,"")</f>
        <v/>
      </c>
      <c r="S65">
        <f>IF(AND($A65&lt;&gt;"",S$3&gt;=$J65,S$3&lt;=$M65),1,"")</f>
        <v/>
      </c>
      <c r="T65">
        <f>IF(AND($A65&lt;&gt;"",T$3&gt;=$J65,T$3&lt;=$M65),1,"")</f>
        <v/>
      </c>
      <c r="U65">
        <f>IF(AND($A65&lt;&gt;"",U$3&gt;=$J65,U$3&lt;=$M65),1,"")</f>
        <v/>
      </c>
      <c r="V65">
        <f>IF(AND($A65&lt;&gt;"",V$3&gt;=$J65,V$3&lt;=$M65),1,"")</f>
        <v/>
      </c>
      <c r="W65">
        <f>IF(AND($A65&lt;&gt;"",W$3&gt;=$J65,W$3&lt;=$M65),1,"")</f>
        <v/>
      </c>
      <c r="X65">
        <f>IF(AND($A65&lt;&gt;"",X$3&gt;=$J65,X$3&lt;=$M65),1,"")</f>
        <v/>
      </c>
      <c r="Y65">
        <f>IF(AND($A65&lt;&gt;"",Y$3&gt;=$J65,Y$3&lt;=$M65),1,"")</f>
        <v/>
      </c>
      <c r="Z65">
        <f>IF(AND($A65&lt;&gt;"",Z$3&gt;=$J65,Z$3&lt;=$M65),1,"")</f>
        <v/>
      </c>
      <c r="AA65">
        <f>IF(AND($A65&lt;&gt;"",AA$3&gt;=$J65,AA$3&lt;=$M65),1,"")</f>
        <v/>
      </c>
      <c r="AB65">
        <f>IF(AND($A65&lt;&gt;"",AB$3&gt;=$J65,AB$3&lt;=$M65),1,"")</f>
        <v/>
      </c>
      <c r="AC65">
        <f>IF(AND($A65&lt;&gt;"",AC$3&gt;=$J65,AC$3&lt;=$M65),1,"")</f>
        <v/>
      </c>
      <c r="AD65">
        <f>IF(AND($A65&lt;&gt;"",AD$3&gt;=$J65,AD$3&lt;=$M65),1,"")</f>
        <v/>
      </c>
      <c r="AE65">
        <f>IF(AND($A65&lt;&gt;"",AE$3&gt;=$J65,AE$3&lt;=$M65),1,"")</f>
        <v/>
      </c>
      <c r="AF65">
        <f>IF(AND($A65&lt;&gt;"",AF$3&gt;=$J65,AF$3&lt;=$M65),1,"")</f>
        <v/>
      </c>
      <c r="AG65">
        <f>IF(AND($A65&lt;&gt;"",AG$3&gt;=$J65,AG$3&lt;=$M65),1,"")</f>
        <v/>
      </c>
      <c r="AH65">
        <f>IF(AND($A65&lt;&gt;"",AH$3&gt;=$J65,AH$3&lt;=$M65),1,"")</f>
        <v/>
      </c>
      <c r="AI65">
        <f>IF(AND($A65&lt;&gt;"",AI$3&gt;=$J65,AI$3&lt;=$M65),1,"")</f>
        <v/>
      </c>
      <c r="AJ65">
        <f>IF(AND($A65&lt;&gt;"",AJ$3&gt;=$J65,AJ$3&lt;=$M65),1,"")</f>
        <v/>
      </c>
      <c r="AK65">
        <f>IF(AND($A65&lt;&gt;"",AK$3&gt;=$J65,AK$3&lt;=$M65),1,"")</f>
        <v/>
      </c>
      <c r="AL65">
        <f>IF(AND($A65&lt;&gt;"",AL$3&gt;=$J65,AL$3&lt;=$M65),1,"")</f>
        <v/>
      </c>
      <c r="AM65">
        <f>IF(AND($A65&lt;&gt;"",AM$3&gt;=$J65,AM$3&lt;=$M65),1,"")</f>
        <v/>
      </c>
      <c r="AN65">
        <f>IF(AND($A65&lt;&gt;"",AN$3&gt;=$J65,AN$3&lt;=$M65),1,"")</f>
        <v/>
      </c>
      <c r="AO65">
        <f>IF(AND($A65&lt;&gt;"",AO$3&gt;=$J65,AO$3&lt;=$M65),1,"")</f>
        <v/>
      </c>
      <c r="AP65">
        <f>IF(AND($A65&lt;&gt;"",AP$3&gt;=$J65,AP$3&lt;=$M65),1,"")</f>
        <v/>
      </c>
      <c r="AQ65">
        <f>IF(AND($A65&lt;&gt;"",AQ$3&gt;=$J65,AQ$3&lt;=$M65),1,"")</f>
        <v/>
      </c>
      <c r="AR65">
        <f>IF(AND($A65&lt;&gt;"",AR$3&gt;=$J65,AR$3&lt;=$M65),1,"")</f>
        <v/>
      </c>
      <c r="AS65">
        <f>IF(AND($A65&lt;&gt;"",AS$3&gt;=$J65,AS$3&lt;=$M65),1,"")</f>
        <v/>
      </c>
      <c r="AT65">
        <f>IF(AND($A65&lt;&gt;"",AT$3&gt;=$J65,AT$3&lt;=$M65),1,"")</f>
        <v/>
      </c>
      <c r="AU65">
        <f>IF(AND($A65&lt;&gt;"",AU$3&gt;=$J65,AU$3&lt;=$M65),1,"")</f>
        <v/>
      </c>
      <c r="AV65">
        <f>IF(AND($A65&lt;&gt;"",AV$3&gt;=$J65,AV$3&lt;=$M65),1,"")</f>
        <v/>
      </c>
      <c r="AW65">
        <f>IF(AND($A65&lt;&gt;"",AW$3&gt;=$J65,AW$3&lt;=$M65),1,"")</f>
        <v/>
      </c>
      <c r="AX65">
        <f>IF(AND($A65&lt;&gt;"",AX$3&gt;=$J65,AX$3&lt;=$M65),1,"")</f>
        <v/>
      </c>
      <c r="AY65">
        <f>IF(AND($A65&lt;&gt;"",AY$3&gt;=$J65,AY$3&lt;=$M65),1,"")</f>
        <v/>
      </c>
      <c r="AZ65">
        <f>IF(AND($A65&lt;&gt;"",AZ$3&gt;=$J65,AZ$3&lt;=$M65),1,"")</f>
        <v/>
      </c>
      <c r="BA65">
        <f>IF(AND($A65&lt;&gt;"",BA$3&gt;=$J65,BA$3&lt;=$M65),1,"")</f>
        <v/>
      </c>
      <c r="BB65">
        <f>IF(AND($A65&lt;&gt;"",BB$3&gt;=$J65,BB$3&lt;=$M65),1,"")</f>
        <v/>
      </c>
      <c r="BC65">
        <f>IF(AND($A65&lt;&gt;"",BC$3&gt;=$J65,BC$3&lt;=$M65),1,"")</f>
        <v/>
      </c>
      <c r="BD65">
        <f>IF(AND($A65&lt;&gt;"",BD$3&gt;=$J65,BD$3&lt;=$M65),1,"")</f>
        <v/>
      </c>
      <c r="BE65">
        <f>IF(AND($A65&lt;&gt;"",BE$3&gt;=$J65,BE$3&lt;=$M65),1,"")</f>
        <v/>
      </c>
      <c r="BF65">
        <f>IF(AND($A65&lt;&gt;"",BF$3&gt;=$J65,BF$3&lt;=$M65),1,"")</f>
        <v/>
      </c>
      <c r="BG65">
        <f>IF(AND($A65&lt;&gt;"",BG$3&gt;=$J65,BG$3&lt;=$M65),1,"")</f>
        <v/>
      </c>
      <c r="BH65">
        <f>IF(AND($A65&lt;&gt;"",BH$3&gt;=$J65,BH$3&lt;=$M65),1,"")</f>
        <v/>
      </c>
      <c r="BI65">
        <f>IF(AND($A65&lt;&gt;"",BI$3&gt;=$J65,BI$3&lt;=$M65),1,"")</f>
        <v/>
      </c>
      <c r="BJ65">
        <f>IF(AND($A65&lt;&gt;"",BJ$3&gt;=$J65,BJ$3&lt;=$M65),1,"")</f>
        <v/>
      </c>
      <c r="BK65">
        <f>IF(AND($A65&lt;&gt;"",BK$3&gt;=$J65,BK$3&lt;=$M65),1,"")</f>
        <v/>
      </c>
      <c r="BL65">
        <f>IF(AND($A65&lt;&gt;"",BL$3&gt;=$J65,BL$3&lt;=$M65),1,"")</f>
        <v/>
      </c>
      <c r="BM65">
        <f>IF(AND($A65&lt;&gt;"",BM$3&gt;=$J65,BM$3&lt;=$M65),1,"")</f>
        <v/>
      </c>
      <c r="BN65">
        <f>IF(AND($A65&lt;&gt;"",BN$3&gt;=$J65,BN$3&lt;=$M65),1,"")</f>
        <v/>
      </c>
      <c r="BO65">
        <f>IF(AND($A65&lt;&gt;"",BO$3&gt;=$J65,BO$3&lt;=$M65),1,"")</f>
        <v/>
      </c>
      <c r="BP65">
        <f>IF(AND($A65&lt;&gt;"",BP$3&gt;=$J65,BP$3&lt;=$M65),1,"")</f>
        <v/>
      </c>
      <c r="BQ65">
        <f>IF(AND($A65&lt;&gt;"",BQ$3&gt;=$J65,BQ$3&lt;=$M65),1,"")</f>
        <v/>
      </c>
      <c r="BR65">
        <f>IF(AND($A65&lt;&gt;"",BR$3&gt;=$J65,BR$3&lt;=$M65),1,"")</f>
        <v/>
      </c>
      <c r="BS65">
        <f>IF(AND($A65&lt;&gt;"",BS$3&gt;=$J65,BS$3&lt;=$M65),1,"")</f>
        <v/>
      </c>
      <c r="BT65">
        <f>IF(AND($A65&lt;&gt;"",BT$3&gt;=$J65,BT$3&lt;=$M65),1,"")</f>
        <v/>
      </c>
      <c r="BU65">
        <f>IF(AND($A65&lt;&gt;"",BU$3&gt;=$J65,BU$3&lt;=$M65),1,"")</f>
        <v/>
      </c>
      <c r="BV65">
        <f>IF(AND($A65&lt;&gt;"",BV$3&gt;=$J65,BV$3&lt;=$M65),1,"")</f>
        <v/>
      </c>
    </row>
    <row r="66">
      <c r="A66">
        <f>IF(Job_Master_Ring!$A66="","",Job_Master_Ring!$A66)</f>
        <v/>
      </c>
      <c r="B66">
        <f>IF($A66="","",Job_Master_Ring!B66)</f>
        <v/>
      </c>
      <c r="C66">
        <f>IF($A66="","",Job_Master_Ring!C66)</f>
        <v/>
      </c>
      <c r="D66">
        <f>IF($A66="","",Job_Master_Ring!D66)</f>
        <v/>
      </c>
      <c r="E66">
        <f>IF($A66="","",IF($I66&lt;&gt;"",$I66,IFERROR(INDEX(Machine_List!$B$72:$B$81,MATCH(1,(Machine_List!$H$72:$H$81&lt;=IFERROR(VLOOKUP($B66,CHOOSE(MATCH($C66,Settings!$L$4:$L$10,0),OPR_BR1!$A$4:$K$18,OPR_BR2!$A$4:$K$18,OPR_CR2!$A$4:$K$18,OPR_CR3!$A$4:$K$18,OPR_CR4!$A$4:$K$18,OPR_RIM!$A$4:$K$18,OPR_BPR!$A$4:$K$18),10,0),0))*(Machine_List!$I$72:$I$81&gt;=IFERROR(VLOOKUP($B66,CHOOSE(MATCH($C66,Settings!$L$4:$L$10,0),OPR_BR1!$A$4:$K$18,OPR_BR2!$A$4:$K$18,OPR_CR2!$A$4:$K$18,OPR_CR3!$A$4:$K$18,OPR_CR4!$A$4:$K$18,OPR_RIM!$A$4:$K$18,OPR_BPR!$A$4:$K$18),11,0),9999)),0)),"NO COMPATIBLE MACHINE")))</f>
        <v/>
      </c>
      <c r="F66">
        <f>IF($E66="","",IFERROR(VLOOKUP($E66,Machine_List!$B:$G,6,0),""))</f>
        <v/>
      </c>
      <c r="G66" s="17">
        <f>IF($E66="","",IFERROR(VLOOKUP($E66,Machine_List!$B:$C,2,0),""))</f>
        <v/>
      </c>
      <c r="H66">
        <f>IF($E66="","",IFERROR(VLOOKUP($E66,Machine_List!$B:$D,3,0),""))</f>
        <v/>
      </c>
      <c r="J66" s="16">
        <f>IF($A66="","",IF($I66&lt;&gt;"",$I66,MAX(VENT_Plan!$M66,IFERROR(LOOKUP(2,1/($E$3:INDIRECT("E"&amp;(ROW()-1))=$E66),$M$3:INDIRECT("M"&amp;(ROW()-1))),VENT_Plan!$M66))))</f>
        <v/>
      </c>
      <c r="K66">
        <f>IF($A66="","",IFERROR(VLOOKUP(B66,CHOOSE(MATCH($C66,Settings!$L$4:$L$10,0),OPR_BR1!$A$4:$I$18,OPR_BR2!$A$4:$I$18,OPR_CR2!$A$4:$I$18,OPR_CR3!$A$4:$I$18,OPR_CR4!$A$4:$I$18,OPR_RIM!$A$4:$I$18,OPR_BPR!$A$4:$I$18),8,0),0))</f>
        <v/>
      </c>
      <c r="L66">
        <f>IF($A66="","",K66*D66)</f>
        <v/>
      </c>
      <c r="M66" s="16">
        <f>IF($A66="","",IF(AND(ISNUMBER(G66),G66&gt;=J66,G66&lt;=(J66+(L66/(IF(F66="Contract Workman",Settings!$K$5,Settings!$K$4))))),J66+(L66/(IF(F66="Contract Workman",Settings!$K$5,Settings!$K$4)))+(H66/(IF(F66="Contract Workman",Settings!$K$5,Settings!$K$4))),J66+(L66/(IF(F66="Contract Workman",Settings!$K$5,Settings!$K$4)))))</f>
        <v/>
      </c>
      <c r="N66">
        <f>IF($A66="","",IF(F66="Contract Workman",IF(AND(MOD(M66,1)&gt;=8/24,MOD(M66,1)&lt;20/24),"Shift S1","Shift S2"),IF(AND(MOD(M66,1)&gt;=7/24,MOD(M66,1)&lt;15/24),"Shift A",IF(AND(MOD(M66,1)&gt;=15/24,MOD(M66,1)&lt;23/24),"Shift B","Shift C"))))</f>
        <v/>
      </c>
      <c r="O66">
        <f>IF(B66="","",IF(IFERROR(ISNUMBER(SEARCH(TEXT(B66,"0"),VLOOKUP(E66,Machine_List!$B:$J,9,0))),FALSE),"✅ "&amp; E66,"❌ Sug: "&amp;IFERROR(INDEX(Machine_List!$B$72:$B$81,MATCH(1,(Machine_List!$H$72:$H$81&lt;=IFERROR(VLOOKUP($B66,OPR_BR1!$A$4:$K$18,10,0),0))*(Machine_List!$I$72:$I$81&gt;=IFERROR(VLOOKUP($B66,OPR_BR1!$A$4:$K$18,11,0),9999)),0)),"?")))</f>
        <v/>
      </c>
      <c r="P66">
        <f>IF(AND($A66&lt;&gt;"",P$3&gt;=$J66,P$3&lt;=$M66),1,"")</f>
        <v/>
      </c>
      <c r="Q66">
        <f>IF(AND($A66&lt;&gt;"",Q$3&gt;=$J66,Q$3&lt;=$M66),1,"")</f>
        <v/>
      </c>
      <c r="R66">
        <f>IF(AND($A66&lt;&gt;"",R$3&gt;=$J66,R$3&lt;=$M66),1,"")</f>
        <v/>
      </c>
      <c r="S66">
        <f>IF(AND($A66&lt;&gt;"",S$3&gt;=$J66,S$3&lt;=$M66),1,"")</f>
        <v/>
      </c>
      <c r="T66">
        <f>IF(AND($A66&lt;&gt;"",T$3&gt;=$J66,T$3&lt;=$M66),1,"")</f>
        <v/>
      </c>
      <c r="U66">
        <f>IF(AND($A66&lt;&gt;"",U$3&gt;=$J66,U$3&lt;=$M66),1,"")</f>
        <v/>
      </c>
      <c r="V66">
        <f>IF(AND($A66&lt;&gt;"",V$3&gt;=$J66,V$3&lt;=$M66),1,"")</f>
        <v/>
      </c>
      <c r="W66">
        <f>IF(AND($A66&lt;&gt;"",W$3&gt;=$J66,W$3&lt;=$M66),1,"")</f>
        <v/>
      </c>
      <c r="X66">
        <f>IF(AND($A66&lt;&gt;"",X$3&gt;=$J66,X$3&lt;=$M66),1,"")</f>
        <v/>
      </c>
      <c r="Y66">
        <f>IF(AND($A66&lt;&gt;"",Y$3&gt;=$J66,Y$3&lt;=$M66),1,"")</f>
        <v/>
      </c>
      <c r="Z66">
        <f>IF(AND($A66&lt;&gt;"",Z$3&gt;=$J66,Z$3&lt;=$M66),1,"")</f>
        <v/>
      </c>
      <c r="AA66">
        <f>IF(AND($A66&lt;&gt;"",AA$3&gt;=$J66,AA$3&lt;=$M66),1,"")</f>
        <v/>
      </c>
      <c r="AB66">
        <f>IF(AND($A66&lt;&gt;"",AB$3&gt;=$J66,AB$3&lt;=$M66),1,"")</f>
        <v/>
      </c>
      <c r="AC66">
        <f>IF(AND($A66&lt;&gt;"",AC$3&gt;=$J66,AC$3&lt;=$M66),1,"")</f>
        <v/>
      </c>
      <c r="AD66">
        <f>IF(AND($A66&lt;&gt;"",AD$3&gt;=$J66,AD$3&lt;=$M66),1,"")</f>
        <v/>
      </c>
      <c r="AE66">
        <f>IF(AND($A66&lt;&gt;"",AE$3&gt;=$J66,AE$3&lt;=$M66),1,"")</f>
        <v/>
      </c>
      <c r="AF66">
        <f>IF(AND($A66&lt;&gt;"",AF$3&gt;=$J66,AF$3&lt;=$M66),1,"")</f>
        <v/>
      </c>
      <c r="AG66">
        <f>IF(AND($A66&lt;&gt;"",AG$3&gt;=$J66,AG$3&lt;=$M66),1,"")</f>
        <v/>
      </c>
      <c r="AH66">
        <f>IF(AND($A66&lt;&gt;"",AH$3&gt;=$J66,AH$3&lt;=$M66),1,"")</f>
        <v/>
      </c>
      <c r="AI66">
        <f>IF(AND($A66&lt;&gt;"",AI$3&gt;=$J66,AI$3&lt;=$M66),1,"")</f>
        <v/>
      </c>
      <c r="AJ66">
        <f>IF(AND($A66&lt;&gt;"",AJ$3&gt;=$J66,AJ$3&lt;=$M66),1,"")</f>
        <v/>
      </c>
      <c r="AK66">
        <f>IF(AND($A66&lt;&gt;"",AK$3&gt;=$J66,AK$3&lt;=$M66),1,"")</f>
        <v/>
      </c>
      <c r="AL66">
        <f>IF(AND($A66&lt;&gt;"",AL$3&gt;=$J66,AL$3&lt;=$M66),1,"")</f>
        <v/>
      </c>
      <c r="AM66">
        <f>IF(AND($A66&lt;&gt;"",AM$3&gt;=$J66,AM$3&lt;=$M66),1,"")</f>
        <v/>
      </c>
      <c r="AN66">
        <f>IF(AND($A66&lt;&gt;"",AN$3&gt;=$J66,AN$3&lt;=$M66),1,"")</f>
        <v/>
      </c>
      <c r="AO66">
        <f>IF(AND($A66&lt;&gt;"",AO$3&gt;=$J66,AO$3&lt;=$M66),1,"")</f>
        <v/>
      </c>
      <c r="AP66">
        <f>IF(AND($A66&lt;&gt;"",AP$3&gt;=$J66,AP$3&lt;=$M66),1,"")</f>
        <v/>
      </c>
      <c r="AQ66">
        <f>IF(AND($A66&lt;&gt;"",AQ$3&gt;=$J66,AQ$3&lt;=$M66),1,"")</f>
        <v/>
      </c>
      <c r="AR66">
        <f>IF(AND($A66&lt;&gt;"",AR$3&gt;=$J66,AR$3&lt;=$M66),1,"")</f>
        <v/>
      </c>
      <c r="AS66">
        <f>IF(AND($A66&lt;&gt;"",AS$3&gt;=$J66,AS$3&lt;=$M66),1,"")</f>
        <v/>
      </c>
      <c r="AT66">
        <f>IF(AND($A66&lt;&gt;"",AT$3&gt;=$J66,AT$3&lt;=$M66),1,"")</f>
        <v/>
      </c>
      <c r="AU66">
        <f>IF(AND($A66&lt;&gt;"",AU$3&gt;=$J66,AU$3&lt;=$M66),1,"")</f>
        <v/>
      </c>
      <c r="AV66">
        <f>IF(AND($A66&lt;&gt;"",AV$3&gt;=$J66,AV$3&lt;=$M66),1,"")</f>
        <v/>
      </c>
      <c r="AW66">
        <f>IF(AND($A66&lt;&gt;"",AW$3&gt;=$J66,AW$3&lt;=$M66),1,"")</f>
        <v/>
      </c>
      <c r="AX66">
        <f>IF(AND($A66&lt;&gt;"",AX$3&gt;=$J66,AX$3&lt;=$M66),1,"")</f>
        <v/>
      </c>
      <c r="AY66">
        <f>IF(AND($A66&lt;&gt;"",AY$3&gt;=$J66,AY$3&lt;=$M66),1,"")</f>
        <v/>
      </c>
      <c r="AZ66">
        <f>IF(AND($A66&lt;&gt;"",AZ$3&gt;=$J66,AZ$3&lt;=$M66),1,"")</f>
        <v/>
      </c>
      <c r="BA66">
        <f>IF(AND($A66&lt;&gt;"",BA$3&gt;=$J66,BA$3&lt;=$M66),1,"")</f>
        <v/>
      </c>
      <c r="BB66">
        <f>IF(AND($A66&lt;&gt;"",BB$3&gt;=$J66,BB$3&lt;=$M66),1,"")</f>
        <v/>
      </c>
      <c r="BC66">
        <f>IF(AND($A66&lt;&gt;"",BC$3&gt;=$J66,BC$3&lt;=$M66),1,"")</f>
        <v/>
      </c>
      <c r="BD66">
        <f>IF(AND($A66&lt;&gt;"",BD$3&gt;=$J66,BD$3&lt;=$M66),1,"")</f>
        <v/>
      </c>
      <c r="BE66">
        <f>IF(AND($A66&lt;&gt;"",BE$3&gt;=$J66,BE$3&lt;=$M66),1,"")</f>
        <v/>
      </c>
      <c r="BF66">
        <f>IF(AND($A66&lt;&gt;"",BF$3&gt;=$J66,BF$3&lt;=$M66),1,"")</f>
        <v/>
      </c>
      <c r="BG66">
        <f>IF(AND($A66&lt;&gt;"",BG$3&gt;=$J66,BG$3&lt;=$M66),1,"")</f>
        <v/>
      </c>
      <c r="BH66">
        <f>IF(AND($A66&lt;&gt;"",BH$3&gt;=$J66,BH$3&lt;=$M66),1,"")</f>
        <v/>
      </c>
      <c r="BI66">
        <f>IF(AND($A66&lt;&gt;"",BI$3&gt;=$J66,BI$3&lt;=$M66),1,"")</f>
        <v/>
      </c>
      <c r="BJ66">
        <f>IF(AND($A66&lt;&gt;"",BJ$3&gt;=$J66,BJ$3&lt;=$M66),1,"")</f>
        <v/>
      </c>
      <c r="BK66">
        <f>IF(AND($A66&lt;&gt;"",BK$3&gt;=$J66,BK$3&lt;=$M66),1,"")</f>
        <v/>
      </c>
      <c r="BL66">
        <f>IF(AND($A66&lt;&gt;"",BL$3&gt;=$J66,BL$3&lt;=$M66),1,"")</f>
        <v/>
      </c>
      <c r="BM66">
        <f>IF(AND($A66&lt;&gt;"",BM$3&gt;=$J66,BM$3&lt;=$M66),1,"")</f>
        <v/>
      </c>
      <c r="BN66">
        <f>IF(AND($A66&lt;&gt;"",BN$3&gt;=$J66,BN$3&lt;=$M66),1,"")</f>
        <v/>
      </c>
      <c r="BO66">
        <f>IF(AND($A66&lt;&gt;"",BO$3&gt;=$J66,BO$3&lt;=$M66),1,"")</f>
        <v/>
      </c>
      <c r="BP66">
        <f>IF(AND($A66&lt;&gt;"",BP$3&gt;=$J66,BP$3&lt;=$M66),1,"")</f>
        <v/>
      </c>
      <c r="BQ66">
        <f>IF(AND($A66&lt;&gt;"",BQ$3&gt;=$J66,BQ$3&lt;=$M66),1,"")</f>
        <v/>
      </c>
      <c r="BR66">
        <f>IF(AND($A66&lt;&gt;"",BR$3&gt;=$J66,BR$3&lt;=$M66),1,"")</f>
        <v/>
      </c>
      <c r="BS66">
        <f>IF(AND($A66&lt;&gt;"",BS$3&gt;=$J66,BS$3&lt;=$M66),1,"")</f>
        <v/>
      </c>
      <c r="BT66">
        <f>IF(AND($A66&lt;&gt;"",BT$3&gt;=$J66,BT$3&lt;=$M66),1,"")</f>
        <v/>
      </c>
      <c r="BU66">
        <f>IF(AND($A66&lt;&gt;"",BU$3&gt;=$J66,BU$3&lt;=$M66),1,"")</f>
        <v/>
      </c>
      <c r="BV66">
        <f>IF(AND($A66&lt;&gt;"",BV$3&gt;=$J66,BV$3&lt;=$M66),1,"")</f>
        <v/>
      </c>
    </row>
    <row r="67">
      <c r="A67">
        <f>IF(Job_Master_Ring!$A67="","",Job_Master_Ring!$A67)</f>
        <v/>
      </c>
      <c r="B67">
        <f>IF($A67="","",Job_Master_Ring!B67)</f>
        <v/>
      </c>
      <c r="C67">
        <f>IF($A67="","",Job_Master_Ring!C67)</f>
        <v/>
      </c>
      <c r="D67">
        <f>IF($A67="","",Job_Master_Ring!D67)</f>
        <v/>
      </c>
      <c r="E67">
        <f>IF($A67="","",IF($I67&lt;&gt;"",$I67,IFERROR(INDEX(Machine_List!$B$72:$B$81,MATCH(1,(Machine_List!$H$72:$H$81&lt;=IFERROR(VLOOKUP($B67,CHOOSE(MATCH($C67,Settings!$L$4:$L$10,0),OPR_BR1!$A$4:$K$18,OPR_BR2!$A$4:$K$18,OPR_CR2!$A$4:$K$18,OPR_CR3!$A$4:$K$18,OPR_CR4!$A$4:$K$18,OPR_RIM!$A$4:$K$18,OPR_BPR!$A$4:$K$18),10,0),0))*(Machine_List!$I$72:$I$81&gt;=IFERROR(VLOOKUP($B67,CHOOSE(MATCH($C67,Settings!$L$4:$L$10,0),OPR_BR1!$A$4:$K$18,OPR_BR2!$A$4:$K$18,OPR_CR2!$A$4:$K$18,OPR_CR3!$A$4:$K$18,OPR_CR4!$A$4:$K$18,OPR_RIM!$A$4:$K$18,OPR_BPR!$A$4:$K$18),11,0),9999)),0)),"NO COMPATIBLE MACHINE")))</f>
        <v/>
      </c>
      <c r="F67">
        <f>IF($E67="","",IFERROR(VLOOKUP($E67,Machine_List!$B:$G,6,0),""))</f>
        <v/>
      </c>
      <c r="G67" s="17">
        <f>IF($E67="","",IFERROR(VLOOKUP($E67,Machine_List!$B:$C,2,0),""))</f>
        <v/>
      </c>
      <c r="H67">
        <f>IF($E67="","",IFERROR(VLOOKUP($E67,Machine_List!$B:$D,3,0),""))</f>
        <v/>
      </c>
      <c r="J67" s="16">
        <f>IF($A67="","",IF($I67&lt;&gt;"",$I67,MAX(VENT_Plan!$M67,IFERROR(LOOKUP(2,1/($E$3:INDIRECT("E"&amp;(ROW()-1))=$E67),$M$3:INDIRECT("M"&amp;(ROW()-1))),VENT_Plan!$M67))))</f>
        <v/>
      </c>
      <c r="K67">
        <f>IF($A67="","",IFERROR(VLOOKUP(B67,CHOOSE(MATCH($C67,Settings!$L$4:$L$10,0),OPR_BR1!$A$4:$I$18,OPR_BR2!$A$4:$I$18,OPR_CR2!$A$4:$I$18,OPR_CR3!$A$4:$I$18,OPR_CR4!$A$4:$I$18,OPR_RIM!$A$4:$I$18,OPR_BPR!$A$4:$I$18),8,0),0))</f>
        <v/>
      </c>
      <c r="L67">
        <f>IF($A67="","",K67*D67)</f>
        <v/>
      </c>
      <c r="M67" s="16">
        <f>IF($A67="","",IF(AND(ISNUMBER(G67),G67&gt;=J67,G67&lt;=(J67+(L67/(IF(F67="Contract Workman",Settings!$K$5,Settings!$K$4))))),J67+(L67/(IF(F67="Contract Workman",Settings!$K$5,Settings!$K$4)))+(H67/(IF(F67="Contract Workman",Settings!$K$5,Settings!$K$4))),J67+(L67/(IF(F67="Contract Workman",Settings!$K$5,Settings!$K$4)))))</f>
        <v/>
      </c>
      <c r="N67">
        <f>IF($A67="","",IF(F67="Contract Workman",IF(AND(MOD(M67,1)&gt;=8/24,MOD(M67,1)&lt;20/24),"Shift S1","Shift S2"),IF(AND(MOD(M67,1)&gt;=7/24,MOD(M67,1)&lt;15/24),"Shift A",IF(AND(MOD(M67,1)&gt;=15/24,MOD(M67,1)&lt;23/24),"Shift B","Shift C"))))</f>
        <v/>
      </c>
      <c r="O67">
        <f>IF(B67="","",IF(IFERROR(ISNUMBER(SEARCH(TEXT(B67,"0"),VLOOKUP(E67,Machine_List!$B:$J,9,0))),FALSE),"✅ "&amp; E67,"❌ Sug: "&amp;IFERROR(INDEX(Machine_List!$B$72:$B$81,MATCH(1,(Machine_List!$H$72:$H$81&lt;=IFERROR(VLOOKUP($B67,OPR_BR1!$A$4:$K$18,10,0),0))*(Machine_List!$I$72:$I$81&gt;=IFERROR(VLOOKUP($B67,OPR_BR1!$A$4:$K$18,11,0),9999)),0)),"?")))</f>
        <v/>
      </c>
      <c r="P67">
        <f>IF(AND($A67&lt;&gt;"",P$3&gt;=$J67,P$3&lt;=$M67),1,"")</f>
        <v/>
      </c>
      <c r="Q67">
        <f>IF(AND($A67&lt;&gt;"",Q$3&gt;=$J67,Q$3&lt;=$M67),1,"")</f>
        <v/>
      </c>
      <c r="R67">
        <f>IF(AND($A67&lt;&gt;"",R$3&gt;=$J67,R$3&lt;=$M67),1,"")</f>
        <v/>
      </c>
      <c r="S67">
        <f>IF(AND($A67&lt;&gt;"",S$3&gt;=$J67,S$3&lt;=$M67),1,"")</f>
        <v/>
      </c>
      <c r="T67">
        <f>IF(AND($A67&lt;&gt;"",T$3&gt;=$J67,T$3&lt;=$M67),1,"")</f>
        <v/>
      </c>
      <c r="U67">
        <f>IF(AND($A67&lt;&gt;"",U$3&gt;=$J67,U$3&lt;=$M67),1,"")</f>
        <v/>
      </c>
      <c r="V67">
        <f>IF(AND($A67&lt;&gt;"",V$3&gt;=$J67,V$3&lt;=$M67),1,"")</f>
        <v/>
      </c>
      <c r="W67">
        <f>IF(AND($A67&lt;&gt;"",W$3&gt;=$J67,W$3&lt;=$M67),1,"")</f>
        <v/>
      </c>
      <c r="X67">
        <f>IF(AND($A67&lt;&gt;"",X$3&gt;=$J67,X$3&lt;=$M67),1,"")</f>
        <v/>
      </c>
      <c r="Y67">
        <f>IF(AND($A67&lt;&gt;"",Y$3&gt;=$J67,Y$3&lt;=$M67),1,"")</f>
        <v/>
      </c>
      <c r="Z67">
        <f>IF(AND($A67&lt;&gt;"",Z$3&gt;=$J67,Z$3&lt;=$M67),1,"")</f>
        <v/>
      </c>
      <c r="AA67">
        <f>IF(AND($A67&lt;&gt;"",AA$3&gt;=$J67,AA$3&lt;=$M67),1,"")</f>
        <v/>
      </c>
      <c r="AB67">
        <f>IF(AND($A67&lt;&gt;"",AB$3&gt;=$J67,AB$3&lt;=$M67),1,"")</f>
        <v/>
      </c>
      <c r="AC67">
        <f>IF(AND($A67&lt;&gt;"",AC$3&gt;=$J67,AC$3&lt;=$M67),1,"")</f>
        <v/>
      </c>
      <c r="AD67">
        <f>IF(AND($A67&lt;&gt;"",AD$3&gt;=$J67,AD$3&lt;=$M67),1,"")</f>
        <v/>
      </c>
      <c r="AE67">
        <f>IF(AND($A67&lt;&gt;"",AE$3&gt;=$J67,AE$3&lt;=$M67),1,"")</f>
        <v/>
      </c>
      <c r="AF67">
        <f>IF(AND($A67&lt;&gt;"",AF$3&gt;=$J67,AF$3&lt;=$M67),1,"")</f>
        <v/>
      </c>
      <c r="AG67">
        <f>IF(AND($A67&lt;&gt;"",AG$3&gt;=$J67,AG$3&lt;=$M67),1,"")</f>
        <v/>
      </c>
      <c r="AH67">
        <f>IF(AND($A67&lt;&gt;"",AH$3&gt;=$J67,AH$3&lt;=$M67),1,"")</f>
        <v/>
      </c>
      <c r="AI67">
        <f>IF(AND($A67&lt;&gt;"",AI$3&gt;=$J67,AI$3&lt;=$M67),1,"")</f>
        <v/>
      </c>
      <c r="AJ67">
        <f>IF(AND($A67&lt;&gt;"",AJ$3&gt;=$J67,AJ$3&lt;=$M67),1,"")</f>
        <v/>
      </c>
      <c r="AK67">
        <f>IF(AND($A67&lt;&gt;"",AK$3&gt;=$J67,AK$3&lt;=$M67),1,"")</f>
        <v/>
      </c>
      <c r="AL67">
        <f>IF(AND($A67&lt;&gt;"",AL$3&gt;=$J67,AL$3&lt;=$M67),1,"")</f>
        <v/>
      </c>
      <c r="AM67">
        <f>IF(AND($A67&lt;&gt;"",AM$3&gt;=$J67,AM$3&lt;=$M67),1,"")</f>
        <v/>
      </c>
      <c r="AN67">
        <f>IF(AND($A67&lt;&gt;"",AN$3&gt;=$J67,AN$3&lt;=$M67),1,"")</f>
        <v/>
      </c>
      <c r="AO67">
        <f>IF(AND($A67&lt;&gt;"",AO$3&gt;=$J67,AO$3&lt;=$M67),1,"")</f>
        <v/>
      </c>
      <c r="AP67">
        <f>IF(AND($A67&lt;&gt;"",AP$3&gt;=$J67,AP$3&lt;=$M67),1,"")</f>
        <v/>
      </c>
      <c r="AQ67">
        <f>IF(AND($A67&lt;&gt;"",AQ$3&gt;=$J67,AQ$3&lt;=$M67),1,"")</f>
        <v/>
      </c>
      <c r="AR67">
        <f>IF(AND($A67&lt;&gt;"",AR$3&gt;=$J67,AR$3&lt;=$M67),1,"")</f>
        <v/>
      </c>
      <c r="AS67">
        <f>IF(AND($A67&lt;&gt;"",AS$3&gt;=$J67,AS$3&lt;=$M67),1,"")</f>
        <v/>
      </c>
      <c r="AT67">
        <f>IF(AND($A67&lt;&gt;"",AT$3&gt;=$J67,AT$3&lt;=$M67),1,"")</f>
        <v/>
      </c>
      <c r="AU67">
        <f>IF(AND($A67&lt;&gt;"",AU$3&gt;=$J67,AU$3&lt;=$M67),1,"")</f>
        <v/>
      </c>
      <c r="AV67">
        <f>IF(AND($A67&lt;&gt;"",AV$3&gt;=$J67,AV$3&lt;=$M67),1,"")</f>
        <v/>
      </c>
      <c r="AW67">
        <f>IF(AND($A67&lt;&gt;"",AW$3&gt;=$J67,AW$3&lt;=$M67),1,"")</f>
        <v/>
      </c>
      <c r="AX67">
        <f>IF(AND($A67&lt;&gt;"",AX$3&gt;=$J67,AX$3&lt;=$M67),1,"")</f>
        <v/>
      </c>
      <c r="AY67">
        <f>IF(AND($A67&lt;&gt;"",AY$3&gt;=$J67,AY$3&lt;=$M67),1,"")</f>
        <v/>
      </c>
      <c r="AZ67">
        <f>IF(AND($A67&lt;&gt;"",AZ$3&gt;=$J67,AZ$3&lt;=$M67),1,"")</f>
        <v/>
      </c>
      <c r="BA67">
        <f>IF(AND($A67&lt;&gt;"",BA$3&gt;=$J67,BA$3&lt;=$M67),1,"")</f>
        <v/>
      </c>
      <c r="BB67">
        <f>IF(AND($A67&lt;&gt;"",BB$3&gt;=$J67,BB$3&lt;=$M67),1,"")</f>
        <v/>
      </c>
      <c r="BC67">
        <f>IF(AND($A67&lt;&gt;"",BC$3&gt;=$J67,BC$3&lt;=$M67),1,"")</f>
        <v/>
      </c>
      <c r="BD67">
        <f>IF(AND($A67&lt;&gt;"",BD$3&gt;=$J67,BD$3&lt;=$M67),1,"")</f>
        <v/>
      </c>
      <c r="BE67">
        <f>IF(AND($A67&lt;&gt;"",BE$3&gt;=$J67,BE$3&lt;=$M67),1,"")</f>
        <v/>
      </c>
      <c r="BF67">
        <f>IF(AND($A67&lt;&gt;"",BF$3&gt;=$J67,BF$3&lt;=$M67),1,"")</f>
        <v/>
      </c>
      <c r="BG67">
        <f>IF(AND($A67&lt;&gt;"",BG$3&gt;=$J67,BG$3&lt;=$M67),1,"")</f>
        <v/>
      </c>
      <c r="BH67">
        <f>IF(AND($A67&lt;&gt;"",BH$3&gt;=$J67,BH$3&lt;=$M67),1,"")</f>
        <v/>
      </c>
      <c r="BI67">
        <f>IF(AND($A67&lt;&gt;"",BI$3&gt;=$J67,BI$3&lt;=$M67),1,"")</f>
        <v/>
      </c>
      <c r="BJ67">
        <f>IF(AND($A67&lt;&gt;"",BJ$3&gt;=$J67,BJ$3&lt;=$M67),1,"")</f>
        <v/>
      </c>
      <c r="BK67">
        <f>IF(AND($A67&lt;&gt;"",BK$3&gt;=$J67,BK$3&lt;=$M67),1,"")</f>
        <v/>
      </c>
      <c r="BL67">
        <f>IF(AND($A67&lt;&gt;"",BL$3&gt;=$J67,BL$3&lt;=$M67),1,"")</f>
        <v/>
      </c>
      <c r="BM67">
        <f>IF(AND($A67&lt;&gt;"",BM$3&gt;=$J67,BM$3&lt;=$M67),1,"")</f>
        <v/>
      </c>
      <c r="BN67">
        <f>IF(AND($A67&lt;&gt;"",BN$3&gt;=$J67,BN$3&lt;=$M67),1,"")</f>
        <v/>
      </c>
      <c r="BO67">
        <f>IF(AND($A67&lt;&gt;"",BO$3&gt;=$J67,BO$3&lt;=$M67),1,"")</f>
        <v/>
      </c>
      <c r="BP67">
        <f>IF(AND($A67&lt;&gt;"",BP$3&gt;=$J67,BP$3&lt;=$M67),1,"")</f>
        <v/>
      </c>
      <c r="BQ67">
        <f>IF(AND($A67&lt;&gt;"",BQ$3&gt;=$J67,BQ$3&lt;=$M67),1,"")</f>
        <v/>
      </c>
      <c r="BR67">
        <f>IF(AND($A67&lt;&gt;"",BR$3&gt;=$J67,BR$3&lt;=$M67),1,"")</f>
        <v/>
      </c>
      <c r="BS67">
        <f>IF(AND($A67&lt;&gt;"",BS$3&gt;=$J67,BS$3&lt;=$M67),1,"")</f>
        <v/>
      </c>
      <c r="BT67">
        <f>IF(AND($A67&lt;&gt;"",BT$3&gt;=$J67,BT$3&lt;=$M67),1,"")</f>
        <v/>
      </c>
      <c r="BU67">
        <f>IF(AND($A67&lt;&gt;"",BU$3&gt;=$J67,BU$3&lt;=$M67),1,"")</f>
        <v/>
      </c>
      <c r="BV67">
        <f>IF(AND($A67&lt;&gt;"",BV$3&gt;=$J67,BV$3&lt;=$M67),1,"")</f>
        <v/>
      </c>
    </row>
    <row r="68">
      <c r="A68">
        <f>IF(Job_Master_Ring!$A68="","",Job_Master_Ring!$A68)</f>
        <v/>
      </c>
      <c r="B68">
        <f>IF($A68="","",Job_Master_Ring!B68)</f>
        <v/>
      </c>
      <c r="C68">
        <f>IF($A68="","",Job_Master_Ring!C68)</f>
        <v/>
      </c>
      <c r="D68">
        <f>IF($A68="","",Job_Master_Ring!D68)</f>
        <v/>
      </c>
      <c r="E68">
        <f>IF($A68="","",IF($I68&lt;&gt;"",$I68,IFERROR(INDEX(Machine_List!$B$72:$B$81,MATCH(1,(Machine_List!$H$72:$H$81&lt;=IFERROR(VLOOKUP($B68,CHOOSE(MATCH($C68,Settings!$L$4:$L$10,0),OPR_BR1!$A$4:$K$18,OPR_BR2!$A$4:$K$18,OPR_CR2!$A$4:$K$18,OPR_CR3!$A$4:$K$18,OPR_CR4!$A$4:$K$18,OPR_RIM!$A$4:$K$18,OPR_BPR!$A$4:$K$18),10,0),0))*(Machine_List!$I$72:$I$81&gt;=IFERROR(VLOOKUP($B68,CHOOSE(MATCH($C68,Settings!$L$4:$L$10,0),OPR_BR1!$A$4:$K$18,OPR_BR2!$A$4:$K$18,OPR_CR2!$A$4:$K$18,OPR_CR3!$A$4:$K$18,OPR_CR4!$A$4:$K$18,OPR_RIM!$A$4:$K$18,OPR_BPR!$A$4:$K$18),11,0),9999)),0)),"NO COMPATIBLE MACHINE")))</f>
        <v/>
      </c>
      <c r="F68">
        <f>IF($E68="","",IFERROR(VLOOKUP($E68,Machine_List!$B:$G,6,0),""))</f>
        <v/>
      </c>
      <c r="G68" s="17">
        <f>IF($E68="","",IFERROR(VLOOKUP($E68,Machine_List!$B:$C,2,0),""))</f>
        <v/>
      </c>
      <c r="H68">
        <f>IF($E68="","",IFERROR(VLOOKUP($E68,Machine_List!$B:$D,3,0),""))</f>
        <v/>
      </c>
      <c r="J68" s="16">
        <f>IF($A68="","",IF($I68&lt;&gt;"",$I68,MAX(VENT_Plan!$M68,IFERROR(LOOKUP(2,1/($E$3:INDIRECT("E"&amp;(ROW()-1))=$E68),$M$3:INDIRECT("M"&amp;(ROW()-1))),VENT_Plan!$M68))))</f>
        <v/>
      </c>
      <c r="K68">
        <f>IF($A68="","",IFERROR(VLOOKUP(B68,CHOOSE(MATCH($C68,Settings!$L$4:$L$10,0),OPR_BR1!$A$4:$I$18,OPR_BR2!$A$4:$I$18,OPR_CR2!$A$4:$I$18,OPR_CR3!$A$4:$I$18,OPR_CR4!$A$4:$I$18,OPR_RIM!$A$4:$I$18,OPR_BPR!$A$4:$I$18),8,0),0))</f>
        <v/>
      </c>
      <c r="L68">
        <f>IF($A68="","",K68*D68)</f>
        <v/>
      </c>
      <c r="M68" s="16">
        <f>IF($A68="","",IF(AND(ISNUMBER(G68),G68&gt;=J68,G68&lt;=(J68+(L68/(IF(F68="Contract Workman",Settings!$K$5,Settings!$K$4))))),J68+(L68/(IF(F68="Contract Workman",Settings!$K$5,Settings!$K$4)))+(H68/(IF(F68="Contract Workman",Settings!$K$5,Settings!$K$4))),J68+(L68/(IF(F68="Contract Workman",Settings!$K$5,Settings!$K$4)))))</f>
        <v/>
      </c>
      <c r="N68">
        <f>IF($A68="","",IF(F68="Contract Workman",IF(AND(MOD(M68,1)&gt;=8/24,MOD(M68,1)&lt;20/24),"Shift S1","Shift S2"),IF(AND(MOD(M68,1)&gt;=7/24,MOD(M68,1)&lt;15/24),"Shift A",IF(AND(MOD(M68,1)&gt;=15/24,MOD(M68,1)&lt;23/24),"Shift B","Shift C"))))</f>
        <v/>
      </c>
      <c r="O68">
        <f>IF(B68="","",IF(IFERROR(ISNUMBER(SEARCH(TEXT(B68,"0"),VLOOKUP(E68,Machine_List!$B:$J,9,0))),FALSE),"✅ "&amp; E68,"❌ Sug: "&amp;IFERROR(INDEX(Machine_List!$B$72:$B$81,MATCH(1,(Machine_List!$H$72:$H$81&lt;=IFERROR(VLOOKUP($B68,OPR_BR1!$A$4:$K$18,10,0),0))*(Machine_List!$I$72:$I$81&gt;=IFERROR(VLOOKUP($B68,OPR_BR1!$A$4:$K$18,11,0),9999)),0)),"?")))</f>
        <v/>
      </c>
      <c r="P68">
        <f>IF(AND($A68&lt;&gt;"",P$3&gt;=$J68,P$3&lt;=$M68),1,"")</f>
        <v/>
      </c>
      <c r="Q68">
        <f>IF(AND($A68&lt;&gt;"",Q$3&gt;=$J68,Q$3&lt;=$M68),1,"")</f>
        <v/>
      </c>
      <c r="R68">
        <f>IF(AND($A68&lt;&gt;"",R$3&gt;=$J68,R$3&lt;=$M68),1,"")</f>
        <v/>
      </c>
      <c r="S68">
        <f>IF(AND($A68&lt;&gt;"",S$3&gt;=$J68,S$3&lt;=$M68),1,"")</f>
        <v/>
      </c>
      <c r="T68">
        <f>IF(AND($A68&lt;&gt;"",T$3&gt;=$J68,T$3&lt;=$M68),1,"")</f>
        <v/>
      </c>
      <c r="U68">
        <f>IF(AND($A68&lt;&gt;"",U$3&gt;=$J68,U$3&lt;=$M68),1,"")</f>
        <v/>
      </c>
      <c r="V68">
        <f>IF(AND($A68&lt;&gt;"",V$3&gt;=$J68,V$3&lt;=$M68),1,"")</f>
        <v/>
      </c>
      <c r="W68">
        <f>IF(AND($A68&lt;&gt;"",W$3&gt;=$J68,W$3&lt;=$M68),1,"")</f>
        <v/>
      </c>
      <c r="X68">
        <f>IF(AND($A68&lt;&gt;"",X$3&gt;=$J68,X$3&lt;=$M68),1,"")</f>
        <v/>
      </c>
      <c r="Y68">
        <f>IF(AND($A68&lt;&gt;"",Y$3&gt;=$J68,Y$3&lt;=$M68),1,"")</f>
        <v/>
      </c>
      <c r="Z68">
        <f>IF(AND($A68&lt;&gt;"",Z$3&gt;=$J68,Z$3&lt;=$M68),1,"")</f>
        <v/>
      </c>
      <c r="AA68">
        <f>IF(AND($A68&lt;&gt;"",AA$3&gt;=$J68,AA$3&lt;=$M68),1,"")</f>
        <v/>
      </c>
      <c r="AB68">
        <f>IF(AND($A68&lt;&gt;"",AB$3&gt;=$J68,AB$3&lt;=$M68),1,"")</f>
        <v/>
      </c>
      <c r="AC68">
        <f>IF(AND($A68&lt;&gt;"",AC$3&gt;=$J68,AC$3&lt;=$M68),1,"")</f>
        <v/>
      </c>
      <c r="AD68">
        <f>IF(AND($A68&lt;&gt;"",AD$3&gt;=$J68,AD$3&lt;=$M68),1,"")</f>
        <v/>
      </c>
      <c r="AE68">
        <f>IF(AND($A68&lt;&gt;"",AE$3&gt;=$J68,AE$3&lt;=$M68),1,"")</f>
        <v/>
      </c>
      <c r="AF68">
        <f>IF(AND($A68&lt;&gt;"",AF$3&gt;=$J68,AF$3&lt;=$M68),1,"")</f>
        <v/>
      </c>
      <c r="AG68">
        <f>IF(AND($A68&lt;&gt;"",AG$3&gt;=$J68,AG$3&lt;=$M68),1,"")</f>
        <v/>
      </c>
      <c r="AH68">
        <f>IF(AND($A68&lt;&gt;"",AH$3&gt;=$J68,AH$3&lt;=$M68),1,"")</f>
        <v/>
      </c>
      <c r="AI68">
        <f>IF(AND($A68&lt;&gt;"",AI$3&gt;=$J68,AI$3&lt;=$M68),1,"")</f>
        <v/>
      </c>
      <c r="AJ68">
        <f>IF(AND($A68&lt;&gt;"",AJ$3&gt;=$J68,AJ$3&lt;=$M68),1,"")</f>
        <v/>
      </c>
      <c r="AK68">
        <f>IF(AND($A68&lt;&gt;"",AK$3&gt;=$J68,AK$3&lt;=$M68),1,"")</f>
        <v/>
      </c>
      <c r="AL68">
        <f>IF(AND($A68&lt;&gt;"",AL$3&gt;=$J68,AL$3&lt;=$M68),1,"")</f>
        <v/>
      </c>
      <c r="AM68">
        <f>IF(AND($A68&lt;&gt;"",AM$3&gt;=$J68,AM$3&lt;=$M68),1,"")</f>
        <v/>
      </c>
      <c r="AN68">
        <f>IF(AND($A68&lt;&gt;"",AN$3&gt;=$J68,AN$3&lt;=$M68),1,"")</f>
        <v/>
      </c>
      <c r="AO68">
        <f>IF(AND($A68&lt;&gt;"",AO$3&gt;=$J68,AO$3&lt;=$M68),1,"")</f>
        <v/>
      </c>
      <c r="AP68">
        <f>IF(AND($A68&lt;&gt;"",AP$3&gt;=$J68,AP$3&lt;=$M68),1,"")</f>
        <v/>
      </c>
      <c r="AQ68">
        <f>IF(AND($A68&lt;&gt;"",AQ$3&gt;=$J68,AQ$3&lt;=$M68),1,"")</f>
        <v/>
      </c>
      <c r="AR68">
        <f>IF(AND($A68&lt;&gt;"",AR$3&gt;=$J68,AR$3&lt;=$M68),1,"")</f>
        <v/>
      </c>
      <c r="AS68">
        <f>IF(AND($A68&lt;&gt;"",AS$3&gt;=$J68,AS$3&lt;=$M68),1,"")</f>
        <v/>
      </c>
      <c r="AT68">
        <f>IF(AND($A68&lt;&gt;"",AT$3&gt;=$J68,AT$3&lt;=$M68),1,"")</f>
        <v/>
      </c>
      <c r="AU68">
        <f>IF(AND($A68&lt;&gt;"",AU$3&gt;=$J68,AU$3&lt;=$M68),1,"")</f>
        <v/>
      </c>
      <c r="AV68">
        <f>IF(AND($A68&lt;&gt;"",AV$3&gt;=$J68,AV$3&lt;=$M68),1,"")</f>
        <v/>
      </c>
      <c r="AW68">
        <f>IF(AND($A68&lt;&gt;"",AW$3&gt;=$J68,AW$3&lt;=$M68),1,"")</f>
        <v/>
      </c>
      <c r="AX68">
        <f>IF(AND($A68&lt;&gt;"",AX$3&gt;=$J68,AX$3&lt;=$M68),1,"")</f>
        <v/>
      </c>
      <c r="AY68">
        <f>IF(AND($A68&lt;&gt;"",AY$3&gt;=$J68,AY$3&lt;=$M68),1,"")</f>
        <v/>
      </c>
      <c r="AZ68">
        <f>IF(AND($A68&lt;&gt;"",AZ$3&gt;=$J68,AZ$3&lt;=$M68),1,"")</f>
        <v/>
      </c>
      <c r="BA68">
        <f>IF(AND($A68&lt;&gt;"",BA$3&gt;=$J68,BA$3&lt;=$M68),1,"")</f>
        <v/>
      </c>
      <c r="BB68">
        <f>IF(AND($A68&lt;&gt;"",BB$3&gt;=$J68,BB$3&lt;=$M68),1,"")</f>
        <v/>
      </c>
      <c r="BC68">
        <f>IF(AND($A68&lt;&gt;"",BC$3&gt;=$J68,BC$3&lt;=$M68),1,"")</f>
        <v/>
      </c>
      <c r="BD68">
        <f>IF(AND($A68&lt;&gt;"",BD$3&gt;=$J68,BD$3&lt;=$M68),1,"")</f>
        <v/>
      </c>
      <c r="BE68">
        <f>IF(AND($A68&lt;&gt;"",BE$3&gt;=$J68,BE$3&lt;=$M68),1,"")</f>
        <v/>
      </c>
      <c r="BF68">
        <f>IF(AND($A68&lt;&gt;"",BF$3&gt;=$J68,BF$3&lt;=$M68),1,"")</f>
        <v/>
      </c>
      <c r="BG68">
        <f>IF(AND($A68&lt;&gt;"",BG$3&gt;=$J68,BG$3&lt;=$M68),1,"")</f>
        <v/>
      </c>
      <c r="BH68">
        <f>IF(AND($A68&lt;&gt;"",BH$3&gt;=$J68,BH$3&lt;=$M68),1,"")</f>
        <v/>
      </c>
      <c r="BI68">
        <f>IF(AND($A68&lt;&gt;"",BI$3&gt;=$J68,BI$3&lt;=$M68),1,"")</f>
        <v/>
      </c>
      <c r="BJ68">
        <f>IF(AND($A68&lt;&gt;"",BJ$3&gt;=$J68,BJ$3&lt;=$M68),1,"")</f>
        <v/>
      </c>
      <c r="BK68">
        <f>IF(AND($A68&lt;&gt;"",BK$3&gt;=$J68,BK$3&lt;=$M68),1,"")</f>
        <v/>
      </c>
      <c r="BL68">
        <f>IF(AND($A68&lt;&gt;"",BL$3&gt;=$J68,BL$3&lt;=$M68),1,"")</f>
        <v/>
      </c>
      <c r="BM68">
        <f>IF(AND($A68&lt;&gt;"",BM$3&gt;=$J68,BM$3&lt;=$M68),1,"")</f>
        <v/>
      </c>
      <c r="BN68">
        <f>IF(AND($A68&lt;&gt;"",BN$3&gt;=$J68,BN$3&lt;=$M68),1,"")</f>
        <v/>
      </c>
      <c r="BO68">
        <f>IF(AND($A68&lt;&gt;"",BO$3&gt;=$J68,BO$3&lt;=$M68),1,"")</f>
        <v/>
      </c>
      <c r="BP68">
        <f>IF(AND($A68&lt;&gt;"",BP$3&gt;=$J68,BP$3&lt;=$M68),1,"")</f>
        <v/>
      </c>
      <c r="BQ68">
        <f>IF(AND($A68&lt;&gt;"",BQ$3&gt;=$J68,BQ$3&lt;=$M68),1,"")</f>
        <v/>
      </c>
      <c r="BR68">
        <f>IF(AND($A68&lt;&gt;"",BR$3&gt;=$J68,BR$3&lt;=$M68),1,"")</f>
        <v/>
      </c>
      <c r="BS68">
        <f>IF(AND($A68&lt;&gt;"",BS$3&gt;=$J68,BS$3&lt;=$M68),1,"")</f>
        <v/>
      </c>
      <c r="BT68">
        <f>IF(AND($A68&lt;&gt;"",BT$3&gt;=$J68,BT$3&lt;=$M68),1,"")</f>
        <v/>
      </c>
      <c r="BU68">
        <f>IF(AND($A68&lt;&gt;"",BU$3&gt;=$J68,BU$3&lt;=$M68),1,"")</f>
        <v/>
      </c>
      <c r="BV68">
        <f>IF(AND($A68&lt;&gt;"",BV$3&gt;=$J68,BV$3&lt;=$M68),1,"")</f>
        <v/>
      </c>
    </row>
    <row r="69">
      <c r="A69">
        <f>IF(Job_Master_Ring!$A69="","",Job_Master_Ring!$A69)</f>
        <v/>
      </c>
      <c r="B69">
        <f>IF($A69="","",Job_Master_Ring!B69)</f>
        <v/>
      </c>
      <c r="C69">
        <f>IF($A69="","",Job_Master_Ring!C69)</f>
        <v/>
      </c>
      <c r="D69">
        <f>IF($A69="","",Job_Master_Ring!D69)</f>
        <v/>
      </c>
      <c r="E69">
        <f>IF($A69="","",IF($I69&lt;&gt;"",$I69,IFERROR(INDEX(Machine_List!$B$72:$B$81,MATCH(1,(Machine_List!$H$72:$H$81&lt;=IFERROR(VLOOKUP($B69,CHOOSE(MATCH($C69,Settings!$L$4:$L$10,0),OPR_BR1!$A$4:$K$18,OPR_BR2!$A$4:$K$18,OPR_CR2!$A$4:$K$18,OPR_CR3!$A$4:$K$18,OPR_CR4!$A$4:$K$18,OPR_RIM!$A$4:$K$18,OPR_BPR!$A$4:$K$18),10,0),0))*(Machine_List!$I$72:$I$81&gt;=IFERROR(VLOOKUP($B69,CHOOSE(MATCH($C69,Settings!$L$4:$L$10,0),OPR_BR1!$A$4:$K$18,OPR_BR2!$A$4:$K$18,OPR_CR2!$A$4:$K$18,OPR_CR3!$A$4:$K$18,OPR_CR4!$A$4:$K$18,OPR_RIM!$A$4:$K$18,OPR_BPR!$A$4:$K$18),11,0),9999)),0)),"NO COMPATIBLE MACHINE")))</f>
        <v/>
      </c>
      <c r="F69">
        <f>IF($E69="","",IFERROR(VLOOKUP($E69,Machine_List!$B:$G,6,0),""))</f>
        <v/>
      </c>
      <c r="G69" s="17">
        <f>IF($E69="","",IFERROR(VLOOKUP($E69,Machine_List!$B:$C,2,0),""))</f>
        <v/>
      </c>
      <c r="H69">
        <f>IF($E69="","",IFERROR(VLOOKUP($E69,Machine_List!$B:$D,3,0),""))</f>
        <v/>
      </c>
      <c r="J69" s="16">
        <f>IF($A69="","",IF($I69&lt;&gt;"",$I69,MAX(VENT_Plan!$M69,IFERROR(LOOKUP(2,1/($E$3:INDIRECT("E"&amp;(ROW()-1))=$E69),$M$3:INDIRECT("M"&amp;(ROW()-1))),VENT_Plan!$M69))))</f>
        <v/>
      </c>
      <c r="K69">
        <f>IF($A69="","",IFERROR(VLOOKUP(B69,CHOOSE(MATCH($C69,Settings!$L$4:$L$10,0),OPR_BR1!$A$4:$I$18,OPR_BR2!$A$4:$I$18,OPR_CR2!$A$4:$I$18,OPR_CR3!$A$4:$I$18,OPR_CR4!$A$4:$I$18,OPR_RIM!$A$4:$I$18,OPR_BPR!$A$4:$I$18),8,0),0))</f>
        <v/>
      </c>
      <c r="L69">
        <f>IF($A69="","",K69*D69)</f>
        <v/>
      </c>
      <c r="M69" s="16">
        <f>IF($A69="","",IF(AND(ISNUMBER(G69),G69&gt;=J69,G69&lt;=(J69+(L69/(IF(F69="Contract Workman",Settings!$K$5,Settings!$K$4))))),J69+(L69/(IF(F69="Contract Workman",Settings!$K$5,Settings!$K$4)))+(H69/(IF(F69="Contract Workman",Settings!$K$5,Settings!$K$4))),J69+(L69/(IF(F69="Contract Workman",Settings!$K$5,Settings!$K$4)))))</f>
        <v/>
      </c>
      <c r="N69">
        <f>IF($A69="","",IF(F69="Contract Workman",IF(AND(MOD(M69,1)&gt;=8/24,MOD(M69,1)&lt;20/24),"Shift S1","Shift S2"),IF(AND(MOD(M69,1)&gt;=7/24,MOD(M69,1)&lt;15/24),"Shift A",IF(AND(MOD(M69,1)&gt;=15/24,MOD(M69,1)&lt;23/24),"Shift B","Shift C"))))</f>
        <v/>
      </c>
      <c r="O69">
        <f>IF(B69="","",IF(IFERROR(ISNUMBER(SEARCH(TEXT(B69,"0"),VLOOKUP(E69,Machine_List!$B:$J,9,0))),FALSE),"✅ "&amp; E69,"❌ Sug: "&amp;IFERROR(INDEX(Machine_List!$B$72:$B$81,MATCH(1,(Machine_List!$H$72:$H$81&lt;=IFERROR(VLOOKUP($B69,OPR_BR1!$A$4:$K$18,10,0),0))*(Machine_List!$I$72:$I$81&gt;=IFERROR(VLOOKUP($B69,OPR_BR1!$A$4:$K$18,11,0),9999)),0)),"?")))</f>
        <v/>
      </c>
      <c r="P69">
        <f>IF(AND($A69&lt;&gt;"",P$3&gt;=$J69,P$3&lt;=$M69),1,"")</f>
        <v/>
      </c>
      <c r="Q69">
        <f>IF(AND($A69&lt;&gt;"",Q$3&gt;=$J69,Q$3&lt;=$M69),1,"")</f>
        <v/>
      </c>
      <c r="R69">
        <f>IF(AND($A69&lt;&gt;"",R$3&gt;=$J69,R$3&lt;=$M69),1,"")</f>
        <v/>
      </c>
      <c r="S69">
        <f>IF(AND($A69&lt;&gt;"",S$3&gt;=$J69,S$3&lt;=$M69),1,"")</f>
        <v/>
      </c>
      <c r="T69">
        <f>IF(AND($A69&lt;&gt;"",T$3&gt;=$J69,T$3&lt;=$M69),1,"")</f>
        <v/>
      </c>
      <c r="U69">
        <f>IF(AND($A69&lt;&gt;"",U$3&gt;=$J69,U$3&lt;=$M69),1,"")</f>
        <v/>
      </c>
      <c r="V69">
        <f>IF(AND($A69&lt;&gt;"",V$3&gt;=$J69,V$3&lt;=$M69),1,"")</f>
        <v/>
      </c>
      <c r="W69">
        <f>IF(AND($A69&lt;&gt;"",W$3&gt;=$J69,W$3&lt;=$M69),1,"")</f>
        <v/>
      </c>
      <c r="X69">
        <f>IF(AND($A69&lt;&gt;"",X$3&gt;=$J69,X$3&lt;=$M69),1,"")</f>
        <v/>
      </c>
      <c r="Y69">
        <f>IF(AND($A69&lt;&gt;"",Y$3&gt;=$J69,Y$3&lt;=$M69),1,"")</f>
        <v/>
      </c>
      <c r="Z69">
        <f>IF(AND($A69&lt;&gt;"",Z$3&gt;=$J69,Z$3&lt;=$M69),1,"")</f>
        <v/>
      </c>
      <c r="AA69">
        <f>IF(AND($A69&lt;&gt;"",AA$3&gt;=$J69,AA$3&lt;=$M69),1,"")</f>
        <v/>
      </c>
      <c r="AB69">
        <f>IF(AND($A69&lt;&gt;"",AB$3&gt;=$J69,AB$3&lt;=$M69),1,"")</f>
        <v/>
      </c>
      <c r="AC69">
        <f>IF(AND($A69&lt;&gt;"",AC$3&gt;=$J69,AC$3&lt;=$M69),1,"")</f>
        <v/>
      </c>
      <c r="AD69">
        <f>IF(AND($A69&lt;&gt;"",AD$3&gt;=$J69,AD$3&lt;=$M69),1,"")</f>
        <v/>
      </c>
      <c r="AE69">
        <f>IF(AND($A69&lt;&gt;"",AE$3&gt;=$J69,AE$3&lt;=$M69),1,"")</f>
        <v/>
      </c>
      <c r="AF69">
        <f>IF(AND($A69&lt;&gt;"",AF$3&gt;=$J69,AF$3&lt;=$M69),1,"")</f>
        <v/>
      </c>
      <c r="AG69">
        <f>IF(AND($A69&lt;&gt;"",AG$3&gt;=$J69,AG$3&lt;=$M69),1,"")</f>
        <v/>
      </c>
      <c r="AH69">
        <f>IF(AND($A69&lt;&gt;"",AH$3&gt;=$J69,AH$3&lt;=$M69),1,"")</f>
        <v/>
      </c>
      <c r="AI69">
        <f>IF(AND($A69&lt;&gt;"",AI$3&gt;=$J69,AI$3&lt;=$M69),1,"")</f>
        <v/>
      </c>
      <c r="AJ69">
        <f>IF(AND($A69&lt;&gt;"",AJ$3&gt;=$J69,AJ$3&lt;=$M69),1,"")</f>
        <v/>
      </c>
      <c r="AK69">
        <f>IF(AND($A69&lt;&gt;"",AK$3&gt;=$J69,AK$3&lt;=$M69),1,"")</f>
        <v/>
      </c>
      <c r="AL69">
        <f>IF(AND($A69&lt;&gt;"",AL$3&gt;=$J69,AL$3&lt;=$M69),1,"")</f>
        <v/>
      </c>
      <c r="AM69">
        <f>IF(AND($A69&lt;&gt;"",AM$3&gt;=$J69,AM$3&lt;=$M69),1,"")</f>
        <v/>
      </c>
      <c r="AN69">
        <f>IF(AND($A69&lt;&gt;"",AN$3&gt;=$J69,AN$3&lt;=$M69),1,"")</f>
        <v/>
      </c>
      <c r="AO69">
        <f>IF(AND($A69&lt;&gt;"",AO$3&gt;=$J69,AO$3&lt;=$M69),1,"")</f>
        <v/>
      </c>
      <c r="AP69">
        <f>IF(AND($A69&lt;&gt;"",AP$3&gt;=$J69,AP$3&lt;=$M69),1,"")</f>
        <v/>
      </c>
      <c r="AQ69">
        <f>IF(AND($A69&lt;&gt;"",AQ$3&gt;=$J69,AQ$3&lt;=$M69),1,"")</f>
        <v/>
      </c>
      <c r="AR69">
        <f>IF(AND($A69&lt;&gt;"",AR$3&gt;=$J69,AR$3&lt;=$M69),1,"")</f>
        <v/>
      </c>
      <c r="AS69">
        <f>IF(AND($A69&lt;&gt;"",AS$3&gt;=$J69,AS$3&lt;=$M69),1,"")</f>
        <v/>
      </c>
      <c r="AT69">
        <f>IF(AND($A69&lt;&gt;"",AT$3&gt;=$J69,AT$3&lt;=$M69),1,"")</f>
        <v/>
      </c>
      <c r="AU69">
        <f>IF(AND($A69&lt;&gt;"",AU$3&gt;=$J69,AU$3&lt;=$M69),1,"")</f>
        <v/>
      </c>
      <c r="AV69">
        <f>IF(AND($A69&lt;&gt;"",AV$3&gt;=$J69,AV$3&lt;=$M69),1,"")</f>
        <v/>
      </c>
      <c r="AW69">
        <f>IF(AND($A69&lt;&gt;"",AW$3&gt;=$J69,AW$3&lt;=$M69),1,"")</f>
        <v/>
      </c>
      <c r="AX69">
        <f>IF(AND($A69&lt;&gt;"",AX$3&gt;=$J69,AX$3&lt;=$M69),1,"")</f>
        <v/>
      </c>
      <c r="AY69">
        <f>IF(AND($A69&lt;&gt;"",AY$3&gt;=$J69,AY$3&lt;=$M69),1,"")</f>
        <v/>
      </c>
      <c r="AZ69">
        <f>IF(AND($A69&lt;&gt;"",AZ$3&gt;=$J69,AZ$3&lt;=$M69),1,"")</f>
        <v/>
      </c>
      <c r="BA69">
        <f>IF(AND($A69&lt;&gt;"",BA$3&gt;=$J69,BA$3&lt;=$M69),1,"")</f>
        <v/>
      </c>
      <c r="BB69">
        <f>IF(AND($A69&lt;&gt;"",BB$3&gt;=$J69,BB$3&lt;=$M69),1,"")</f>
        <v/>
      </c>
      <c r="BC69">
        <f>IF(AND($A69&lt;&gt;"",BC$3&gt;=$J69,BC$3&lt;=$M69),1,"")</f>
        <v/>
      </c>
      <c r="BD69">
        <f>IF(AND($A69&lt;&gt;"",BD$3&gt;=$J69,BD$3&lt;=$M69),1,"")</f>
        <v/>
      </c>
      <c r="BE69">
        <f>IF(AND($A69&lt;&gt;"",BE$3&gt;=$J69,BE$3&lt;=$M69),1,"")</f>
        <v/>
      </c>
      <c r="BF69">
        <f>IF(AND($A69&lt;&gt;"",BF$3&gt;=$J69,BF$3&lt;=$M69),1,"")</f>
        <v/>
      </c>
      <c r="BG69">
        <f>IF(AND($A69&lt;&gt;"",BG$3&gt;=$J69,BG$3&lt;=$M69),1,"")</f>
        <v/>
      </c>
      <c r="BH69">
        <f>IF(AND($A69&lt;&gt;"",BH$3&gt;=$J69,BH$3&lt;=$M69),1,"")</f>
        <v/>
      </c>
      <c r="BI69">
        <f>IF(AND($A69&lt;&gt;"",BI$3&gt;=$J69,BI$3&lt;=$M69),1,"")</f>
        <v/>
      </c>
      <c r="BJ69">
        <f>IF(AND($A69&lt;&gt;"",BJ$3&gt;=$J69,BJ$3&lt;=$M69),1,"")</f>
        <v/>
      </c>
      <c r="BK69">
        <f>IF(AND($A69&lt;&gt;"",BK$3&gt;=$J69,BK$3&lt;=$M69),1,"")</f>
        <v/>
      </c>
      <c r="BL69">
        <f>IF(AND($A69&lt;&gt;"",BL$3&gt;=$J69,BL$3&lt;=$M69),1,"")</f>
        <v/>
      </c>
      <c r="BM69">
        <f>IF(AND($A69&lt;&gt;"",BM$3&gt;=$J69,BM$3&lt;=$M69),1,"")</f>
        <v/>
      </c>
      <c r="BN69">
        <f>IF(AND($A69&lt;&gt;"",BN$3&gt;=$J69,BN$3&lt;=$M69),1,"")</f>
        <v/>
      </c>
      <c r="BO69">
        <f>IF(AND($A69&lt;&gt;"",BO$3&gt;=$J69,BO$3&lt;=$M69),1,"")</f>
        <v/>
      </c>
      <c r="BP69">
        <f>IF(AND($A69&lt;&gt;"",BP$3&gt;=$J69,BP$3&lt;=$M69),1,"")</f>
        <v/>
      </c>
      <c r="BQ69">
        <f>IF(AND($A69&lt;&gt;"",BQ$3&gt;=$J69,BQ$3&lt;=$M69),1,"")</f>
        <v/>
      </c>
      <c r="BR69">
        <f>IF(AND($A69&lt;&gt;"",BR$3&gt;=$J69,BR$3&lt;=$M69),1,"")</f>
        <v/>
      </c>
      <c r="BS69">
        <f>IF(AND($A69&lt;&gt;"",BS$3&gt;=$J69,BS$3&lt;=$M69),1,"")</f>
        <v/>
      </c>
      <c r="BT69">
        <f>IF(AND($A69&lt;&gt;"",BT$3&gt;=$J69,BT$3&lt;=$M69),1,"")</f>
        <v/>
      </c>
      <c r="BU69">
        <f>IF(AND($A69&lt;&gt;"",BU$3&gt;=$J69,BU$3&lt;=$M69),1,"")</f>
        <v/>
      </c>
      <c r="BV69">
        <f>IF(AND($A69&lt;&gt;"",BV$3&gt;=$J69,BV$3&lt;=$M69),1,"")</f>
        <v/>
      </c>
    </row>
    <row r="70">
      <c r="A70">
        <f>IF(Job_Master_Ring!$A70="","",Job_Master_Ring!$A70)</f>
        <v/>
      </c>
      <c r="B70">
        <f>IF($A70="","",Job_Master_Ring!B70)</f>
        <v/>
      </c>
      <c r="C70">
        <f>IF($A70="","",Job_Master_Ring!C70)</f>
        <v/>
      </c>
      <c r="D70">
        <f>IF($A70="","",Job_Master_Ring!D70)</f>
        <v/>
      </c>
      <c r="E70">
        <f>IF($A70="","",IF($I70&lt;&gt;"",$I70,IFERROR(INDEX(Machine_List!$B$72:$B$81,MATCH(1,(Machine_List!$H$72:$H$81&lt;=IFERROR(VLOOKUP($B70,CHOOSE(MATCH($C70,Settings!$L$4:$L$10,0),OPR_BR1!$A$4:$K$18,OPR_BR2!$A$4:$K$18,OPR_CR2!$A$4:$K$18,OPR_CR3!$A$4:$K$18,OPR_CR4!$A$4:$K$18,OPR_RIM!$A$4:$K$18,OPR_BPR!$A$4:$K$18),10,0),0))*(Machine_List!$I$72:$I$81&gt;=IFERROR(VLOOKUP($B70,CHOOSE(MATCH($C70,Settings!$L$4:$L$10,0),OPR_BR1!$A$4:$K$18,OPR_BR2!$A$4:$K$18,OPR_CR2!$A$4:$K$18,OPR_CR3!$A$4:$K$18,OPR_CR4!$A$4:$K$18,OPR_RIM!$A$4:$K$18,OPR_BPR!$A$4:$K$18),11,0),9999)),0)),"NO COMPATIBLE MACHINE")))</f>
        <v/>
      </c>
      <c r="F70">
        <f>IF($E70="","",IFERROR(VLOOKUP($E70,Machine_List!$B:$G,6,0),""))</f>
        <v/>
      </c>
      <c r="G70" s="17">
        <f>IF($E70="","",IFERROR(VLOOKUP($E70,Machine_List!$B:$C,2,0),""))</f>
        <v/>
      </c>
      <c r="H70">
        <f>IF($E70="","",IFERROR(VLOOKUP($E70,Machine_List!$B:$D,3,0),""))</f>
        <v/>
      </c>
      <c r="J70" s="16">
        <f>IF($A70="","",IF($I70&lt;&gt;"",$I70,MAX(VENT_Plan!$M70,IFERROR(LOOKUP(2,1/($E$3:INDIRECT("E"&amp;(ROW()-1))=$E70),$M$3:INDIRECT("M"&amp;(ROW()-1))),VENT_Plan!$M70))))</f>
        <v/>
      </c>
      <c r="K70">
        <f>IF($A70="","",IFERROR(VLOOKUP(B70,CHOOSE(MATCH($C70,Settings!$L$4:$L$10,0),OPR_BR1!$A$4:$I$18,OPR_BR2!$A$4:$I$18,OPR_CR2!$A$4:$I$18,OPR_CR3!$A$4:$I$18,OPR_CR4!$A$4:$I$18,OPR_RIM!$A$4:$I$18,OPR_BPR!$A$4:$I$18),8,0),0))</f>
        <v/>
      </c>
      <c r="L70">
        <f>IF($A70="","",K70*D70)</f>
        <v/>
      </c>
      <c r="M70" s="16">
        <f>IF($A70="","",IF(AND(ISNUMBER(G70),G70&gt;=J70,G70&lt;=(J70+(L70/(IF(F70="Contract Workman",Settings!$K$5,Settings!$K$4))))),J70+(L70/(IF(F70="Contract Workman",Settings!$K$5,Settings!$K$4)))+(H70/(IF(F70="Contract Workman",Settings!$K$5,Settings!$K$4))),J70+(L70/(IF(F70="Contract Workman",Settings!$K$5,Settings!$K$4)))))</f>
        <v/>
      </c>
      <c r="N70">
        <f>IF($A70="","",IF(F70="Contract Workman",IF(AND(MOD(M70,1)&gt;=8/24,MOD(M70,1)&lt;20/24),"Shift S1","Shift S2"),IF(AND(MOD(M70,1)&gt;=7/24,MOD(M70,1)&lt;15/24),"Shift A",IF(AND(MOD(M70,1)&gt;=15/24,MOD(M70,1)&lt;23/24),"Shift B","Shift C"))))</f>
        <v/>
      </c>
      <c r="O70">
        <f>IF(B70="","",IF(IFERROR(ISNUMBER(SEARCH(TEXT(B70,"0"),VLOOKUP(E70,Machine_List!$B:$J,9,0))),FALSE),"✅ "&amp; E70,"❌ Sug: "&amp;IFERROR(INDEX(Machine_List!$B$72:$B$81,MATCH(1,(Machine_List!$H$72:$H$81&lt;=IFERROR(VLOOKUP($B70,OPR_BR1!$A$4:$K$18,10,0),0))*(Machine_List!$I$72:$I$81&gt;=IFERROR(VLOOKUP($B70,OPR_BR1!$A$4:$K$18,11,0),9999)),0)),"?")))</f>
        <v/>
      </c>
      <c r="P70">
        <f>IF(AND($A70&lt;&gt;"",P$3&gt;=$J70,P$3&lt;=$M70),1,"")</f>
        <v/>
      </c>
      <c r="Q70">
        <f>IF(AND($A70&lt;&gt;"",Q$3&gt;=$J70,Q$3&lt;=$M70),1,"")</f>
        <v/>
      </c>
      <c r="R70">
        <f>IF(AND($A70&lt;&gt;"",R$3&gt;=$J70,R$3&lt;=$M70),1,"")</f>
        <v/>
      </c>
      <c r="S70">
        <f>IF(AND($A70&lt;&gt;"",S$3&gt;=$J70,S$3&lt;=$M70),1,"")</f>
        <v/>
      </c>
      <c r="T70">
        <f>IF(AND($A70&lt;&gt;"",T$3&gt;=$J70,T$3&lt;=$M70),1,"")</f>
        <v/>
      </c>
      <c r="U70">
        <f>IF(AND($A70&lt;&gt;"",U$3&gt;=$J70,U$3&lt;=$M70),1,"")</f>
        <v/>
      </c>
      <c r="V70">
        <f>IF(AND($A70&lt;&gt;"",V$3&gt;=$J70,V$3&lt;=$M70),1,"")</f>
        <v/>
      </c>
      <c r="W70">
        <f>IF(AND($A70&lt;&gt;"",W$3&gt;=$J70,W$3&lt;=$M70),1,"")</f>
        <v/>
      </c>
      <c r="X70">
        <f>IF(AND($A70&lt;&gt;"",X$3&gt;=$J70,X$3&lt;=$M70),1,"")</f>
        <v/>
      </c>
      <c r="Y70">
        <f>IF(AND($A70&lt;&gt;"",Y$3&gt;=$J70,Y$3&lt;=$M70),1,"")</f>
        <v/>
      </c>
      <c r="Z70">
        <f>IF(AND($A70&lt;&gt;"",Z$3&gt;=$J70,Z$3&lt;=$M70),1,"")</f>
        <v/>
      </c>
      <c r="AA70">
        <f>IF(AND($A70&lt;&gt;"",AA$3&gt;=$J70,AA$3&lt;=$M70),1,"")</f>
        <v/>
      </c>
      <c r="AB70">
        <f>IF(AND($A70&lt;&gt;"",AB$3&gt;=$J70,AB$3&lt;=$M70),1,"")</f>
        <v/>
      </c>
      <c r="AC70">
        <f>IF(AND($A70&lt;&gt;"",AC$3&gt;=$J70,AC$3&lt;=$M70),1,"")</f>
        <v/>
      </c>
      <c r="AD70">
        <f>IF(AND($A70&lt;&gt;"",AD$3&gt;=$J70,AD$3&lt;=$M70),1,"")</f>
        <v/>
      </c>
      <c r="AE70">
        <f>IF(AND($A70&lt;&gt;"",AE$3&gt;=$J70,AE$3&lt;=$M70),1,"")</f>
        <v/>
      </c>
      <c r="AF70">
        <f>IF(AND($A70&lt;&gt;"",AF$3&gt;=$J70,AF$3&lt;=$M70),1,"")</f>
        <v/>
      </c>
      <c r="AG70">
        <f>IF(AND($A70&lt;&gt;"",AG$3&gt;=$J70,AG$3&lt;=$M70),1,"")</f>
        <v/>
      </c>
      <c r="AH70">
        <f>IF(AND($A70&lt;&gt;"",AH$3&gt;=$J70,AH$3&lt;=$M70),1,"")</f>
        <v/>
      </c>
      <c r="AI70">
        <f>IF(AND($A70&lt;&gt;"",AI$3&gt;=$J70,AI$3&lt;=$M70),1,"")</f>
        <v/>
      </c>
      <c r="AJ70">
        <f>IF(AND($A70&lt;&gt;"",AJ$3&gt;=$J70,AJ$3&lt;=$M70),1,"")</f>
        <v/>
      </c>
      <c r="AK70">
        <f>IF(AND($A70&lt;&gt;"",AK$3&gt;=$J70,AK$3&lt;=$M70),1,"")</f>
        <v/>
      </c>
      <c r="AL70">
        <f>IF(AND($A70&lt;&gt;"",AL$3&gt;=$J70,AL$3&lt;=$M70),1,"")</f>
        <v/>
      </c>
      <c r="AM70">
        <f>IF(AND($A70&lt;&gt;"",AM$3&gt;=$J70,AM$3&lt;=$M70),1,"")</f>
        <v/>
      </c>
      <c r="AN70">
        <f>IF(AND($A70&lt;&gt;"",AN$3&gt;=$J70,AN$3&lt;=$M70),1,"")</f>
        <v/>
      </c>
      <c r="AO70">
        <f>IF(AND($A70&lt;&gt;"",AO$3&gt;=$J70,AO$3&lt;=$M70),1,"")</f>
        <v/>
      </c>
      <c r="AP70">
        <f>IF(AND($A70&lt;&gt;"",AP$3&gt;=$J70,AP$3&lt;=$M70),1,"")</f>
        <v/>
      </c>
      <c r="AQ70">
        <f>IF(AND($A70&lt;&gt;"",AQ$3&gt;=$J70,AQ$3&lt;=$M70),1,"")</f>
        <v/>
      </c>
      <c r="AR70">
        <f>IF(AND($A70&lt;&gt;"",AR$3&gt;=$J70,AR$3&lt;=$M70),1,"")</f>
        <v/>
      </c>
      <c r="AS70">
        <f>IF(AND($A70&lt;&gt;"",AS$3&gt;=$J70,AS$3&lt;=$M70),1,"")</f>
        <v/>
      </c>
      <c r="AT70">
        <f>IF(AND($A70&lt;&gt;"",AT$3&gt;=$J70,AT$3&lt;=$M70),1,"")</f>
        <v/>
      </c>
      <c r="AU70">
        <f>IF(AND($A70&lt;&gt;"",AU$3&gt;=$J70,AU$3&lt;=$M70),1,"")</f>
        <v/>
      </c>
      <c r="AV70">
        <f>IF(AND($A70&lt;&gt;"",AV$3&gt;=$J70,AV$3&lt;=$M70),1,"")</f>
        <v/>
      </c>
      <c r="AW70">
        <f>IF(AND($A70&lt;&gt;"",AW$3&gt;=$J70,AW$3&lt;=$M70),1,"")</f>
        <v/>
      </c>
      <c r="AX70">
        <f>IF(AND($A70&lt;&gt;"",AX$3&gt;=$J70,AX$3&lt;=$M70),1,"")</f>
        <v/>
      </c>
      <c r="AY70">
        <f>IF(AND($A70&lt;&gt;"",AY$3&gt;=$J70,AY$3&lt;=$M70),1,"")</f>
        <v/>
      </c>
      <c r="AZ70">
        <f>IF(AND($A70&lt;&gt;"",AZ$3&gt;=$J70,AZ$3&lt;=$M70),1,"")</f>
        <v/>
      </c>
      <c r="BA70">
        <f>IF(AND($A70&lt;&gt;"",BA$3&gt;=$J70,BA$3&lt;=$M70),1,"")</f>
        <v/>
      </c>
      <c r="BB70">
        <f>IF(AND($A70&lt;&gt;"",BB$3&gt;=$J70,BB$3&lt;=$M70),1,"")</f>
        <v/>
      </c>
      <c r="BC70">
        <f>IF(AND($A70&lt;&gt;"",BC$3&gt;=$J70,BC$3&lt;=$M70),1,"")</f>
        <v/>
      </c>
      <c r="BD70">
        <f>IF(AND($A70&lt;&gt;"",BD$3&gt;=$J70,BD$3&lt;=$M70),1,"")</f>
        <v/>
      </c>
      <c r="BE70">
        <f>IF(AND($A70&lt;&gt;"",BE$3&gt;=$J70,BE$3&lt;=$M70),1,"")</f>
        <v/>
      </c>
      <c r="BF70">
        <f>IF(AND($A70&lt;&gt;"",BF$3&gt;=$J70,BF$3&lt;=$M70),1,"")</f>
        <v/>
      </c>
      <c r="BG70">
        <f>IF(AND($A70&lt;&gt;"",BG$3&gt;=$J70,BG$3&lt;=$M70),1,"")</f>
        <v/>
      </c>
      <c r="BH70">
        <f>IF(AND($A70&lt;&gt;"",BH$3&gt;=$J70,BH$3&lt;=$M70),1,"")</f>
        <v/>
      </c>
      <c r="BI70">
        <f>IF(AND($A70&lt;&gt;"",BI$3&gt;=$J70,BI$3&lt;=$M70),1,"")</f>
        <v/>
      </c>
      <c r="BJ70">
        <f>IF(AND($A70&lt;&gt;"",BJ$3&gt;=$J70,BJ$3&lt;=$M70),1,"")</f>
        <v/>
      </c>
      <c r="BK70">
        <f>IF(AND($A70&lt;&gt;"",BK$3&gt;=$J70,BK$3&lt;=$M70),1,"")</f>
        <v/>
      </c>
      <c r="BL70">
        <f>IF(AND($A70&lt;&gt;"",BL$3&gt;=$J70,BL$3&lt;=$M70),1,"")</f>
        <v/>
      </c>
      <c r="BM70">
        <f>IF(AND($A70&lt;&gt;"",BM$3&gt;=$J70,BM$3&lt;=$M70),1,"")</f>
        <v/>
      </c>
      <c r="BN70">
        <f>IF(AND($A70&lt;&gt;"",BN$3&gt;=$J70,BN$3&lt;=$M70),1,"")</f>
        <v/>
      </c>
      <c r="BO70">
        <f>IF(AND($A70&lt;&gt;"",BO$3&gt;=$J70,BO$3&lt;=$M70),1,"")</f>
        <v/>
      </c>
      <c r="BP70">
        <f>IF(AND($A70&lt;&gt;"",BP$3&gt;=$J70,BP$3&lt;=$M70),1,"")</f>
        <v/>
      </c>
      <c r="BQ70">
        <f>IF(AND($A70&lt;&gt;"",BQ$3&gt;=$J70,BQ$3&lt;=$M70),1,"")</f>
        <v/>
      </c>
      <c r="BR70">
        <f>IF(AND($A70&lt;&gt;"",BR$3&gt;=$J70,BR$3&lt;=$M70),1,"")</f>
        <v/>
      </c>
      <c r="BS70">
        <f>IF(AND($A70&lt;&gt;"",BS$3&gt;=$J70,BS$3&lt;=$M70),1,"")</f>
        <v/>
      </c>
      <c r="BT70">
        <f>IF(AND($A70&lt;&gt;"",BT$3&gt;=$J70,BT$3&lt;=$M70),1,"")</f>
        <v/>
      </c>
      <c r="BU70">
        <f>IF(AND($A70&lt;&gt;"",BU$3&gt;=$J70,BU$3&lt;=$M70),1,"")</f>
        <v/>
      </c>
      <c r="BV70">
        <f>IF(AND($A70&lt;&gt;"",BV$3&gt;=$J70,BV$3&lt;=$M70),1,"")</f>
        <v/>
      </c>
    </row>
    <row r="71">
      <c r="A71">
        <f>IF(Job_Master_Ring!$A71="","",Job_Master_Ring!$A71)</f>
        <v/>
      </c>
      <c r="B71">
        <f>IF($A71="","",Job_Master_Ring!B71)</f>
        <v/>
      </c>
      <c r="C71">
        <f>IF($A71="","",Job_Master_Ring!C71)</f>
        <v/>
      </c>
      <c r="D71">
        <f>IF($A71="","",Job_Master_Ring!D71)</f>
        <v/>
      </c>
      <c r="E71">
        <f>IF($A71="","",IF($I71&lt;&gt;"",$I71,IFERROR(INDEX(Machine_List!$B$72:$B$81,MATCH(1,(Machine_List!$H$72:$H$81&lt;=IFERROR(VLOOKUP($B71,CHOOSE(MATCH($C71,Settings!$L$4:$L$10,0),OPR_BR1!$A$4:$K$18,OPR_BR2!$A$4:$K$18,OPR_CR2!$A$4:$K$18,OPR_CR3!$A$4:$K$18,OPR_CR4!$A$4:$K$18,OPR_RIM!$A$4:$K$18,OPR_BPR!$A$4:$K$18),10,0),0))*(Machine_List!$I$72:$I$81&gt;=IFERROR(VLOOKUP($B71,CHOOSE(MATCH($C71,Settings!$L$4:$L$10,0),OPR_BR1!$A$4:$K$18,OPR_BR2!$A$4:$K$18,OPR_CR2!$A$4:$K$18,OPR_CR3!$A$4:$K$18,OPR_CR4!$A$4:$K$18,OPR_RIM!$A$4:$K$18,OPR_BPR!$A$4:$K$18),11,0),9999)),0)),"NO COMPATIBLE MACHINE")))</f>
        <v/>
      </c>
      <c r="F71">
        <f>IF($E71="","",IFERROR(VLOOKUP($E71,Machine_List!$B:$G,6,0),""))</f>
        <v/>
      </c>
      <c r="G71" s="17">
        <f>IF($E71="","",IFERROR(VLOOKUP($E71,Machine_List!$B:$C,2,0),""))</f>
        <v/>
      </c>
      <c r="H71">
        <f>IF($E71="","",IFERROR(VLOOKUP($E71,Machine_List!$B:$D,3,0),""))</f>
        <v/>
      </c>
      <c r="J71" s="16">
        <f>IF($A71="","",IF($I71&lt;&gt;"",$I71,MAX(VENT_Plan!$M71,IFERROR(LOOKUP(2,1/($E$3:INDIRECT("E"&amp;(ROW()-1))=$E71),$M$3:INDIRECT("M"&amp;(ROW()-1))),VENT_Plan!$M71))))</f>
        <v/>
      </c>
      <c r="K71">
        <f>IF($A71="","",IFERROR(VLOOKUP(B71,CHOOSE(MATCH($C71,Settings!$L$4:$L$10,0),OPR_BR1!$A$4:$I$18,OPR_BR2!$A$4:$I$18,OPR_CR2!$A$4:$I$18,OPR_CR3!$A$4:$I$18,OPR_CR4!$A$4:$I$18,OPR_RIM!$A$4:$I$18,OPR_BPR!$A$4:$I$18),8,0),0))</f>
        <v/>
      </c>
      <c r="L71">
        <f>IF($A71="","",K71*D71)</f>
        <v/>
      </c>
      <c r="M71" s="16">
        <f>IF($A71="","",IF(AND(ISNUMBER(G71),G71&gt;=J71,G71&lt;=(J71+(L71/(IF(F71="Contract Workman",Settings!$K$5,Settings!$K$4))))),J71+(L71/(IF(F71="Contract Workman",Settings!$K$5,Settings!$K$4)))+(H71/(IF(F71="Contract Workman",Settings!$K$5,Settings!$K$4))),J71+(L71/(IF(F71="Contract Workman",Settings!$K$5,Settings!$K$4)))))</f>
        <v/>
      </c>
      <c r="N71">
        <f>IF($A71="","",IF(F71="Contract Workman",IF(AND(MOD(M71,1)&gt;=8/24,MOD(M71,1)&lt;20/24),"Shift S1","Shift S2"),IF(AND(MOD(M71,1)&gt;=7/24,MOD(M71,1)&lt;15/24),"Shift A",IF(AND(MOD(M71,1)&gt;=15/24,MOD(M71,1)&lt;23/24),"Shift B","Shift C"))))</f>
        <v/>
      </c>
      <c r="O71">
        <f>IF(B71="","",IF(IFERROR(ISNUMBER(SEARCH(TEXT(B71,"0"),VLOOKUP(E71,Machine_List!$B:$J,9,0))),FALSE),"✅ "&amp; E71,"❌ Sug: "&amp;IFERROR(INDEX(Machine_List!$B$72:$B$81,MATCH(1,(Machine_List!$H$72:$H$81&lt;=IFERROR(VLOOKUP($B71,OPR_BR1!$A$4:$K$18,10,0),0))*(Machine_List!$I$72:$I$81&gt;=IFERROR(VLOOKUP($B71,OPR_BR1!$A$4:$K$18,11,0),9999)),0)),"?")))</f>
        <v/>
      </c>
      <c r="P71">
        <f>IF(AND($A71&lt;&gt;"",P$3&gt;=$J71,P$3&lt;=$M71),1,"")</f>
        <v/>
      </c>
      <c r="Q71">
        <f>IF(AND($A71&lt;&gt;"",Q$3&gt;=$J71,Q$3&lt;=$M71),1,"")</f>
        <v/>
      </c>
      <c r="R71">
        <f>IF(AND($A71&lt;&gt;"",R$3&gt;=$J71,R$3&lt;=$M71),1,"")</f>
        <v/>
      </c>
      <c r="S71">
        <f>IF(AND($A71&lt;&gt;"",S$3&gt;=$J71,S$3&lt;=$M71),1,"")</f>
        <v/>
      </c>
      <c r="T71">
        <f>IF(AND($A71&lt;&gt;"",T$3&gt;=$J71,T$3&lt;=$M71),1,"")</f>
        <v/>
      </c>
      <c r="U71">
        <f>IF(AND($A71&lt;&gt;"",U$3&gt;=$J71,U$3&lt;=$M71),1,"")</f>
        <v/>
      </c>
      <c r="V71">
        <f>IF(AND($A71&lt;&gt;"",V$3&gt;=$J71,V$3&lt;=$M71),1,"")</f>
        <v/>
      </c>
      <c r="W71">
        <f>IF(AND($A71&lt;&gt;"",W$3&gt;=$J71,W$3&lt;=$M71),1,"")</f>
        <v/>
      </c>
      <c r="X71">
        <f>IF(AND($A71&lt;&gt;"",X$3&gt;=$J71,X$3&lt;=$M71),1,"")</f>
        <v/>
      </c>
      <c r="Y71">
        <f>IF(AND($A71&lt;&gt;"",Y$3&gt;=$J71,Y$3&lt;=$M71),1,"")</f>
        <v/>
      </c>
      <c r="Z71">
        <f>IF(AND($A71&lt;&gt;"",Z$3&gt;=$J71,Z$3&lt;=$M71),1,"")</f>
        <v/>
      </c>
      <c r="AA71">
        <f>IF(AND($A71&lt;&gt;"",AA$3&gt;=$J71,AA$3&lt;=$M71),1,"")</f>
        <v/>
      </c>
      <c r="AB71">
        <f>IF(AND($A71&lt;&gt;"",AB$3&gt;=$J71,AB$3&lt;=$M71),1,"")</f>
        <v/>
      </c>
      <c r="AC71">
        <f>IF(AND($A71&lt;&gt;"",AC$3&gt;=$J71,AC$3&lt;=$M71),1,"")</f>
        <v/>
      </c>
      <c r="AD71">
        <f>IF(AND($A71&lt;&gt;"",AD$3&gt;=$J71,AD$3&lt;=$M71),1,"")</f>
        <v/>
      </c>
      <c r="AE71">
        <f>IF(AND($A71&lt;&gt;"",AE$3&gt;=$J71,AE$3&lt;=$M71),1,"")</f>
        <v/>
      </c>
      <c r="AF71">
        <f>IF(AND($A71&lt;&gt;"",AF$3&gt;=$J71,AF$3&lt;=$M71),1,"")</f>
        <v/>
      </c>
      <c r="AG71">
        <f>IF(AND($A71&lt;&gt;"",AG$3&gt;=$J71,AG$3&lt;=$M71),1,"")</f>
        <v/>
      </c>
      <c r="AH71">
        <f>IF(AND($A71&lt;&gt;"",AH$3&gt;=$J71,AH$3&lt;=$M71),1,"")</f>
        <v/>
      </c>
      <c r="AI71">
        <f>IF(AND($A71&lt;&gt;"",AI$3&gt;=$J71,AI$3&lt;=$M71),1,"")</f>
        <v/>
      </c>
      <c r="AJ71">
        <f>IF(AND($A71&lt;&gt;"",AJ$3&gt;=$J71,AJ$3&lt;=$M71),1,"")</f>
        <v/>
      </c>
      <c r="AK71">
        <f>IF(AND($A71&lt;&gt;"",AK$3&gt;=$J71,AK$3&lt;=$M71),1,"")</f>
        <v/>
      </c>
      <c r="AL71">
        <f>IF(AND($A71&lt;&gt;"",AL$3&gt;=$J71,AL$3&lt;=$M71),1,"")</f>
        <v/>
      </c>
      <c r="AM71">
        <f>IF(AND($A71&lt;&gt;"",AM$3&gt;=$J71,AM$3&lt;=$M71),1,"")</f>
        <v/>
      </c>
      <c r="AN71">
        <f>IF(AND($A71&lt;&gt;"",AN$3&gt;=$J71,AN$3&lt;=$M71),1,"")</f>
        <v/>
      </c>
      <c r="AO71">
        <f>IF(AND($A71&lt;&gt;"",AO$3&gt;=$J71,AO$3&lt;=$M71),1,"")</f>
        <v/>
      </c>
      <c r="AP71">
        <f>IF(AND($A71&lt;&gt;"",AP$3&gt;=$J71,AP$3&lt;=$M71),1,"")</f>
        <v/>
      </c>
      <c r="AQ71">
        <f>IF(AND($A71&lt;&gt;"",AQ$3&gt;=$J71,AQ$3&lt;=$M71),1,"")</f>
        <v/>
      </c>
      <c r="AR71">
        <f>IF(AND($A71&lt;&gt;"",AR$3&gt;=$J71,AR$3&lt;=$M71),1,"")</f>
        <v/>
      </c>
      <c r="AS71">
        <f>IF(AND($A71&lt;&gt;"",AS$3&gt;=$J71,AS$3&lt;=$M71),1,"")</f>
        <v/>
      </c>
      <c r="AT71">
        <f>IF(AND($A71&lt;&gt;"",AT$3&gt;=$J71,AT$3&lt;=$M71),1,"")</f>
        <v/>
      </c>
      <c r="AU71">
        <f>IF(AND($A71&lt;&gt;"",AU$3&gt;=$J71,AU$3&lt;=$M71),1,"")</f>
        <v/>
      </c>
      <c r="AV71">
        <f>IF(AND($A71&lt;&gt;"",AV$3&gt;=$J71,AV$3&lt;=$M71),1,"")</f>
        <v/>
      </c>
      <c r="AW71">
        <f>IF(AND($A71&lt;&gt;"",AW$3&gt;=$J71,AW$3&lt;=$M71),1,"")</f>
        <v/>
      </c>
      <c r="AX71">
        <f>IF(AND($A71&lt;&gt;"",AX$3&gt;=$J71,AX$3&lt;=$M71),1,"")</f>
        <v/>
      </c>
      <c r="AY71">
        <f>IF(AND($A71&lt;&gt;"",AY$3&gt;=$J71,AY$3&lt;=$M71),1,"")</f>
        <v/>
      </c>
      <c r="AZ71">
        <f>IF(AND($A71&lt;&gt;"",AZ$3&gt;=$J71,AZ$3&lt;=$M71),1,"")</f>
        <v/>
      </c>
      <c r="BA71">
        <f>IF(AND($A71&lt;&gt;"",BA$3&gt;=$J71,BA$3&lt;=$M71),1,"")</f>
        <v/>
      </c>
      <c r="BB71">
        <f>IF(AND($A71&lt;&gt;"",BB$3&gt;=$J71,BB$3&lt;=$M71),1,"")</f>
        <v/>
      </c>
      <c r="BC71">
        <f>IF(AND($A71&lt;&gt;"",BC$3&gt;=$J71,BC$3&lt;=$M71),1,"")</f>
        <v/>
      </c>
      <c r="BD71">
        <f>IF(AND($A71&lt;&gt;"",BD$3&gt;=$J71,BD$3&lt;=$M71),1,"")</f>
        <v/>
      </c>
      <c r="BE71">
        <f>IF(AND($A71&lt;&gt;"",BE$3&gt;=$J71,BE$3&lt;=$M71),1,"")</f>
        <v/>
      </c>
      <c r="BF71">
        <f>IF(AND($A71&lt;&gt;"",BF$3&gt;=$J71,BF$3&lt;=$M71),1,"")</f>
        <v/>
      </c>
      <c r="BG71">
        <f>IF(AND($A71&lt;&gt;"",BG$3&gt;=$J71,BG$3&lt;=$M71),1,"")</f>
        <v/>
      </c>
      <c r="BH71">
        <f>IF(AND($A71&lt;&gt;"",BH$3&gt;=$J71,BH$3&lt;=$M71),1,"")</f>
        <v/>
      </c>
      <c r="BI71">
        <f>IF(AND($A71&lt;&gt;"",BI$3&gt;=$J71,BI$3&lt;=$M71),1,"")</f>
        <v/>
      </c>
      <c r="BJ71">
        <f>IF(AND($A71&lt;&gt;"",BJ$3&gt;=$J71,BJ$3&lt;=$M71),1,"")</f>
        <v/>
      </c>
      <c r="BK71">
        <f>IF(AND($A71&lt;&gt;"",BK$3&gt;=$J71,BK$3&lt;=$M71),1,"")</f>
        <v/>
      </c>
      <c r="BL71">
        <f>IF(AND($A71&lt;&gt;"",BL$3&gt;=$J71,BL$3&lt;=$M71),1,"")</f>
        <v/>
      </c>
      <c r="BM71">
        <f>IF(AND($A71&lt;&gt;"",BM$3&gt;=$J71,BM$3&lt;=$M71),1,"")</f>
        <v/>
      </c>
      <c r="BN71">
        <f>IF(AND($A71&lt;&gt;"",BN$3&gt;=$J71,BN$3&lt;=$M71),1,"")</f>
        <v/>
      </c>
      <c r="BO71">
        <f>IF(AND($A71&lt;&gt;"",BO$3&gt;=$J71,BO$3&lt;=$M71),1,"")</f>
        <v/>
      </c>
      <c r="BP71">
        <f>IF(AND($A71&lt;&gt;"",BP$3&gt;=$J71,BP$3&lt;=$M71),1,"")</f>
        <v/>
      </c>
      <c r="BQ71">
        <f>IF(AND($A71&lt;&gt;"",BQ$3&gt;=$J71,BQ$3&lt;=$M71),1,"")</f>
        <v/>
      </c>
      <c r="BR71">
        <f>IF(AND($A71&lt;&gt;"",BR$3&gt;=$J71,BR$3&lt;=$M71),1,"")</f>
        <v/>
      </c>
      <c r="BS71">
        <f>IF(AND($A71&lt;&gt;"",BS$3&gt;=$J71,BS$3&lt;=$M71),1,"")</f>
        <v/>
      </c>
      <c r="BT71">
        <f>IF(AND($A71&lt;&gt;"",BT$3&gt;=$J71,BT$3&lt;=$M71),1,"")</f>
        <v/>
      </c>
      <c r="BU71">
        <f>IF(AND($A71&lt;&gt;"",BU$3&gt;=$J71,BU$3&lt;=$M71),1,"")</f>
        <v/>
      </c>
      <c r="BV71">
        <f>IF(AND($A71&lt;&gt;"",BV$3&gt;=$J71,BV$3&lt;=$M71),1,"")</f>
        <v/>
      </c>
    </row>
    <row r="72">
      <c r="A72">
        <f>IF(Job_Master_Ring!$A72="","",Job_Master_Ring!$A72)</f>
        <v/>
      </c>
      <c r="B72">
        <f>IF($A72="","",Job_Master_Ring!B72)</f>
        <v/>
      </c>
      <c r="C72">
        <f>IF($A72="","",Job_Master_Ring!C72)</f>
        <v/>
      </c>
      <c r="D72">
        <f>IF($A72="","",Job_Master_Ring!D72)</f>
        <v/>
      </c>
      <c r="E72">
        <f>IF($A72="","",IF($I72&lt;&gt;"",$I72,IFERROR(INDEX(Machine_List!$B$72:$B$81,MATCH(1,(Machine_List!$H$72:$H$81&lt;=IFERROR(VLOOKUP($B72,CHOOSE(MATCH($C72,Settings!$L$4:$L$10,0),OPR_BR1!$A$4:$K$18,OPR_BR2!$A$4:$K$18,OPR_CR2!$A$4:$K$18,OPR_CR3!$A$4:$K$18,OPR_CR4!$A$4:$K$18,OPR_RIM!$A$4:$K$18,OPR_BPR!$A$4:$K$18),10,0),0))*(Machine_List!$I$72:$I$81&gt;=IFERROR(VLOOKUP($B72,CHOOSE(MATCH($C72,Settings!$L$4:$L$10,0),OPR_BR1!$A$4:$K$18,OPR_BR2!$A$4:$K$18,OPR_CR2!$A$4:$K$18,OPR_CR3!$A$4:$K$18,OPR_CR4!$A$4:$K$18,OPR_RIM!$A$4:$K$18,OPR_BPR!$A$4:$K$18),11,0),9999)),0)),"NO COMPATIBLE MACHINE")))</f>
        <v/>
      </c>
      <c r="F72">
        <f>IF($E72="","",IFERROR(VLOOKUP($E72,Machine_List!$B:$G,6,0),""))</f>
        <v/>
      </c>
      <c r="G72" s="17">
        <f>IF($E72="","",IFERROR(VLOOKUP($E72,Machine_List!$B:$C,2,0),""))</f>
        <v/>
      </c>
      <c r="H72">
        <f>IF($E72="","",IFERROR(VLOOKUP($E72,Machine_List!$B:$D,3,0),""))</f>
        <v/>
      </c>
      <c r="J72" s="16">
        <f>IF($A72="","",IF($I72&lt;&gt;"",$I72,MAX(VENT_Plan!$M72,IFERROR(LOOKUP(2,1/($E$3:INDIRECT("E"&amp;(ROW()-1))=$E72),$M$3:INDIRECT("M"&amp;(ROW()-1))),VENT_Plan!$M72))))</f>
        <v/>
      </c>
      <c r="K72">
        <f>IF($A72="","",IFERROR(VLOOKUP(B72,CHOOSE(MATCH($C72,Settings!$L$4:$L$10,0),OPR_BR1!$A$4:$I$18,OPR_BR2!$A$4:$I$18,OPR_CR2!$A$4:$I$18,OPR_CR3!$A$4:$I$18,OPR_CR4!$A$4:$I$18,OPR_RIM!$A$4:$I$18,OPR_BPR!$A$4:$I$18),8,0),0))</f>
        <v/>
      </c>
      <c r="L72">
        <f>IF($A72="","",K72*D72)</f>
        <v/>
      </c>
      <c r="M72" s="16">
        <f>IF($A72="","",IF(AND(ISNUMBER(G72),G72&gt;=J72,G72&lt;=(J72+(L72/(IF(F72="Contract Workman",Settings!$K$5,Settings!$K$4))))),J72+(L72/(IF(F72="Contract Workman",Settings!$K$5,Settings!$K$4)))+(H72/(IF(F72="Contract Workman",Settings!$K$5,Settings!$K$4))),J72+(L72/(IF(F72="Contract Workman",Settings!$K$5,Settings!$K$4)))))</f>
        <v/>
      </c>
      <c r="N72">
        <f>IF($A72="","",IF(F72="Contract Workman",IF(AND(MOD(M72,1)&gt;=8/24,MOD(M72,1)&lt;20/24),"Shift S1","Shift S2"),IF(AND(MOD(M72,1)&gt;=7/24,MOD(M72,1)&lt;15/24),"Shift A",IF(AND(MOD(M72,1)&gt;=15/24,MOD(M72,1)&lt;23/24),"Shift B","Shift C"))))</f>
        <v/>
      </c>
      <c r="O72">
        <f>IF(B72="","",IF(IFERROR(ISNUMBER(SEARCH(TEXT(B72,"0"),VLOOKUP(E72,Machine_List!$B:$J,9,0))),FALSE),"✅ "&amp; E72,"❌ Sug: "&amp;IFERROR(INDEX(Machine_List!$B$72:$B$81,MATCH(1,(Machine_List!$H$72:$H$81&lt;=IFERROR(VLOOKUP($B72,OPR_BR1!$A$4:$K$18,10,0),0))*(Machine_List!$I$72:$I$81&gt;=IFERROR(VLOOKUP($B72,OPR_BR1!$A$4:$K$18,11,0),9999)),0)),"?")))</f>
        <v/>
      </c>
      <c r="P72">
        <f>IF(AND($A72&lt;&gt;"",P$3&gt;=$J72,P$3&lt;=$M72),1,"")</f>
        <v/>
      </c>
      <c r="Q72">
        <f>IF(AND($A72&lt;&gt;"",Q$3&gt;=$J72,Q$3&lt;=$M72),1,"")</f>
        <v/>
      </c>
      <c r="R72">
        <f>IF(AND($A72&lt;&gt;"",R$3&gt;=$J72,R$3&lt;=$M72),1,"")</f>
        <v/>
      </c>
      <c r="S72">
        <f>IF(AND($A72&lt;&gt;"",S$3&gt;=$J72,S$3&lt;=$M72),1,"")</f>
        <v/>
      </c>
      <c r="T72">
        <f>IF(AND($A72&lt;&gt;"",T$3&gt;=$J72,T$3&lt;=$M72),1,"")</f>
        <v/>
      </c>
      <c r="U72">
        <f>IF(AND($A72&lt;&gt;"",U$3&gt;=$J72,U$3&lt;=$M72),1,"")</f>
        <v/>
      </c>
      <c r="V72">
        <f>IF(AND($A72&lt;&gt;"",V$3&gt;=$J72,V$3&lt;=$M72),1,"")</f>
        <v/>
      </c>
      <c r="W72">
        <f>IF(AND($A72&lt;&gt;"",W$3&gt;=$J72,W$3&lt;=$M72),1,"")</f>
        <v/>
      </c>
      <c r="X72">
        <f>IF(AND($A72&lt;&gt;"",X$3&gt;=$J72,X$3&lt;=$M72),1,"")</f>
        <v/>
      </c>
      <c r="Y72">
        <f>IF(AND($A72&lt;&gt;"",Y$3&gt;=$J72,Y$3&lt;=$M72),1,"")</f>
        <v/>
      </c>
      <c r="Z72">
        <f>IF(AND($A72&lt;&gt;"",Z$3&gt;=$J72,Z$3&lt;=$M72),1,"")</f>
        <v/>
      </c>
      <c r="AA72">
        <f>IF(AND($A72&lt;&gt;"",AA$3&gt;=$J72,AA$3&lt;=$M72),1,"")</f>
        <v/>
      </c>
      <c r="AB72">
        <f>IF(AND($A72&lt;&gt;"",AB$3&gt;=$J72,AB$3&lt;=$M72),1,"")</f>
        <v/>
      </c>
      <c r="AC72">
        <f>IF(AND($A72&lt;&gt;"",AC$3&gt;=$J72,AC$3&lt;=$M72),1,"")</f>
        <v/>
      </c>
      <c r="AD72">
        <f>IF(AND($A72&lt;&gt;"",AD$3&gt;=$J72,AD$3&lt;=$M72),1,"")</f>
        <v/>
      </c>
      <c r="AE72">
        <f>IF(AND($A72&lt;&gt;"",AE$3&gt;=$J72,AE$3&lt;=$M72),1,"")</f>
        <v/>
      </c>
      <c r="AF72">
        <f>IF(AND($A72&lt;&gt;"",AF$3&gt;=$J72,AF$3&lt;=$M72),1,"")</f>
        <v/>
      </c>
      <c r="AG72">
        <f>IF(AND($A72&lt;&gt;"",AG$3&gt;=$J72,AG$3&lt;=$M72),1,"")</f>
        <v/>
      </c>
      <c r="AH72">
        <f>IF(AND($A72&lt;&gt;"",AH$3&gt;=$J72,AH$3&lt;=$M72),1,"")</f>
        <v/>
      </c>
      <c r="AI72">
        <f>IF(AND($A72&lt;&gt;"",AI$3&gt;=$J72,AI$3&lt;=$M72),1,"")</f>
        <v/>
      </c>
      <c r="AJ72">
        <f>IF(AND($A72&lt;&gt;"",AJ$3&gt;=$J72,AJ$3&lt;=$M72),1,"")</f>
        <v/>
      </c>
      <c r="AK72">
        <f>IF(AND($A72&lt;&gt;"",AK$3&gt;=$J72,AK$3&lt;=$M72),1,"")</f>
        <v/>
      </c>
      <c r="AL72">
        <f>IF(AND($A72&lt;&gt;"",AL$3&gt;=$J72,AL$3&lt;=$M72),1,"")</f>
        <v/>
      </c>
      <c r="AM72">
        <f>IF(AND($A72&lt;&gt;"",AM$3&gt;=$J72,AM$3&lt;=$M72),1,"")</f>
        <v/>
      </c>
      <c r="AN72">
        <f>IF(AND($A72&lt;&gt;"",AN$3&gt;=$J72,AN$3&lt;=$M72),1,"")</f>
        <v/>
      </c>
      <c r="AO72">
        <f>IF(AND($A72&lt;&gt;"",AO$3&gt;=$J72,AO$3&lt;=$M72),1,"")</f>
        <v/>
      </c>
      <c r="AP72">
        <f>IF(AND($A72&lt;&gt;"",AP$3&gt;=$J72,AP$3&lt;=$M72),1,"")</f>
        <v/>
      </c>
      <c r="AQ72">
        <f>IF(AND($A72&lt;&gt;"",AQ$3&gt;=$J72,AQ$3&lt;=$M72),1,"")</f>
        <v/>
      </c>
      <c r="AR72">
        <f>IF(AND($A72&lt;&gt;"",AR$3&gt;=$J72,AR$3&lt;=$M72),1,"")</f>
        <v/>
      </c>
      <c r="AS72">
        <f>IF(AND($A72&lt;&gt;"",AS$3&gt;=$J72,AS$3&lt;=$M72),1,"")</f>
        <v/>
      </c>
      <c r="AT72">
        <f>IF(AND($A72&lt;&gt;"",AT$3&gt;=$J72,AT$3&lt;=$M72),1,"")</f>
        <v/>
      </c>
      <c r="AU72">
        <f>IF(AND($A72&lt;&gt;"",AU$3&gt;=$J72,AU$3&lt;=$M72),1,"")</f>
        <v/>
      </c>
      <c r="AV72">
        <f>IF(AND($A72&lt;&gt;"",AV$3&gt;=$J72,AV$3&lt;=$M72),1,"")</f>
        <v/>
      </c>
      <c r="AW72">
        <f>IF(AND($A72&lt;&gt;"",AW$3&gt;=$J72,AW$3&lt;=$M72),1,"")</f>
        <v/>
      </c>
      <c r="AX72">
        <f>IF(AND($A72&lt;&gt;"",AX$3&gt;=$J72,AX$3&lt;=$M72),1,"")</f>
        <v/>
      </c>
      <c r="AY72">
        <f>IF(AND($A72&lt;&gt;"",AY$3&gt;=$J72,AY$3&lt;=$M72),1,"")</f>
        <v/>
      </c>
      <c r="AZ72">
        <f>IF(AND($A72&lt;&gt;"",AZ$3&gt;=$J72,AZ$3&lt;=$M72),1,"")</f>
        <v/>
      </c>
      <c r="BA72">
        <f>IF(AND($A72&lt;&gt;"",BA$3&gt;=$J72,BA$3&lt;=$M72),1,"")</f>
        <v/>
      </c>
      <c r="BB72">
        <f>IF(AND($A72&lt;&gt;"",BB$3&gt;=$J72,BB$3&lt;=$M72),1,"")</f>
        <v/>
      </c>
      <c r="BC72">
        <f>IF(AND($A72&lt;&gt;"",BC$3&gt;=$J72,BC$3&lt;=$M72),1,"")</f>
        <v/>
      </c>
      <c r="BD72">
        <f>IF(AND($A72&lt;&gt;"",BD$3&gt;=$J72,BD$3&lt;=$M72),1,"")</f>
        <v/>
      </c>
      <c r="BE72">
        <f>IF(AND($A72&lt;&gt;"",BE$3&gt;=$J72,BE$3&lt;=$M72),1,"")</f>
        <v/>
      </c>
      <c r="BF72">
        <f>IF(AND($A72&lt;&gt;"",BF$3&gt;=$J72,BF$3&lt;=$M72),1,"")</f>
        <v/>
      </c>
      <c r="BG72">
        <f>IF(AND($A72&lt;&gt;"",BG$3&gt;=$J72,BG$3&lt;=$M72),1,"")</f>
        <v/>
      </c>
      <c r="BH72">
        <f>IF(AND($A72&lt;&gt;"",BH$3&gt;=$J72,BH$3&lt;=$M72),1,"")</f>
        <v/>
      </c>
      <c r="BI72">
        <f>IF(AND($A72&lt;&gt;"",BI$3&gt;=$J72,BI$3&lt;=$M72),1,"")</f>
        <v/>
      </c>
      <c r="BJ72">
        <f>IF(AND($A72&lt;&gt;"",BJ$3&gt;=$J72,BJ$3&lt;=$M72),1,"")</f>
        <v/>
      </c>
      <c r="BK72">
        <f>IF(AND($A72&lt;&gt;"",BK$3&gt;=$J72,BK$3&lt;=$M72),1,"")</f>
        <v/>
      </c>
      <c r="BL72">
        <f>IF(AND($A72&lt;&gt;"",BL$3&gt;=$J72,BL$3&lt;=$M72),1,"")</f>
        <v/>
      </c>
      <c r="BM72">
        <f>IF(AND($A72&lt;&gt;"",BM$3&gt;=$J72,BM$3&lt;=$M72),1,"")</f>
        <v/>
      </c>
      <c r="BN72">
        <f>IF(AND($A72&lt;&gt;"",BN$3&gt;=$J72,BN$3&lt;=$M72),1,"")</f>
        <v/>
      </c>
      <c r="BO72">
        <f>IF(AND($A72&lt;&gt;"",BO$3&gt;=$J72,BO$3&lt;=$M72),1,"")</f>
        <v/>
      </c>
      <c r="BP72">
        <f>IF(AND($A72&lt;&gt;"",BP$3&gt;=$J72,BP$3&lt;=$M72),1,"")</f>
        <v/>
      </c>
      <c r="BQ72">
        <f>IF(AND($A72&lt;&gt;"",BQ$3&gt;=$J72,BQ$3&lt;=$M72),1,"")</f>
        <v/>
      </c>
      <c r="BR72">
        <f>IF(AND($A72&lt;&gt;"",BR$3&gt;=$J72,BR$3&lt;=$M72),1,"")</f>
        <v/>
      </c>
      <c r="BS72">
        <f>IF(AND($A72&lt;&gt;"",BS$3&gt;=$J72,BS$3&lt;=$M72),1,"")</f>
        <v/>
      </c>
      <c r="BT72">
        <f>IF(AND($A72&lt;&gt;"",BT$3&gt;=$J72,BT$3&lt;=$M72),1,"")</f>
        <v/>
      </c>
      <c r="BU72">
        <f>IF(AND($A72&lt;&gt;"",BU$3&gt;=$J72,BU$3&lt;=$M72),1,"")</f>
        <v/>
      </c>
      <c r="BV72">
        <f>IF(AND($A72&lt;&gt;"",BV$3&gt;=$J72,BV$3&lt;=$M72),1,"")</f>
        <v/>
      </c>
    </row>
    <row r="73">
      <c r="A73">
        <f>IF(Job_Master_Ring!$A73="","",Job_Master_Ring!$A73)</f>
        <v/>
      </c>
      <c r="B73">
        <f>IF($A73="","",Job_Master_Ring!B73)</f>
        <v/>
      </c>
      <c r="C73">
        <f>IF($A73="","",Job_Master_Ring!C73)</f>
        <v/>
      </c>
      <c r="D73">
        <f>IF($A73="","",Job_Master_Ring!D73)</f>
        <v/>
      </c>
      <c r="E73">
        <f>IF($A73="","",IF($I73&lt;&gt;"",$I73,IFERROR(INDEX(Machine_List!$B$72:$B$81,MATCH(1,(Machine_List!$H$72:$H$81&lt;=IFERROR(VLOOKUP($B73,CHOOSE(MATCH($C73,Settings!$L$4:$L$10,0),OPR_BR1!$A$4:$K$18,OPR_BR2!$A$4:$K$18,OPR_CR2!$A$4:$K$18,OPR_CR3!$A$4:$K$18,OPR_CR4!$A$4:$K$18,OPR_RIM!$A$4:$K$18,OPR_BPR!$A$4:$K$18),10,0),0))*(Machine_List!$I$72:$I$81&gt;=IFERROR(VLOOKUP($B73,CHOOSE(MATCH($C73,Settings!$L$4:$L$10,0),OPR_BR1!$A$4:$K$18,OPR_BR2!$A$4:$K$18,OPR_CR2!$A$4:$K$18,OPR_CR3!$A$4:$K$18,OPR_CR4!$A$4:$K$18,OPR_RIM!$A$4:$K$18,OPR_BPR!$A$4:$K$18),11,0),9999)),0)),"NO COMPATIBLE MACHINE")))</f>
        <v/>
      </c>
      <c r="F73">
        <f>IF($E73="","",IFERROR(VLOOKUP($E73,Machine_List!$B:$G,6,0),""))</f>
        <v/>
      </c>
      <c r="G73" s="17">
        <f>IF($E73="","",IFERROR(VLOOKUP($E73,Machine_List!$B:$C,2,0),""))</f>
        <v/>
      </c>
      <c r="H73">
        <f>IF($E73="","",IFERROR(VLOOKUP($E73,Machine_List!$B:$D,3,0),""))</f>
        <v/>
      </c>
      <c r="J73" s="16">
        <f>IF($A73="","",IF($I73&lt;&gt;"",$I73,MAX(VENT_Plan!$M73,IFERROR(LOOKUP(2,1/($E$3:INDIRECT("E"&amp;(ROW()-1))=$E73),$M$3:INDIRECT("M"&amp;(ROW()-1))),VENT_Plan!$M73))))</f>
        <v/>
      </c>
      <c r="K73">
        <f>IF($A73="","",IFERROR(VLOOKUP(B73,CHOOSE(MATCH($C73,Settings!$L$4:$L$10,0),OPR_BR1!$A$4:$I$18,OPR_BR2!$A$4:$I$18,OPR_CR2!$A$4:$I$18,OPR_CR3!$A$4:$I$18,OPR_CR4!$A$4:$I$18,OPR_RIM!$A$4:$I$18,OPR_BPR!$A$4:$I$18),8,0),0))</f>
        <v/>
      </c>
      <c r="L73">
        <f>IF($A73="","",K73*D73)</f>
        <v/>
      </c>
      <c r="M73" s="16">
        <f>IF($A73="","",IF(AND(ISNUMBER(G73),G73&gt;=J73,G73&lt;=(J73+(L73/(IF(F73="Contract Workman",Settings!$K$5,Settings!$K$4))))),J73+(L73/(IF(F73="Contract Workman",Settings!$K$5,Settings!$K$4)))+(H73/(IF(F73="Contract Workman",Settings!$K$5,Settings!$K$4))),J73+(L73/(IF(F73="Contract Workman",Settings!$K$5,Settings!$K$4)))))</f>
        <v/>
      </c>
      <c r="N73">
        <f>IF($A73="","",IF(F73="Contract Workman",IF(AND(MOD(M73,1)&gt;=8/24,MOD(M73,1)&lt;20/24),"Shift S1","Shift S2"),IF(AND(MOD(M73,1)&gt;=7/24,MOD(M73,1)&lt;15/24),"Shift A",IF(AND(MOD(M73,1)&gt;=15/24,MOD(M73,1)&lt;23/24),"Shift B","Shift C"))))</f>
        <v/>
      </c>
      <c r="O73">
        <f>IF(B73="","",IF(IFERROR(ISNUMBER(SEARCH(TEXT(B73,"0"),VLOOKUP(E73,Machine_List!$B:$J,9,0))),FALSE),"✅ "&amp; E73,"❌ Sug: "&amp;IFERROR(INDEX(Machine_List!$B$72:$B$81,MATCH(1,(Machine_List!$H$72:$H$81&lt;=IFERROR(VLOOKUP($B73,OPR_BR1!$A$4:$K$18,10,0),0))*(Machine_List!$I$72:$I$81&gt;=IFERROR(VLOOKUP($B73,OPR_BR1!$A$4:$K$18,11,0),9999)),0)),"?")))</f>
        <v/>
      </c>
      <c r="P73">
        <f>IF(AND($A73&lt;&gt;"",P$3&gt;=$J73,P$3&lt;=$M73),1,"")</f>
        <v/>
      </c>
      <c r="Q73">
        <f>IF(AND($A73&lt;&gt;"",Q$3&gt;=$J73,Q$3&lt;=$M73),1,"")</f>
        <v/>
      </c>
      <c r="R73">
        <f>IF(AND($A73&lt;&gt;"",R$3&gt;=$J73,R$3&lt;=$M73),1,"")</f>
        <v/>
      </c>
      <c r="S73">
        <f>IF(AND($A73&lt;&gt;"",S$3&gt;=$J73,S$3&lt;=$M73),1,"")</f>
        <v/>
      </c>
      <c r="T73">
        <f>IF(AND($A73&lt;&gt;"",T$3&gt;=$J73,T$3&lt;=$M73),1,"")</f>
        <v/>
      </c>
      <c r="U73">
        <f>IF(AND($A73&lt;&gt;"",U$3&gt;=$J73,U$3&lt;=$M73),1,"")</f>
        <v/>
      </c>
      <c r="V73">
        <f>IF(AND($A73&lt;&gt;"",V$3&gt;=$J73,V$3&lt;=$M73),1,"")</f>
        <v/>
      </c>
      <c r="W73">
        <f>IF(AND($A73&lt;&gt;"",W$3&gt;=$J73,W$3&lt;=$M73),1,"")</f>
        <v/>
      </c>
      <c r="X73">
        <f>IF(AND($A73&lt;&gt;"",X$3&gt;=$J73,X$3&lt;=$M73),1,"")</f>
        <v/>
      </c>
      <c r="Y73">
        <f>IF(AND($A73&lt;&gt;"",Y$3&gt;=$J73,Y$3&lt;=$M73),1,"")</f>
        <v/>
      </c>
      <c r="Z73">
        <f>IF(AND($A73&lt;&gt;"",Z$3&gt;=$J73,Z$3&lt;=$M73),1,"")</f>
        <v/>
      </c>
      <c r="AA73">
        <f>IF(AND($A73&lt;&gt;"",AA$3&gt;=$J73,AA$3&lt;=$M73),1,"")</f>
        <v/>
      </c>
      <c r="AB73">
        <f>IF(AND($A73&lt;&gt;"",AB$3&gt;=$J73,AB$3&lt;=$M73),1,"")</f>
        <v/>
      </c>
      <c r="AC73">
        <f>IF(AND($A73&lt;&gt;"",AC$3&gt;=$J73,AC$3&lt;=$M73),1,"")</f>
        <v/>
      </c>
      <c r="AD73">
        <f>IF(AND($A73&lt;&gt;"",AD$3&gt;=$J73,AD$3&lt;=$M73),1,"")</f>
        <v/>
      </c>
      <c r="AE73">
        <f>IF(AND($A73&lt;&gt;"",AE$3&gt;=$J73,AE$3&lt;=$M73),1,"")</f>
        <v/>
      </c>
      <c r="AF73">
        <f>IF(AND($A73&lt;&gt;"",AF$3&gt;=$J73,AF$3&lt;=$M73),1,"")</f>
        <v/>
      </c>
      <c r="AG73">
        <f>IF(AND($A73&lt;&gt;"",AG$3&gt;=$J73,AG$3&lt;=$M73),1,"")</f>
        <v/>
      </c>
      <c r="AH73">
        <f>IF(AND($A73&lt;&gt;"",AH$3&gt;=$J73,AH$3&lt;=$M73),1,"")</f>
        <v/>
      </c>
      <c r="AI73">
        <f>IF(AND($A73&lt;&gt;"",AI$3&gt;=$J73,AI$3&lt;=$M73),1,"")</f>
        <v/>
      </c>
      <c r="AJ73">
        <f>IF(AND($A73&lt;&gt;"",AJ$3&gt;=$J73,AJ$3&lt;=$M73),1,"")</f>
        <v/>
      </c>
      <c r="AK73">
        <f>IF(AND($A73&lt;&gt;"",AK$3&gt;=$J73,AK$3&lt;=$M73),1,"")</f>
        <v/>
      </c>
      <c r="AL73">
        <f>IF(AND($A73&lt;&gt;"",AL$3&gt;=$J73,AL$3&lt;=$M73),1,"")</f>
        <v/>
      </c>
      <c r="AM73">
        <f>IF(AND($A73&lt;&gt;"",AM$3&gt;=$J73,AM$3&lt;=$M73),1,"")</f>
        <v/>
      </c>
      <c r="AN73">
        <f>IF(AND($A73&lt;&gt;"",AN$3&gt;=$J73,AN$3&lt;=$M73),1,"")</f>
        <v/>
      </c>
      <c r="AO73">
        <f>IF(AND($A73&lt;&gt;"",AO$3&gt;=$J73,AO$3&lt;=$M73),1,"")</f>
        <v/>
      </c>
      <c r="AP73">
        <f>IF(AND($A73&lt;&gt;"",AP$3&gt;=$J73,AP$3&lt;=$M73),1,"")</f>
        <v/>
      </c>
      <c r="AQ73">
        <f>IF(AND($A73&lt;&gt;"",AQ$3&gt;=$J73,AQ$3&lt;=$M73),1,"")</f>
        <v/>
      </c>
      <c r="AR73">
        <f>IF(AND($A73&lt;&gt;"",AR$3&gt;=$J73,AR$3&lt;=$M73),1,"")</f>
        <v/>
      </c>
      <c r="AS73">
        <f>IF(AND($A73&lt;&gt;"",AS$3&gt;=$J73,AS$3&lt;=$M73),1,"")</f>
        <v/>
      </c>
      <c r="AT73">
        <f>IF(AND($A73&lt;&gt;"",AT$3&gt;=$J73,AT$3&lt;=$M73),1,"")</f>
        <v/>
      </c>
      <c r="AU73">
        <f>IF(AND($A73&lt;&gt;"",AU$3&gt;=$J73,AU$3&lt;=$M73),1,"")</f>
        <v/>
      </c>
      <c r="AV73">
        <f>IF(AND($A73&lt;&gt;"",AV$3&gt;=$J73,AV$3&lt;=$M73),1,"")</f>
        <v/>
      </c>
      <c r="AW73">
        <f>IF(AND($A73&lt;&gt;"",AW$3&gt;=$J73,AW$3&lt;=$M73),1,"")</f>
        <v/>
      </c>
      <c r="AX73">
        <f>IF(AND($A73&lt;&gt;"",AX$3&gt;=$J73,AX$3&lt;=$M73),1,"")</f>
        <v/>
      </c>
      <c r="AY73">
        <f>IF(AND($A73&lt;&gt;"",AY$3&gt;=$J73,AY$3&lt;=$M73),1,"")</f>
        <v/>
      </c>
      <c r="AZ73">
        <f>IF(AND($A73&lt;&gt;"",AZ$3&gt;=$J73,AZ$3&lt;=$M73),1,"")</f>
        <v/>
      </c>
      <c r="BA73">
        <f>IF(AND($A73&lt;&gt;"",BA$3&gt;=$J73,BA$3&lt;=$M73),1,"")</f>
        <v/>
      </c>
      <c r="BB73">
        <f>IF(AND($A73&lt;&gt;"",BB$3&gt;=$J73,BB$3&lt;=$M73),1,"")</f>
        <v/>
      </c>
      <c r="BC73">
        <f>IF(AND($A73&lt;&gt;"",BC$3&gt;=$J73,BC$3&lt;=$M73),1,"")</f>
        <v/>
      </c>
      <c r="BD73">
        <f>IF(AND($A73&lt;&gt;"",BD$3&gt;=$J73,BD$3&lt;=$M73),1,"")</f>
        <v/>
      </c>
      <c r="BE73">
        <f>IF(AND($A73&lt;&gt;"",BE$3&gt;=$J73,BE$3&lt;=$M73),1,"")</f>
        <v/>
      </c>
      <c r="BF73">
        <f>IF(AND($A73&lt;&gt;"",BF$3&gt;=$J73,BF$3&lt;=$M73),1,"")</f>
        <v/>
      </c>
      <c r="BG73">
        <f>IF(AND($A73&lt;&gt;"",BG$3&gt;=$J73,BG$3&lt;=$M73),1,"")</f>
        <v/>
      </c>
      <c r="BH73">
        <f>IF(AND($A73&lt;&gt;"",BH$3&gt;=$J73,BH$3&lt;=$M73),1,"")</f>
        <v/>
      </c>
      <c r="BI73">
        <f>IF(AND($A73&lt;&gt;"",BI$3&gt;=$J73,BI$3&lt;=$M73),1,"")</f>
        <v/>
      </c>
      <c r="BJ73">
        <f>IF(AND($A73&lt;&gt;"",BJ$3&gt;=$J73,BJ$3&lt;=$M73),1,"")</f>
        <v/>
      </c>
      <c r="BK73">
        <f>IF(AND($A73&lt;&gt;"",BK$3&gt;=$J73,BK$3&lt;=$M73),1,"")</f>
        <v/>
      </c>
      <c r="BL73">
        <f>IF(AND($A73&lt;&gt;"",BL$3&gt;=$J73,BL$3&lt;=$M73),1,"")</f>
        <v/>
      </c>
      <c r="BM73">
        <f>IF(AND($A73&lt;&gt;"",BM$3&gt;=$J73,BM$3&lt;=$M73),1,"")</f>
        <v/>
      </c>
      <c r="BN73">
        <f>IF(AND($A73&lt;&gt;"",BN$3&gt;=$J73,BN$3&lt;=$M73),1,"")</f>
        <v/>
      </c>
      <c r="BO73">
        <f>IF(AND($A73&lt;&gt;"",BO$3&gt;=$J73,BO$3&lt;=$M73),1,"")</f>
        <v/>
      </c>
      <c r="BP73">
        <f>IF(AND($A73&lt;&gt;"",BP$3&gt;=$J73,BP$3&lt;=$M73),1,"")</f>
        <v/>
      </c>
      <c r="BQ73">
        <f>IF(AND($A73&lt;&gt;"",BQ$3&gt;=$J73,BQ$3&lt;=$M73),1,"")</f>
        <v/>
      </c>
      <c r="BR73">
        <f>IF(AND($A73&lt;&gt;"",BR$3&gt;=$J73,BR$3&lt;=$M73),1,"")</f>
        <v/>
      </c>
      <c r="BS73">
        <f>IF(AND($A73&lt;&gt;"",BS$3&gt;=$J73,BS$3&lt;=$M73),1,"")</f>
        <v/>
      </c>
      <c r="BT73">
        <f>IF(AND($A73&lt;&gt;"",BT$3&gt;=$J73,BT$3&lt;=$M73),1,"")</f>
        <v/>
      </c>
      <c r="BU73">
        <f>IF(AND($A73&lt;&gt;"",BU$3&gt;=$J73,BU$3&lt;=$M73),1,"")</f>
        <v/>
      </c>
      <c r="BV73">
        <f>IF(AND($A73&lt;&gt;"",BV$3&gt;=$J73,BV$3&lt;=$M73),1,"")</f>
        <v/>
      </c>
    </row>
    <row r="74">
      <c r="A74">
        <f>IF(Job_Master_Ring!$A74="","",Job_Master_Ring!$A74)</f>
        <v/>
      </c>
      <c r="B74">
        <f>IF($A74="","",Job_Master_Ring!B74)</f>
        <v/>
      </c>
      <c r="C74">
        <f>IF($A74="","",Job_Master_Ring!C74)</f>
        <v/>
      </c>
      <c r="D74">
        <f>IF($A74="","",Job_Master_Ring!D74)</f>
        <v/>
      </c>
      <c r="E74">
        <f>IF($A74="","",IF($I74&lt;&gt;"",$I74,IFERROR(INDEX(Machine_List!$B$72:$B$81,MATCH(1,(Machine_List!$H$72:$H$81&lt;=IFERROR(VLOOKUP($B74,CHOOSE(MATCH($C74,Settings!$L$4:$L$10,0),OPR_BR1!$A$4:$K$18,OPR_BR2!$A$4:$K$18,OPR_CR2!$A$4:$K$18,OPR_CR3!$A$4:$K$18,OPR_CR4!$A$4:$K$18,OPR_RIM!$A$4:$K$18,OPR_BPR!$A$4:$K$18),10,0),0))*(Machine_List!$I$72:$I$81&gt;=IFERROR(VLOOKUP($B74,CHOOSE(MATCH($C74,Settings!$L$4:$L$10,0),OPR_BR1!$A$4:$K$18,OPR_BR2!$A$4:$K$18,OPR_CR2!$A$4:$K$18,OPR_CR3!$A$4:$K$18,OPR_CR4!$A$4:$K$18,OPR_RIM!$A$4:$K$18,OPR_BPR!$A$4:$K$18),11,0),9999)),0)),"NO COMPATIBLE MACHINE")))</f>
        <v/>
      </c>
      <c r="F74">
        <f>IF($E74="","",IFERROR(VLOOKUP($E74,Machine_List!$B:$G,6,0),""))</f>
        <v/>
      </c>
      <c r="G74" s="17">
        <f>IF($E74="","",IFERROR(VLOOKUP($E74,Machine_List!$B:$C,2,0),""))</f>
        <v/>
      </c>
      <c r="H74">
        <f>IF($E74="","",IFERROR(VLOOKUP($E74,Machine_List!$B:$D,3,0),""))</f>
        <v/>
      </c>
      <c r="J74" s="16">
        <f>IF($A74="","",IF($I74&lt;&gt;"",$I74,MAX(VENT_Plan!$M74,IFERROR(LOOKUP(2,1/($E$3:INDIRECT("E"&amp;(ROW()-1))=$E74),$M$3:INDIRECT("M"&amp;(ROW()-1))),VENT_Plan!$M74))))</f>
        <v/>
      </c>
      <c r="K74">
        <f>IF($A74="","",IFERROR(VLOOKUP(B74,CHOOSE(MATCH($C74,Settings!$L$4:$L$10,0),OPR_BR1!$A$4:$I$18,OPR_BR2!$A$4:$I$18,OPR_CR2!$A$4:$I$18,OPR_CR3!$A$4:$I$18,OPR_CR4!$A$4:$I$18,OPR_RIM!$A$4:$I$18,OPR_BPR!$A$4:$I$18),8,0),0))</f>
        <v/>
      </c>
      <c r="L74">
        <f>IF($A74="","",K74*D74)</f>
        <v/>
      </c>
      <c r="M74" s="16">
        <f>IF($A74="","",IF(AND(ISNUMBER(G74),G74&gt;=J74,G74&lt;=(J74+(L74/(IF(F74="Contract Workman",Settings!$K$5,Settings!$K$4))))),J74+(L74/(IF(F74="Contract Workman",Settings!$K$5,Settings!$K$4)))+(H74/(IF(F74="Contract Workman",Settings!$K$5,Settings!$K$4))),J74+(L74/(IF(F74="Contract Workman",Settings!$K$5,Settings!$K$4)))))</f>
        <v/>
      </c>
      <c r="N74">
        <f>IF($A74="","",IF(F74="Contract Workman",IF(AND(MOD(M74,1)&gt;=8/24,MOD(M74,1)&lt;20/24),"Shift S1","Shift S2"),IF(AND(MOD(M74,1)&gt;=7/24,MOD(M74,1)&lt;15/24),"Shift A",IF(AND(MOD(M74,1)&gt;=15/24,MOD(M74,1)&lt;23/24),"Shift B","Shift C"))))</f>
        <v/>
      </c>
      <c r="O74">
        <f>IF(B74="","",IF(IFERROR(ISNUMBER(SEARCH(TEXT(B74,"0"),VLOOKUP(E74,Machine_List!$B:$J,9,0))),FALSE),"✅ "&amp; E74,"❌ Sug: "&amp;IFERROR(INDEX(Machine_List!$B$72:$B$81,MATCH(1,(Machine_List!$H$72:$H$81&lt;=IFERROR(VLOOKUP($B74,OPR_BR1!$A$4:$K$18,10,0),0))*(Machine_List!$I$72:$I$81&gt;=IFERROR(VLOOKUP($B74,OPR_BR1!$A$4:$K$18,11,0),9999)),0)),"?")))</f>
        <v/>
      </c>
      <c r="P74">
        <f>IF(AND($A74&lt;&gt;"",P$3&gt;=$J74,P$3&lt;=$M74),1,"")</f>
        <v/>
      </c>
      <c r="Q74">
        <f>IF(AND($A74&lt;&gt;"",Q$3&gt;=$J74,Q$3&lt;=$M74),1,"")</f>
        <v/>
      </c>
      <c r="R74">
        <f>IF(AND($A74&lt;&gt;"",R$3&gt;=$J74,R$3&lt;=$M74),1,"")</f>
        <v/>
      </c>
      <c r="S74">
        <f>IF(AND($A74&lt;&gt;"",S$3&gt;=$J74,S$3&lt;=$M74),1,"")</f>
        <v/>
      </c>
      <c r="T74">
        <f>IF(AND($A74&lt;&gt;"",T$3&gt;=$J74,T$3&lt;=$M74),1,"")</f>
        <v/>
      </c>
      <c r="U74">
        <f>IF(AND($A74&lt;&gt;"",U$3&gt;=$J74,U$3&lt;=$M74),1,"")</f>
        <v/>
      </c>
      <c r="V74">
        <f>IF(AND($A74&lt;&gt;"",V$3&gt;=$J74,V$3&lt;=$M74),1,"")</f>
        <v/>
      </c>
      <c r="W74">
        <f>IF(AND($A74&lt;&gt;"",W$3&gt;=$J74,W$3&lt;=$M74),1,"")</f>
        <v/>
      </c>
      <c r="X74">
        <f>IF(AND($A74&lt;&gt;"",X$3&gt;=$J74,X$3&lt;=$M74),1,"")</f>
        <v/>
      </c>
      <c r="Y74">
        <f>IF(AND($A74&lt;&gt;"",Y$3&gt;=$J74,Y$3&lt;=$M74),1,"")</f>
        <v/>
      </c>
      <c r="Z74">
        <f>IF(AND($A74&lt;&gt;"",Z$3&gt;=$J74,Z$3&lt;=$M74),1,"")</f>
        <v/>
      </c>
      <c r="AA74">
        <f>IF(AND($A74&lt;&gt;"",AA$3&gt;=$J74,AA$3&lt;=$M74),1,"")</f>
        <v/>
      </c>
      <c r="AB74">
        <f>IF(AND($A74&lt;&gt;"",AB$3&gt;=$J74,AB$3&lt;=$M74),1,"")</f>
        <v/>
      </c>
      <c r="AC74">
        <f>IF(AND($A74&lt;&gt;"",AC$3&gt;=$J74,AC$3&lt;=$M74),1,"")</f>
        <v/>
      </c>
      <c r="AD74">
        <f>IF(AND($A74&lt;&gt;"",AD$3&gt;=$J74,AD$3&lt;=$M74),1,"")</f>
        <v/>
      </c>
      <c r="AE74">
        <f>IF(AND($A74&lt;&gt;"",AE$3&gt;=$J74,AE$3&lt;=$M74),1,"")</f>
        <v/>
      </c>
      <c r="AF74">
        <f>IF(AND($A74&lt;&gt;"",AF$3&gt;=$J74,AF$3&lt;=$M74),1,"")</f>
        <v/>
      </c>
      <c r="AG74">
        <f>IF(AND($A74&lt;&gt;"",AG$3&gt;=$J74,AG$3&lt;=$M74),1,"")</f>
        <v/>
      </c>
      <c r="AH74">
        <f>IF(AND($A74&lt;&gt;"",AH$3&gt;=$J74,AH$3&lt;=$M74),1,"")</f>
        <v/>
      </c>
      <c r="AI74">
        <f>IF(AND($A74&lt;&gt;"",AI$3&gt;=$J74,AI$3&lt;=$M74),1,"")</f>
        <v/>
      </c>
      <c r="AJ74">
        <f>IF(AND($A74&lt;&gt;"",AJ$3&gt;=$J74,AJ$3&lt;=$M74),1,"")</f>
        <v/>
      </c>
      <c r="AK74">
        <f>IF(AND($A74&lt;&gt;"",AK$3&gt;=$J74,AK$3&lt;=$M74),1,"")</f>
        <v/>
      </c>
      <c r="AL74">
        <f>IF(AND($A74&lt;&gt;"",AL$3&gt;=$J74,AL$3&lt;=$M74),1,"")</f>
        <v/>
      </c>
      <c r="AM74">
        <f>IF(AND($A74&lt;&gt;"",AM$3&gt;=$J74,AM$3&lt;=$M74),1,"")</f>
        <v/>
      </c>
      <c r="AN74">
        <f>IF(AND($A74&lt;&gt;"",AN$3&gt;=$J74,AN$3&lt;=$M74),1,"")</f>
        <v/>
      </c>
      <c r="AO74">
        <f>IF(AND($A74&lt;&gt;"",AO$3&gt;=$J74,AO$3&lt;=$M74),1,"")</f>
        <v/>
      </c>
      <c r="AP74">
        <f>IF(AND($A74&lt;&gt;"",AP$3&gt;=$J74,AP$3&lt;=$M74),1,"")</f>
        <v/>
      </c>
      <c r="AQ74">
        <f>IF(AND($A74&lt;&gt;"",AQ$3&gt;=$J74,AQ$3&lt;=$M74),1,"")</f>
        <v/>
      </c>
      <c r="AR74">
        <f>IF(AND($A74&lt;&gt;"",AR$3&gt;=$J74,AR$3&lt;=$M74),1,"")</f>
        <v/>
      </c>
      <c r="AS74">
        <f>IF(AND($A74&lt;&gt;"",AS$3&gt;=$J74,AS$3&lt;=$M74),1,"")</f>
        <v/>
      </c>
      <c r="AT74">
        <f>IF(AND($A74&lt;&gt;"",AT$3&gt;=$J74,AT$3&lt;=$M74),1,"")</f>
        <v/>
      </c>
      <c r="AU74">
        <f>IF(AND($A74&lt;&gt;"",AU$3&gt;=$J74,AU$3&lt;=$M74),1,"")</f>
        <v/>
      </c>
      <c r="AV74">
        <f>IF(AND($A74&lt;&gt;"",AV$3&gt;=$J74,AV$3&lt;=$M74),1,"")</f>
        <v/>
      </c>
      <c r="AW74">
        <f>IF(AND($A74&lt;&gt;"",AW$3&gt;=$J74,AW$3&lt;=$M74),1,"")</f>
        <v/>
      </c>
      <c r="AX74">
        <f>IF(AND($A74&lt;&gt;"",AX$3&gt;=$J74,AX$3&lt;=$M74),1,"")</f>
        <v/>
      </c>
      <c r="AY74">
        <f>IF(AND($A74&lt;&gt;"",AY$3&gt;=$J74,AY$3&lt;=$M74),1,"")</f>
        <v/>
      </c>
      <c r="AZ74">
        <f>IF(AND($A74&lt;&gt;"",AZ$3&gt;=$J74,AZ$3&lt;=$M74),1,"")</f>
        <v/>
      </c>
      <c r="BA74">
        <f>IF(AND($A74&lt;&gt;"",BA$3&gt;=$J74,BA$3&lt;=$M74),1,"")</f>
        <v/>
      </c>
      <c r="BB74">
        <f>IF(AND($A74&lt;&gt;"",BB$3&gt;=$J74,BB$3&lt;=$M74),1,"")</f>
        <v/>
      </c>
      <c r="BC74">
        <f>IF(AND($A74&lt;&gt;"",BC$3&gt;=$J74,BC$3&lt;=$M74),1,"")</f>
        <v/>
      </c>
      <c r="BD74">
        <f>IF(AND($A74&lt;&gt;"",BD$3&gt;=$J74,BD$3&lt;=$M74),1,"")</f>
        <v/>
      </c>
      <c r="BE74">
        <f>IF(AND($A74&lt;&gt;"",BE$3&gt;=$J74,BE$3&lt;=$M74),1,"")</f>
        <v/>
      </c>
      <c r="BF74">
        <f>IF(AND($A74&lt;&gt;"",BF$3&gt;=$J74,BF$3&lt;=$M74),1,"")</f>
        <v/>
      </c>
      <c r="BG74">
        <f>IF(AND($A74&lt;&gt;"",BG$3&gt;=$J74,BG$3&lt;=$M74),1,"")</f>
        <v/>
      </c>
      <c r="BH74">
        <f>IF(AND($A74&lt;&gt;"",BH$3&gt;=$J74,BH$3&lt;=$M74),1,"")</f>
        <v/>
      </c>
      <c r="BI74">
        <f>IF(AND($A74&lt;&gt;"",BI$3&gt;=$J74,BI$3&lt;=$M74),1,"")</f>
        <v/>
      </c>
      <c r="BJ74">
        <f>IF(AND($A74&lt;&gt;"",BJ$3&gt;=$J74,BJ$3&lt;=$M74),1,"")</f>
        <v/>
      </c>
      <c r="BK74">
        <f>IF(AND($A74&lt;&gt;"",BK$3&gt;=$J74,BK$3&lt;=$M74),1,"")</f>
        <v/>
      </c>
      <c r="BL74">
        <f>IF(AND($A74&lt;&gt;"",BL$3&gt;=$J74,BL$3&lt;=$M74),1,"")</f>
        <v/>
      </c>
      <c r="BM74">
        <f>IF(AND($A74&lt;&gt;"",BM$3&gt;=$J74,BM$3&lt;=$M74),1,"")</f>
        <v/>
      </c>
      <c r="BN74">
        <f>IF(AND($A74&lt;&gt;"",BN$3&gt;=$J74,BN$3&lt;=$M74),1,"")</f>
        <v/>
      </c>
      <c r="BO74">
        <f>IF(AND($A74&lt;&gt;"",BO$3&gt;=$J74,BO$3&lt;=$M74),1,"")</f>
        <v/>
      </c>
      <c r="BP74">
        <f>IF(AND($A74&lt;&gt;"",BP$3&gt;=$J74,BP$3&lt;=$M74),1,"")</f>
        <v/>
      </c>
      <c r="BQ74">
        <f>IF(AND($A74&lt;&gt;"",BQ$3&gt;=$J74,BQ$3&lt;=$M74),1,"")</f>
        <v/>
      </c>
      <c r="BR74">
        <f>IF(AND($A74&lt;&gt;"",BR$3&gt;=$J74,BR$3&lt;=$M74),1,"")</f>
        <v/>
      </c>
      <c r="BS74">
        <f>IF(AND($A74&lt;&gt;"",BS$3&gt;=$J74,BS$3&lt;=$M74),1,"")</f>
        <v/>
      </c>
      <c r="BT74">
        <f>IF(AND($A74&lt;&gt;"",BT$3&gt;=$J74,BT$3&lt;=$M74),1,"")</f>
        <v/>
      </c>
      <c r="BU74">
        <f>IF(AND($A74&lt;&gt;"",BU$3&gt;=$J74,BU$3&lt;=$M74),1,"")</f>
        <v/>
      </c>
      <c r="BV74">
        <f>IF(AND($A74&lt;&gt;"",BV$3&gt;=$J74,BV$3&lt;=$M74),1,"")</f>
        <v/>
      </c>
    </row>
    <row r="75">
      <c r="A75">
        <f>IF(Job_Master_Ring!$A75="","",Job_Master_Ring!$A75)</f>
        <v/>
      </c>
      <c r="B75">
        <f>IF($A75="","",Job_Master_Ring!B75)</f>
        <v/>
      </c>
      <c r="C75">
        <f>IF($A75="","",Job_Master_Ring!C75)</f>
        <v/>
      </c>
      <c r="D75">
        <f>IF($A75="","",Job_Master_Ring!D75)</f>
        <v/>
      </c>
      <c r="E75">
        <f>IF($A75="","",IF($I75&lt;&gt;"",$I75,IFERROR(INDEX(Machine_List!$B$72:$B$81,MATCH(1,(Machine_List!$H$72:$H$81&lt;=IFERROR(VLOOKUP($B75,CHOOSE(MATCH($C75,Settings!$L$4:$L$10,0),OPR_BR1!$A$4:$K$18,OPR_BR2!$A$4:$K$18,OPR_CR2!$A$4:$K$18,OPR_CR3!$A$4:$K$18,OPR_CR4!$A$4:$K$18,OPR_RIM!$A$4:$K$18,OPR_BPR!$A$4:$K$18),10,0),0))*(Machine_List!$I$72:$I$81&gt;=IFERROR(VLOOKUP($B75,CHOOSE(MATCH($C75,Settings!$L$4:$L$10,0),OPR_BR1!$A$4:$K$18,OPR_BR2!$A$4:$K$18,OPR_CR2!$A$4:$K$18,OPR_CR3!$A$4:$K$18,OPR_CR4!$A$4:$K$18,OPR_RIM!$A$4:$K$18,OPR_BPR!$A$4:$K$18),11,0),9999)),0)),"NO COMPATIBLE MACHINE")))</f>
        <v/>
      </c>
      <c r="F75">
        <f>IF($E75="","",IFERROR(VLOOKUP($E75,Machine_List!$B:$G,6,0),""))</f>
        <v/>
      </c>
      <c r="G75" s="17">
        <f>IF($E75="","",IFERROR(VLOOKUP($E75,Machine_List!$B:$C,2,0),""))</f>
        <v/>
      </c>
      <c r="H75">
        <f>IF($E75="","",IFERROR(VLOOKUP($E75,Machine_List!$B:$D,3,0),""))</f>
        <v/>
      </c>
      <c r="J75" s="16">
        <f>IF($A75="","",IF($I75&lt;&gt;"",$I75,MAX(VENT_Plan!$M75,IFERROR(LOOKUP(2,1/($E$3:INDIRECT("E"&amp;(ROW()-1))=$E75),$M$3:INDIRECT("M"&amp;(ROW()-1))),VENT_Plan!$M75))))</f>
        <v/>
      </c>
      <c r="K75">
        <f>IF($A75="","",IFERROR(VLOOKUP(B75,CHOOSE(MATCH($C75,Settings!$L$4:$L$10,0),OPR_BR1!$A$4:$I$18,OPR_BR2!$A$4:$I$18,OPR_CR2!$A$4:$I$18,OPR_CR3!$A$4:$I$18,OPR_CR4!$A$4:$I$18,OPR_RIM!$A$4:$I$18,OPR_BPR!$A$4:$I$18),8,0),0))</f>
        <v/>
      </c>
      <c r="L75">
        <f>IF($A75="","",K75*D75)</f>
        <v/>
      </c>
      <c r="M75" s="16">
        <f>IF($A75="","",IF(AND(ISNUMBER(G75),G75&gt;=J75,G75&lt;=(J75+(L75/(IF(F75="Contract Workman",Settings!$K$5,Settings!$K$4))))),J75+(L75/(IF(F75="Contract Workman",Settings!$K$5,Settings!$K$4)))+(H75/(IF(F75="Contract Workman",Settings!$K$5,Settings!$K$4))),J75+(L75/(IF(F75="Contract Workman",Settings!$K$5,Settings!$K$4)))))</f>
        <v/>
      </c>
      <c r="N75">
        <f>IF($A75="","",IF(F75="Contract Workman",IF(AND(MOD(M75,1)&gt;=8/24,MOD(M75,1)&lt;20/24),"Shift S1","Shift S2"),IF(AND(MOD(M75,1)&gt;=7/24,MOD(M75,1)&lt;15/24),"Shift A",IF(AND(MOD(M75,1)&gt;=15/24,MOD(M75,1)&lt;23/24),"Shift B","Shift C"))))</f>
        <v/>
      </c>
      <c r="O75">
        <f>IF(B75="","",IF(IFERROR(ISNUMBER(SEARCH(TEXT(B75,"0"),VLOOKUP(E75,Machine_List!$B:$J,9,0))),FALSE),"✅ "&amp; E75,"❌ Sug: "&amp;IFERROR(INDEX(Machine_List!$B$72:$B$81,MATCH(1,(Machine_List!$H$72:$H$81&lt;=IFERROR(VLOOKUP($B75,OPR_BR1!$A$4:$K$18,10,0),0))*(Machine_List!$I$72:$I$81&gt;=IFERROR(VLOOKUP($B75,OPR_BR1!$A$4:$K$18,11,0),9999)),0)),"?")))</f>
        <v/>
      </c>
      <c r="P75">
        <f>IF(AND($A75&lt;&gt;"",P$3&gt;=$J75,P$3&lt;=$M75),1,"")</f>
        <v/>
      </c>
      <c r="Q75">
        <f>IF(AND($A75&lt;&gt;"",Q$3&gt;=$J75,Q$3&lt;=$M75),1,"")</f>
        <v/>
      </c>
      <c r="R75">
        <f>IF(AND($A75&lt;&gt;"",R$3&gt;=$J75,R$3&lt;=$M75),1,"")</f>
        <v/>
      </c>
      <c r="S75">
        <f>IF(AND($A75&lt;&gt;"",S$3&gt;=$J75,S$3&lt;=$M75),1,"")</f>
        <v/>
      </c>
      <c r="T75">
        <f>IF(AND($A75&lt;&gt;"",T$3&gt;=$J75,T$3&lt;=$M75),1,"")</f>
        <v/>
      </c>
      <c r="U75">
        <f>IF(AND($A75&lt;&gt;"",U$3&gt;=$J75,U$3&lt;=$M75),1,"")</f>
        <v/>
      </c>
      <c r="V75">
        <f>IF(AND($A75&lt;&gt;"",V$3&gt;=$J75,V$3&lt;=$M75),1,"")</f>
        <v/>
      </c>
      <c r="W75">
        <f>IF(AND($A75&lt;&gt;"",W$3&gt;=$J75,W$3&lt;=$M75),1,"")</f>
        <v/>
      </c>
      <c r="X75">
        <f>IF(AND($A75&lt;&gt;"",X$3&gt;=$J75,X$3&lt;=$M75),1,"")</f>
        <v/>
      </c>
      <c r="Y75">
        <f>IF(AND($A75&lt;&gt;"",Y$3&gt;=$J75,Y$3&lt;=$M75),1,"")</f>
        <v/>
      </c>
      <c r="Z75">
        <f>IF(AND($A75&lt;&gt;"",Z$3&gt;=$J75,Z$3&lt;=$M75),1,"")</f>
        <v/>
      </c>
      <c r="AA75">
        <f>IF(AND($A75&lt;&gt;"",AA$3&gt;=$J75,AA$3&lt;=$M75),1,"")</f>
        <v/>
      </c>
      <c r="AB75">
        <f>IF(AND($A75&lt;&gt;"",AB$3&gt;=$J75,AB$3&lt;=$M75),1,"")</f>
        <v/>
      </c>
      <c r="AC75">
        <f>IF(AND($A75&lt;&gt;"",AC$3&gt;=$J75,AC$3&lt;=$M75),1,"")</f>
        <v/>
      </c>
      <c r="AD75">
        <f>IF(AND($A75&lt;&gt;"",AD$3&gt;=$J75,AD$3&lt;=$M75),1,"")</f>
        <v/>
      </c>
      <c r="AE75">
        <f>IF(AND($A75&lt;&gt;"",AE$3&gt;=$J75,AE$3&lt;=$M75),1,"")</f>
        <v/>
      </c>
      <c r="AF75">
        <f>IF(AND($A75&lt;&gt;"",AF$3&gt;=$J75,AF$3&lt;=$M75),1,"")</f>
        <v/>
      </c>
      <c r="AG75">
        <f>IF(AND($A75&lt;&gt;"",AG$3&gt;=$J75,AG$3&lt;=$M75),1,"")</f>
        <v/>
      </c>
      <c r="AH75">
        <f>IF(AND($A75&lt;&gt;"",AH$3&gt;=$J75,AH$3&lt;=$M75),1,"")</f>
        <v/>
      </c>
      <c r="AI75">
        <f>IF(AND($A75&lt;&gt;"",AI$3&gt;=$J75,AI$3&lt;=$M75),1,"")</f>
        <v/>
      </c>
      <c r="AJ75">
        <f>IF(AND($A75&lt;&gt;"",AJ$3&gt;=$J75,AJ$3&lt;=$M75),1,"")</f>
        <v/>
      </c>
      <c r="AK75">
        <f>IF(AND($A75&lt;&gt;"",AK$3&gt;=$J75,AK$3&lt;=$M75),1,"")</f>
        <v/>
      </c>
      <c r="AL75">
        <f>IF(AND($A75&lt;&gt;"",AL$3&gt;=$J75,AL$3&lt;=$M75),1,"")</f>
        <v/>
      </c>
      <c r="AM75">
        <f>IF(AND($A75&lt;&gt;"",AM$3&gt;=$J75,AM$3&lt;=$M75),1,"")</f>
        <v/>
      </c>
      <c r="AN75">
        <f>IF(AND($A75&lt;&gt;"",AN$3&gt;=$J75,AN$3&lt;=$M75),1,"")</f>
        <v/>
      </c>
      <c r="AO75">
        <f>IF(AND($A75&lt;&gt;"",AO$3&gt;=$J75,AO$3&lt;=$M75),1,"")</f>
        <v/>
      </c>
      <c r="AP75">
        <f>IF(AND($A75&lt;&gt;"",AP$3&gt;=$J75,AP$3&lt;=$M75),1,"")</f>
        <v/>
      </c>
      <c r="AQ75">
        <f>IF(AND($A75&lt;&gt;"",AQ$3&gt;=$J75,AQ$3&lt;=$M75),1,"")</f>
        <v/>
      </c>
      <c r="AR75">
        <f>IF(AND($A75&lt;&gt;"",AR$3&gt;=$J75,AR$3&lt;=$M75),1,"")</f>
        <v/>
      </c>
      <c r="AS75">
        <f>IF(AND($A75&lt;&gt;"",AS$3&gt;=$J75,AS$3&lt;=$M75),1,"")</f>
        <v/>
      </c>
      <c r="AT75">
        <f>IF(AND($A75&lt;&gt;"",AT$3&gt;=$J75,AT$3&lt;=$M75),1,"")</f>
        <v/>
      </c>
      <c r="AU75">
        <f>IF(AND($A75&lt;&gt;"",AU$3&gt;=$J75,AU$3&lt;=$M75),1,"")</f>
        <v/>
      </c>
      <c r="AV75">
        <f>IF(AND($A75&lt;&gt;"",AV$3&gt;=$J75,AV$3&lt;=$M75),1,"")</f>
        <v/>
      </c>
      <c r="AW75">
        <f>IF(AND($A75&lt;&gt;"",AW$3&gt;=$J75,AW$3&lt;=$M75),1,"")</f>
        <v/>
      </c>
      <c r="AX75">
        <f>IF(AND($A75&lt;&gt;"",AX$3&gt;=$J75,AX$3&lt;=$M75),1,"")</f>
        <v/>
      </c>
      <c r="AY75">
        <f>IF(AND($A75&lt;&gt;"",AY$3&gt;=$J75,AY$3&lt;=$M75),1,"")</f>
        <v/>
      </c>
      <c r="AZ75">
        <f>IF(AND($A75&lt;&gt;"",AZ$3&gt;=$J75,AZ$3&lt;=$M75),1,"")</f>
        <v/>
      </c>
      <c r="BA75">
        <f>IF(AND($A75&lt;&gt;"",BA$3&gt;=$J75,BA$3&lt;=$M75),1,"")</f>
        <v/>
      </c>
      <c r="BB75">
        <f>IF(AND($A75&lt;&gt;"",BB$3&gt;=$J75,BB$3&lt;=$M75),1,"")</f>
        <v/>
      </c>
      <c r="BC75">
        <f>IF(AND($A75&lt;&gt;"",BC$3&gt;=$J75,BC$3&lt;=$M75),1,"")</f>
        <v/>
      </c>
      <c r="BD75">
        <f>IF(AND($A75&lt;&gt;"",BD$3&gt;=$J75,BD$3&lt;=$M75),1,"")</f>
        <v/>
      </c>
      <c r="BE75">
        <f>IF(AND($A75&lt;&gt;"",BE$3&gt;=$J75,BE$3&lt;=$M75),1,"")</f>
        <v/>
      </c>
      <c r="BF75">
        <f>IF(AND($A75&lt;&gt;"",BF$3&gt;=$J75,BF$3&lt;=$M75),1,"")</f>
        <v/>
      </c>
      <c r="BG75">
        <f>IF(AND($A75&lt;&gt;"",BG$3&gt;=$J75,BG$3&lt;=$M75),1,"")</f>
        <v/>
      </c>
      <c r="BH75">
        <f>IF(AND($A75&lt;&gt;"",BH$3&gt;=$J75,BH$3&lt;=$M75),1,"")</f>
        <v/>
      </c>
      <c r="BI75">
        <f>IF(AND($A75&lt;&gt;"",BI$3&gt;=$J75,BI$3&lt;=$M75),1,"")</f>
        <v/>
      </c>
      <c r="BJ75">
        <f>IF(AND($A75&lt;&gt;"",BJ$3&gt;=$J75,BJ$3&lt;=$M75),1,"")</f>
        <v/>
      </c>
      <c r="BK75">
        <f>IF(AND($A75&lt;&gt;"",BK$3&gt;=$J75,BK$3&lt;=$M75),1,"")</f>
        <v/>
      </c>
      <c r="BL75">
        <f>IF(AND($A75&lt;&gt;"",BL$3&gt;=$J75,BL$3&lt;=$M75),1,"")</f>
        <v/>
      </c>
      <c r="BM75">
        <f>IF(AND($A75&lt;&gt;"",BM$3&gt;=$J75,BM$3&lt;=$M75),1,"")</f>
        <v/>
      </c>
      <c r="BN75">
        <f>IF(AND($A75&lt;&gt;"",BN$3&gt;=$J75,BN$3&lt;=$M75),1,"")</f>
        <v/>
      </c>
      <c r="BO75">
        <f>IF(AND($A75&lt;&gt;"",BO$3&gt;=$J75,BO$3&lt;=$M75),1,"")</f>
        <v/>
      </c>
      <c r="BP75">
        <f>IF(AND($A75&lt;&gt;"",BP$3&gt;=$J75,BP$3&lt;=$M75),1,"")</f>
        <v/>
      </c>
      <c r="BQ75">
        <f>IF(AND($A75&lt;&gt;"",BQ$3&gt;=$J75,BQ$3&lt;=$M75),1,"")</f>
        <v/>
      </c>
      <c r="BR75">
        <f>IF(AND($A75&lt;&gt;"",BR$3&gt;=$J75,BR$3&lt;=$M75),1,"")</f>
        <v/>
      </c>
      <c r="BS75">
        <f>IF(AND($A75&lt;&gt;"",BS$3&gt;=$J75,BS$3&lt;=$M75),1,"")</f>
        <v/>
      </c>
      <c r="BT75">
        <f>IF(AND($A75&lt;&gt;"",BT$3&gt;=$J75,BT$3&lt;=$M75),1,"")</f>
        <v/>
      </c>
      <c r="BU75">
        <f>IF(AND($A75&lt;&gt;"",BU$3&gt;=$J75,BU$3&lt;=$M75),1,"")</f>
        <v/>
      </c>
      <c r="BV75">
        <f>IF(AND($A75&lt;&gt;"",BV$3&gt;=$J75,BV$3&lt;=$M75),1,"")</f>
        <v/>
      </c>
    </row>
    <row r="76">
      <c r="A76">
        <f>IF(Job_Master_Ring!$A76="","",Job_Master_Ring!$A76)</f>
        <v/>
      </c>
      <c r="B76">
        <f>IF($A76="","",Job_Master_Ring!B76)</f>
        <v/>
      </c>
      <c r="C76">
        <f>IF($A76="","",Job_Master_Ring!C76)</f>
        <v/>
      </c>
      <c r="D76">
        <f>IF($A76="","",Job_Master_Ring!D76)</f>
        <v/>
      </c>
      <c r="E76">
        <f>IF($A76="","",IF($I76&lt;&gt;"",$I76,IFERROR(INDEX(Machine_List!$B$72:$B$81,MATCH(1,(Machine_List!$H$72:$H$81&lt;=IFERROR(VLOOKUP($B76,CHOOSE(MATCH($C76,Settings!$L$4:$L$10,0),OPR_BR1!$A$4:$K$18,OPR_BR2!$A$4:$K$18,OPR_CR2!$A$4:$K$18,OPR_CR3!$A$4:$K$18,OPR_CR4!$A$4:$K$18,OPR_RIM!$A$4:$K$18,OPR_BPR!$A$4:$K$18),10,0),0))*(Machine_List!$I$72:$I$81&gt;=IFERROR(VLOOKUP($B76,CHOOSE(MATCH($C76,Settings!$L$4:$L$10,0),OPR_BR1!$A$4:$K$18,OPR_BR2!$A$4:$K$18,OPR_CR2!$A$4:$K$18,OPR_CR3!$A$4:$K$18,OPR_CR4!$A$4:$K$18,OPR_RIM!$A$4:$K$18,OPR_BPR!$A$4:$K$18),11,0),9999)),0)),"NO COMPATIBLE MACHINE")))</f>
        <v/>
      </c>
      <c r="F76">
        <f>IF($E76="","",IFERROR(VLOOKUP($E76,Machine_List!$B:$G,6,0),""))</f>
        <v/>
      </c>
      <c r="G76" s="17">
        <f>IF($E76="","",IFERROR(VLOOKUP($E76,Machine_List!$B:$C,2,0),""))</f>
        <v/>
      </c>
      <c r="H76">
        <f>IF($E76="","",IFERROR(VLOOKUP($E76,Machine_List!$B:$D,3,0),""))</f>
        <v/>
      </c>
      <c r="J76" s="16">
        <f>IF($A76="","",IF($I76&lt;&gt;"",$I76,MAX(VENT_Plan!$M76,IFERROR(LOOKUP(2,1/($E$3:INDIRECT("E"&amp;(ROW()-1))=$E76),$M$3:INDIRECT("M"&amp;(ROW()-1))),VENT_Plan!$M76))))</f>
        <v/>
      </c>
      <c r="K76">
        <f>IF($A76="","",IFERROR(VLOOKUP(B76,CHOOSE(MATCH($C76,Settings!$L$4:$L$10,0),OPR_BR1!$A$4:$I$18,OPR_BR2!$A$4:$I$18,OPR_CR2!$A$4:$I$18,OPR_CR3!$A$4:$I$18,OPR_CR4!$A$4:$I$18,OPR_RIM!$A$4:$I$18,OPR_BPR!$A$4:$I$18),8,0),0))</f>
        <v/>
      </c>
      <c r="L76">
        <f>IF($A76="","",K76*D76)</f>
        <v/>
      </c>
      <c r="M76" s="16">
        <f>IF($A76="","",IF(AND(ISNUMBER(G76),G76&gt;=J76,G76&lt;=(J76+(L76/(IF(F76="Contract Workman",Settings!$K$5,Settings!$K$4))))),J76+(L76/(IF(F76="Contract Workman",Settings!$K$5,Settings!$K$4)))+(H76/(IF(F76="Contract Workman",Settings!$K$5,Settings!$K$4))),J76+(L76/(IF(F76="Contract Workman",Settings!$K$5,Settings!$K$4)))))</f>
        <v/>
      </c>
      <c r="N76">
        <f>IF($A76="","",IF(F76="Contract Workman",IF(AND(MOD(M76,1)&gt;=8/24,MOD(M76,1)&lt;20/24),"Shift S1","Shift S2"),IF(AND(MOD(M76,1)&gt;=7/24,MOD(M76,1)&lt;15/24),"Shift A",IF(AND(MOD(M76,1)&gt;=15/24,MOD(M76,1)&lt;23/24),"Shift B","Shift C"))))</f>
        <v/>
      </c>
      <c r="O76">
        <f>IF(B76="","",IF(IFERROR(ISNUMBER(SEARCH(TEXT(B76,"0"),VLOOKUP(E76,Machine_List!$B:$J,9,0))),FALSE),"✅ "&amp; E76,"❌ Sug: "&amp;IFERROR(INDEX(Machine_List!$B$72:$B$81,MATCH(1,(Machine_List!$H$72:$H$81&lt;=IFERROR(VLOOKUP($B76,OPR_BR1!$A$4:$K$18,10,0),0))*(Machine_List!$I$72:$I$81&gt;=IFERROR(VLOOKUP($B76,OPR_BR1!$A$4:$K$18,11,0),9999)),0)),"?")))</f>
        <v/>
      </c>
      <c r="P76">
        <f>IF(AND($A76&lt;&gt;"",P$3&gt;=$J76,P$3&lt;=$M76),1,"")</f>
        <v/>
      </c>
      <c r="Q76">
        <f>IF(AND($A76&lt;&gt;"",Q$3&gt;=$J76,Q$3&lt;=$M76),1,"")</f>
        <v/>
      </c>
      <c r="R76">
        <f>IF(AND($A76&lt;&gt;"",R$3&gt;=$J76,R$3&lt;=$M76),1,"")</f>
        <v/>
      </c>
      <c r="S76">
        <f>IF(AND($A76&lt;&gt;"",S$3&gt;=$J76,S$3&lt;=$M76),1,"")</f>
        <v/>
      </c>
      <c r="T76">
        <f>IF(AND($A76&lt;&gt;"",T$3&gt;=$J76,T$3&lt;=$M76),1,"")</f>
        <v/>
      </c>
      <c r="U76">
        <f>IF(AND($A76&lt;&gt;"",U$3&gt;=$J76,U$3&lt;=$M76),1,"")</f>
        <v/>
      </c>
      <c r="V76">
        <f>IF(AND($A76&lt;&gt;"",V$3&gt;=$J76,V$3&lt;=$M76),1,"")</f>
        <v/>
      </c>
      <c r="W76">
        <f>IF(AND($A76&lt;&gt;"",W$3&gt;=$J76,W$3&lt;=$M76),1,"")</f>
        <v/>
      </c>
      <c r="X76">
        <f>IF(AND($A76&lt;&gt;"",X$3&gt;=$J76,X$3&lt;=$M76),1,"")</f>
        <v/>
      </c>
      <c r="Y76">
        <f>IF(AND($A76&lt;&gt;"",Y$3&gt;=$J76,Y$3&lt;=$M76),1,"")</f>
        <v/>
      </c>
      <c r="Z76">
        <f>IF(AND($A76&lt;&gt;"",Z$3&gt;=$J76,Z$3&lt;=$M76),1,"")</f>
        <v/>
      </c>
      <c r="AA76">
        <f>IF(AND($A76&lt;&gt;"",AA$3&gt;=$J76,AA$3&lt;=$M76),1,"")</f>
        <v/>
      </c>
      <c r="AB76">
        <f>IF(AND($A76&lt;&gt;"",AB$3&gt;=$J76,AB$3&lt;=$M76),1,"")</f>
        <v/>
      </c>
      <c r="AC76">
        <f>IF(AND($A76&lt;&gt;"",AC$3&gt;=$J76,AC$3&lt;=$M76),1,"")</f>
        <v/>
      </c>
      <c r="AD76">
        <f>IF(AND($A76&lt;&gt;"",AD$3&gt;=$J76,AD$3&lt;=$M76),1,"")</f>
        <v/>
      </c>
      <c r="AE76">
        <f>IF(AND($A76&lt;&gt;"",AE$3&gt;=$J76,AE$3&lt;=$M76),1,"")</f>
        <v/>
      </c>
      <c r="AF76">
        <f>IF(AND($A76&lt;&gt;"",AF$3&gt;=$J76,AF$3&lt;=$M76),1,"")</f>
        <v/>
      </c>
      <c r="AG76">
        <f>IF(AND($A76&lt;&gt;"",AG$3&gt;=$J76,AG$3&lt;=$M76),1,"")</f>
        <v/>
      </c>
      <c r="AH76">
        <f>IF(AND($A76&lt;&gt;"",AH$3&gt;=$J76,AH$3&lt;=$M76),1,"")</f>
        <v/>
      </c>
      <c r="AI76">
        <f>IF(AND($A76&lt;&gt;"",AI$3&gt;=$J76,AI$3&lt;=$M76),1,"")</f>
        <v/>
      </c>
      <c r="AJ76">
        <f>IF(AND($A76&lt;&gt;"",AJ$3&gt;=$J76,AJ$3&lt;=$M76),1,"")</f>
        <v/>
      </c>
      <c r="AK76">
        <f>IF(AND($A76&lt;&gt;"",AK$3&gt;=$J76,AK$3&lt;=$M76),1,"")</f>
        <v/>
      </c>
      <c r="AL76">
        <f>IF(AND($A76&lt;&gt;"",AL$3&gt;=$J76,AL$3&lt;=$M76),1,"")</f>
        <v/>
      </c>
      <c r="AM76">
        <f>IF(AND($A76&lt;&gt;"",AM$3&gt;=$J76,AM$3&lt;=$M76),1,"")</f>
        <v/>
      </c>
      <c r="AN76">
        <f>IF(AND($A76&lt;&gt;"",AN$3&gt;=$J76,AN$3&lt;=$M76),1,"")</f>
        <v/>
      </c>
      <c r="AO76">
        <f>IF(AND($A76&lt;&gt;"",AO$3&gt;=$J76,AO$3&lt;=$M76),1,"")</f>
        <v/>
      </c>
      <c r="AP76">
        <f>IF(AND($A76&lt;&gt;"",AP$3&gt;=$J76,AP$3&lt;=$M76),1,"")</f>
        <v/>
      </c>
      <c r="AQ76">
        <f>IF(AND($A76&lt;&gt;"",AQ$3&gt;=$J76,AQ$3&lt;=$M76),1,"")</f>
        <v/>
      </c>
      <c r="AR76">
        <f>IF(AND($A76&lt;&gt;"",AR$3&gt;=$J76,AR$3&lt;=$M76),1,"")</f>
        <v/>
      </c>
      <c r="AS76">
        <f>IF(AND($A76&lt;&gt;"",AS$3&gt;=$J76,AS$3&lt;=$M76),1,"")</f>
        <v/>
      </c>
      <c r="AT76">
        <f>IF(AND($A76&lt;&gt;"",AT$3&gt;=$J76,AT$3&lt;=$M76),1,"")</f>
        <v/>
      </c>
      <c r="AU76">
        <f>IF(AND($A76&lt;&gt;"",AU$3&gt;=$J76,AU$3&lt;=$M76),1,"")</f>
        <v/>
      </c>
      <c r="AV76">
        <f>IF(AND($A76&lt;&gt;"",AV$3&gt;=$J76,AV$3&lt;=$M76),1,"")</f>
        <v/>
      </c>
      <c r="AW76">
        <f>IF(AND($A76&lt;&gt;"",AW$3&gt;=$J76,AW$3&lt;=$M76),1,"")</f>
        <v/>
      </c>
      <c r="AX76">
        <f>IF(AND($A76&lt;&gt;"",AX$3&gt;=$J76,AX$3&lt;=$M76),1,"")</f>
        <v/>
      </c>
      <c r="AY76">
        <f>IF(AND($A76&lt;&gt;"",AY$3&gt;=$J76,AY$3&lt;=$M76),1,"")</f>
        <v/>
      </c>
      <c r="AZ76">
        <f>IF(AND($A76&lt;&gt;"",AZ$3&gt;=$J76,AZ$3&lt;=$M76),1,"")</f>
        <v/>
      </c>
      <c r="BA76">
        <f>IF(AND($A76&lt;&gt;"",BA$3&gt;=$J76,BA$3&lt;=$M76),1,"")</f>
        <v/>
      </c>
      <c r="BB76">
        <f>IF(AND($A76&lt;&gt;"",BB$3&gt;=$J76,BB$3&lt;=$M76),1,"")</f>
        <v/>
      </c>
      <c r="BC76">
        <f>IF(AND($A76&lt;&gt;"",BC$3&gt;=$J76,BC$3&lt;=$M76),1,"")</f>
        <v/>
      </c>
      <c r="BD76">
        <f>IF(AND($A76&lt;&gt;"",BD$3&gt;=$J76,BD$3&lt;=$M76),1,"")</f>
        <v/>
      </c>
      <c r="BE76">
        <f>IF(AND($A76&lt;&gt;"",BE$3&gt;=$J76,BE$3&lt;=$M76),1,"")</f>
        <v/>
      </c>
      <c r="BF76">
        <f>IF(AND($A76&lt;&gt;"",BF$3&gt;=$J76,BF$3&lt;=$M76),1,"")</f>
        <v/>
      </c>
      <c r="BG76">
        <f>IF(AND($A76&lt;&gt;"",BG$3&gt;=$J76,BG$3&lt;=$M76),1,"")</f>
        <v/>
      </c>
      <c r="BH76">
        <f>IF(AND($A76&lt;&gt;"",BH$3&gt;=$J76,BH$3&lt;=$M76),1,"")</f>
        <v/>
      </c>
      <c r="BI76">
        <f>IF(AND($A76&lt;&gt;"",BI$3&gt;=$J76,BI$3&lt;=$M76),1,"")</f>
        <v/>
      </c>
      <c r="BJ76">
        <f>IF(AND($A76&lt;&gt;"",BJ$3&gt;=$J76,BJ$3&lt;=$M76),1,"")</f>
        <v/>
      </c>
      <c r="BK76">
        <f>IF(AND($A76&lt;&gt;"",BK$3&gt;=$J76,BK$3&lt;=$M76),1,"")</f>
        <v/>
      </c>
      <c r="BL76">
        <f>IF(AND($A76&lt;&gt;"",BL$3&gt;=$J76,BL$3&lt;=$M76),1,"")</f>
        <v/>
      </c>
      <c r="BM76">
        <f>IF(AND($A76&lt;&gt;"",BM$3&gt;=$J76,BM$3&lt;=$M76),1,"")</f>
        <v/>
      </c>
      <c r="BN76">
        <f>IF(AND($A76&lt;&gt;"",BN$3&gt;=$J76,BN$3&lt;=$M76),1,"")</f>
        <v/>
      </c>
      <c r="BO76">
        <f>IF(AND($A76&lt;&gt;"",BO$3&gt;=$J76,BO$3&lt;=$M76),1,"")</f>
        <v/>
      </c>
      <c r="BP76">
        <f>IF(AND($A76&lt;&gt;"",BP$3&gt;=$J76,BP$3&lt;=$M76),1,"")</f>
        <v/>
      </c>
      <c r="BQ76">
        <f>IF(AND($A76&lt;&gt;"",BQ$3&gt;=$J76,BQ$3&lt;=$M76),1,"")</f>
        <v/>
      </c>
      <c r="BR76">
        <f>IF(AND($A76&lt;&gt;"",BR$3&gt;=$J76,BR$3&lt;=$M76),1,"")</f>
        <v/>
      </c>
      <c r="BS76">
        <f>IF(AND($A76&lt;&gt;"",BS$3&gt;=$J76,BS$3&lt;=$M76),1,"")</f>
        <v/>
      </c>
      <c r="BT76">
        <f>IF(AND($A76&lt;&gt;"",BT$3&gt;=$J76,BT$3&lt;=$M76),1,"")</f>
        <v/>
      </c>
      <c r="BU76">
        <f>IF(AND($A76&lt;&gt;"",BU$3&gt;=$J76,BU$3&lt;=$M76),1,"")</f>
        <v/>
      </c>
      <c r="BV76">
        <f>IF(AND($A76&lt;&gt;"",BV$3&gt;=$J76,BV$3&lt;=$M76),1,"")</f>
        <v/>
      </c>
    </row>
    <row r="77">
      <c r="A77">
        <f>IF(Job_Master_Ring!$A77="","",Job_Master_Ring!$A77)</f>
        <v/>
      </c>
      <c r="B77">
        <f>IF($A77="","",Job_Master_Ring!B77)</f>
        <v/>
      </c>
      <c r="C77">
        <f>IF($A77="","",Job_Master_Ring!C77)</f>
        <v/>
      </c>
      <c r="D77">
        <f>IF($A77="","",Job_Master_Ring!D77)</f>
        <v/>
      </c>
      <c r="E77">
        <f>IF($A77="","",IF($I77&lt;&gt;"",$I77,IFERROR(INDEX(Machine_List!$B$72:$B$81,MATCH(1,(Machine_List!$H$72:$H$81&lt;=IFERROR(VLOOKUP($B77,CHOOSE(MATCH($C77,Settings!$L$4:$L$10,0),OPR_BR1!$A$4:$K$18,OPR_BR2!$A$4:$K$18,OPR_CR2!$A$4:$K$18,OPR_CR3!$A$4:$K$18,OPR_CR4!$A$4:$K$18,OPR_RIM!$A$4:$K$18,OPR_BPR!$A$4:$K$18),10,0),0))*(Machine_List!$I$72:$I$81&gt;=IFERROR(VLOOKUP($B77,CHOOSE(MATCH($C77,Settings!$L$4:$L$10,0),OPR_BR1!$A$4:$K$18,OPR_BR2!$A$4:$K$18,OPR_CR2!$A$4:$K$18,OPR_CR3!$A$4:$K$18,OPR_CR4!$A$4:$K$18,OPR_RIM!$A$4:$K$18,OPR_BPR!$A$4:$K$18),11,0),9999)),0)),"NO COMPATIBLE MACHINE")))</f>
        <v/>
      </c>
      <c r="F77">
        <f>IF($E77="","",IFERROR(VLOOKUP($E77,Machine_List!$B:$G,6,0),""))</f>
        <v/>
      </c>
      <c r="G77" s="17">
        <f>IF($E77="","",IFERROR(VLOOKUP($E77,Machine_List!$B:$C,2,0),""))</f>
        <v/>
      </c>
      <c r="H77">
        <f>IF($E77="","",IFERROR(VLOOKUP($E77,Machine_List!$B:$D,3,0),""))</f>
        <v/>
      </c>
      <c r="J77" s="16">
        <f>IF($A77="","",IF($I77&lt;&gt;"",$I77,MAX(VENT_Plan!$M77,IFERROR(LOOKUP(2,1/($E$3:INDIRECT("E"&amp;(ROW()-1))=$E77),$M$3:INDIRECT("M"&amp;(ROW()-1))),VENT_Plan!$M77))))</f>
        <v/>
      </c>
      <c r="K77">
        <f>IF($A77="","",IFERROR(VLOOKUP(B77,CHOOSE(MATCH($C77,Settings!$L$4:$L$10,0),OPR_BR1!$A$4:$I$18,OPR_BR2!$A$4:$I$18,OPR_CR2!$A$4:$I$18,OPR_CR3!$A$4:$I$18,OPR_CR4!$A$4:$I$18,OPR_RIM!$A$4:$I$18,OPR_BPR!$A$4:$I$18),8,0),0))</f>
        <v/>
      </c>
      <c r="L77">
        <f>IF($A77="","",K77*D77)</f>
        <v/>
      </c>
      <c r="M77" s="16">
        <f>IF($A77="","",IF(AND(ISNUMBER(G77),G77&gt;=J77,G77&lt;=(J77+(L77/(IF(F77="Contract Workman",Settings!$K$5,Settings!$K$4))))),J77+(L77/(IF(F77="Contract Workman",Settings!$K$5,Settings!$K$4)))+(H77/(IF(F77="Contract Workman",Settings!$K$5,Settings!$K$4))),J77+(L77/(IF(F77="Contract Workman",Settings!$K$5,Settings!$K$4)))))</f>
        <v/>
      </c>
      <c r="N77">
        <f>IF($A77="","",IF(F77="Contract Workman",IF(AND(MOD(M77,1)&gt;=8/24,MOD(M77,1)&lt;20/24),"Shift S1","Shift S2"),IF(AND(MOD(M77,1)&gt;=7/24,MOD(M77,1)&lt;15/24),"Shift A",IF(AND(MOD(M77,1)&gt;=15/24,MOD(M77,1)&lt;23/24),"Shift B","Shift C"))))</f>
        <v/>
      </c>
      <c r="O77">
        <f>IF(B77="","",IF(IFERROR(ISNUMBER(SEARCH(TEXT(B77,"0"),VLOOKUP(E77,Machine_List!$B:$J,9,0))),FALSE),"✅ "&amp; E77,"❌ Sug: "&amp;IFERROR(INDEX(Machine_List!$B$72:$B$81,MATCH(1,(Machine_List!$H$72:$H$81&lt;=IFERROR(VLOOKUP($B77,OPR_BR1!$A$4:$K$18,10,0),0))*(Machine_List!$I$72:$I$81&gt;=IFERROR(VLOOKUP($B77,OPR_BR1!$A$4:$K$18,11,0),9999)),0)),"?")))</f>
        <v/>
      </c>
      <c r="P77">
        <f>IF(AND($A77&lt;&gt;"",P$3&gt;=$J77,P$3&lt;=$M77),1,"")</f>
        <v/>
      </c>
      <c r="Q77">
        <f>IF(AND($A77&lt;&gt;"",Q$3&gt;=$J77,Q$3&lt;=$M77),1,"")</f>
        <v/>
      </c>
      <c r="R77">
        <f>IF(AND($A77&lt;&gt;"",R$3&gt;=$J77,R$3&lt;=$M77),1,"")</f>
        <v/>
      </c>
      <c r="S77">
        <f>IF(AND($A77&lt;&gt;"",S$3&gt;=$J77,S$3&lt;=$M77),1,"")</f>
        <v/>
      </c>
      <c r="T77">
        <f>IF(AND($A77&lt;&gt;"",T$3&gt;=$J77,T$3&lt;=$M77),1,"")</f>
        <v/>
      </c>
      <c r="U77">
        <f>IF(AND($A77&lt;&gt;"",U$3&gt;=$J77,U$3&lt;=$M77),1,"")</f>
        <v/>
      </c>
      <c r="V77">
        <f>IF(AND($A77&lt;&gt;"",V$3&gt;=$J77,V$3&lt;=$M77),1,"")</f>
        <v/>
      </c>
      <c r="W77">
        <f>IF(AND($A77&lt;&gt;"",W$3&gt;=$J77,W$3&lt;=$M77),1,"")</f>
        <v/>
      </c>
      <c r="X77">
        <f>IF(AND($A77&lt;&gt;"",X$3&gt;=$J77,X$3&lt;=$M77),1,"")</f>
        <v/>
      </c>
      <c r="Y77">
        <f>IF(AND($A77&lt;&gt;"",Y$3&gt;=$J77,Y$3&lt;=$M77),1,"")</f>
        <v/>
      </c>
      <c r="Z77">
        <f>IF(AND($A77&lt;&gt;"",Z$3&gt;=$J77,Z$3&lt;=$M77),1,"")</f>
        <v/>
      </c>
      <c r="AA77">
        <f>IF(AND($A77&lt;&gt;"",AA$3&gt;=$J77,AA$3&lt;=$M77),1,"")</f>
        <v/>
      </c>
      <c r="AB77">
        <f>IF(AND($A77&lt;&gt;"",AB$3&gt;=$J77,AB$3&lt;=$M77),1,"")</f>
        <v/>
      </c>
      <c r="AC77">
        <f>IF(AND($A77&lt;&gt;"",AC$3&gt;=$J77,AC$3&lt;=$M77),1,"")</f>
        <v/>
      </c>
      <c r="AD77">
        <f>IF(AND($A77&lt;&gt;"",AD$3&gt;=$J77,AD$3&lt;=$M77),1,"")</f>
        <v/>
      </c>
      <c r="AE77">
        <f>IF(AND($A77&lt;&gt;"",AE$3&gt;=$J77,AE$3&lt;=$M77),1,"")</f>
        <v/>
      </c>
      <c r="AF77">
        <f>IF(AND($A77&lt;&gt;"",AF$3&gt;=$J77,AF$3&lt;=$M77),1,"")</f>
        <v/>
      </c>
      <c r="AG77">
        <f>IF(AND($A77&lt;&gt;"",AG$3&gt;=$J77,AG$3&lt;=$M77),1,"")</f>
        <v/>
      </c>
      <c r="AH77">
        <f>IF(AND($A77&lt;&gt;"",AH$3&gt;=$J77,AH$3&lt;=$M77),1,"")</f>
        <v/>
      </c>
      <c r="AI77">
        <f>IF(AND($A77&lt;&gt;"",AI$3&gt;=$J77,AI$3&lt;=$M77),1,"")</f>
        <v/>
      </c>
      <c r="AJ77">
        <f>IF(AND($A77&lt;&gt;"",AJ$3&gt;=$J77,AJ$3&lt;=$M77),1,"")</f>
        <v/>
      </c>
      <c r="AK77">
        <f>IF(AND($A77&lt;&gt;"",AK$3&gt;=$J77,AK$3&lt;=$M77),1,"")</f>
        <v/>
      </c>
      <c r="AL77">
        <f>IF(AND($A77&lt;&gt;"",AL$3&gt;=$J77,AL$3&lt;=$M77),1,"")</f>
        <v/>
      </c>
      <c r="AM77">
        <f>IF(AND($A77&lt;&gt;"",AM$3&gt;=$J77,AM$3&lt;=$M77),1,"")</f>
        <v/>
      </c>
      <c r="AN77">
        <f>IF(AND($A77&lt;&gt;"",AN$3&gt;=$J77,AN$3&lt;=$M77),1,"")</f>
        <v/>
      </c>
      <c r="AO77">
        <f>IF(AND($A77&lt;&gt;"",AO$3&gt;=$J77,AO$3&lt;=$M77),1,"")</f>
        <v/>
      </c>
      <c r="AP77">
        <f>IF(AND($A77&lt;&gt;"",AP$3&gt;=$J77,AP$3&lt;=$M77),1,"")</f>
        <v/>
      </c>
      <c r="AQ77">
        <f>IF(AND($A77&lt;&gt;"",AQ$3&gt;=$J77,AQ$3&lt;=$M77),1,"")</f>
        <v/>
      </c>
      <c r="AR77">
        <f>IF(AND($A77&lt;&gt;"",AR$3&gt;=$J77,AR$3&lt;=$M77),1,"")</f>
        <v/>
      </c>
      <c r="AS77">
        <f>IF(AND($A77&lt;&gt;"",AS$3&gt;=$J77,AS$3&lt;=$M77),1,"")</f>
        <v/>
      </c>
      <c r="AT77">
        <f>IF(AND($A77&lt;&gt;"",AT$3&gt;=$J77,AT$3&lt;=$M77),1,"")</f>
        <v/>
      </c>
      <c r="AU77">
        <f>IF(AND($A77&lt;&gt;"",AU$3&gt;=$J77,AU$3&lt;=$M77),1,"")</f>
        <v/>
      </c>
      <c r="AV77">
        <f>IF(AND($A77&lt;&gt;"",AV$3&gt;=$J77,AV$3&lt;=$M77),1,"")</f>
        <v/>
      </c>
      <c r="AW77">
        <f>IF(AND($A77&lt;&gt;"",AW$3&gt;=$J77,AW$3&lt;=$M77),1,"")</f>
        <v/>
      </c>
      <c r="AX77">
        <f>IF(AND($A77&lt;&gt;"",AX$3&gt;=$J77,AX$3&lt;=$M77),1,"")</f>
        <v/>
      </c>
      <c r="AY77">
        <f>IF(AND($A77&lt;&gt;"",AY$3&gt;=$J77,AY$3&lt;=$M77),1,"")</f>
        <v/>
      </c>
      <c r="AZ77">
        <f>IF(AND($A77&lt;&gt;"",AZ$3&gt;=$J77,AZ$3&lt;=$M77),1,"")</f>
        <v/>
      </c>
      <c r="BA77">
        <f>IF(AND($A77&lt;&gt;"",BA$3&gt;=$J77,BA$3&lt;=$M77),1,"")</f>
        <v/>
      </c>
      <c r="BB77">
        <f>IF(AND($A77&lt;&gt;"",BB$3&gt;=$J77,BB$3&lt;=$M77),1,"")</f>
        <v/>
      </c>
      <c r="BC77">
        <f>IF(AND($A77&lt;&gt;"",BC$3&gt;=$J77,BC$3&lt;=$M77),1,"")</f>
        <v/>
      </c>
      <c r="BD77">
        <f>IF(AND($A77&lt;&gt;"",BD$3&gt;=$J77,BD$3&lt;=$M77),1,"")</f>
        <v/>
      </c>
      <c r="BE77">
        <f>IF(AND($A77&lt;&gt;"",BE$3&gt;=$J77,BE$3&lt;=$M77),1,"")</f>
        <v/>
      </c>
      <c r="BF77">
        <f>IF(AND($A77&lt;&gt;"",BF$3&gt;=$J77,BF$3&lt;=$M77),1,"")</f>
        <v/>
      </c>
      <c r="BG77">
        <f>IF(AND($A77&lt;&gt;"",BG$3&gt;=$J77,BG$3&lt;=$M77),1,"")</f>
        <v/>
      </c>
      <c r="BH77">
        <f>IF(AND($A77&lt;&gt;"",BH$3&gt;=$J77,BH$3&lt;=$M77),1,"")</f>
        <v/>
      </c>
      <c r="BI77">
        <f>IF(AND($A77&lt;&gt;"",BI$3&gt;=$J77,BI$3&lt;=$M77),1,"")</f>
        <v/>
      </c>
      <c r="BJ77">
        <f>IF(AND($A77&lt;&gt;"",BJ$3&gt;=$J77,BJ$3&lt;=$M77),1,"")</f>
        <v/>
      </c>
      <c r="BK77">
        <f>IF(AND($A77&lt;&gt;"",BK$3&gt;=$J77,BK$3&lt;=$M77),1,"")</f>
        <v/>
      </c>
      <c r="BL77">
        <f>IF(AND($A77&lt;&gt;"",BL$3&gt;=$J77,BL$3&lt;=$M77),1,"")</f>
        <v/>
      </c>
      <c r="BM77">
        <f>IF(AND($A77&lt;&gt;"",BM$3&gt;=$J77,BM$3&lt;=$M77),1,"")</f>
        <v/>
      </c>
      <c r="BN77">
        <f>IF(AND($A77&lt;&gt;"",BN$3&gt;=$J77,BN$3&lt;=$M77),1,"")</f>
        <v/>
      </c>
      <c r="BO77">
        <f>IF(AND($A77&lt;&gt;"",BO$3&gt;=$J77,BO$3&lt;=$M77),1,"")</f>
        <v/>
      </c>
      <c r="BP77">
        <f>IF(AND($A77&lt;&gt;"",BP$3&gt;=$J77,BP$3&lt;=$M77),1,"")</f>
        <v/>
      </c>
      <c r="BQ77">
        <f>IF(AND($A77&lt;&gt;"",BQ$3&gt;=$J77,BQ$3&lt;=$M77),1,"")</f>
        <v/>
      </c>
      <c r="BR77">
        <f>IF(AND($A77&lt;&gt;"",BR$3&gt;=$J77,BR$3&lt;=$M77),1,"")</f>
        <v/>
      </c>
      <c r="BS77">
        <f>IF(AND($A77&lt;&gt;"",BS$3&gt;=$J77,BS$3&lt;=$M77),1,"")</f>
        <v/>
      </c>
      <c r="BT77">
        <f>IF(AND($A77&lt;&gt;"",BT$3&gt;=$J77,BT$3&lt;=$M77),1,"")</f>
        <v/>
      </c>
      <c r="BU77">
        <f>IF(AND($A77&lt;&gt;"",BU$3&gt;=$J77,BU$3&lt;=$M77),1,"")</f>
        <v/>
      </c>
      <c r="BV77">
        <f>IF(AND($A77&lt;&gt;"",BV$3&gt;=$J77,BV$3&lt;=$M77),1,"")</f>
        <v/>
      </c>
    </row>
    <row r="78">
      <c r="A78">
        <f>IF(Job_Master_Ring!$A78="","",Job_Master_Ring!$A78)</f>
        <v/>
      </c>
      <c r="B78">
        <f>IF($A78="","",Job_Master_Ring!B78)</f>
        <v/>
      </c>
      <c r="C78">
        <f>IF($A78="","",Job_Master_Ring!C78)</f>
        <v/>
      </c>
      <c r="D78">
        <f>IF($A78="","",Job_Master_Ring!D78)</f>
        <v/>
      </c>
      <c r="E78">
        <f>IF($A78="","",IF($I78&lt;&gt;"",$I78,IFERROR(INDEX(Machine_List!$B$72:$B$81,MATCH(1,(Machine_List!$H$72:$H$81&lt;=IFERROR(VLOOKUP($B78,CHOOSE(MATCH($C78,Settings!$L$4:$L$10,0),OPR_BR1!$A$4:$K$18,OPR_BR2!$A$4:$K$18,OPR_CR2!$A$4:$K$18,OPR_CR3!$A$4:$K$18,OPR_CR4!$A$4:$K$18,OPR_RIM!$A$4:$K$18,OPR_BPR!$A$4:$K$18),10,0),0))*(Machine_List!$I$72:$I$81&gt;=IFERROR(VLOOKUP($B78,CHOOSE(MATCH($C78,Settings!$L$4:$L$10,0),OPR_BR1!$A$4:$K$18,OPR_BR2!$A$4:$K$18,OPR_CR2!$A$4:$K$18,OPR_CR3!$A$4:$K$18,OPR_CR4!$A$4:$K$18,OPR_RIM!$A$4:$K$18,OPR_BPR!$A$4:$K$18),11,0),9999)),0)),"NO COMPATIBLE MACHINE")))</f>
        <v/>
      </c>
      <c r="F78">
        <f>IF($E78="","",IFERROR(VLOOKUP($E78,Machine_List!$B:$G,6,0),""))</f>
        <v/>
      </c>
      <c r="G78" s="17">
        <f>IF($E78="","",IFERROR(VLOOKUP($E78,Machine_List!$B:$C,2,0),""))</f>
        <v/>
      </c>
      <c r="H78">
        <f>IF($E78="","",IFERROR(VLOOKUP($E78,Machine_List!$B:$D,3,0),""))</f>
        <v/>
      </c>
      <c r="J78" s="16">
        <f>IF($A78="","",IF($I78&lt;&gt;"",$I78,MAX(VENT_Plan!$M78,IFERROR(LOOKUP(2,1/($E$3:INDIRECT("E"&amp;(ROW()-1))=$E78),$M$3:INDIRECT("M"&amp;(ROW()-1))),VENT_Plan!$M78))))</f>
        <v/>
      </c>
      <c r="K78">
        <f>IF($A78="","",IFERROR(VLOOKUP(B78,CHOOSE(MATCH($C78,Settings!$L$4:$L$10,0),OPR_BR1!$A$4:$I$18,OPR_BR2!$A$4:$I$18,OPR_CR2!$A$4:$I$18,OPR_CR3!$A$4:$I$18,OPR_CR4!$A$4:$I$18,OPR_RIM!$A$4:$I$18,OPR_BPR!$A$4:$I$18),8,0),0))</f>
        <v/>
      </c>
      <c r="L78">
        <f>IF($A78="","",K78*D78)</f>
        <v/>
      </c>
      <c r="M78" s="16">
        <f>IF($A78="","",IF(AND(ISNUMBER(G78),G78&gt;=J78,G78&lt;=(J78+(L78/(IF(F78="Contract Workman",Settings!$K$5,Settings!$K$4))))),J78+(L78/(IF(F78="Contract Workman",Settings!$K$5,Settings!$K$4)))+(H78/(IF(F78="Contract Workman",Settings!$K$5,Settings!$K$4))),J78+(L78/(IF(F78="Contract Workman",Settings!$K$5,Settings!$K$4)))))</f>
        <v/>
      </c>
      <c r="N78">
        <f>IF($A78="","",IF(F78="Contract Workman",IF(AND(MOD(M78,1)&gt;=8/24,MOD(M78,1)&lt;20/24),"Shift S1","Shift S2"),IF(AND(MOD(M78,1)&gt;=7/24,MOD(M78,1)&lt;15/24),"Shift A",IF(AND(MOD(M78,1)&gt;=15/24,MOD(M78,1)&lt;23/24),"Shift B","Shift C"))))</f>
        <v/>
      </c>
      <c r="O78">
        <f>IF(B78="","",IF(IFERROR(ISNUMBER(SEARCH(TEXT(B78,"0"),VLOOKUP(E78,Machine_List!$B:$J,9,0))),FALSE),"✅ "&amp; E78,"❌ Sug: "&amp;IFERROR(INDEX(Machine_List!$B$72:$B$81,MATCH(1,(Machine_List!$H$72:$H$81&lt;=IFERROR(VLOOKUP($B78,OPR_BR1!$A$4:$K$18,10,0),0))*(Machine_List!$I$72:$I$81&gt;=IFERROR(VLOOKUP($B78,OPR_BR1!$A$4:$K$18,11,0),9999)),0)),"?")))</f>
        <v/>
      </c>
      <c r="P78">
        <f>IF(AND($A78&lt;&gt;"",P$3&gt;=$J78,P$3&lt;=$M78),1,"")</f>
        <v/>
      </c>
      <c r="Q78">
        <f>IF(AND($A78&lt;&gt;"",Q$3&gt;=$J78,Q$3&lt;=$M78),1,"")</f>
        <v/>
      </c>
      <c r="R78">
        <f>IF(AND($A78&lt;&gt;"",R$3&gt;=$J78,R$3&lt;=$M78),1,"")</f>
        <v/>
      </c>
      <c r="S78">
        <f>IF(AND($A78&lt;&gt;"",S$3&gt;=$J78,S$3&lt;=$M78),1,"")</f>
        <v/>
      </c>
      <c r="T78">
        <f>IF(AND($A78&lt;&gt;"",T$3&gt;=$J78,T$3&lt;=$M78),1,"")</f>
        <v/>
      </c>
      <c r="U78">
        <f>IF(AND($A78&lt;&gt;"",U$3&gt;=$J78,U$3&lt;=$M78),1,"")</f>
        <v/>
      </c>
      <c r="V78">
        <f>IF(AND($A78&lt;&gt;"",V$3&gt;=$J78,V$3&lt;=$M78),1,"")</f>
        <v/>
      </c>
      <c r="W78">
        <f>IF(AND($A78&lt;&gt;"",W$3&gt;=$J78,W$3&lt;=$M78),1,"")</f>
        <v/>
      </c>
      <c r="X78">
        <f>IF(AND($A78&lt;&gt;"",X$3&gt;=$J78,X$3&lt;=$M78),1,"")</f>
        <v/>
      </c>
      <c r="Y78">
        <f>IF(AND($A78&lt;&gt;"",Y$3&gt;=$J78,Y$3&lt;=$M78),1,"")</f>
        <v/>
      </c>
      <c r="Z78">
        <f>IF(AND($A78&lt;&gt;"",Z$3&gt;=$J78,Z$3&lt;=$M78),1,"")</f>
        <v/>
      </c>
      <c r="AA78">
        <f>IF(AND($A78&lt;&gt;"",AA$3&gt;=$J78,AA$3&lt;=$M78),1,"")</f>
        <v/>
      </c>
      <c r="AB78">
        <f>IF(AND($A78&lt;&gt;"",AB$3&gt;=$J78,AB$3&lt;=$M78),1,"")</f>
        <v/>
      </c>
      <c r="AC78">
        <f>IF(AND($A78&lt;&gt;"",AC$3&gt;=$J78,AC$3&lt;=$M78),1,"")</f>
        <v/>
      </c>
      <c r="AD78">
        <f>IF(AND($A78&lt;&gt;"",AD$3&gt;=$J78,AD$3&lt;=$M78),1,"")</f>
        <v/>
      </c>
      <c r="AE78">
        <f>IF(AND($A78&lt;&gt;"",AE$3&gt;=$J78,AE$3&lt;=$M78),1,"")</f>
        <v/>
      </c>
      <c r="AF78">
        <f>IF(AND($A78&lt;&gt;"",AF$3&gt;=$J78,AF$3&lt;=$M78),1,"")</f>
        <v/>
      </c>
      <c r="AG78">
        <f>IF(AND($A78&lt;&gt;"",AG$3&gt;=$J78,AG$3&lt;=$M78),1,"")</f>
        <v/>
      </c>
      <c r="AH78">
        <f>IF(AND($A78&lt;&gt;"",AH$3&gt;=$J78,AH$3&lt;=$M78),1,"")</f>
        <v/>
      </c>
      <c r="AI78">
        <f>IF(AND($A78&lt;&gt;"",AI$3&gt;=$J78,AI$3&lt;=$M78),1,"")</f>
        <v/>
      </c>
      <c r="AJ78">
        <f>IF(AND($A78&lt;&gt;"",AJ$3&gt;=$J78,AJ$3&lt;=$M78),1,"")</f>
        <v/>
      </c>
      <c r="AK78">
        <f>IF(AND($A78&lt;&gt;"",AK$3&gt;=$J78,AK$3&lt;=$M78),1,"")</f>
        <v/>
      </c>
      <c r="AL78">
        <f>IF(AND($A78&lt;&gt;"",AL$3&gt;=$J78,AL$3&lt;=$M78),1,"")</f>
        <v/>
      </c>
      <c r="AM78">
        <f>IF(AND($A78&lt;&gt;"",AM$3&gt;=$J78,AM$3&lt;=$M78),1,"")</f>
        <v/>
      </c>
      <c r="AN78">
        <f>IF(AND($A78&lt;&gt;"",AN$3&gt;=$J78,AN$3&lt;=$M78),1,"")</f>
        <v/>
      </c>
      <c r="AO78">
        <f>IF(AND($A78&lt;&gt;"",AO$3&gt;=$J78,AO$3&lt;=$M78),1,"")</f>
        <v/>
      </c>
      <c r="AP78">
        <f>IF(AND($A78&lt;&gt;"",AP$3&gt;=$J78,AP$3&lt;=$M78),1,"")</f>
        <v/>
      </c>
      <c r="AQ78">
        <f>IF(AND($A78&lt;&gt;"",AQ$3&gt;=$J78,AQ$3&lt;=$M78),1,"")</f>
        <v/>
      </c>
      <c r="AR78">
        <f>IF(AND($A78&lt;&gt;"",AR$3&gt;=$J78,AR$3&lt;=$M78),1,"")</f>
        <v/>
      </c>
      <c r="AS78">
        <f>IF(AND($A78&lt;&gt;"",AS$3&gt;=$J78,AS$3&lt;=$M78),1,"")</f>
        <v/>
      </c>
      <c r="AT78">
        <f>IF(AND($A78&lt;&gt;"",AT$3&gt;=$J78,AT$3&lt;=$M78),1,"")</f>
        <v/>
      </c>
      <c r="AU78">
        <f>IF(AND($A78&lt;&gt;"",AU$3&gt;=$J78,AU$3&lt;=$M78),1,"")</f>
        <v/>
      </c>
      <c r="AV78">
        <f>IF(AND($A78&lt;&gt;"",AV$3&gt;=$J78,AV$3&lt;=$M78),1,"")</f>
        <v/>
      </c>
      <c r="AW78">
        <f>IF(AND($A78&lt;&gt;"",AW$3&gt;=$J78,AW$3&lt;=$M78),1,"")</f>
        <v/>
      </c>
      <c r="AX78">
        <f>IF(AND($A78&lt;&gt;"",AX$3&gt;=$J78,AX$3&lt;=$M78),1,"")</f>
        <v/>
      </c>
      <c r="AY78">
        <f>IF(AND($A78&lt;&gt;"",AY$3&gt;=$J78,AY$3&lt;=$M78),1,"")</f>
        <v/>
      </c>
      <c r="AZ78">
        <f>IF(AND($A78&lt;&gt;"",AZ$3&gt;=$J78,AZ$3&lt;=$M78),1,"")</f>
        <v/>
      </c>
      <c r="BA78">
        <f>IF(AND($A78&lt;&gt;"",BA$3&gt;=$J78,BA$3&lt;=$M78),1,"")</f>
        <v/>
      </c>
      <c r="BB78">
        <f>IF(AND($A78&lt;&gt;"",BB$3&gt;=$J78,BB$3&lt;=$M78),1,"")</f>
        <v/>
      </c>
      <c r="BC78">
        <f>IF(AND($A78&lt;&gt;"",BC$3&gt;=$J78,BC$3&lt;=$M78),1,"")</f>
        <v/>
      </c>
      <c r="BD78">
        <f>IF(AND($A78&lt;&gt;"",BD$3&gt;=$J78,BD$3&lt;=$M78),1,"")</f>
        <v/>
      </c>
      <c r="BE78">
        <f>IF(AND($A78&lt;&gt;"",BE$3&gt;=$J78,BE$3&lt;=$M78),1,"")</f>
        <v/>
      </c>
      <c r="BF78">
        <f>IF(AND($A78&lt;&gt;"",BF$3&gt;=$J78,BF$3&lt;=$M78),1,"")</f>
        <v/>
      </c>
      <c r="BG78">
        <f>IF(AND($A78&lt;&gt;"",BG$3&gt;=$J78,BG$3&lt;=$M78),1,"")</f>
        <v/>
      </c>
      <c r="BH78">
        <f>IF(AND($A78&lt;&gt;"",BH$3&gt;=$J78,BH$3&lt;=$M78),1,"")</f>
        <v/>
      </c>
      <c r="BI78">
        <f>IF(AND($A78&lt;&gt;"",BI$3&gt;=$J78,BI$3&lt;=$M78),1,"")</f>
        <v/>
      </c>
      <c r="BJ78">
        <f>IF(AND($A78&lt;&gt;"",BJ$3&gt;=$J78,BJ$3&lt;=$M78),1,"")</f>
        <v/>
      </c>
      <c r="BK78">
        <f>IF(AND($A78&lt;&gt;"",BK$3&gt;=$J78,BK$3&lt;=$M78),1,"")</f>
        <v/>
      </c>
      <c r="BL78">
        <f>IF(AND($A78&lt;&gt;"",BL$3&gt;=$J78,BL$3&lt;=$M78),1,"")</f>
        <v/>
      </c>
      <c r="BM78">
        <f>IF(AND($A78&lt;&gt;"",BM$3&gt;=$J78,BM$3&lt;=$M78),1,"")</f>
        <v/>
      </c>
      <c r="BN78">
        <f>IF(AND($A78&lt;&gt;"",BN$3&gt;=$J78,BN$3&lt;=$M78),1,"")</f>
        <v/>
      </c>
      <c r="BO78">
        <f>IF(AND($A78&lt;&gt;"",BO$3&gt;=$J78,BO$3&lt;=$M78),1,"")</f>
        <v/>
      </c>
      <c r="BP78">
        <f>IF(AND($A78&lt;&gt;"",BP$3&gt;=$J78,BP$3&lt;=$M78),1,"")</f>
        <v/>
      </c>
      <c r="BQ78">
        <f>IF(AND($A78&lt;&gt;"",BQ$3&gt;=$J78,BQ$3&lt;=$M78),1,"")</f>
        <v/>
      </c>
      <c r="BR78">
        <f>IF(AND($A78&lt;&gt;"",BR$3&gt;=$J78,BR$3&lt;=$M78),1,"")</f>
        <v/>
      </c>
      <c r="BS78">
        <f>IF(AND($A78&lt;&gt;"",BS$3&gt;=$J78,BS$3&lt;=$M78),1,"")</f>
        <v/>
      </c>
      <c r="BT78">
        <f>IF(AND($A78&lt;&gt;"",BT$3&gt;=$J78,BT$3&lt;=$M78),1,"")</f>
        <v/>
      </c>
      <c r="BU78">
        <f>IF(AND($A78&lt;&gt;"",BU$3&gt;=$J78,BU$3&lt;=$M78),1,"")</f>
        <v/>
      </c>
      <c r="BV78">
        <f>IF(AND($A78&lt;&gt;"",BV$3&gt;=$J78,BV$3&lt;=$M78),1,"")</f>
        <v/>
      </c>
    </row>
    <row r="79">
      <c r="A79">
        <f>IF(Job_Master_Ring!$A79="","",Job_Master_Ring!$A79)</f>
        <v/>
      </c>
      <c r="B79">
        <f>IF($A79="","",Job_Master_Ring!B79)</f>
        <v/>
      </c>
      <c r="C79">
        <f>IF($A79="","",Job_Master_Ring!C79)</f>
        <v/>
      </c>
      <c r="D79">
        <f>IF($A79="","",Job_Master_Ring!D79)</f>
        <v/>
      </c>
      <c r="E79">
        <f>IF($A79="","",IF($I79&lt;&gt;"",$I79,IFERROR(INDEX(Machine_List!$B$72:$B$81,MATCH(1,(Machine_List!$H$72:$H$81&lt;=IFERROR(VLOOKUP($B79,CHOOSE(MATCH($C79,Settings!$L$4:$L$10,0),OPR_BR1!$A$4:$K$18,OPR_BR2!$A$4:$K$18,OPR_CR2!$A$4:$K$18,OPR_CR3!$A$4:$K$18,OPR_CR4!$A$4:$K$18,OPR_RIM!$A$4:$K$18,OPR_BPR!$A$4:$K$18),10,0),0))*(Machine_List!$I$72:$I$81&gt;=IFERROR(VLOOKUP($B79,CHOOSE(MATCH($C79,Settings!$L$4:$L$10,0),OPR_BR1!$A$4:$K$18,OPR_BR2!$A$4:$K$18,OPR_CR2!$A$4:$K$18,OPR_CR3!$A$4:$K$18,OPR_CR4!$A$4:$K$18,OPR_RIM!$A$4:$K$18,OPR_BPR!$A$4:$K$18),11,0),9999)),0)),"NO COMPATIBLE MACHINE")))</f>
        <v/>
      </c>
      <c r="F79">
        <f>IF($E79="","",IFERROR(VLOOKUP($E79,Machine_List!$B:$G,6,0),""))</f>
        <v/>
      </c>
      <c r="G79" s="17">
        <f>IF($E79="","",IFERROR(VLOOKUP($E79,Machine_List!$B:$C,2,0),""))</f>
        <v/>
      </c>
      <c r="H79">
        <f>IF($E79="","",IFERROR(VLOOKUP($E79,Machine_List!$B:$D,3,0),""))</f>
        <v/>
      </c>
      <c r="J79" s="16">
        <f>IF($A79="","",IF($I79&lt;&gt;"",$I79,MAX(VENT_Plan!$M79,IFERROR(LOOKUP(2,1/($E$3:INDIRECT("E"&amp;(ROW()-1))=$E79),$M$3:INDIRECT("M"&amp;(ROW()-1))),VENT_Plan!$M79))))</f>
        <v/>
      </c>
      <c r="K79">
        <f>IF($A79="","",IFERROR(VLOOKUP(B79,CHOOSE(MATCH($C79,Settings!$L$4:$L$10,0),OPR_BR1!$A$4:$I$18,OPR_BR2!$A$4:$I$18,OPR_CR2!$A$4:$I$18,OPR_CR3!$A$4:$I$18,OPR_CR4!$A$4:$I$18,OPR_RIM!$A$4:$I$18,OPR_BPR!$A$4:$I$18),8,0),0))</f>
        <v/>
      </c>
      <c r="L79">
        <f>IF($A79="","",K79*D79)</f>
        <v/>
      </c>
      <c r="M79" s="16">
        <f>IF($A79="","",IF(AND(ISNUMBER(G79),G79&gt;=J79,G79&lt;=(J79+(L79/(IF(F79="Contract Workman",Settings!$K$5,Settings!$K$4))))),J79+(L79/(IF(F79="Contract Workman",Settings!$K$5,Settings!$K$4)))+(H79/(IF(F79="Contract Workman",Settings!$K$5,Settings!$K$4))),J79+(L79/(IF(F79="Contract Workman",Settings!$K$5,Settings!$K$4)))))</f>
        <v/>
      </c>
      <c r="N79">
        <f>IF($A79="","",IF(F79="Contract Workman",IF(AND(MOD(M79,1)&gt;=8/24,MOD(M79,1)&lt;20/24),"Shift S1","Shift S2"),IF(AND(MOD(M79,1)&gt;=7/24,MOD(M79,1)&lt;15/24),"Shift A",IF(AND(MOD(M79,1)&gt;=15/24,MOD(M79,1)&lt;23/24),"Shift B","Shift C"))))</f>
        <v/>
      </c>
      <c r="O79">
        <f>IF(B79="","",IF(IFERROR(ISNUMBER(SEARCH(TEXT(B79,"0"),VLOOKUP(E79,Machine_List!$B:$J,9,0))),FALSE),"✅ "&amp; E79,"❌ Sug: "&amp;IFERROR(INDEX(Machine_List!$B$72:$B$81,MATCH(1,(Machine_List!$H$72:$H$81&lt;=IFERROR(VLOOKUP($B79,OPR_BR1!$A$4:$K$18,10,0),0))*(Machine_List!$I$72:$I$81&gt;=IFERROR(VLOOKUP($B79,OPR_BR1!$A$4:$K$18,11,0),9999)),0)),"?")))</f>
        <v/>
      </c>
      <c r="P79">
        <f>IF(AND($A79&lt;&gt;"",P$3&gt;=$J79,P$3&lt;=$M79),1,"")</f>
        <v/>
      </c>
      <c r="Q79">
        <f>IF(AND($A79&lt;&gt;"",Q$3&gt;=$J79,Q$3&lt;=$M79),1,"")</f>
        <v/>
      </c>
      <c r="R79">
        <f>IF(AND($A79&lt;&gt;"",R$3&gt;=$J79,R$3&lt;=$M79),1,"")</f>
        <v/>
      </c>
      <c r="S79">
        <f>IF(AND($A79&lt;&gt;"",S$3&gt;=$J79,S$3&lt;=$M79),1,"")</f>
        <v/>
      </c>
      <c r="T79">
        <f>IF(AND($A79&lt;&gt;"",T$3&gt;=$J79,T$3&lt;=$M79),1,"")</f>
        <v/>
      </c>
      <c r="U79">
        <f>IF(AND($A79&lt;&gt;"",U$3&gt;=$J79,U$3&lt;=$M79),1,"")</f>
        <v/>
      </c>
      <c r="V79">
        <f>IF(AND($A79&lt;&gt;"",V$3&gt;=$J79,V$3&lt;=$M79),1,"")</f>
        <v/>
      </c>
      <c r="W79">
        <f>IF(AND($A79&lt;&gt;"",W$3&gt;=$J79,W$3&lt;=$M79),1,"")</f>
        <v/>
      </c>
      <c r="X79">
        <f>IF(AND($A79&lt;&gt;"",X$3&gt;=$J79,X$3&lt;=$M79),1,"")</f>
        <v/>
      </c>
      <c r="Y79">
        <f>IF(AND($A79&lt;&gt;"",Y$3&gt;=$J79,Y$3&lt;=$M79),1,"")</f>
        <v/>
      </c>
      <c r="Z79">
        <f>IF(AND($A79&lt;&gt;"",Z$3&gt;=$J79,Z$3&lt;=$M79),1,"")</f>
        <v/>
      </c>
      <c r="AA79">
        <f>IF(AND($A79&lt;&gt;"",AA$3&gt;=$J79,AA$3&lt;=$M79),1,"")</f>
        <v/>
      </c>
      <c r="AB79">
        <f>IF(AND($A79&lt;&gt;"",AB$3&gt;=$J79,AB$3&lt;=$M79),1,"")</f>
        <v/>
      </c>
      <c r="AC79">
        <f>IF(AND($A79&lt;&gt;"",AC$3&gt;=$J79,AC$3&lt;=$M79),1,"")</f>
        <v/>
      </c>
      <c r="AD79">
        <f>IF(AND($A79&lt;&gt;"",AD$3&gt;=$J79,AD$3&lt;=$M79),1,"")</f>
        <v/>
      </c>
      <c r="AE79">
        <f>IF(AND($A79&lt;&gt;"",AE$3&gt;=$J79,AE$3&lt;=$M79),1,"")</f>
        <v/>
      </c>
      <c r="AF79">
        <f>IF(AND($A79&lt;&gt;"",AF$3&gt;=$J79,AF$3&lt;=$M79),1,"")</f>
        <v/>
      </c>
      <c r="AG79">
        <f>IF(AND($A79&lt;&gt;"",AG$3&gt;=$J79,AG$3&lt;=$M79),1,"")</f>
        <v/>
      </c>
      <c r="AH79">
        <f>IF(AND($A79&lt;&gt;"",AH$3&gt;=$J79,AH$3&lt;=$M79),1,"")</f>
        <v/>
      </c>
      <c r="AI79">
        <f>IF(AND($A79&lt;&gt;"",AI$3&gt;=$J79,AI$3&lt;=$M79),1,"")</f>
        <v/>
      </c>
      <c r="AJ79">
        <f>IF(AND($A79&lt;&gt;"",AJ$3&gt;=$J79,AJ$3&lt;=$M79),1,"")</f>
        <v/>
      </c>
      <c r="AK79">
        <f>IF(AND($A79&lt;&gt;"",AK$3&gt;=$J79,AK$3&lt;=$M79),1,"")</f>
        <v/>
      </c>
      <c r="AL79">
        <f>IF(AND($A79&lt;&gt;"",AL$3&gt;=$J79,AL$3&lt;=$M79),1,"")</f>
        <v/>
      </c>
      <c r="AM79">
        <f>IF(AND($A79&lt;&gt;"",AM$3&gt;=$J79,AM$3&lt;=$M79),1,"")</f>
        <v/>
      </c>
      <c r="AN79">
        <f>IF(AND($A79&lt;&gt;"",AN$3&gt;=$J79,AN$3&lt;=$M79),1,"")</f>
        <v/>
      </c>
      <c r="AO79">
        <f>IF(AND($A79&lt;&gt;"",AO$3&gt;=$J79,AO$3&lt;=$M79),1,"")</f>
        <v/>
      </c>
      <c r="AP79">
        <f>IF(AND($A79&lt;&gt;"",AP$3&gt;=$J79,AP$3&lt;=$M79),1,"")</f>
        <v/>
      </c>
      <c r="AQ79">
        <f>IF(AND($A79&lt;&gt;"",AQ$3&gt;=$J79,AQ$3&lt;=$M79),1,"")</f>
        <v/>
      </c>
      <c r="AR79">
        <f>IF(AND($A79&lt;&gt;"",AR$3&gt;=$J79,AR$3&lt;=$M79),1,"")</f>
        <v/>
      </c>
      <c r="AS79">
        <f>IF(AND($A79&lt;&gt;"",AS$3&gt;=$J79,AS$3&lt;=$M79),1,"")</f>
        <v/>
      </c>
      <c r="AT79">
        <f>IF(AND($A79&lt;&gt;"",AT$3&gt;=$J79,AT$3&lt;=$M79),1,"")</f>
        <v/>
      </c>
      <c r="AU79">
        <f>IF(AND($A79&lt;&gt;"",AU$3&gt;=$J79,AU$3&lt;=$M79),1,"")</f>
        <v/>
      </c>
      <c r="AV79">
        <f>IF(AND($A79&lt;&gt;"",AV$3&gt;=$J79,AV$3&lt;=$M79),1,"")</f>
        <v/>
      </c>
      <c r="AW79">
        <f>IF(AND($A79&lt;&gt;"",AW$3&gt;=$J79,AW$3&lt;=$M79),1,"")</f>
        <v/>
      </c>
      <c r="AX79">
        <f>IF(AND($A79&lt;&gt;"",AX$3&gt;=$J79,AX$3&lt;=$M79),1,"")</f>
        <v/>
      </c>
      <c r="AY79">
        <f>IF(AND($A79&lt;&gt;"",AY$3&gt;=$J79,AY$3&lt;=$M79),1,"")</f>
        <v/>
      </c>
      <c r="AZ79">
        <f>IF(AND($A79&lt;&gt;"",AZ$3&gt;=$J79,AZ$3&lt;=$M79),1,"")</f>
        <v/>
      </c>
      <c r="BA79">
        <f>IF(AND($A79&lt;&gt;"",BA$3&gt;=$J79,BA$3&lt;=$M79),1,"")</f>
        <v/>
      </c>
      <c r="BB79">
        <f>IF(AND($A79&lt;&gt;"",BB$3&gt;=$J79,BB$3&lt;=$M79),1,"")</f>
        <v/>
      </c>
      <c r="BC79">
        <f>IF(AND($A79&lt;&gt;"",BC$3&gt;=$J79,BC$3&lt;=$M79),1,"")</f>
        <v/>
      </c>
      <c r="BD79">
        <f>IF(AND($A79&lt;&gt;"",BD$3&gt;=$J79,BD$3&lt;=$M79),1,"")</f>
        <v/>
      </c>
      <c r="BE79">
        <f>IF(AND($A79&lt;&gt;"",BE$3&gt;=$J79,BE$3&lt;=$M79),1,"")</f>
        <v/>
      </c>
      <c r="BF79">
        <f>IF(AND($A79&lt;&gt;"",BF$3&gt;=$J79,BF$3&lt;=$M79),1,"")</f>
        <v/>
      </c>
      <c r="BG79">
        <f>IF(AND($A79&lt;&gt;"",BG$3&gt;=$J79,BG$3&lt;=$M79),1,"")</f>
        <v/>
      </c>
      <c r="BH79">
        <f>IF(AND($A79&lt;&gt;"",BH$3&gt;=$J79,BH$3&lt;=$M79),1,"")</f>
        <v/>
      </c>
      <c r="BI79">
        <f>IF(AND($A79&lt;&gt;"",BI$3&gt;=$J79,BI$3&lt;=$M79),1,"")</f>
        <v/>
      </c>
      <c r="BJ79">
        <f>IF(AND($A79&lt;&gt;"",BJ$3&gt;=$J79,BJ$3&lt;=$M79),1,"")</f>
        <v/>
      </c>
      <c r="BK79">
        <f>IF(AND($A79&lt;&gt;"",BK$3&gt;=$J79,BK$3&lt;=$M79),1,"")</f>
        <v/>
      </c>
      <c r="BL79">
        <f>IF(AND($A79&lt;&gt;"",BL$3&gt;=$J79,BL$3&lt;=$M79),1,"")</f>
        <v/>
      </c>
      <c r="BM79">
        <f>IF(AND($A79&lt;&gt;"",BM$3&gt;=$J79,BM$3&lt;=$M79),1,"")</f>
        <v/>
      </c>
      <c r="BN79">
        <f>IF(AND($A79&lt;&gt;"",BN$3&gt;=$J79,BN$3&lt;=$M79),1,"")</f>
        <v/>
      </c>
      <c r="BO79">
        <f>IF(AND($A79&lt;&gt;"",BO$3&gt;=$J79,BO$3&lt;=$M79),1,"")</f>
        <v/>
      </c>
      <c r="BP79">
        <f>IF(AND($A79&lt;&gt;"",BP$3&gt;=$J79,BP$3&lt;=$M79),1,"")</f>
        <v/>
      </c>
      <c r="BQ79">
        <f>IF(AND($A79&lt;&gt;"",BQ$3&gt;=$J79,BQ$3&lt;=$M79),1,"")</f>
        <v/>
      </c>
      <c r="BR79">
        <f>IF(AND($A79&lt;&gt;"",BR$3&gt;=$J79,BR$3&lt;=$M79),1,"")</f>
        <v/>
      </c>
      <c r="BS79">
        <f>IF(AND($A79&lt;&gt;"",BS$3&gt;=$J79,BS$3&lt;=$M79),1,"")</f>
        <v/>
      </c>
      <c r="BT79">
        <f>IF(AND($A79&lt;&gt;"",BT$3&gt;=$J79,BT$3&lt;=$M79),1,"")</f>
        <v/>
      </c>
      <c r="BU79">
        <f>IF(AND($A79&lt;&gt;"",BU$3&gt;=$J79,BU$3&lt;=$M79),1,"")</f>
        <v/>
      </c>
      <c r="BV79">
        <f>IF(AND($A79&lt;&gt;"",BV$3&gt;=$J79,BV$3&lt;=$M79),1,"")</f>
        <v/>
      </c>
    </row>
    <row r="80">
      <c r="A80">
        <f>IF(Job_Master_Ring!$A80="","",Job_Master_Ring!$A80)</f>
        <v/>
      </c>
      <c r="B80">
        <f>IF($A80="","",Job_Master_Ring!B80)</f>
        <v/>
      </c>
      <c r="C80">
        <f>IF($A80="","",Job_Master_Ring!C80)</f>
        <v/>
      </c>
      <c r="D80">
        <f>IF($A80="","",Job_Master_Ring!D80)</f>
        <v/>
      </c>
      <c r="E80">
        <f>IF($A80="","",IF($I80&lt;&gt;"",$I80,IFERROR(INDEX(Machine_List!$B$72:$B$81,MATCH(1,(Machine_List!$H$72:$H$81&lt;=IFERROR(VLOOKUP($B80,CHOOSE(MATCH($C80,Settings!$L$4:$L$10,0),OPR_BR1!$A$4:$K$18,OPR_BR2!$A$4:$K$18,OPR_CR2!$A$4:$K$18,OPR_CR3!$A$4:$K$18,OPR_CR4!$A$4:$K$18,OPR_RIM!$A$4:$K$18,OPR_BPR!$A$4:$K$18),10,0),0))*(Machine_List!$I$72:$I$81&gt;=IFERROR(VLOOKUP($B80,CHOOSE(MATCH($C80,Settings!$L$4:$L$10,0),OPR_BR1!$A$4:$K$18,OPR_BR2!$A$4:$K$18,OPR_CR2!$A$4:$K$18,OPR_CR3!$A$4:$K$18,OPR_CR4!$A$4:$K$18,OPR_RIM!$A$4:$K$18,OPR_BPR!$A$4:$K$18),11,0),9999)),0)),"NO COMPATIBLE MACHINE")))</f>
        <v/>
      </c>
      <c r="F80">
        <f>IF($E80="","",IFERROR(VLOOKUP($E80,Machine_List!$B:$G,6,0),""))</f>
        <v/>
      </c>
      <c r="G80" s="17">
        <f>IF($E80="","",IFERROR(VLOOKUP($E80,Machine_List!$B:$C,2,0),""))</f>
        <v/>
      </c>
      <c r="H80">
        <f>IF($E80="","",IFERROR(VLOOKUP($E80,Machine_List!$B:$D,3,0),""))</f>
        <v/>
      </c>
      <c r="J80" s="16">
        <f>IF($A80="","",IF($I80&lt;&gt;"",$I80,MAX(VENT_Plan!$M80,IFERROR(LOOKUP(2,1/($E$3:INDIRECT("E"&amp;(ROW()-1))=$E80),$M$3:INDIRECT("M"&amp;(ROW()-1))),VENT_Plan!$M80))))</f>
        <v/>
      </c>
      <c r="K80">
        <f>IF($A80="","",IFERROR(VLOOKUP(B80,CHOOSE(MATCH($C80,Settings!$L$4:$L$10,0),OPR_BR1!$A$4:$I$18,OPR_BR2!$A$4:$I$18,OPR_CR2!$A$4:$I$18,OPR_CR3!$A$4:$I$18,OPR_CR4!$A$4:$I$18,OPR_RIM!$A$4:$I$18,OPR_BPR!$A$4:$I$18),8,0),0))</f>
        <v/>
      </c>
      <c r="L80">
        <f>IF($A80="","",K80*D80)</f>
        <v/>
      </c>
      <c r="M80" s="16">
        <f>IF($A80="","",IF(AND(ISNUMBER(G80),G80&gt;=J80,G80&lt;=(J80+(L80/(IF(F80="Contract Workman",Settings!$K$5,Settings!$K$4))))),J80+(L80/(IF(F80="Contract Workman",Settings!$K$5,Settings!$K$4)))+(H80/(IF(F80="Contract Workman",Settings!$K$5,Settings!$K$4))),J80+(L80/(IF(F80="Contract Workman",Settings!$K$5,Settings!$K$4)))))</f>
        <v/>
      </c>
      <c r="N80">
        <f>IF($A80="","",IF(F80="Contract Workman",IF(AND(MOD(M80,1)&gt;=8/24,MOD(M80,1)&lt;20/24),"Shift S1","Shift S2"),IF(AND(MOD(M80,1)&gt;=7/24,MOD(M80,1)&lt;15/24),"Shift A",IF(AND(MOD(M80,1)&gt;=15/24,MOD(M80,1)&lt;23/24),"Shift B","Shift C"))))</f>
        <v/>
      </c>
      <c r="O80">
        <f>IF(B80="","",IF(IFERROR(ISNUMBER(SEARCH(TEXT(B80,"0"),VLOOKUP(E80,Machine_List!$B:$J,9,0))),FALSE),"✅ "&amp; E80,"❌ Sug: "&amp;IFERROR(INDEX(Machine_List!$B$72:$B$81,MATCH(1,(Machine_List!$H$72:$H$81&lt;=IFERROR(VLOOKUP($B80,OPR_BR1!$A$4:$K$18,10,0),0))*(Machine_List!$I$72:$I$81&gt;=IFERROR(VLOOKUP($B80,OPR_BR1!$A$4:$K$18,11,0),9999)),0)),"?")))</f>
        <v/>
      </c>
      <c r="P80">
        <f>IF(AND($A80&lt;&gt;"",P$3&gt;=$J80,P$3&lt;=$M80),1,"")</f>
        <v/>
      </c>
      <c r="Q80">
        <f>IF(AND($A80&lt;&gt;"",Q$3&gt;=$J80,Q$3&lt;=$M80),1,"")</f>
        <v/>
      </c>
      <c r="R80">
        <f>IF(AND($A80&lt;&gt;"",R$3&gt;=$J80,R$3&lt;=$M80),1,"")</f>
        <v/>
      </c>
      <c r="S80">
        <f>IF(AND($A80&lt;&gt;"",S$3&gt;=$J80,S$3&lt;=$M80),1,"")</f>
        <v/>
      </c>
      <c r="T80">
        <f>IF(AND($A80&lt;&gt;"",T$3&gt;=$J80,T$3&lt;=$M80),1,"")</f>
        <v/>
      </c>
      <c r="U80">
        <f>IF(AND($A80&lt;&gt;"",U$3&gt;=$J80,U$3&lt;=$M80),1,"")</f>
        <v/>
      </c>
      <c r="V80">
        <f>IF(AND($A80&lt;&gt;"",V$3&gt;=$J80,V$3&lt;=$M80),1,"")</f>
        <v/>
      </c>
      <c r="W80">
        <f>IF(AND($A80&lt;&gt;"",W$3&gt;=$J80,W$3&lt;=$M80),1,"")</f>
        <v/>
      </c>
      <c r="X80">
        <f>IF(AND($A80&lt;&gt;"",X$3&gt;=$J80,X$3&lt;=$M80),1,"")</f>
        <v/>
      </c>
      <c r="Y80">
        <f>IF(AND($A80&lt;&gt;"",Y$3&gt;=$J80,Y$3&lt;=$M80),1,"")</f>
        <v/>
      </c>
      <c r="Z80">
        <f>IF(AND($A80&lt;&gt;"",Z$3&gt;=$J80,Z$3&lt;=$M80),1,"")</f>
        <v/>
      </c>
      <c r="AA80">
        <f>IF(AND($A80&lt;&gt;"",AA$3&gt;=$J80,AA$3&lt;=$M80),1,"")</f>
        <v/>
      </c>
      <c r="AB80">
        <f>IF(AND($A80&lt;&gt;"",AB$3&gt;=$J80,AB$3&lt;=$M80),1,"")</f>
        <v/>
      </c>
      <c r="AC80">
        <f>IF(AND($A80&lt;&gt;"",AC$3&gt;=$J80,AC$3&lt;=$M80),1,"")</f>
        <v/>
      </c>
      <c r="AD80">
        <f>IF(AND($A80&lt;&gt;"",AD$3&gt;=$J80,AD$3&lt;=$M80),1,"")</f>
        <v/>
      </c>
      <c r="AE80">
        <f>IF(AND($A80&lt;&gt;"",AE$3&gt;=$J80,AE$3&lt;=$M80),1,"")</f>
        <v/>
      </c>
      <c r="AF80">
        <f>IF(AND($A80&lt;&gt;"",AF$3&gt;=$J80,AF$3&lt;=$M80),1,"")</f>
        <v/>
      </c>
      <c r="AG80">
        <f>IF(AND($A80&lt;&gt;"",AG$3&gt;=$J80,AG$3&lt;=$M80),1,"")</f>
        <v/>
      </c>
      <c r="AH80">
        <f>IF(AND($A80&lt;&gt;"",AH$3&gt;=$J80,AH$3&lt;=$M80),1,"")</f>
        <v/>
      </c>
      <c r="AI80">
        <f>IF(AND($A80&lt;&gt;"",AI$3&gt;=$J80,AI$3&lt;=$M80),1,"")</f>
        <v/>
      </c>
      <c r="AJ80">
        <f>IF(AND($A80&lt;&gt;"",AJ$3&gt;=$J80,AJ$3&lt;=$M80),1,"")</f>
        <v/>
      </c>
      <c r="AK80">
        <f>IF(AND($A80&lt;&gt;"",AK$3&gt;=$J80,AK$3&lt;=$M80),1,"")</f>
        <v/>
      </c>
      <c r="AL80">
        <f>IF(AND($A80&lt;&gt;"",AL$3&gt;=$J80,AL$3&lt;=$M80),1,"")</f>
        <v/>
      </c>
      <c r="AM80">
        <f>IF(AND($A80&lt;&gt;"",AM$3&gt;=$J80,AM$3&lt;=$M80),1,"")</f>
        <v/>
      </c>
      <c r="AN80">
        <f>IF(AND($A80&lt;&gt;"",AN$3&gt;=$J80,AN$3&lt;=$M80),1,"")</f>
        <v/>
      </c>
      <c r="AO80">
        <f>IF(AND($A80&lt;&gt;"",AO$3&gt;=$J80,AO$3&lt;=$M80),1,"")</f>
        <v/>
      </c>
      <c r="AP80">
        <f>IF(AND($A80&lt;&gt;"",AP$3&gt;=$J80,AP$3&lt;=$M80),1,"")</f>
        <v/>
      </c>
      <c r="AQ80">
        <f>IF(AND($A80&lt;&gt;"",AQ$3&gt;=$J80,AQ$3&lt;=$M80),1,"")</f>
        <v/>
      </c>
      <c r="AR80">
        <f>IF(AND($A80&lt;&gt;"",AR$3&gt;=$J80,AR$3&lt;=$M80),1,"")</f>
        <v/>
      </c>
      <c r="AS80">
        <f>IF(AND($A80&lt;&gt;"",AS$3&gt;=$J80,AS$3&lt;=$M80),1,"")</f>
        <v/>
      </c>
      <c r="AT80">
        <f>IF(AND($A80&lt;&gt;"",AT$3&gt;=$J80,AT$3&lt;=$M80),1,"")</f>
        <v/>
      </c>
      <c r="AU80">
        <f>IF(AND($A80&lt;&gt;"",AU$3&gt;=$J80,AU$3&lt;=$M80),1,"")</f>
        <v/>
      </c>
      <c r="AV80">
        <f>IF(AND($A80&lt;&gt;"",AV$3&gt;=$J80,AV$3&lt;=$M80),1,"")</f>
        <v/>
      </c>
      <c r="AW80">
        <f>IF(AND($A80&lt;&gt;"",AW$3&gt;=$J80,AW$3&lt;=$M80),1,"")</f>
        <v/>
      </c>
      <c r="AX80">
        <f>IF(AND($A80&lt;&gt;"",AX$3&gt;=$J80,AX$3&lt;=$M80),1,"")</f>
        <v/>
      </c>
      <c r="AY80">
        <f>IF(AND($A80&lt;&gt;"",AY$3&gt;=$J80,AY$3&lt;=$M80),1,"")</f>
        <v/>
      </c>
      <c r="AZ80">
        <f>IF(AND($A80&lt;&gt;"",AZ$3&gt;=$J80,AZ$3&lt;=$M80),1,"")</f>
        <v/>
      </c>
      <c r="BA80">
        <f>IF(AND($A80&lt;&gt;"",BA$3&gt;=$J80,BA$3&lt;=$M80),1,"")</f>
        <v/>
      </c>
      <c r="BB80">
        <f>IF(AND($A80&lt;&gt;"",BB$3&gt;=$J80,BB$3&lt;=$M80),1,"")</f>
        <v/>
      </c>
      <c r="BC80">
        <f>IF(AND($A80&lt;&gt;"",BC$3&gt;=$J80,BC$3&lt;=$M80),1,"")</f>
        <v/>
      </c>
      <c r="BD80">
        <f>IF(AND($A80&lt;&gt;"",BD$3&gt;=$J80,BD$3&lt;=$M80),1,"")</f>
        <v/>
      </c>
      <c r="BE80">
        <f>IF(AND($A80&lt;&gt;"",BE$3&gt;=$J80,BE$3&lt;=$M80),1,"")</f>
        <v/>
      </c>
      <c r="BF80">
        <f>IF(AND($A80&lt;&gt;"",BF$3&gt;=$J80,BF$3&lt;=$M80),1,"")</f>
        <v/>
      </c>
      <c r="BG80">
        <f>IF(AND($A80&lt;&gt;"",BG$3&gt;=$J80,BG$3&lt;=$M80),1,"")</f>
        <v/>
      </c>
      <c r="BH80">
        <f>IF(AND($A80&lt;&gt;"",BH$3&gt;=$J80,BH$3&lt;=$M80),1,"")</f>
        <v/>
      </c>
      <c r="BI80">
        <f>IF(AND($A80&lt;&gt;"",BI$3&gt;=$J80,BI$3&lt;=$M80),1,"")</f>
        <v/>
      </c>
      <c r="BJ80">
        <f>IF(AND($A80&lt;&gt;"",BJ$3&gt;=$J80,BJ$3&lt;=$M80),1,"")</f>
        <v/>
      </c>
      <c r="BK80">
        <f>IF(AND($A80&lt;&gt;"",BK$3&gt;=$J80,BK$3&lt;=$M80),1,"")</f>
        <v/>
      </c>
      <c r="BL80">
        <f>IF(AND($A80&lt;&gt;"",BL$3&gt;=$J80,BL$3&lt;=$M80),1,"")</f>
        <v/>
      </c>
      <c r="BM80">
        <f>IF(AND($A80&lt;&gt;"",BM$3&gt;=$J80,BM$3&lt;=$M80),1,"")</f>
        <v/>
      </c>
      <c r="BN80">
        <f>IF(AND($A80&lt;&gt;"",BN$3&gt;=$J80,BN$3&lt;=$M80),1,"")</f>
        <v/>
      </c>
      <c r="BO80">
        <f>IF(AND($A80&lt;&gt;"",BO$3&gt;=$J80,BO$3&lt;=$M80),1,"")</f>
        <v/>
      </c>
      <c r="BP80">
        <f>IF(AND($A80&lt;&gt;"",BP$3&gt;=$J80,BP$3&lt;=$M80),1,"")</f>
        <v/>
      </c>
      <c r="BQ80">
        <f>IF(AND($A80&lt;&gt;"",BQ$3&gt;=$J80,BQ$3&lt;=$M80),1,"")</f>
        <v/>
      </c>
      <c r="BR80">
        <f>IF(AND($A80&lt;&gt;"",BR$3&gt;=$J80,BR$3&lt;=$M80),1,"")</f>
        <v/>
      </c>
      <c r="BS80">
        <f>IF(AND($A80&lt;&gt;"",BS$3&gt;=$J80,BS$3&lt;=$M80),1,"")</f>
        <v/>
      </c>
      <c r="BT80">
        <f>IF(AND($A80&lt;&gt;"",BT$3&gt;=$J80,BT$3&lt;=$M80),1,"")</f>
        <v/>
      </c>
      <c r="BU80">
        <f>IF(AND($A80&lt;&gt;"",BU$3&gt;=$J80,BU$3&lt;=$M80),1,"")</f>
        <v/>
      </c>
      <c r="BV80">
        <f>IF(AND($A80&lt;&gt;"",BV$3&gt;=$J80,BV$3&lt;=$M80),1,"")</f>
        <v/>
      </c>
    </row>
    <row r="81">
      <c r="A81">
        <f>IF(Job_Master_Ring!$A81="","",Job_Master_Ring!$A81)</f>
        <v/>
      </c>
      <c r="B81">
        <f>IF($A81="","",Job_Master_Ring!B81)</f>
        <v/>
      </c>
      <c r="C81">
        <f>IF($A81="","",Job_Master_Ring!C81)</f>
        <v/>
      </c>
      <c r="D81">
        <f>IF($A81="","",Job_Master_Ring!D81)</f>
        <v/>
      </c>
      <c r="E81">
        <f>IF($A81="","",IF($I81&lt;&gt;"",$I81,IFERROR(INDEX(Machine_List!$B$72:$B$81,MATCH(1,(Machine_List!$H$72:$H$81&lt;=IFERROR(VLOOKUP($B81,CHOOSE(MATCH($C81,Settings!$L$4:$L$10,0),OPR_BR1!$A$4:$K$18,OPR_BR2!$A$4:$K$18,OPR_CR2!$A$4:$K$18,OPR_CR3!$A$4:$K$18,OPR_CR4!$A$4:$K$18,OPR_RIM!$A$4:$K$18,OPR_BPR!$A$4:$K$18),10,0),0))*(Machine_List!$I$72:$I$81&gt;=IFERROR(VLOOKUP($B81,CHOOSE(MATCH($C81,Settings!$L$4:$L$10,0),OPR_BR1!$A$4:$K$18,OPR_BR2!$A$4:$K$18,OPR_CR2!$A$4:$K$18,OPR_CR3!$A$4:$K$18,OPR_CR4!$A$4:$K$18,OPR_RIM!$A$4:$K$18,OPR_BPR!$A$4:$K$18),11,0),9999)),0)),"NO COMPATIBLE MACHINE")))</f>
        <v/>
      </c>
      <c r="F81">
        <f>IF($E81="","",IFERROR(VLOOKUP($E81,Machine_List!$B:$G,6,0),""))</f>
        <v/>
      </c>
      <c r="G81" s="17">
        <f>IF($E81="","",IFERROR(VLOOKUP($E81,Machine_List!$B:$C,2,0),""))</f>
        <v/>
      </c>
      <c r="H81">
        <f>IF($E81="","",IFERROR(VLOOKUP($E81,Machine_List!$B:$D,3,0),""))</f>
        <v/>
      </c>
      <c r="J81" s="16">
        <f>IF($A81="","",IF($I81&lt;&gt;"",$I81,MAX(VENT_Plan!$M81,IFERROR(LOOKUP(2,1/($E$3:INDIRECT("E"&amp;(ROW()-1))=$E81),$M$3:INDIRECT("M"&amp;(ROW()-1))),VENT_Plan!$M81))))</f>
        <v/>
      </c>
      <c r="K81">
        <f>IF($A81="","",IFERROR(VLOOKUP(B81,CHOOSE(MATCH($C81,Settings!$L$4:$L$10,0),OPR_BR1!$A$4:$I$18,OPR_BR2!$A$4:$I$18,OPR_CR2!$A$4:$I$18,OPR_CR3!$A$4:$I$18,OPR_CR4!$A$4:$I$18,OPR_RIM!$A$4:$I$18,OPR_BPR!$A$4:$I$18),8,0),0))</f>
        <v/>
      </c>
      <c r="L81">
        <f>IF($A81="","",K81*D81)</f>
        <v/>
      </c>
      <c r="M81" s="16">
        <f>IF($A81="","",IF(AND(ISNUMBER(G81),G81&gt;=J81,G81&lt;=(J81+(L81/(IF(F81="Contract Workman",Settings!$K$5,Settings!$K$4))))),J81+(L81/(IF(F81="Contract Workman",Settings!$K$5,Settings!$K$4)))+(H81/(IF(F81="Contract Workman",Settings!$K$5,Settings!$K$4))),J81+(L81/(IF(F81="Contract Workman",Settings!$K$5,Settings!$K$4)))))</f>
        <v/>
      </c>
      <c r="N81">
        <f>IF($A81="","",IF(F81="Contract Workman",IF(AND(MOD(M81,1)&gt;=8/24,MOD(M81,1)&lt;20/24),"Shift S1","Shift S2"),IF(AND(MOD(M81,1)&gt;=7/24,MOD(M81,1)&lt;15/24),"Shift A",IF(AND(MOD(M81,1)&gt;=15/24,MOD(M81,1)&lt;23/24),"Shift B","Shift C"))))</f>
        <v/>
      </c>
      <c r="O81">
        <f>IF(B81="","",IF(IFERROR(ISNUMBER(SEARCH(TEXT(B81,"0"),VLOOKUP(E81,Machine_List!$B:$J,9,0))),FALSE),"✅ "&amp; E81,"❌ Sug: "&amp;IFERROR(INDEX(Machine_List!$B$72:$B$81,MATCH(1,(Machine_List!$H$72:$H$81&lt;=IFERROR(VLOOKUP($B81,OPR_BR1!$A$4:$K$18,10,0),0))*(Machine_List!$I$72:$I$81&gt;=IFERROR(VLOOKUP($B81,OPR_BR1!$A$4:$K$18,11,0),9999)),0)),"?")))</f>
        <v/>
      </c>
      <c r="P81">
        <f>IF(AND($A81&lt;&gt;"",P$3&gt;=$J81,P$3&lt;=$M81),1,"")</f>
        <v/>
      </c>
      <c r="Q81">
        <f>IF(AND($A81&lt;&gt;"",Q$3&gt;=$J81,Q$3&lt;=$M81),1,"")</f>
        <v/>
      </c>
      <c r="R81">
        <f>IF(AND($A81&lt;&gt;"",R$3&gt;=$J81,R$3&lt;=$M81),1,"")</f>
        <v/>
      </c>
      <c r="S81">
        <f>IF(AND($A81&lt;&gt;"",S$3&gt;=$J81,S$3&lt;=$M81),1,"")</f>
        <v/>
      </c>
      <c r="T81">
        <f>IF(AND($A81&lt;&gt;"",T$3&gt;=$J81,T$3&lt;=$M81),1,"")</f>
        <v/>
      </c>
      <c r="U81">
        <f>IF(AND($A81&lt;&gt;"",U$3&gt;=$J81,U$3&lt;=$M81),1,"")</f>
        <v/>
      </c>
      <c r="V81">
        <f>IF(AND($A81&lt;&gt;"",V$3&gt;=$J81,V$3&lt;=$M81),1,"")</f>
        <v/>
      </c>
      <c r="W81">
        <f>IF(AND($A81&lt;&gt;"",W$3&gt;=$J81,W$3&lt;=$M81),1,"")</f>
        <v/>
      </c>
      <c r="X81">
        <f>IF(AND($A81&lt;&gt;"",X$3&gt;=$J81,X$3&lt;=$M81),1,"")</f>
        <v/>
      </c>
      <c r="Y81">
        <f>IF(AND($A81&lt;&gt;"",Y$3&gt;=$J81,Y$3&lt;=$M81),1,"")</f>
        <v/>
      </c>
      <c r="Z81">
        <f>IF(AND($A81&lt;&gt;"",Z$3&gt;=$J81,Z$3&lt;=$M81),1,"")</f>
        <v/>
      </c>
      <c r="AA81">
        <f>IF(AND($A81&lt;&gt;"",AA$3&gt;=$J81,AA$3&lt;=$M81),1,"")</f>
        <v/>
      </c>
      <c r="AB81">
        <f>IF(AND($A81&lt;&gt;"",AB$3&gt;=$J81,AB$3&lt;=$M81),1,"")</f>
        <v/>
      </c>
      <c r="AC81">
        <f>IF(AND($A81&lt;&gt;"",AC$3&gt;=$J81,AC$3&lt;=$M81),1,"")</f>
        <v/>
      </c>
      <c r="AD81">
        <f>IF(AND($A81&lt;&gt;"",AD$3&gt;=$J81,AD$3&lt;=$M81),1,"")</f>
        <v/>
      </c>
      <c r="AE81">
        <f>IF(AND($A81&lt;&gt;"",AE$3&gt;=$J81,AE$3&lt;=$M81),1,"")</f>
        <v/>
      </c>
      <c r="AF81">
        <f>IF(AND($A81&lt;&gt;"",AF$3&gt;=$J81,AF$3&lt;=$M81),1,"")</f>
        <v/>
      </c>
      <c r="AG81">
        <f>IF(AND($A81&lt;&gt;"",AG$3&gt;=$J81,AG$3&lt;=$M81),1,"")</f>
        <v/>
      </c>
      <c r="AH81">
        <f>IF(AND($A81&lt;&gt;"",AH$3&gt;=$J81,AH$3&lt;=$M81),1,"")</f>
        <v/>
      </c>
      <c r="AI81">
        <f>IF(AND($A81&lt;&gt;"",AI$3&gt;=$J81,AI$3&lt;=$M81),1,"")</f>
        <v/>
      </c>
      <c r="AJ81">
        <f>IF(AND($A81&lt;&gt;"",AJ$3&gt;=$J81,AJ$3&lt;=$M81),1,"")</f>
        <v/>
      </c>
      <c r="AK81">
        <f>IF(AND($A81&lt;&gt;"",AK$3&gt;=$J81,AK$3&lt;=$M81),1,"")</f>
        <v/>
      </c>
      <c r="AL81">
        <f>IF(AND($A81&lt;&gt;"",AL$3&gt;=$J81,AL$3&lt;=$M81),1,"")</f>
        <v/>
      </c>
      <c r="AM81">
        <f>IF(AND($A81&lt;&gt;"",AM$3&gt;=$J81,AM$3&lt;=$M81),1,"")</f>
        <v/>
      </c>
      <c r="AN81">
        <f>IF(AND($A81&lt;&gt;"",AN$3&gt;=$J81,AN$3&lt;=$M81),1,"")</f>
        <v/>
      </c>
      <c r="AO81">
        <f>IF(AND($A81&lt;&gt;"",AO$3&gt;=$J81,AO$3&lt;=$M81),1,"")</f>
        <v/>
      </c>
      <c r="AP81">
        <f>IF(AND($A81&lt;&gt;"",AP$3&gt;=$J81,AP$3&lt;=$M81),1,"")</f>
        <v/>
      </c>
      <c r="AQ81">
        <f>IF(AND($A81&lt;&gt;"",AQ$3&gt;=$J81,AQ$3&lt;=$M81),1,"")</f>
        <v/>
      </c>
      <c r="AR81">
        <f>IF(AND($A81&lt;&gt;"",AR$3&gt;=$J81,AR$3&lt;=$M81),1,"")</f>
        <v/>
      </c>
      <c r="AS81">
        <f>IF(AND($A81&lt;&gt;"",AS$3&gt;=$J81,AS$3&lt;=$M81),1,"")</f>
        <v/>
      </c>
      <c r="AT81">
        <f>IF(AND($A81&lt;&gt;"",AT$3&gt;=$J81,AT$3&lt;=$M81),1,"")</f>
        <v/>
      </c>
      <c r="AU81">
        <f>IF(AND($A81&lt;&gt;"",AU$3&gt;=$J81,AU$3&lt;=$M81),1,"")</f>
        <v/>
      </c>
      <c r="AV81">
        <f>IF(AND($A81&lt;&gt;"",AV$3&gt;=$J81,AV$3&lt;=$M81),1,"")</f>
        <v/>
      </c>
      <c r="AW81">
        <f>IF(AND($A81&lt;&gt;"",AW$3&gt;=$J81,AW$3&lt;=$M81),1,"")</f>
        <v/>
      </c>
      <c r="AX81">
        <f>IF(AND($A81&lt;&gt;"",AX$3&gt;=$J81,AX$3&lt;=$M81),1,"")</f>
        <v/>
      </c>
      <c r="AY81">
        <f>IF(AND($A81&lt;&gt;"",AY$3&gt;=$J81,AY$3&lt;=$M81),1,"")</f>
        <v/>
      </c>
      <c r="AZ81">
        <f>IF(AND($A81&lt;&gt;"",AZ$3&gt;=$J81,AZ$3&lt;=$M81),1,"")</f>
        <v/>
      </c>
      <c r="BA81">
        <f>IF(AND($A81&lt;&gt;"",BA$3&gt;=$J81,BA$3&lt;=$M81),1,"")</f>
        <v/>
      </c>
      <c r="BB81">
        <f>IF(AND($A81&lt;&gt;"",BB$3&gt;=$J81,BB$3&lt;=$M81),1,"")</f>
        <v/>
      </c>
      <c r="BC81">
        <f>IF(AND($A81&lt;&gt;"",BC$3&gt;=$J81,BC$3&lt;=$M81),1,"")</f>
        <v/>
      </c>
      <c r="BD81">
        <f>IF(AND($A81&lt;&gt;"",BD$3&gt;=$J81,BD$3&lt;=$M81),1,"")</f>
        <v/>
      </c>
      <c r="BE81">
        <f>IF(AND($A81&lt;&gt;"",BE$3&gt;=$J81,BE$3&lt;=$M81),1,"")</f>
        <v/>
      </c>
      <c r="BF81">
        <f>IF(AND($A81&lt;&gt;"",BF$3&gt;=$J81,BF$3&lt;=$M81),1,"")</f>
        <v/>
      </c>
      <c r="BG81">
        <f>IF(AND($A81&lt;&gt;"",BG$3&gt;=$J81,BG$3&lt;=$M81),1,"")</f>
        <v/>
      </c>
      <c r="BH81">
        <f>IF(AND($A81&lt;&gt;"",BH$3&gt;=$J81,BH$3&lt;=$M81),1,"")</f>
        <v/>
      </c>
      <c r="BI81">
        <f>IF(AND($A81&lt;&gt;"",BI$3&gt;=$J81,BI$3&lt;=$M81),1,"")</f>
        <v/>
      </c>
      <c r="BJ81">
        <f>IF(AND($A81&lt;&gt;"",BJ$3&gt;=$J81,BJ$3&lt;=$M81),1,"")</f>
        <v/>
      </c>
      <c r="BK81">
        <f>IF(AND($A81&lt;&gt;"",BK$3&gt;=$J81,BK$3&lt;=$M81),1,"")</f>
        <v/>
      </c>
      <c r="BL81">
        <f>IF(AND($A81&lt;&gt;"",BL$3&gt;=$J81,BL$3&lt;=$M81),1,"")</f>
        <v/>
      </c>
      <c r="BM81">
        <f>IF(AND($A81&lt;&gt;"",BM$3&gt;=$J81,BM$3&lt;=$M81),1,"")</f>
        <v/>
      </c>
      <c r="BN81">
        <f>IF(AND($A81&lt;&gt;"",BN$3&gt;=$J81,BN$3&lt;=$M81),1,"")</f>
        <v/>
      </c>
      <c r="BO81">
        <f>IF(AND($A81&lt;&gt;"",BO$3&gt;=$J81,BO$3&lt;=$M81),1,"")</f>
        <v/>
      </c>
      <c r="BP81">
        <f>IF(AND($A81&lt;&gt;"",BP$3&gt;=$J81,BP$3&lt;=$M81),1,"")</f>
        <v/>
      </c>
      <c r="BQ81">
        <f>IF(AND($A81&lt;&gt;"",BQ$3&gt;=$J81,BQ$3&lt;=$M81),1,"")</f>
        <v/>
      </c>
      <c r="BR81">
        <f>IF(AND($A81&lt;&gt;"",BR$3&gt;=$J81,BR$3&lt;=$M81),1,"")</f>
        <v/>
      </c>
      <c r="BS81">
        <f>IF(AND($A81&lt;&gt;"",BS$3&gt;=$J81,BS$3&lt;=$M81),1,"")</f>
        <v/>
      </c>
      <c r="BT81">
        <f>IF(AND($A81&lt;&gt;"",BT$3&gt;=$J81,BT$3&lt;=$M81),1,"")</f>
        <v/>
      </c>
      <c r="BU81">
        <f>IF(AND($A81&lt;&gt;"",BU$3&gt;=$J81,BU$3&lt;=$M81),1,"")</f>
        <v/>
      </c>
      <c r="BV81">
        <f>IF(AND($A81&lt;&gt;"",BV$3&gt;=$J81,BV$3&lt;=$M81),1,"")</f>
        <v/>
      </c>
    </row>
    <row r="82">
      <c r="A82">
        <f>IF(Job_Master_Ring!$A82="","",Job_Master_Ring!$A82)</f>
        <v/>
      </c>
      <c r="B82">
        <f>IF($A82="","",Job_Master_Ring!B82)</f>
        <v/>
      </c>
      <c r="C82">
        <f>IF($A82="","",Job_Master_Ring!C82)</f>
        <v/>
      </c>
      <c r="D82">
        <f>IF($A82="","",Job_Master_Ring!D82)</f>
        <v/>
      </c>
      <c r="E82">
        <f>IF($A82="","",IF($I82&lt;&gt;"",$I82,IFERROR(INDEX(Machine_List!$B$72:$B$81,MATCH(1,(Machine_List!$H$72:$H$81&lt;=IFERROR(VLOOKUP($B82,CHOOSE(MATCH($C82,Settings!$L$4:$L$10,0),OPR_BR1!$A$4:$K$18,OPR_BR2!$A$4:$K$18,OPR_CR2!$A$4:$K$18,OPR_CR3!$A$4:$K$18,OPR_CR4!$A$4:$K$18,OPR_RIM!$A$4:$K$18,OPR_BPR!$A$4:$K$18),10,0),0))*(Machine_List!$I$72:$I$81&gt;=IFERROR(VLOOKUP($B82,CHOOSE(MATCH($C82,Settings!$L$4:$L$10,0),OPR_BR1!$A$4:$K$18,OPR_BR2!$A$4:$K$18,OPR_CR2!$A$4:$K$18,OPR_CR3!$A$4:$K$18,OPR_CR4!$A$4:$K$18,OPR_RIM!$A$4:$K$18,OPR_BPR!$A$4:$K$18),11,0),9999)),0)),"NO COMPATIBLE MACHINE")))</f>
        <v/>
      </c>
      <c r="F82">
        <f>IF($E82="","",IFERROR(VLOOKUP($E82,Machine_List!$B:$G,6,0),""))</f>
        <v/>
      </c>
      <c r="G82" s="17">
        <f>IF($E82="","",IFERROR(VLOOKUP($E82,Machine_List!$B:$C,2,0),""))</f>
        <v/>
      </c>
      <c r="H82">
        <f>IF($E82="","",IFERROR(VLOOKUP($E82,Machine_List!$B:$D,3,0),""))</f>
        <v/>
      </c>
      <c r="J82" s="16">
        <f>IF($A82="","",IF($I82&lt;&gt;"",$I82,MAX(VENT_Plan!$M82,IFERROR(LOOKUP(2,1/($E$3:INDIRECT("E"&amp;(ROW()-1))=$E82),$M$3:INDIRECT("M"&amp;(ROW()-1))),VENT_Plan!$M82))))</f>
        <v/>
      </c>
      <c r="K82">
        <f>IF($A82="","",IFERROR(VLOOKUP(B82,CHOOSE(MATCH($C82,Settings!$L$4:$L$10,0),OPR_BR1!$A$4:$I$18,OPR_BR2!$A$4:$I$18,OPR_CR2!$A$4:$I$18,OPR_CR3!$A$4:$I$18,OPR_CR4!$A$4:$I$18,OPR_RIM!$A$4:$I$18,OPR_BPR!$A$4:$I$18),8,0),0))</f>
        <v/>
      </c>
      <c r="L82">
        <f>IF($A82="","",K82*D82)</f>
        <v/>
      </c>
      <c r="M82" s="16">
        <f>IF($A82="","",IF(AND(ISNUMBER(G82),G82&gt;=J82,G82&lt;=(J82+(L82/(IF(F82="Contract Workman",Settings!$K$5,Settings!$K$4))))),J82+(L82/(IF(F82="Contract Workman",Settings!$K$5,Settings!$K$4)))+(H82/(IF(F82="Contract Workman",Settings!$K$5,Settings!$K$4))),J82+(L82/(IF(F82="Contract Workman",Settings!$K$5,Settings!$K$4)))))</f>
        <v/>
      </c>
      <c r="N82">
        <f>IF($A82="","",IF(F82="Contract Workman",IF(AND(MOD(M82,1)&gt;=8/24,MOD(M82,1)&lt;20/24),"Shift S1","Shift S2"),IF(AND(MOD(M82,1)&gt;=7/24,MOD(M82,1)&lt;15/24),"Shift A",IF(AND(MOD(M82,1)&gt;=15/24,MOD(M82,1)&lt;23/24),"Shift B","Shift C"))))</f>
        <v/>
      </c>
      <c r="O82">
        <f>IF(B82="","",IF(IFERROR(ISNUMBER(SEARCH(TEXT(B82,"0"),VLOOKUP(E82,Machine_List!$B:$J,9,0))),FALSE),"✅ "&amp; E82,"❌ Sug: "&amp;IFERROR(INDEX(Machine_List!$B$72:$B$81,MATCH(1,(Machine_List!$H$72:$H$81&lt;=IFERROR(VLOOKUP($B82,OPR_BR1!$A$4:$K$18,10,0),0))*(Machine_List!$I$72:$I$81&gt;=IFERROR(VLOOKUP($B82,OPR_BR1!$A$4:$K$18,11,0),9999)),0)),"?")))</f>
        <v/>
      </c>
      <c r="P82">
        <f>IF(AND($A82&lt;&gt;"",P$3&gt;=$J82,P$3&lt;=$M82),1,"")</f>
        <v/>
      </c>
      <c r="Q82">
        <f>IF(AND($A82&lt;&gt;"",Q$3&gt;=$J82,Q$3&lt;=$M82),1,"")</f>
        <v/>
      </c>
      <c r="R82">
        <f>IF(AND($A82&lt;&gt;"",R$3&gt;=$J82,R$3&lt;=$M82),1,"")</f>
        <v/>
      </c>
      <c r="S82">
        <f>IF(AND($A82&lt;&gt;"",S$3&gt;=$J82,S$3&lt;=$M82),1,"")</f>
        <v/>
      </c>
      <c r="T82">
        <f>IF(AND($A82&lt;&gt;"",T$3&gt;=$J82,T$3&lt;=$M82),1,"")</f>
        <v/>
      </c>
      <c r="U82">
        <f>IF(AND($A82&lt;&gt;"",U$3&gt;=$J82,U$3&lt;=$M82),1,"")</f>
        <v/>
      </c>
      <c r="V82">
        <f>IF(AND($A82&lt;&gt;"",V$3&gt;=$J82,V$3&lt;=$M82),1,"")</f>
        <v/>
      </c>
      <c r="W82">
        <f>IF(AND($A82&lt;&gt;"",W$3&gt;=$J82,W$3&lt;=$M82),1,"")</f>
        <v/>
      </c>
      <c r="X82">
        <f>IF(AND($A82&lt;&gt;"",X$3&gt;=$J82,X$3&lt;=$M82),1,"")</f>
        <v/>
      </c>
      <c r="Y82">
        <f>IF(AND($A82&lt;&gt;"",Y$3&gt;=$J82,Y$3&lt;=$M82),1,"")</f>
        <v/>
      </c>
      <c r="Z82">
        <f>IF(AND($A82&lt;&gt;"",Z$3&gt;=$J82,Z$3&lt;=$M82),1,"")</f>
        <v/>
      </c>
      <c r="AA82">
        <f>IF(AND($A82&lt;&gt;"",AA$3&gt;=$J82,AA$3&lt;=$M82),1,"")</f>
        <v/>
      </c>
      <c r="AB82">
        <f>IF(AND($A82&lt;&gt;"",AB$3&gt;=$J82,AB$3&lt;=$M82),1,"")</f>
        <v/>
      </c>
      <c r="AC82">
        <f>IF(AND($A82&lt;&gt;"",AC$3&gt;=$J82,AC$3&lt;=$M82),1,"")</f>
        <v/>
      </c>
      <c r="AD82">
        <f>IF(AND($A82&lt;&gt;"",AD$3&gt;=$J82,AD$3&lt;=$M82),1,"")</f>
        <v/>
      </c>
      <c r="AE82">
        <f>IF(AND($A82&lt;&gt;"",AE$3&gt;=$J82,AE$3&lt;=$M82),1,"")</f>
        <v/>
      </c>
      <c r="AF82">
        <f>IF(AND($A82&lt;&gt;"",AF$3&gt;=$J82,AF$3&lt;=$M82),1,"")</f>
        <v/>
      </c>
      <c r="AG82">
        <f>IF(AND($A82&lt;&gt;"",AG$3&gt;=$J82,AG$3&lt;=$M82),1,"")</f>
        <v/>
      </c>
      <c r="AH82">
        <f>IF(AND($A82&lt;&gt;"",AH$3&gt;=$J82,AH$3&lt;=$M82),1,"")</f>
        <v/>
      </c>
      <c r="AI82">
        <f>IF(AND($A82&lt;&gt;"",AI$3&gt;=$J82,AI$3&lt;=$M82),1,"")</f>
        <v/>
      </c>
      <c r="AJ82">
        <f>IF(AND($A82&lt;&gt;"",AJ$3&gt;=$J82,AJ$3&lt;=$M82),1,"")</f>
        <v/>
      </c>
      <c r="AK82">
        <f>IF(AND($A82&lt;&gt;"",AK$3&gt;=$J82,AK$3&lt;=$M82),1,"")</f>
        <v/>
      </c>
      <c r="AL82">
        <f>IF(AND($A82&lt;&gt;"",AL$3&gt;=$J82,AL$3&lt;=$M82),1,"")</f>
        <v/>
      </c>
      <c r="AM82">
        <f>IF(AND($A82&lt;&gt;"",AM$3&gt;=$J82,AM$3&lt;=$M82),1,"")</f>
        <v/>
      </c>
      <c r="AN82">
        <f>IF(AND($A82&lt;&gt;"",AN$3&gt;=$J82,AN$3&lt;=$M82),1,"")</f>
        <v/>
      </c>
      <c r="AO82">
        <f>IF(AND($A82&lt;&gt;"",AO$3&gt;=$J82,AO$3&lt;=$M82),1,"")</f>
        <v/>
      </c>
      <c r="AP82">
        <f>IF(AND($A82&lt;&gt;"",AP$3&gt;=$J82,AP$3&lt;=$M82),1,"")</f>
        <v/>
      </c>
      <c r="AQ82">
        <f>IF(AND($A82&lt;&gt;"",AQ$3&gt;=$J82,AQ$3&lt;=$M82),1,"")</f>
        <v/>
      </c>
      <c r="AR82">
        <f>IF(AND($A82&lt;&gt;"",AR$3&gt;=$J82,AR$3&lt;=$M82),1,"")</f>
        <v/>
      </c>
      <c r="AS82">
        <f>IF(AND($A82&lt;&gt;"",AS$3&gt;=$J82,AS$3&lt;=$M82),1,"")</f>
        <v/>
      </c>
      <c r="AT82">
        <f>IF(AND($A82&lt;&gt;"",AT$3&gt;=$J82,AT$3&lt;=$M82),1,"")</f>
        <v/>
      </c>
      <c r="AU82">
        <f>IF(AND($A82&lt;&gt;"",AU$3&gt;=$J82,AU$3&lt;=$M82),1,"")</f>
        <v/>
      </c>
      <c r="AV82">
        <f>IF(AND($A82&lt;&gt;"",AV$3&gt;=$J82,AV$3&lt;=$M82),1,"")</f>
        <v/>
      </c>
      <c r="AW82">
        <f>IF(AND($A82&lt;&gt;"",AW$3&gt;=$J82,AW$3&lt;=$M82),1,"")</f>
        <v/>
      </c>
      <c r="AX82">
        <f>IF(AND($A82&lt;&gt;"",AX$3&gt;=$J82,AX$3&lt;=$M82),1,"")</f>
        <v/>
      </c>
      <c r="AY82">
        <f>IF(AND($A82&lt;&gt;"",AY$3&gt;=$J82,AY$3&lt;=$M82),1,"")</f>
        <v/>
      </c>
      <c r="AZ82">
        <f>IF(AND($A82&lt;&gt;"",AZ$3&gt;=$J82,AZ$3&lt;=$M82),1,"")</f>
        <v/>
      </c>
      <c r="BA82">
        <f>IF(AND($A82&lt;&gt;"",BA$3&gt;=$J82,BA$3&lt;=$M82),1,"")</f>
        <v/>
      </c>
      <c r="BB82">
        <f>IF(AND($A82&lt;&gt;"",BB$3&gt;=$J82,BB$3&lt;=$M82),1,"")</f>
        <v/>
      </c>
      <c r="BC82">
        <f>IF(AND($A82&lt;&gt;"",BC$3&gt;=$J82,BC$3&lt;=$M82),1,"")</f>
        <v/>
      </c>
      <c r="BD82">
        <f>IF(AND($A82&lt;&gt;"",BD$3&gt;=$J82,BD$3&lt;=$M82),1,"")</f>
        <v/>
      </c>
      <c r="BE82">
        <f>IF(AND($A82&lt;&gt;"",BE$3&gt;=$J82,BE$3&lt;=$M82),1,"")</f>
        <v/>
      </c>
      <c r="BF82">
        <f>IF(AND($A82&lt;&gt;"",BF$3&gt;=$J82,BF$3&lt;=$M82),1,"")</f>
        <v/>
      </c>
      <c r="BG82">
        <f>IF(AND($A82&lt;&gt;"",BG$3&gt;=$J82,BG$3&lt;=$M82),1,"")</f>
        <v/>
      </c>
      <c r="BH82">
        <f>IF(AND($A82&lt;&gt;"",BH$3&gt;=$J82,BH$3&lt;=$M82),1,"")</f>
        <v/>
      </c>
      <c r="BI82">
        <f>IF(AND($A82&lt;&gt;"",BI$3&gt;=$J82,BI$3&lt;=$M82),1,"")</f>
        <v/>
      </c>
      <c r="BJ82">
        <f>IF(AND($A82&lt;&gt;"",BJ$3&gt;=$J82,BJ$3&lt;=$M82),1,"")</f>
        <v/>
      </c>
      <c r="BK82">
        <f>IF(AND($A82&lt;&gt;"",BK$3&gt;=$J82,BK$3&lt;=$M82),1,"")</f>
        <v/>
      </c>
      <c r="BL82">
        <f>IF(AND($A82&lt;&gt;"",BL$3&gt;=$J82,BL$3&lt;=$M82),1,"")</f>
        <v/>
      </c>
      <c r="BM82">
        <f>IF(AND($A82&lt;&gt;"",BM$3&gt;=$J82,BM$3&lt;=$M82),1,"")</f>
        <v/>
      </c>
      <c r="BN82">
        <f>IF(AND($A82&lt;&gt;"",BN$3&gt;=$J82,BN$3&lt;=$M82),1,"")</f>
        <v/>
      </c>
      <c r="BO82">
        <f>IF(AND($A82&lt;&gt;"",BO$3&gt;=$J82,BO$3&lt;=$M82),1,"")</f>
        <v/>
      </c>
      <c r="BP82">
        <f>IF(AND($A82&lt;&gt;"",BP$3&gt;=$J82,BP$3&lt;=$M82),1,"")</f>
        <v/>
      </c>
      <c r="BQ82">
        <f>IF(AND($A82&lt;&gt;"",BQ$3&gt;=$J82,BQ$3&lt;=$M82),1,"")</f>
        <v/>
      </c>
      <c r="BR82">
        <f>IF(AND($A82&lt;&gt;"",BR$3&gt;=$J82,BR$3&lt;=$M82),1,"")</f>
        <v/>
      </c>
      <c r="BS82">
        <f>IF(AND($A82&lt;&gt;"",BS$3&gt;=$J82,BS$3&lt;=$M82),1,"")</f>
        <v/>
      </c>
      <c r="BT82">
        <f>IF(AND($A82&lt;&gt;"",BT$3&gt;=$J82,BT$3&lt;=$M82),1,"")</f>
        <v/>
      </c>
      <c r="BU82">
        <f>IF(AND($A82&lt;&gt;"",BU$3&gt;=$J82,BU$3&lt;=$M82),1,"")</f>
        <v/>
      </c>
      <c r="BV82">
        <f>IF(AND($A82&lt;&gt;"",BV$3&gt;=$J82,BV$3&lt;=$M82),1,"")</f>
        <v/>
      </c>
    </row>
    <row r="83">
      <c r="A83">
        <f>IF(Job_Master_Ring!$A83="","",Job_Master_Ring!$A83)</f>
        <v/>
      </c>
      <c r="B83">
        <f>IF($A83="","",Job_Master_Ring!B83)</f>
        <v/>
      </c>
      <c r="C83">
        <f>IF($A83="","",Job_Master_Ring!C83)</f>
        <v/>
      </c>
      <c r="D83">
        <f>IF($A83="","",Job_Master_Ring!D83)</f>
        <v/>
      </c>
      <c r="E83">
        <f>IF($A83="","",IF($I83&lt;&gt;"",$I83,IFERROR(INDEX(Machine_List!$B$72:$B$81,MATCH(1,(Machine_List!$H$72:$H$81&lt;=IFERROR(VLOOKUP($B83,CHOOSE(MATCH($C83,Settings!$L$4:$L$10,0),OPR_BR1!$A$4:$K$18,OPR_BR2!$A$4:$K$18,OPR_CR2!$A$4:$K$18,OPR_CR3!$A$4:$K$18,OPR_CR4!$A$4:$K$18,OPR_RIM!$A$4:$K$18,OPR_BPR!$A$4:$K$18),10,0),0))*(Machine_List!$I$72:$I$81&gt;=IFERROR(VLOOKUP($B83,CHOOSE(MATCH($C83,Settings!$L$4:$L$10,0),OPR_BR1!$A$4:$K$18,OPR_BR2!$A$4:$K$18,OPR_CR2!$A$4:$K$18,OPR_CR3!$A$4:$K$18,OPR_CR4!$A$4:$K$18,OPR_RIM!$A$4:$K$18,OPR_BPR!$A$4:$K$18),11,0),9999)),0)),"NO COMPATIBLE MACHINE")))</f>
        <v/>
      </c>
      <c r="F83">
        <f>IF($E83="","",IFERROR(VLOOKUP($E83,Machine_List!$B:$G,6,0),""))</f>
        <v/>
      </c>
      <c r="G83" s="17">
        <f>IF($E83="","",IFERROR(VLOOKUP($E83,Machine_List!$B:$C,2,0),""))</f>
        <v/>
      </c>
      <c r="H83">
        <f>IF($E83="","",IFERROR(VLOOKUP($E83,Machine_List!$B:$D,3,0),""))</f>
        <v/>
      </c>
      <c r="J83" s="16">
        <f>IF($A83="","",IF($I83&lt;&gt;"",$I83,MAX(VENT_Plan!$M83,IFERROR(LOOKUP(2,1/($E$3:INDIRECT("E"&amp;(ROW()-1))=$E83),$M$3:INDIRECT("M"&amp;(ROW()-1))),VENT_Plan!$M83))))</f>
        <v/>
      </c>
      <c r="K83">
        <f>IF($A83="","",IFERROR(VLOOKUP(B83,CHOOSE(MATCH($C83,Settings!$L$4:$L$10,0),OPR_BR1!$A$4:$I$18,OPR_BR2!$A$4:$I$18,OPR_CR2!$A$4:$I$18,OPR_CR3!$A$4:$I$18,OPR_CR4!$A$4:$I$18,OPR_RIM!$A$4:$I$18,OPR_BPR!$A$4:$I$18),8,0),0))</f>
        <v/>
      </c>
      <c r="L83">
        <f>IF($A83="","",K83*D83)</f>
        <v/>
      </c>
      <c r="M83" s="16">
        <f>IF($A83="","",IF(AND(ISNUMBER(G83),G83&gt;=J83,G83&lt;=(J83+(L83/(IF(F83="Contract Workman",Settings!$K$5,Settings!$K$4))))),J83+(L83/(IF(F83="Contract Workman",Settings!$K$5,Settings!$K$4)))+(H83/(IF(F83="Contract Workman",Settings!$K$5,Settings!$K$4))),J83+(L83/(IF(F83="Contract Workman",Settings!$K$5,Settings!$K$4)))))</f>
        <v/>
      </c>
      <c r="N83">
        <f>IF($A83="","",IF(F83="Contract Workman",IF(AND(MOD(M83,1)&gt;=8/24,MOD(M83,1)&lt;20/24),"Shift S1","Shift S2"),IF(AND(MOD(M83,1)&gt;=7/24,MOD(M83,1)&lt;15/24),"Shift A",IF(AND(MOD(M83,1)&gt;=15/24,MOD(M83,1)&lt;23/24),"Shift B","Shift C"))))</f>
        <v/>
      </c>
      <c r="O83">
        <f>IF(B83="","",IF(IFERROR(ISNUMBER(SEARCH(TEXT(B83,"0"),VLOOKUP(E83,Machine_List!$B:$J,9,0))),FALSE),"✅ "&amp; E83,"❌ Sug: "&amp;IFERROR(INDEX(Machine_List!$B$72:$B$81,MATCH(1,(Machine_List!$H$72:$H$81&lt;=IFERROR(VLOOKUP($B83,OPR_BR1!$A$4:$K$18,10,0),0))*(Machine_List!$I$72:$I$81&gt;=IFERROR(VLOOKUP($B83,OPR_BR1!$A$4:$K$18,11,0),9999)),0)),"?")))</f>
        <v/>
      </c>
      <c r="P83">
        <f>IF(AND($A83&lt;&gt;"",P$3&gt;=$J83,P$3&lt;=$M83),1,"")</f>
        <v/>
      </c>
      <c r="Q83">
        <f>IF(AND($A83&lt;&gt;"",Q$3&gt;=$J83,Q$3&lt;=$M83),1,"")</f>
        <v/>
      </c>
      <c r="R83">
        <f>IF(AND($A83&lt;&gt;"",R$3&gt;=$J83,R$3&lt;=$M83),1,"")</f>
        <v/>
      </c>
      <c r="S83">
        <f>IF(AND($A83&lt;&gt;"",S$3&gt;=$J83,S$3&lt;=$M83),1,"")</f>
        <v/>
      </c>
      <c r="T83">
        <f>IF(AND($A83&lt;&gt;"",T$3&gt;=$J83,T$3&lt;=$M83),1,"")</f>
        <v/>
      </c>
      <c r="U83">
        <f>IF(AND($A83&lt;&gt;"",U$3&gt;=$J83,U$3&lt;=$M83),1,"")</f>
        <v/>
      </c>
      <c r="V83">
        <f>IF(AND($A83&lt;&gt;"",V$3&gt;=$J83,V$3&lt;=$M83),1,"")</f>
        <v/>
      </c>
      <c r="W83">
        <f>IF(AND($A83&lt;&gt;"",W$3&gt;=$J83,W$3&lt;=$M83),1,"")</f>
        <v/>
      </c>
      <c r="X83">
        <f>IF(AND($A83&lt;&gt;"",X$3&gt;=$J83,X$3&lt;=$M83),1,"")</f>
        <v/>
      </c>
      <c r="Y83">
        <f>IF(AND($A83&lt;&gt;"",Y$3&gt;=$J83,Y$3&lt;=$M83),1,"")</f>
        <v/>
      </c>
      <c r="Z83">
        <f>IF(AND($A83&lt;&gt;"",Z$3&gt;=$J83,Z$3&lt;=$M83),1,"")</f>
        <v/>
      </c>
      <c r="AA83">
        <f>IF(AND($A83&lt;&gt;"",AA$3&gt;=$J83,AA$3&lt;=$M83),1,"")</f>
        <v/>
      </c>
      <c r="AB83">
        <f>IF(AND($A83&lt;&gt;"",AB$3&gt;=$J83,AB$3&lt;=$M83),1,"")</f>
        <v/>
      </c>
      <c r="AC83">
        <f>IF(AND($A83&lt;&gt;"",AC$3&gt;=$J83,AC$3&lt;=$M83),1,"")</f>
        <v/>
      </c>
      <c r="AD83">
        <f>IF(AND($A83&lt;&gt;"",AD$3&gt;=$J83,AD$3&lt;=$M83),1,"")</f>
        <v/>
      </c>
      <c r="AE83">
        <f>IF(AND($A83&lt;&gt;"",AE$3&gt;=$J83,AE$3&lt;=$M83),1,"")</f>
        <v/>
      </c>
      <c r="AF83">
        <f>IF(AND($A83&lt;&gt;"",AF$3&gt;=$J83,AF$3&lt;=$M83),1,"")</f>
        <v/>
      </c>
      <c r="AG83">
        <f>IF(AND($A83&lt;&gt;"",AG$3&gt;=$J83,AG$3&lt;=$M83),1,"")</f>
        <v/>
      </c>
      <c r="AH83">
        <f>IF(AND($A83&lt;&gt;"",AH$3&gt;=$J83,AH$3&lt;=$M83),1,"")</f>
        <v/>
      </c>
      <c r="AI83">
        <f>IF(AND($A83&lt;&gt;"",AI$3&gt;=$J83,AI$3&lt;=$M83),1,"")</f>
        <v/>
      </c>
      <c r="AJ83">
        <f>IF(AND($A83&lt;&gt;"",AJ$3&gt;=$J83,AJ$3&lt;=$M83),1,"")</f>
        <v/>
      </c>
      <c r="AK83">
        <f>IF(AND($A83&lt;&gt;"",AK$3&gt;=$J83,AK$3&lt;=$M83),1,"")</f>
        <v/>
      </c>
      <c r="AL83">
        <f>IF(AND($A83&lt;&gt;"",AL$3&gt;=$J83,AL$3&lt;=$M83),1,"")</f>
        <v/>
      </c>
      <c r="AM83">
        <f>IF(AND($A83&lt;&gt;"",AM$3&gt;=$J83,AM$3&lt;=$M83),1,"")</f>
        <v/>
      </c>
      <c r="AN83">
        <f>IF(AND($A83&lt;&gt;"",AN$3&gt;=$J83,AN$3&lt;=$M83),1,"")</f>
        <v/>
      </c>
      <c r="AO83">
        <f>IF(AND($A83&lt;&gt;"",AO$3&gt;=$J83,AO$3&lt;=$M83),1,"")</f>
        <v/>
      </c>
      <c r="AP83">
        <f>IF(AND($A83&lt;&gt;"",AP$3&gt;=$J83,AP$3&lt;=$M83),1,"")</f>
        <v/>
      </c>
      <c r="AQ83">
        <f>IF(AND($A83&lt;&gt;"",AQ$3&gt;=$J83,AQ$3&lt;=$M83),1,"")</f>
        <v/>
      </c>
      <c r="AR83">
        <f>IF(AND($A83&lt;&gt;"",AR$3&gt;=$J83,AR$3&lt;=$M83),1,"")</f>
        <v/>
      </c>
      <c r="AS83">
        <f>IF(AND($A83&lt;&gt;"",AS$3&gt;=$J83,AS$3&lt;=$M83),1,"")</f>
        <v/>
      </c>
      <c r="AT83">
        <f>IF(AND($A83&lt;&gt;"",AT$3&gt;=$J83,AT$3&lt;=$M83),1,"")</f>
        <v/>
      </c>
      <c r="AU83">
        <f>IF(AND($A83&lt;&gt;"",AU$3&gt;=$J83,AU$3&lt;=$M83),1,"")</f>
        <v/>
      </c>
      <c r="AV83">
        <f>IF(AND($A83&lt;&gt;"",AV$3&gt;=$J83,AV$3&lt;=$M83),1,"")</f>
        <v/>
      </c>
      <c r="AW83">
        <f>IF(AND($A83&lt;&gt;"",AW$3&gt;=$J83,AW$3&lt;=$M83),1,"")</f>
        <v/>
      </c>
      <c r="AX83">
        <f>IF(AND($A83&lt;&gt;"",AX$3&gt;=$J83,AX$3&lt;=$M83),1,"")</f>
        <v/>
      </c>
      <c r="AY83">
        <f>IF(AND($A83&lt;&gt;"",AY$3&gt;=$J83,AY$3&lt;=$M83),1,"")</f>
        <v/>
      </c>
      <c r="AZ83">
        <f>IF(AND($A83&lt;&gt;"",AZ$3&gt;=$J83,AZ$3&lt;=$M83),1,"")</f>
        <v/>
      </c>
      <c r="BA83">
        <f>IF(AND($A83&lt;&gt;"",BA$3&gt;=$J83,BA$3&lt;=$M83),1,"")</f>
        <v/>
      </c>
      <c r="BB83">
        <f>IF(AND($A83&lt;&gt;"",BB$3&gt;=$J83,BB$3&lt;=$M83),1,"")</f>
        <v/>
      </c>
      <c r="BC83">
        <f>IF(AND($A83&lt;&gt;"",BC$3&gt;=$J83,BC$3&lt;=$M83),1,"")</f>
        <v/>
      </c>
      <c r="BD83">
        <f>IF(AND($A83&lt;&gt;"",BD$3&gt;=$J83,BD$3&lt;=$M83),1,"")</f>
        <v/>
      </c>
      <c r="BE83">
        <f>IF(AND($A83&lt;&gt;"",BE$3&gt;=$J83,BE$3&lt;=$M83),1,"")</f>
        <v/>
      </c>
      <c r="BF83">
        <f>IF(AND($A83&lt;&gt;"",BF$3&gt;=$J83,BF$3&lt;=$M83),1,"")</f>
        <v/>
      </c>
      <c r="BG83">
        <f>IF(AND($A83&lt;&gt;"",BG$3&gt;=$J83,BG$3&lt;=$M83),1,"")</f>
        <v/>
      </c>
      <c r="BH83">
        <f>IF(AND($A83&lt;&gt;"",BH$3&gt;=$J83,BH$3&lt;=$M83),1,"")</f>
        <v/>
      </c>
      <c r="BI83">
        <f>IF(AND($A83&lt;&gt;"",BI$3&gt;=$J83,BI$3&lt;=$M83),1,"")</f>
        <v/>
      </c>
      <c r="BJ83">
        <f>IF(AND($A83&lt;&gt;"",BJ$3&gt;=$J83,BJ$3&lt;=$M83),1,"")</f>
        <v/>
      </c>
      <c r="BK83">
        <f>IF(AND($A83&lt;&gt;"",BK$3&gt;=$J83,BK$3&lt;=$M83),1,"")</f>
        <v/>
      </c>
      <c r="BL83">
        <f>IF(AND($A83&lt;&gt;"",BL$3&gt;=$J83,BL$3&lt;=$M83),1,"")</f>
        <v/>
      </c>
      <c r="BM83">
        <f>IF(AND($A83&lt;&gt;"",BM$3&gt;=$J83,BM$3&lt;=$M83),1,"")</f>
        <v/>
      </c>
      <c r="BN83">
        <f>IF(AND($A83&lt;&gt;"",BN$3&gt;=$J83,BN$3&lt;=$M83),1,"")</f>
        <v/>
      </c>
      <c r="BO83">
        <f>IF(AND($A83&lt;&gt;"",BO$3&gt;=$J83,BO$3&lt;=$M83),1,"")</f>
        <v/>
      </c>
      <c r="BP83">
        <f>IF(AND($A83&lt;&gt;"",BP$3&gt;=$J83,BP$3&lt;=$M83),1,"")</f>
        <v/>
      </c>
      <c r="BQ83">
        <f>IF(AND($A83&lt;&gt;"",BQ$3&gt;=$J83,BQ$3&lt;=$M83),1,"")</f>
        <v/>
      </c>
      <c r="BR83">
        <f>IF(AND($A83&lt;&gt;"",BR$3&gt;=$J83,BR$3&lt;=$M83),1,"")</f>
        <v/>
      </c>
      <c r="BS83">
        <f>IF(AND($A83&lt;&gt;"",BS$3&gt;=$J83,BS$3&lt;=$M83),1,"")</f>
        <v/>
      </c>
      <c r="BT83">
        <f>IF(AND($A83&lt;&gt;"",BT$3&gt;=$J83,BT$3&lt;=$M83),1,"")</f>
        <v/>
      </c>
      <c r="BU83">
        <f>IF(AND($A83&lt;&gt;"",BU$3&gt;=$J83,BU$3&lt;=$M83),1,"")</f>
        <v/>
      </c>
      <c r="BV83">
        <f>IF(AND($A83&lt;&gt;"",BV$3&gt;=$J83,BV$3&lt;=$M83),1,"")</f>
        <v/>
      </c>
    </row>
    <row r="84">
      <c r="A84">
        <f>IF(Job_Master_Ring!$A84="","",Job_Master_Ring!$A84)</f>
        <v/>
      </c>
      <c r="B84">
        <f>IF($A84="","",Job_Master_Ring!B84)</f>
        <v/>
      </c>
      <c r="C84">
        <f>IF($A84="","",Job_Master_Ring!C84)</f>
        <v/>
      </c>
      <c r="D84">
        <f>IF($A84="","",Job_Master_Ring!D84)</f>
        <v/>
      </c>
      <c r="E84">
        <f>IF($A84="","",IF($I84&lt;&gt;"",$I84,IFERROR(INDEX(Machine_List!$B$72:$B$81,MATCH(1,(Machine_List!$H$72:$H$81&lt;=IFERROR(VLOOKUP($B84,CHOOSE(MATCH($C84,Settings!$L$4:$L$10,0),OPR_BR1!$A$4:$K$18,OPR_BR2!$A$4:$K$18,OPR_CR2!$A$4:$K$18,OPR_CR3!$A$4:$K$18,OPR_CR4!$A$4:$K$18,OPR_RIM!$A$4:$K$18,OPR_BPR!$A$4:$K$18),10,0),0))*(Machine_List!$I$72:$I$81&gt;=IFERROR(VLOOKUP($B84,CHOOSE(MATCH($C84,Settings!$L$4:$L$10,0),OPR_BR1!$A$4:$K$18,OPR_BR2!$A$4:$K$18,OPR_CR2!$A$4:$K$18,OPR_CR3!$A$4:$K$18,OPR_CR4!$A$4:$K$18,OPR_RIM!$A$4:$K$18,OPR_BPR!$A$4:$K$18),11,0),9999)),0)),"NO COMPATIBLE MACHINE")))</f>
        <v/>
      </c>
      <c r="F84">
        <f>IF($E84="","",IFERROR(VLOOKUP($E84,Machine_List!$B:$G,6,0),""))</f>
        <v/>
      </c>
      <c r="G84" s="17">
        <f>IF($E84="","",IFERROR(VLOOKUP($E84,Machine_List!$B:$C,2,0),""))</f>
        <v/>
      </c>
      <c r="H84">
        <f>IF($E84="","",IFERROR(VLOOKUP($E84,Machine_List!$B:$D,3,0),""))</f>
        <v/>
      </c>
      <c r="J84" s="16">
        <f>IF($A84="","",IF($I84&lt;&gt;"",$I84,MAX(VENT_Plan!$M84,IFERROR(LOOKUP(2,1/($E$3:INDIRECT("E"&amp;(ROW()-1))=$E84),$M$3:INDIRECT("M"&amp;(ROW()-1))),VENT_Plan!$M84))))</f>
        <v/>
      </c>
      <c r="K84">
        <f>IF($A84="","",IFERROR(VLOOKUP(B84,CHOOSE(MATCH($C84,Settings!$L$4:$L$10,0),OPR_BR1!$A$4:$I$18,OPR_BR2!$A$4:$I$18,OPR_CR2!$A$4:$I$18,OPR_CR3!$A$4:$I$18,OPR_CR4!$A$4:$I$18,OPR_RIM!$A$4:$I$18,OPR_BPR!$A$4:$I$18),8,0),0))</f>
        <v/>
      </c>
      <c r="L84">
        <f>IF($A84="","",K84*D84)</f>
        <v/>
      </c>
      <c r="M84" s="16">
        <f>IF($A84="","",IF(AND(ISNUMBER(G84),G84&gt;=J84,G84&lt;=(J84+(L84/(IF(F84="Contract Workman",Settings!$K$5,Settings!$K$4))))),J84+(L84/(IF(F84="Contract Workman",Settings!$K$5,Settings!$K$4)))+(H84/(IF(F84="Contract Workman",Settings!$K$5,Settings!$K$4))),J84+(L84/(IF(F84="Contract Workman",Settings!$K$5,Settings!$K$4)))))</f>
        <v/>
      </c>
      <c r="N84">
        <f>IF($A84="","",IF(F84="Contract Workman",IF(AND(MOD(M84,1)&gt;=8/24,MOD(M84,1)&lt;20/24),"Shift S1","Shift S2"),IF(AND(MOD(M84,1)&gt;=7/24,MOD(M84,1)&lt;15/24),"Shift A",IF(AND(MOD(M84,1)&gt;=15/24,MOD(M84,1)&lt;23/24),"Shift B","Shift C"))))</f>
        <v/>
      </c>
      <c r="O84">
        <f>IF(B84="","",IF(IFERROR(ISNUMBER(SEARCH(TEXT(B84,"0"),VLOOKUP(E84,Machine_List!$B:$J,9,0))),FALSE),"✅ "&amp; E84,"❌ Sug: "&amp;IFERROR(INDEX(Machine_List!$B$72:$B$81,MATCH(1,(Machine_List!$H$72:$H$81&lt;=IFERROR(VLOOKUP($B84,OPR_BR1!$A$4:$K$18,10,0),0))*(Machine_List!$I$72:$I$81&gt;=IFERROR(VLOOKUP($B84,OPR_BR1!$A$4:$K$18,11,0),9999)),0)),"?")))</f>
        <v/>
      </c>
      <c r="P84">
        <f>IF(AND($A84&lt;&gt;"",P$3&gt;=$J84,P$3&lt;=$M84),1,"")</f>
        <v/>
      </c>
      <c r="Q84">
        <f>IF(AND($A84&lt;&gt;"",Q$3&gt;=$J84,Q$3&lt;=$M84),1,"")</f>
        <v/>
      </c>
      <c r="R84">
        <f>IF(AND($A84&lt;&gt;"",R$3&gt;=$J84,R$3&lt;=$M84),1,"")</f>
        <v/>
      </c>
      <c r="S84">
        <f>IF(AND($A84&lt;&gt;"",S$3&gt;=$J84,S$3&lt;=$M84),1,"")</f>
        <v/>
      </c>
      <c r="T84">
        <f>IF(AND($A84&lt;&gt;"",T$3&gt;=$J84,T$3&lt;=$M84),1,"")</f>
        <v/>
      </c>
      <c r="U84">
        <f>IF(AND($A84&lt;&gt;"",U$3&gt;=$J84,U$3&lt;=$M84),1,"")</f>
        <v/>
      </c>
      <c r="V84">
        <f>IF(AND($A84&lt;&gt;"",V$3&gt;=$J84,V$3&lt;=$M84),1,"")</f>
        <v/>
      </c>
      <c r="W84">
        <f>IF(AND($A84&lt;&gt;"",W$3&gt;=$J84,W$3&lt;=$M84),1,"")</f>
        <v/>
      </c>
      <c r="X84">
        <f>IF(AND($A84&lt;&gt;"",X$3&gt;=$J84,X$3&lt;=$M84),1,"")</f>
        <v/>
      </c>
      <c r="Y84">
        <f>IF(AND($A84&lt;&gt;"",Y$3&gt;=$J84,Y$3&lt;=$M84),1,"")</f>
        <v/>
      </c>
      <c r="Z84">
        <f>IF(AND($A84&lt;&gt;"",Z$3&gt;=$J84,Z$3&lt;=$M84),1,"")</f>
        <v/>
      </c>
      <c r="AA84">
        <f>IF(AND($A84&lt;&gt;"",AA$3&gt;=$J84,AA$3&lt;=$M84),1,"")</f>
        <v/>
      </c>
      <c r="AB84">
        <f>IF(AND($A84&lt;&gt;"",AB$3&gt;=$J84,AB$3&lt;=$M84),1,"")</f>
        <v/>
      </c>
      <c r="AC84">
        <f>IF(AND($A84&lt;&gt;"",AC$3&gt;=$J84,AC$3&lt;=$M84),1,"")</f>
        <v/>
      </c>
      <c r="AD84">
        <f>IF(AND($A84&lt;&gt;"",AD$3&gt;=$J84,AD$3&lt;=$M84),1,"")</f>
        <v/>
      </c>
      <c r="AE84">
        <f>IF(AND($A84&lt;&gt;"",AE$3&gt;=$J84,AE$3&lt;=$M84),1,"")</f>
        <v/>
      </c>
      <c r="AF84">
        <f>IF(AND($A84&lt;&gt;"",AF$3&gt;=$J84,AF$3&lt;=$M84),1,"")</f>
        <v/>
      </c>
      <c r="AG84">
        <f>IF(AND($A84&lt;&gt;"",AG$3&gt;=$J84,AG$3&lt;=$M84),1,"")</f>
        <v/>
      </c>
      <c r="AH84">
        <f>IF(AND($A84&lt;&gt;"",AH$3&gt;=$J84,AH$3&lt;=$M84),1,"")</f>
        <v/>
      </c>
      <c r="AI84">
        <f>IF(AND($A84&lt;&gt;"",AI$3&gt;=$J84,AI$3&lt;=$M84),1,"")</f>
        <v/>
      </c>
      <c r="AJ84">
        <f>IF(AND($A84&lt;&gt;"",AJ$3&gt;=$J84,AJ$3&lt;=$M84),1,"")</f>
        <v/>
      </c>
      <c r="AK84">
        <f>IF(AND($A84&lt;&gt;"",AK$3&gt;=$J84,AK$3&lt;=$M84),1,"")</f>
        <v/>
      </c>
      <c r="AL84">
        <f>IF(AND($A84&lt;&gt;"",AL$3&gt;=$J84,AL$3&lt;=$M84),1,"")</f>
        <v/>
      </c>
      <c r="AM84">
        <f>IF(AND($A84&lt;&gt;"",AM$3&gt;=$J84,AM$3&lt;=$M84),1,"")</f>
        <v/>
      </c>
      <c r="AN84">
        <f>IF(AND($A84&lt;&gt;"",AN$3&gt;=$J84,AN$3&lt;=$M84),1,"")</f>
        <v/>
      </c>
      <c r="AO84">
        <f>IF(AND($A84&lt;&gt;"",AO$3&gt;=$J84,AO$3&lt;=$M84),1,"")</f>
        <v/>
      </c>
      <c r="AP84">
        <f>IF(AND($A84&lt;&gt;"",AP$3&gt;=$J84,AP$3&lt;=$M84),1,"")</f>
        <v/>
      </c>
      <c r="AQ84">
        <f>IF(AND($A84&lt;&gt;"",AQ$3&gt;=$J84,AQ$3&lt;=$M84),1,"")</f>
        <v/>
      </c>
      <c r="AR84">
        <f>IF(AND($A84&lt;&gt;"",AR$3&gt;=$J84,AR$3&lt;=$M84),1,"")</f>
        <v/>
      </c>
      <c r="AS84">
        <f>IF(AND($A84&lt;&gt;"",AS$3&gt;=$J84,AS$3&lt;=$M84),1,"")</f>
        <v/>
      </c>
      <c r="AT84">
        <f>IF(AND($A84&lt;&gt;"",AT$3&gt;=$J84,AT$3&lt;=$M84),1,"")</f>
        <v/>
      </c>
      <c r="AU84">
        <f>IF(AND($A84&lt;&gt;"",AU$3&gt;=$J84,AU$3&lt;=$M84),1,"")</f>
        <v/>
      </c>
      <c r="AV84">
        <f>IF(AND($A84&lt;&gt;"",AV$3&gt;=$J84,AV$3&lt;=$M84),1,"")</f>
        <v/>
      </c>
      <c r="AW84">
        <f>IF(AND($A84&lt;&gt;"",AW$3&gt;=$J84,AW$3&lt;=$M84),1,"")</f>
        <v/>
      </c>
      <c r="AX84">
        <f>IF(AND($A84&lt;&gt;"",AX$3&gt;=$J84,AX$3&lt;=$M84),1,"")</f>
        <v/>
      </c>
      <c r="AY84">
        <f>IF(AND($A84&lt;&gt;"",AY$3&gt;=$J84,AY$3&lt;=$M84),1,"")</f>
        <v/>
      </c>
      <c r="AZ84">
        <f>IF(AND($A84&lt;&gt;"",AZ$3&gt;=$J84,AZ$3&lt;=$M84),1,"")</f>
        <v/>
      </c>
      <c r="BA84">
        <f>IF(AND($A84&lt;&gt;"",BA$3&gt;=$J84,BA$3&lt;=$M84),1,"")</f>
        <v/>
      </c>
      <c r="BB84">
        <f>IF(AND($A84&lt;&gt;"",BB$3&gt;=$J84,BB$3&lt;=$M84),1,"")</f>
        <v/>
      </c>
      <c r="BC84">
        <f>IF(AND($A84&lt;&gt;"",BC$3&gt;=$J84,BC$3&lt;=$M84),1,"")</f>
        <v/>
      </c>
      <c r="BD84">
        <f>IF(AND($A84&lt;&gt;"",BD$3&gt;=$J84,BD$3&lt;=$M84),1,"")</f>
        <v/>
      </c>
      <c r="BE84">
        <f>IF(AND($A84&lt;&gt;"",BE$3&gt;=$J84,BE$3&lt;=$M84),1,"")</f>
        <v/>
      </c>
      <c r="BF84">
        <f>IF(AND($A84&lt;&gt;"",BF$3&gt;=$J84,BF$3&lt;=$M84),1,"")</f>
        <v/>
      </c>
      <c r="BG84">
        <f>IF(AND($A84&lt;&gt;"",BG$3&gt;=$J84,BG$3&lt;=$M84),1,"")</f>
        <v/>
      </c>
      <c r="BH84">
        <f>IF(AND($A84&lt;&gt;"",BH$3&gt;=$J84,BH$3&lt;=$M84),1,"")</f>
        <v/>
      </c>
      <c r="BI84">
        <f>IF(AND($A84&lt;&gt;"",BI$3&gt;=$J84,BI$3&lt;=$M84),1,"")</f>
        <v/>
      </c>
      <c r="BJ84">
        <f>IF(AND($A84&lt;&gt;"",BJ$3&gt;=$J84,BJ$3&lt;=$M84),1,"")</f>
        <v/>
      </c>
      <c r="BK84">
        <f>IF(AND($A84&lt;&gt;"",BK$3&gt;=$J84,BK$3&lt;=$M84),1,"")</f>
        <v/>
      </c>
      <c r="BL84">
        <f>IF(AND($A84&lt;&gt;"",BL$3&gt;=$J84,BL$3&lt;=$M84),1,"")</f>
        <v/>
      </c>
      <c r="BM84">
        <f>IF(AND($A84&lt;&gt;"",BM$3&gt;=$J84,BM$3&lt;=$M84),1,"")</f>
        <v/>
      </c>
      <c r="BN84">
        <f>IF(AND($A84&lt;&gt;"",BN$3&gt;=$J84,BN$3&lt;=$M84),1,"")</f>
        <v/>
      </c>
      <c r="BO84">
        <f>IF(AND($A84&lt;&gt;"",BO$3&gt;=$J84,BO$3&lt;=$M84),1,"")</f>
        <v/>
      </c>
      <c r="BP84">
        <f>IF(AND($A84&lt;&gt;"",BP$3&gt;=$J84,BP$3&lt;=$M84),1,"")</f>
        <v/>
      </c>
      <c r="BQ84">
        <f>IF(AND($A84&lt;&gt;"",BQ$3&gt;=$J84,BQ$3&lt;=$M84),1,"")</f>
        <v/>
      </c>
      <c r="BR84">
        <f>IF(AND($A84&lt;&gt;"",BR$3&gt;=$J84,BR$3&lt;=$M84),1,"")</f>
        <v/>
      </c>
      <c r="BS84">
        <f>IF(AND($A84&lt;&gt;"",BS$3&gt;=$J84,BS$3&lt;=$M84),1,"")</f>
        <v/>
      </c>
      <c r="BT84">
        <f>IF(AND($A84&lt;&gt;"",BT$3&gt;=$J84,BT$3&lt;=$M84),1,"")</f>
        <v/>
      </c>
      <c r="BU84">
        <f>IF(AND($A84&lt;&gt;"",BU$3&gt;=$J84,BU$3&lt;=$M84),1,"")</f>
        <v/>
      </c>
      <c r="BV84">
        <f>IF(AND($A84&lt;&gt;"",BV$3&gt;=$J84,BV$3&lt;=$M84),1,"")</f>
        <v/>
      </c>
    </row>
    <row r="85">
      <c r="A85">
        <f>IF(Job_Master_Ring!$A85="","",Job_Master_Ring!$A85)</f>
        <v/>
      </c>
      <c r="B85">
        <f>IF($A85="","",Job_Master_Ring!B85)</f>
        <v/>
      </c>
      <c r="C85">
        <f>IF($A85="","",Job_Master_Ring!C85)</f>
        <v/>
      </c>
      <c r="D85">
        <f>IF($A85="","",Job_Master_Ring!D85)</f>
        <v/>
      </c>
      <c r="E85">
        <f>IF($A85="","",IF($I85&lt;&gt;"",$I85,IFERROR(INDEX(Machine_List!$B$72:$B$81,MATCH(1,(Machine_List!$H$72:$H$81&lt;=IFERROR(VLOOKUP($B85,CHOOSE(MATCH($C85,Settings!$L$4:$L$10,0),OPR_BR1!$A$4:$K$18,OPR_BR2!$A$4:$K$18,OPR_CR2!$A$4:$K$18,OPR_CR3!$A$4:$K$18,OPR_CR4!$A$4:$K$18,OPR_RIM!$A$4:$K$18,OPR_BPR!$A$4:$K$18),10,0),0))*(Machine_List!$I$72:$I$81&gt;=IFERROR(VLOOKUP($B85,CHOOSE(MATCH($C85,Settings!$L$4:$L$10,0),OPR_BR1!$A$4:$K$18,OPR_BR2!$A$4:$K$18,OPR_CR2!$A$4:$K$18,OPR_CR3!$A$4:$K$18,OPR_CR4!$A$4:$K$18,OPR_RIM!$A$4:$K$18,OPR_BPR!$A$4:$K$18),11,0),9999)),0)),"NO COMPATIBLE MACHINE")))</f>
        <v/>
      </c>
      <c r="F85">
        <f>IF($E85="","",IFERROR(VLOOKUP($E85,Machine_List!$B:$G,6,0),""))</f>
        <v/>
      </c>
      <c r="G85" s="17">
        <f>IF($E85="","",IFERROR(VLOOKUP($E85,Machine_List!$B:$C,2,0),""))</f>
        <v/>
      </c>
      <c r="H85">
        <f>IF($E85="","",IFERROR(VLOOKUP($E85,Machine_List!$B:$D,3,0),""))</f>
        <v/>
      </c>
      <c r="J85" s="16">
        <f>IF($A85="","",IF($I85&lt;&gt;"",$I85,MAX(VENT_Plan!$M85,IFERROR(LOOKUP(2,1/($E$3:INDIRECT("E"&amp;(ROW()-1))=$E85),$M$3:INDIRECT("M"&amp;(ROW()-1))),VENT_Plan!$M85))))</f>
        <v/>
      </c>
      <c r="K85">
        <f>IF($A85="","",IFERROR(VLOOKUP(B85,CHOOSE(MATCH($C85,Settings!$L$4:$L$10,0),OPR_BR1!$A$4:$I$18,OPR_BR2!$A$4:$I$18,OPR_CR2!$A$4:$I$18,OPR_CR3!$A$4:$I$18,OPR_CR4!$A$4:$I$18,OPR_RIM!$A$4:$I$18,OPR_BPR!$A$4:$I$18),8,0),0))</f>
        <v/>
      </c>
      <c r="L85">
        <f>IF($A85="","",K85*D85)</f>
        <v/>
      </c>
      <c r="M85" s="16">
        <f>IF($A85="","",IF(AND(ISNUMBER(G85),G85&gt;=J85,G85&lt;=(J85+(L85/(IF(F85="Contract Workman",Settings!$K$5,Settings!$K$4))))),J85+(L85/(IF(F85="Contract Workman",Settings!$K$5,Settings!$K$4)))+(H85/(IF(F85="Contract Workman",Settings!$K$5,Settings!$K$4))),J85+(L85/(IF(F85="Contract Workman",Settings!$K$5,Settings!$K$4)))))</f>
        <v/>
      </c>
      <c r="N85">
        <f>IF($A85="","",IF(F85="Contract Workman",IF(AND(MOD(M85,1)&gt;=8/24,MOD(M85,1)&lt;20/24),"Shift S1","Shift S2"),IF(AND(MOD(M85,1)&gt;=7/24,MOD(M85,1)&lt;15/24),"Shift A",IF(AND(MOD(M85,1)&gt;=15/24,MOD(M85,1)&lt;23/24),"Shift B","Shift C"))))</f>
        <v/>
      </c>
      <c r="O85">
        <f>IF(B85="","",IF(IFERROR(ISNUMBER(SEARCH(TEXT(B85,"0"),VLOOKUP(E85,Machine_List!$B:$J,9,0))),FALSE),"✅ "&amp; E85,"❌ Sug: "&amp;IFERROR(INDEX(Machine_List!$B$72:$B$81,MATCH(1,(Machine_List!$H$72:$H$81&lt;=IFERROR(VLOOKUP($B85,OPR_BR1!$A$4:$K$18,10,0),0))*(Machine_List!$I$72:$I$81&gt;=IFERROR(VLOOKUP($B85,OPR_BR1!$A$4:$K$18,11,0),9999)),0)),"?")))</f>
        <v/>
      </c>
      <c r="P85">
        <f>IF(AND($A85&lt;&gt;"",P$3&gt;=$J85,P$3&lt;=$M85),1,"")</f>
        <v/>
      </c>
      <c r="Q85">
        <f>IF(AND($A85&lt;&gt;"",Q$3&gt;=$J85,Q$3&lt;=$M85),1,"")</f>
        <v/>
      </c>
      <c r="R85">
        <f>IF(AND($A85&lt;&gt;"",R$3&gt;=$J85,R$3&lt;=$M85),1,"")</f>
        <v/>
      </c>
      <c r="S85">
        <f>IF(AND($A85&lt;&gt;"",S$3&gt;=$J85,S$3&lt;=$M85),1,"")</f>
        <v/>
      </c>
      <c r="T85">
        <f>IF(AND($A85&lt;&gt;"",T$3&gt;=$J85,T$3&lt;=$M85),1,"")</f>
        <v/>
      </c>
      <c r="U85">
        <f>IF(AND($A85&lt;&gt;"",U$3&gt;=$J85,U$3&lt;=$M85),1,"")</f>
        <v/>
      </c>
      <c r="V85">
        <f>IF(AND($A85&lt;&gt;"",V$3&gt;=$J85,V$3&lt;=$M85),1,"")</f>
        <v/>
      </c>
      <c r="W85">
        <f>IF(AND($A85&lt;&gt;"",W$3&gt;=$J85,W$3&lt;=$M85),1,"")</f>
        <v/>
      </c>
      <c r="X85">
        <f>IF(AND($A85&lt;&gt;"",X$3&gt;=$J85,X$3&lt;=$M85),1,"")</f>
        <v/>
      </c>
      <c r="Y85">
        <f>IF(AND($A85&lt;&gt;"",Y$3&gt;=$J85,Y$3&lt;=$M85),1,"")</f>
        <v/>
      </c>
      <c r="Z85">
        <f>IF(AND($A85&lt;&gt;"",Z$3&gt;=$J85,Z$3&lt;=$M85),1,"")</f>
        <v/>
      </c>
      <c r="AA85">
        <f>IF(AND($A85&lt;&gt;"",AA$3&gt;=$J85,AA$3&lt;=$M85),1,"")</f>
        <v/>
      </c>
      <c r="AB85">
        <f>IF(AND($A85&lt;&gt;"",AB$3&gt;=$J85,AB$3&lt;=$M85),1,"")</f>
        <v/>
      </c>
      <c r="AC85">
        <f>IF(AND($A85&lt;&gt;"",AC$3&gt;=$J85,AC$3&lt;=$M85),1,"")</f>
        <v/>
      </c>
      <c r="AD85">
        <f>IF(AND($A85&lt;&gt;"",AD$3&gt;=$J85,AD$3&lt;=$M85),1,"")</f>
        <v/>
      </c>
      <c r="AE85">
        <f>IF(AND($A85&lt;&gt;"",AE$3&gt;=$J85,AE$3&lt;=$M85),1,"")</f>
        <v/>
      </c>
      <c r="AF85">
        <f>IF(AND($A85&lt;&gt;"",AF$3&gt;=$J85,AF$3&lt;=$M85),1,"")</f>
        <v/>
      </c>
      <c r="AG85">
        <f>IF(AND($A85&lt;&gt;"",AG$3&gt;=$J85,AG$3&lt;=$M85),1,"")</f>
        <v/>
      </c>
      <c r="AH85">
        <f>IF(AND($A85&lt;&gt;"",AH$3&gt;=$J85,AH$3&lt;=$M85),1,"")</f>
        <v/>
      </c>
      <c r="AI85">
        <f>IF(AND($A85&lt;&gt;"",AI$3&gt;=$J85,AI$3&lt;=$M85),1,"")</f>
        <v/>
      </c>
      <c r="AJ85">
        <f>IF(AND($A85&lt;&gt;"",AJ$3&gt;=$J85,AJ$3&lt;=$M85),1,"")</f>
        <v/>
      </c>
      <c r="AK85">
        <f>IF(AND($A85&lt;&gt;"",AK$3&gt;=$J85,AK$3&lt;=$M85),1,"")</f>
        <v/>
      </c>
      <c r="AL85">
        <f>IF(AND($A85&lt;&gt;"",AL$3&gt;=$J85,AL$3&lt;=$M85),1,"")</f>
        <v/>
      </c>
      <c r="AM85">
        <f>IF(AND($A85&lt;&gt;"",AM$3&gt;=$J85,AM$3&lt;=$M85),1,"")</f>
        <v/>
      </c>
      <c r="AN85">
        <f>IF(AND($A85&lt;&gt;"",AN$3&gt;=$J85,AN$3&lt;=$M85),1,"")</f>
        <v/>
      </c>
      <c r="AO85">
        <f>IF(AND($A85&lt;&gt;"",AO$3&gt;=$J85,AO$3&lt;=$M85),1,"")</f>
        <v/>
      </c>
      <c r="AP85">
        <f>IF(AND($A85&lt;&gt;"",AP$3&gt;=$J85,AP$3&lt;=$M85),1,"")</f>
        <v/>
      </c>
      <c r="AQ85">
        <f>IF(AND($A85&lt;&gt;"",AQ$3&gt;=$J85,AQ$3&lt;=$M85),1,"")</f>
        <v/>
      </c>
      <c r="AR85">
        <f>IF(AND($A85&lt;&gt;"",AR$3&gt;=$J85,AR$3&lt;=$M85),1,"")</f>
        <v/>
      </c>
      <c r="AS85">
        <f>IF(AND($A85&lt;&gt;"",AS$3&gt;=$J85,AS$3&lt;=$M85),1,"")</f>
        <v/>
      </c>
      <c r="AT85">
        <f>IF(AND($A85&lt;&gt;"",AT$3&gt;=$J85,AT$3&lt;=$M85),1,"")</f>
        <v/>
      </c>
      <c r="AU85">
        <f>IF(AND($A85&lt;&gt;"",AU$3&gt;=$J85,AU$3&lt;=$M85),1,"")</f>
        <v/>
      </c>
      <c r="AV85">
        <f>IF(AND($A85&lt;&gt;"",AV$3&gt;=$J85,AV$3&lt;=$M85),1,"")</f>
        <v/>
      </c>
      <c r="AW85">
        <f>IF(AND($A85&lt;&gt;"",AW$3&gt;=$J85,AW$3&lt;=$M85),1,"")</f>
        <v/>
      </c>
      <c r="AX85">
        <f>IF(AND($A85&lt;&gt;"",AX$3&gt;=$J85,AX$3&lt;=$M85),1,"")</f>
        <v/>
      </c>
      <c r="AY85">
        <f>IF(AND($A85&lt;&gt;"",AY$3&gt;=$J85,AY$3&lt;=$M85),1,"")</f>
        <v/>
      </c>
      <c r="AZ85">
        <f>IF(AND($A85&lt;&gt;"",AZ$3&gt;=$J85,AZ$3&lt;=$M85),1,"")</f>
        <v/>
      </c>
      <c r="BA85">
        <f>IF(AND($A85&lt;&gt;"",BA$3&gt;=$J85,BA$3&lt;=$M85),1,"")</f>
        <v/>
      </c>
      <c r="BB85">
        <f>IF(AND($A85&lt;&gt;"",BB$3&gt;=$J85,BB$3&lt;=$M85),1,"")</f>
        <v/>
      </c>
      <c r="BC85">
        <f>IF(AND($A85&lt;&gt;"",BC$3&gt;=$J85,BC$3&lt;=$M85),1,"")</f>
        <v/>
      </c>
      <c r="BD85">
        <f>IF(AND($A85&lt;&gt;"",BD$3&gt;=$J85,BD$3&lt;=$M85),1,"")</f>
        <v/>
      </c>
      <c r="BE85">
        <f>IF(AND($A85&lt;&gt;"",BE$3&gt;=$J85,BE$3&lt;=$M85),1,"")</f>
        <v/>
      </c>
      <c r="BF85">
        <f>IF(AND($A85&lt;&gt;"",BF$3&gt;=$J85,BF$3&lt;=$M85),1,"")</f>
        <v/>
      </c>
      <c r="BG85">
        <f>IF(AND($A85&lt;&gt;"",BG$3&gt;=$J85,BG$3&lt;=$M85),1,"")</f>
        <v/>
      </c>
      <c r="BH85">
        <f>IF(AND($A85&lt;&gt;"",BH$3&gt;=$J85,BH$3&lt;=$M85),1,"")</f>
        <v/>
      </c>
      <c r="BI85">
        <f>IF(AND($A85&lt;&gt;"",BI$3&gt;=$J85,BI$3&lt;=$M85),1,"")</f>
        <v/>
      </c>
      <c r="BJ85">
        <f>IF(AND($A85&lt;&gt;"",BJ$3&gt;=$J85,BJ$3&lt;=$M85),1,"")</f>
        <v/>
      </c>
      <c r="BK85">
        <f>IF(AND($A85&lt;&gt;"",BK$3&gt;=$J85,BK$3&lt;=$M85),1,"")</f>
        <v/>
      </c>
      <c r="BL85">
        <f>IF(AND($A85&lt;&gt;"",BL$3&gt;=$J85,BL$3&lt;=$M85),1,"")</f>
        <v/>
      </c>
      <c r="BM85">
        <f>IF(AND($A85&lt;&gt;"",BM$3&gt;=$J85,BM$3&lt;=$M85),1,"")</f>
        <v/>
      </c>
      <c r="BN85">
        <f>IF(AND($A85&lt;&gt;"",BN$3&gt;=$J85,BN$3&lt;=$M85),1,"")</f>
        <v/>
      </c>
      <c r="BO85">
        <f>IF(AND($A85&lt;&gt;"",BO$3&gt;=$J85,BO$3&lt;=$M85),1,"")</f>
        <v/>
      </c>
      <c r="BP85">
        <f>IF(AND($A85&lt;&gt;"",BP$3&gt;=$J85,BP$3&lt;=$M85),1,"")</f>
        <v/>
      </c>
      <c r="BQ85">
        <f>IF(AND($A85&lt;&gt;"",BQ$3&gt;=$J85,BQ$3&lt;=$M85),1,"")</f>
        <v/>
      </c>
      <c r="BR85">
        <f>IF(AND($A85&lt;&gt;"",BR$3&gt;=$J85,BR$3&lt;=$M85),1,"")</f>
        <v/>
      </c>
      <c r="BS85">
        <f>IF(AND($A85&lt;&gt;"",BS$3&gt;=$J85,BS$3&lt;=$M85),1,"")</f>
        <v/>
      </c>
      <c r="BT85">
        <f>IF(AND($A85&lt;&gt;"",BT$3&gt;=$J85,BT$3&lt;=$M85),1,"")</f>
        <v/>
      </c>
      <c r="BU85">
        <f>IF(AND($A85&lt;&gt;"",BU$3&gt;=$J85,BU$3&lt;=$M85),1,"")</f>
        <v/>
      </c>
      <c r="BV85">
        <f>IF(AND($A85&lt;&gt;"",BV$3&gt;=$J85,BV$3&lt;=$M85),1,"")</f>
        <v/>
      </c>
    </row>
    <row r="86">
      <c r="A86">
        <f>IF(Job_Master_Ring!$A86="","",Job_Master_Ring!$A86)</f>
        <v/>
      </c>
      <c r="B86">
        <f>IF($A86="","",Job_Master_Ring!B86)</f>
        <v/>
      </c>
      <c r="C86">
        <f>IF($A86="","",Job_Master_Ring!C86)</f>
        <v/>
      </c>
      <c r="D86">
        <f>IF($A86="","",Job_Master_Ring!D86)</f>
        <v/>
      </c>
      <c r="E86">
        <f>IF($A86="","",IF($I86&lt;&gt;"",$I86,IFERROR(INDEX(Machine_List!$B$72:$B$81,MATCH(1,(Machine_List!$H$72:$H$81&lt;=IFERROR(VLOOKUP($B86,CHOOSE(MATCH($C86,Settings!$L$4:$L$10,0),OPR_BR1!$A$4:$K$18,OPR_BR2!$A$4:$K$18,OPR_CR2!$A$4:$K$18,OPR_CR3!$A$4:$K$18,OPR_CR4!$A$4:$K$18,OPR_RIM!$A$4:$K$18,OPR_BPR!$A$4:$K$18),10,0),0))*(Machine_List!$I$72:$I$81&gt;=IFERROR(VLOOKUP($B86,CHOOSE(MATCH($C86,Settings!$L$4:$L$10,0),OPR_BR1!$A$4:$K$18,OPR_BR2!$A$4:$K$18,OPR_CR2!$A$4:$K$18,OPR_CR3!$A$4:$K$18,OPR_CR4!$A$4:$K$18,OPR_RIM!$A$4:$K$18,OPR_BPR!$A$4:$K$18),11,0),9999)),0)),"NO COMPATIBLE MACHINE")))</f>
        <v/>
      </c>
      <c r="F86">
        <f>IF($E86="","",IFERROR(VLOOKUP($E86,Machine_List!$B:$G,6,0),""))</f>
        <v/>
      </c>
      <c r="G86" s="17">
        <f>IF($E86="","",IFERROR(VLOOKUP($E86,Machine_List!$B:$C,2,0),""))</f>
        <v/>
      </c>
      <c r="H86">
        <f>IF($E86="","",IFERROR(VLOOKUP($E86,Machine_List!$B:$D,3,0),""))</f>
        <v/>
      </c>
      <c r="J86" s="16">
        <f>IF($A86="","",IF($I86&lt;&gt;"",$I86,MAX(VENT_Plan!$M86,IFERROR(LOOKUP(2,1/($E$3:INDIRECT("E"&amp;(ROW()-1))=$E86),$M$3:INDIRECT("M"&amp;(ROW()-1))),VENT_Plan!$M86))))</f>
        <v/>
      </c>
      <c r="K86">
        <f>IF($A86="","",IFERROR(VLOOKUP(B86,CHOOSE(MATCH($C86,Settings!$L$4:$L$10,0),OPR_BR1!$A$4:$I$18,OPR_BR2!$A$4:$I$18,OPR_CR2!$A$4:$I$18,OPR_CR3!$A$4:$I$18,OPR_CR4!$A$4:$I$18,OPR_RIM!$A$4:$I$18,OPR_BPR!$A$4:$I$18),8,0),0))</f>
        <v/>
      </c>
      <c r="L86">
        <f>IF($A86="","",K86*D86)</f>
        <v/>
      </c>
      <c r="M86" s="16">
        <f>IF($A86="","",IF(AND(ISNUMBER(G86),G86&gt;=J86,G86&lt;=(J86+(L86/(IF(F86="Contract Workman",Settings!$K$5,Settings!$K$4))))),J86+(L86/(IF(F86="Contract Workman",Settings!$K$5,Settings!$K$4)))+(H86/(IF(F86="Contract Workman",Settings!$K$5,Settings!$K$4))),J86+(L86/(IF(F86="Contract Workman",Settings!$K$5,Settings!$K$4)))))</f>
        <v/>
      </c>
      <c r="N86">
        <f>IF($A86="","",IF(F86="Contract Workman",IF(AND(MOD(M86,1)&gt;=8/24,MOD(M86,1)&lt;20/24),"Shift S1","Shift S2"),IF(AND(MOD(M86,1)&gt;=7/24,MOD(M86,1)&lt;15/24),"Shift A",IF(AND(MOD(M86,1)&gt;=15/24,MOD(M86,1)&lt;23/24),"Shift B","Shift C"))))</f>
        <v/>
      </c>
      <c r="O86">
        <f>IF(B86="","",IF(IFERROR(ISNUMBER(SEARCH(TEXT(B86,"0"),VLOOKUP(E86,Machine_List!$B:$J,9,0))),FALSE),"✅ "&amp; E86,"❌ Sug: "&amp;IFERROR(INDEX(Machine_List!$B$72:$B$81,MATCH(1,(Machine_List!$H$72:$H$81&lt;=IFERROR(VLOOKUP($B86,OPR_BR1!$A$4:$K$18,10,0),0))*(Machine_List!$I$72:$I$81&gt;=IFERROR(VLOOKUP($B86,OPR_BR1!$A$4:$K$18,11,0),9999)),0)),"?")))</f>
        <v/>
      </c>
      <c r="P86">
        <f>IF(AND($A86&lt;&gt;"",P$3&gt;=$J86,P$3&lt;=$M86),1,"")</f>
        <v/>
      </c>
      <c r="Q86">
        <f>IF(AND($A86&lt;&gt;"",Q$3&gt;=$J86,Q$3&lt;=$M86),1,"")</f>
        <v/>
      </c>
      <c r="R86">
        <f>IF(AND($A86&lt;&gt;"",R$3&gt;=$J86,R$3&lt;=$M86),1,"")</f>
        <v/>
      </c>
      <c r="S86">
        <f>IF(AND($A86&lt;&gt;"",S$3&gt;=$J86,S$3&lt;=$M86),1,"")</f>
        <v/>
      </c>
      <c r="T86">
        <f>IF(AND($A86&lt;&gt;"",T$3&gt;=$J86,T$3&lt;=$M86),1,"")</f>
        <v/>
      </c>
      <c r="U86">
        <f>IF(AND($A86&lt;&gt;"",U$3&gt;=$J86,U$3&lt;=$M86),1,"")</f>
        <v/>
      </c>
      <c r="V86">
        <f>IF(AND($A86&lt;&gt;"",V$3&gt;=$J86,V$3&lt;=$M86),1,"")</f>
        <v/>
      </c>
      <c r="W86">
        <f>IF(AND($A86&lt;&gt;"",W$3&gt;=$J86,W$3&lt;=$M86),1,"")</f>
        <v/>
      </c>
      <c r="X86">
        <f>IF(AND($A86&lt;&gt;"",X$3&gt;=$J86,X$3&lt;=$M86),1,"")</f>
        <v/>
      </c>
      <c r="Y86">
        <f>IF(AND($A86&lt;&gt;"",Y$3&gt;=$J86,Y$3&lt;=$M86),1,"")</f>
        <v/>
      </c>
      <c r="Z86">
        <f>IF(AND($A86&lt;&gt;"",Z$3&gt;=$J86,Z$3&lt;=$M86),1,"")</f>
        <v/>
      </c>
      <c r="AA86">
        <f>IF(AND($A86&lt;&gt;"",AA$3&gt;=$J86,AA$3&lt;=$M86),1,"")</f>
        <v/>
      </c>
      <c r="AB86">
        <f>IF(AND($A86&lt;&gt;"",AB$3&gt;=$J86,AB$3&lt;=$M86),1,"")</f>
        <v/>
      </c>
      <c r="AC86">
        <f>IF(AND($A86&lt;&gt;"",AC$3&gt;=$J86,AC$3&lt;=$M86),1,"")</f>
        <v/>
      </c>
      <c r="AD86">
        <f>IF(AND($A86&lt;&gt;"",AD$3&gt;=$J86,AD$3&lt;=$M86),1,"")</f>
        <v/>
      </c>
      <c r="AE86">
        <f>IF(AND($A86&lt;&gt;"",AE$3&gt;=$J86,AE$3&lt;=$M86),1,"")</f>
        <v/>
      </c>
      <c r="AF86">
        <f>IF(AND($A86&lt;&gt;"",AF$3&gt;=$J86,AF$3&lt;=$M86),1,"")</f>
        <v/>
      </c>
      <c r="AG86">
        <f>IF(AND($A86&lt;&gt;"",AG$3&gt;=$J86,AG$3&lt;=$M86),1,"")</f>
        <v/>
      </c>
      <c r="AH86">
        <f>IF(AND($A86&lt;&gt;"",AH$3&gt;=$J86,AH$3&lt;=$M86),1,"")</f>
        <v/>
      </c>
      <c r="AI86">
        <f>IF(AND($A86&lt;&gt;"",AI$3&gt;=$J86,AI$3&lt;=$M86),1,"")</f>
        <v/>
      </c>
      <c r="AJ86">
        <f>IF(AND($A86&lt;&gt;"",AJ$3&gt;=$J86,AJ$3&lt;=$M86),1,"")</f>
        <v/>
      </c>
      <c r="AK86">
        <f>IF(AND($A86&lt;&gt;"",AK$3&gt;=$J86,AK$3&lt;=$M86),1,"")</f>
        <v/>
      </c>
      <c r="AL86">
        <f>IF(AND($A86&lt;&gt;"",AL$3&gt;=$J86,AL$3&lt;=$M86),1,"")</f>
        <v/>
      </c>
      <c r="AM86">
        <f>IF(AND($A86&lt;&gt;"",AM$3&gt;=$J86,AM$3&lt;=$M86),1,"")</f>
        <v/>
      </c>
      <c r="AN86">
        <f>IF(AND($A86&lt;&gt;"",AN$3&gt;=$J86,AN$3&lt;=$M86),1,"")</f>
        <v/>
      </c>
      <c r="AO86">
        <f>IF(AND($A86&lt;&gt;"",AO$3&gt;=$J86,AO$3&lt;=$M86),1,"")</f>
        <v/>
      </c>
      <c r="AP86">
        <f>IF(AND($A86&lt;&gt;"",AP$3&gt;=$J86,AP$3&lt;=$M86),1,"")</f>
        <v/>
      </c>
      <c r="AQ86">
        <f>IF(AND($A86&lt;&gt;"",AQ$3&gt;=$J86,AQ$3&lt;=$M86),1,"")</f>
        <v/>
      </c>
      <c r="AR86">
        <f>IF(AND($A86&lt;&gt;"",AR$3&gt;=$J86,AR$3&lt;=$M86),1,"")</f>
        <v/>
      </c>
      <c r="AS86">
        <f>IF(AND($A86&lt;&gt;"",AS$3&gt;=$J86,AS$3&lt;=$M86),1,"")</f>
        <v/>
      </c>
      <c r="AT86">
        <f>IF(AND($A86&lt;&gt;"",AT$3&gt;=$J86,AT$3&lt;=$M86),1,"")</f>
        <v/>
      </c>
      <c r="AU86">
        <f>IF(AND($A86&lt;&gt;"",AU$3&gt;=$J86,AU$3&lt;=$M86),1,"")</f>
        <v/>
      </c>
      <c r="AV86">
        <f>IF(AND($A86&lt;&gt;"",AV$3&gt;=$J86,AV$3&lt;=$M86),1,"")</f>
        <v/>
      </c>
      <c r="AW86">
        <f>IF(AND($A86&lt;&gt;"",AW$3&gt;=$J86,AW$3&lt;=$M86),1,"")</f>
        <v/>
      </c>
      <c r="AX86">
        <f>IF(AND($A86&lt;&gt;"",AX$3&gt;=$J86,AX$3&lt;=$M86),1,"")</f>
        <v/>
      </c>
      <c r="AY86">
        <f>IF(AND($A86&lt;&gt;"",AY$3&gt;=$J86,AY$3&lt;=$M86),1,"")</f>
        <v/>
      </c>
      <c r="AZ86">
        <f>IF(AND($A86&lt;&gt;"",AZ$3&gt;=$J86,AZ$3&lt;=$M86),1,"")</f>
        <v/>
      </c>
      <c r="BA86">
        <f>IF(AND($A86&lt;&gt;"",BA$3&gt;=$J86,BA$3&lt;=$M86),1,"")</f>
        <v/>
      </c>
      <c r="BB86">
        <f>IF(AND($A86&lt;&gt;"",BB$3&gt;=$J86,BB$3&lt;=$M86),1,"")</f>
        <v/>
      </c>
      <c r="BC86">
        <f>IF(AND($A86&lt;&gt;"",BC$3&gt;=$J86,BC$3&lt;=$M86),1,"")</f>
        <v/>
      </c>
      <c r="BD86">
        <f>IF(AND($A86&lt;&gt;"",BD$3&gt;=$J86,BD$3&lt;=$M86),1,"")</f>
        <v/>
      </c>
      <c r="BE86">
        <f>IF(AND($A86&lt;&gt;"",BE$3&gt;=$J86,BE$3&lt;=$M86),1,"")</f>
        <v/>
      </c>
      <c r="BF86">
        <f>IF(AND($A86&lt;&gt;"",BF$3&gt;=$J86,BF$3&lt;=$M86),1,"")</f>
        <v/>
      </c>
      <c r="BG86">
        <f>IF(AND($A86&lt;&gt;"",BG$3&gt;=$J86,BG$3&lt;=$M86),1,"")</f>
        <v/>
      </c>
      <c r="BH86">
        <f>IF(AND($A86&lt;&gt;"",BH$3&gt;=$J86,BH$3&lt;=$M86),1,"")</f>
        <v/>
      </c>
      <c r="BI86">
        <f>IF(AND($A86&lt;&gt;"",BI$3&gt;=$J86,BI$3&lt;=$M86),1,"")</f>
        <v/>
      </c>
      <c r="BJ86">
        <f>IF(AND($A86&lt;&gt;"",BJ$3&gt;=$J86,BJ$3&lt;=$M86),1,"")</f>
        <v/>
      </c>
      <c r="BK86">
        <f>IF(AND($A86&lt;&gt;"",BK$3&gt;=$J86,BK$3&lt;=$M86),1,"")</f>
        <v/>
      </c>
      <c r="BL86">
        <f>IF(AND($A86&lt;&gt;"",BL$3&gt;=$J86,BL$3&lt;=$M86),1,"")</f>
        <v/>
      </c>
      <c r="BM86">
        <f>IF(AND($A86&lt;&gt;"",BM$3&gt;=$J86,BM$3&lt;=$M86),1,"")</f>
        <v/>
      </c>
      <c r="BN86">
        <f>IF(AND($A86&lt;&gt;"",BN$3&gt;=$J86,BN$3&lt;=$M86),1,"")</f>
        <v/>
      </c>
      <c r="BO86">
        <f>IF(AND($A86&lt;&gt;"",BO$3&gt;=$J86,BO$3&lt;=$M86),1,"")</f>
        <v/>
      </c>
      <c r="BP86">
        <f>IF(AND($A86&lt;&gt;"",BP$3&gt;=$J86,BP$3&lt;=$M86),1,"")</f>
        <v/>
      </c>
      <c r="BQ86">
        <f>IF(AND($A86&lt;&gt;"",BQ$3&gt;=$J86,BQ$3&lt;=$M86),1,"")</f>
        <v/>
      </c>
      <c r="BR86">
        <f>IF(AND($A86&lt;&gt;"",BR$3&gt;=$J86,BR$3&lt;=$M86),1,"")</f>
        <v/>
      </c>
      <c r="BS86">
        <f>IF(AND($A86&lt;&gt;"",BS$3&gt;=$J86,BS$3&lt;=$M86),1,"")</f>
        <v/>
      </c>
      <c r="BT86">
        <f>IF(AND($A86&lt;&gt;"",BT$3&gt;=$J86,BT$3&lt;=$M86),1,"")</f>
        <v/>
      </c>
      <c r="BU86">
        <f>IF(AND($A86&lt;&gt;"",BU$3&gt;=$J86,BU$3&lt;=$M86),1,"")</f>
        <v/>
      </c>
      <c r="BV86">
        <f>IF(AND($A86&lt;&gt;"",BV$3&gt;=$J86,BV$3&lt;=$M86),1,"")</f>
        <v/>
      </c>
    </row>
    <row r="87">
      <c r="A87">
        <f>IF(Job_Master_Ring!$A87="","",Job_Master_Ring!$A87)</f>
        <v/>
      </c>
      <c r="B87">
        <f>IF($A87="","",Job_Master_Ring!B87)</f>
        <v/>
      </c>
      <c r="C87">
        <f>IF($A87="","",Job_Master_Ring!C87)</f>
        <v/>
      </c>
      <c r="D87">
        <f>IF($A87="","",Job_Master_Ring!D87)</f>
        <v/>
      </c>
      <c r="E87">
        <f>IF($A87="","",IF($I87&lt;&gt;"",$I87,IFERROR(INDEX(Machine_List!$B$72:$B$81,MATCH(1,(Machine_List!$H$72:$H$81&lt;=IFERROR(VLOOKUP($B87,CHOOSE(MATCH($C87,Settings!$L$4:$L$10,0),OPR_BR1!$A$4:$K$18,OPR_BR2!$A$4:$K$18,OPR_CR2!$A$4:$K$18,OPR_CR3!$A$4:$K$18,OPR_CR4!$A$4:$K$18,OPR_RIM!$A$4:$K$18,OPR_BPR!$A$4:$K$18),10,0),0))*(Machine_List!$I$72:$I$81&gt;=IFERROR(VLOOKUP($B87,CHOOSE(MATCH($C87,Settings!$L$4:$L$10,0),OPR_BR1!$A$4:$K$18,OPR_BR2!$A$4:$K$18,OPR_CR2!$A$4:$K$18,OPR_CR3!$A$4:$K$18,OPR_CR4!$A$4:$K$18,OPR_RIM!$A$4:$K$18,OPR_BPR!$A$4:$K$18),11,0),9999)),0)),"NO COMPATIBLE MACHINE")))</f>
        <v/>
      </c>
      <c r="F87">
        <f>IF($E87="","",IFERROR(VLOOKUP($E87,Machine_List!$B:$G,6,0),""))</f>
        <v/>
      </c>
      <c r="G87" s="17">
        <f>IF($E87="","",IFERROR(VLOOKUP($E87,Machine_List!$B:$C,2,0),""))</f>
        <v/>
      </c>
      <c r="H87">
        <f>IF($E87="","",IFERROR(VLOOKUP($E87,Machine_List!$B:$D,3,0),""))</f>
        <v/>
      </c>
      <c r="J87" s="16">
        <f>IF($A87="","",IF($I87&lt;&gt;"",$I87,MAX(VENT_Plan!$M87,IFERROR(LOOKUP(2,1/($E$3:INDIRECT("E"&amp;(ROW()-1))=$E87),$M$3:INDIRECT("M"&amp;(ROW()-1))),VENT_Plan!$M87))))</f>
        <v/>
      </c>
      <c r="K87">
        <f>IF($A87="","",IFERROR(VLOOKUP(B87,CHOOSE(MATCH($C87,Settings!$L$4:$L$10,0),OPR_BR1!$A$4:$I$18,OPR_BR2!$A$4:$I$18,OPR_CR2!$A$4:$I$18,OPR_CR3!$A$4:$I$18,OPR_CR4!$A$4:$I$18,OPR_RIM!$A$4:$I$18,OPR_BPR!$A$4:$I$18),8,0),0))</f>
        <v/>
      </c>
      <c r="L87">
        <f>IF($A87="","",K87*D87)</f>
        <v/>
      </c>
      <c r="M87" s="16">
        <f>IF($A87="","",IF(AND(ISNUMBER(G87),G87&gt;=J87,G87&lt;=(J87+(L87/(IF(F87="Contract Workman",Settings!$K$5,Settings!$K$4))))),J87+(L87/(IF(F87="Contract Workman",Settings!$K$5,Settings!$K$4)))+(H87/(IF(F87="Contract Workman",Settings!$K$5,Settings!$K$4))),J87+(L87/(IF(F87="Contract Workman",Settings!$K$5,Settings!$K$4)))))</f>
        <v/>
      </c>
      <c r="N87">
        <f>IF($A87="","",IF(F87="Contract Workman",IF(AND(MOD(M87,1)&gt;=8/24,MOD(M87,1)&lt;20/24),"Shift S1","Shift S2"),IF(AND(MOD(M87,1)&gt;=7/24,MOD(M87,1)&lt;15/24),"Shift A",IF(AND(MOD(M87,1)&gt;=15/24,MOD(M87,1)&lt;23/24),"Shift B","Shift C"))))</f>
        <v/>
      </c>
      <c r="O87">
        <f>IF(B87="","",IF(IFERROR(ISNUMBER(SEARCH(TEXT(B87,"0"),VLOOKUP(E87,Machine_List!$B:$J,9,0))),FALSE),"✅ "&amp; E87,"❌ Sug: "&amp;IFERROR(INDEX(Machine_List!$B$72:$B$81,MATCH(1,(Machine_List!$H$72:$H$81&lt;=IFERROR(VLOOKUP($B87,OPR_BR1!$A$4:$K$18,10,0),0))*(Machine_List!$I$72:$I$81&gt;=IFERROR(VLOOKUP($B87,OPR_BR1!$A$4:$K$18,11,0),9999)),0)),"?")))</f>
        <v/>
      </c>
      <c r="P87">
        <f>IF(AND($A87&lt;&gt;"",P$3&gt;=$J87,P$3&lt;=$M87),1,"")</f>
        <v/>
      </c>
      <c r="Q87">
        <f>IF(AND($A87&lt;&gt;"",Q$3&gt;=$J87,Q$3&lt;=$M87),1,"")</f>
        <v/>
      </c>
      <c r="R87">
        <f>IF(AND($A87&lt;&gt;"",R$3&gt;=$J87,R$3&lt;=$M87),1,"")</f>
        <v/>
      </c>
      <c r="S87">
        <f>IF(AND($A87&lt;&gt;"",S$3&gt;=$J87,S$3&lt;=$M87),1,"")</f>
        <v/>
      </c>
      <c r="T87">
        <f>IF(AND($A87&lt;&gt;"",T$3&gt;=$J87,T$3&lt;=$M87),1,"")</f>
        <v/>
      </c>
      <c r="U87">
        <f>IF(AND($A87&lt;&gt;"",U$3&gt;=$J87,U$3&lt;=$M87),1,"")</f>
        <v/>
      </c>
      <c r="V87">
        <f>IF(AND($A87&lt;&gt;"",V$3&gt;=$J87,V$3&lt;=$M87),1,"")</f>
        <v/>
      </c>
      <c r="W87">
        <f>IF(AND($A87&lt;&gt;"",W$3&gt;=$J87,W$3&lt;=$M87),1,"")</f>
        <v/>
      </c>
      <c r="X87">
        <f>IF(AND($A87&lt;&gt;"",X$3&gt;=$J87,X$3&lt;=$M87),1,"")</f>
        <v/>
      </c>
      <c r="Y87">
        <f>IF(AND($A87&lt;&gt;"",Y$3&gt;=$J87,Y$3&lt;=$M87),1,"")</f>
        <v/>
      </c>
      <c r="Z87">
        <f>IF(AND($A87&lt;&gt;"",Z$3&gt;=$J87,Z$3&lt;=$M87),1,"")</f>
        <v/>
      </c>
      <c r="AA87">
        <f>IF(AND($A87&lt;&gt;"",AA$3&gt;=$J87,AA$3&lt;=$M87),1,"")</f>
        <v/>
      </c>
      <c r="AB87">
        <f>IF(AND($A87&lt;&gt;"",AB$3&gt;=$J87,AB$3&lt;=$M87),1,"")</f>
        <v/>
      </c>
      <c r="AC87">
        <f>IF(AND($A87&lt;&gt;"",AC$3&gt;=$J87,AC$3&lt;=$M87),1,"")</f>
        <v/>
      </c>
      <c r="AD87">
        <f>IF(AND($A87&lt;&gt;"",AD$3&gt;=$J87,AD$3&lt;=$M87),1,"")</f>
        <v/>
      </c>
      <c r="AE87">
        <f>IF(AND($A87&lt;&gt;"",AE$3&gt;=$J87,AE$3&lt;=$M87),1,"")</f>
        <v/>
      </c>
      <c r="AF87">
        <f>IF(AND($A87&lt;&gt;"",AF$3&gt;=$J87,AF$3&lt;=$M87),1,"")</f>
        <v/>
      </c>
      <c r="AG87">
        <f>IF(AND($A87&lt;&gt;"",AG$3&gt;=$J87,AG$3&lt;=$M87),1,"")</f>
        <v/>
      </c>
      <c r="AH87">
        <f>IF(AND($A87&lt;&gt;"",AH$3&gt;=$J87,AH$3&lt;=$M87),1,"")</f>
        <v/>
      </c>
      <c r="AI87">
        <f>IF(AND($A87&lt;&gt;"",AI$3&gt;=$J87,AI$3&lt;=$M87),1,"")</f>
        <v/>
      </c>
      <c r="AJ87">
        <f>IF(AND($A87&lt;&gt;"",AJ$3&gt;=$J87,AJ$3&lt;=$M87),1,"")</f>
        <v/>
      </c>
      <c r="AK87">
        <f>IF(AND($A87&lt;&gt;"",AK$3&gt;=$J87,AK$3&lt;=$M87),1,"")</f>
        <v/>
      </c>
      <c r="AL87">
        <f>IF(AND($A87&lt;&gt;"",AL$3&gt;=$J87,AL$3&lt;=$M87),1,"")</f>
        <v/>
      </c>
      <c r="AM87">
        <f>IF(AND($A87&lt;&gt;"",AM$3&gt;=$J87,AM$3&lt;=$M87),1,"")</f>
        <v/>
      </c>
      <c r="AN87">
        <f>IF(AND($A87&lt;&gt;"",AN$3&gt;=$J87,AN$3&lt;=$M87),1,"")</f>
        <v/>
      </c>
      <c r="AO87">
        <f>IF(AND($A87&lt;&gt;"",AO$3&gt;=$J87,AO$3&lt;=$M87),1,"")</f>
        <v/>
      </c>
      <c r="AP87">
        <f>IF(AND($A87&lt;&gt;"",AP$3&gt;=$J87,AP$3&lt;=$M87),1,"")</f>
        <v/>
      </c>
      <c r="AQ87">
        <f>IF(AND($A87&lt;&gt;"",AQ$3&gt;=$J87,AQ$3&lt;=$M87),1,"")</f>
        <v/>
      </c>
      <c r="AR87">
        <f>IF(AND($A87&lt;&gt;"",AR$3&gt;=$J87,AR$3&lt;=$M87),1,"")</f>
        <v/>
      </c>
      <c r="AS87">
        <f>IF(AND($A87&lt;&gt;"",AS$3&gt;=$J87,AS$3&lt;=$M87),1,"")</f>
        <v/>
      </c>
      <c r="AT87">
        <f>IF(AND($A87&lt;&gt;"",AT$3&gt;=$J87,AT$3&lt;=$M87),1,"")</f>
        <v/>
      </c>
      <c r="AU87">
        <f>IF(AND($A87&lt;&gt;"",AU$3&gt;=$J87,AU$3&lt;=$M87),1,"")</f>
        <v/>
      </c>
      <c r="AV87">
        <f>IF(AND($A87&lt;&gt;"",AV$3&gt;=$J87,AV$3&lt;=$M87),1,"")</f>
        <v/>
      </c>
      <c r="AW87">
        <f>IF(AND($A87&lt;&gt;"",AW$3&gt;=$J87,AW$3&lt;=$M87),1,"")</f>
        <v/>
      </c>
      <c r="AX87">
        <f>IF(AND($A87&lt;&gt;"",AX$3&gt;=$J87,AX$3&lt;=$M87),1,"")</f>
        <v/>
      </c>
      <c r="AY87">
        <f>IF(AND($A87&lt;&gt;"",AY$3&gt;=$J87,AY$3&lt;=$M87),1,"")</f>
        <v/>
      </c>
      <c r="AZ87">
        <f>IF(AND($A87&lt;&gt;"",AZ$3&gt;=$J87,AZ$3&lt;=$M87),1,"")</f>
        <v/>
      </c>
      <c r="BA87">
        <f>IF(AND($A87&lt;&gt;"",BA$3&gt;=$J87,BA$3&lt;=$M87),1,"")</f>
        <v/>
      </c>
      <c r="BB87">
        <f>IF(AND($A87&lt;&gt;"",BB$3&gt;=$J87,BB$3&lt;=$M87),1,"")</f>
        <v/>
      </c>
      <c r="BC87">
        <f>IF(AND($A87&lt;&gt;"",BC$3&gt;=$J87,BC$3&lt;=$M87),1,"")</f>
        <v/>
      </c>
      <c r="BD87">
        <f>IF(AND($A87&lt;&gt;"",BD$3&gt;=$J87,BD$3&lt;=$M87),1,"")</f>
        <v/>
      </c>
      <c r="BE87">
        <f>IF(AND($A87&lt;&gt;"",BE$3&gt;=$J87,BE$3&lt;=$M87),1,"")</f>
        <v/>
      </c>
      <c r="BF87">
        <f>IF(AND($A87&lt;&gt;"",BF$3&gt;=$J87,BF$3&lt;=$M87),1,"")</f>
        <v/>
      </c>
      <c r="BG87">
        <f>IF(AND($A87&lt;&gt;"",BG$3&gt;=$J87,BG$3&lt;=$M87),1,"")</f>
        <v/>
      </c>
      <c r="BH87">
        <f>IF(AND($A87&lt;&gt;"",BH$3&gt;=$J87,BH$3&lt;=$M87),1,"")</f>
        <v/>
      </c>
      <c r="BI87">
        <f>IF(AND($A87&lt;&gt;"",BI$3&gt;=$J87,BI$3&lt;=$M87),1,"")</f>
        <v/>
      </c>
      <c r="BJ87">
        <f>IF(AND($A87&lt;&gt;"",BJ$3&gt;=$J87,BJ$3&lt;=$M87),1,"")</f>
        <v/>
      </c>
      <c r="BK87">
        <f>IF(AND($A87&lt;&gt;"",BK$3&gt;=$J87,BK$3&lt;=$M87),1,"")</f>
        <v/>
      </c>
      <c r="BL87">
        <f>IF(AND($A87&lt;&gt;"",BL$3&gt;=$J87,BL$3&lt;=$M87),1,"")</f>
        <v/>
      </c>
      <c r="BM87">
        <f>IF(AND($A87&lt;&gt;"",BM$3&gt;=$J87,BM$3&lt;=$M87),1,"")</f>
        <v/>
      </c>
      <c r="BN87">
        <f>IF(AND($A87&lt;&gt;"",BN$3&gt;=$J87,BN$3&lt;=$M87),1,"")</f>
        <v/>
      </c>
      <c r="BO87">
        <f>IF(AND($A87&lt;&gt;"",BO$3&gt;=$J87,BO$3&lt;=$M87),1,"")</f>
        <v/>
      </c>
      <c r="BP87">
        <f>IF(AND($A87&lt;&gt;"",BP$3&gt;=$J87,BP$3&lt;=$M87),1,"")</f>
        <v/>
      </c>
      <c r="BQ87">
        <f>IF(AND($A87&lt;&gt;"",BQ$3&gt;=$J87,BQ$3&lt;=$M87),1,"")</f>
        <v/>
      </c>
      <c r="BR87">
        <f>IF(AND($A87&lt;&gt;"",BR$3&gt;=$J87,BR$3&lt;=$M87),1,"")</f>
        <v/>
      </c>
      <c r="BS87">
        <f>IF(AND($A87&lt;&gt;"",BS$3&gt;=$J87,BS$3&lt;=$M87),1,"")</f>
        <v/>
      </c>
      <c r="BT87">
        <f>IF(AND($A87&lt;&gt;"",BT$3&gt;=$J87,BT$3&lt;=$M87),1,"")</f>
        <v/>
      </c>
      <c r="BU87">
        <f>IF(AND($A87&lt;&gt;"",BU$3&gt;=$J87,BU$3&lt;=$M87),1,"")</f>
        <v/>
      </c>
      <c r="BV87">
        <f>IF(AND($A87&lt;&gt;"",BV$3&gt;=$J87,BV$3&lt;=$M87),1,"")</f>
        <v/>
      </c>
    </row>
    <row r="88">
      <c r="A88">
        <f>IF(Job_Master_Ring!$A88="","",Job_Master_Ring!$A88)</f>
        <v/>
      </c>
      <c r="B88">
        <f>IF($A88="","",Job_Master_Ring!B88)</f>
        <v/>
      </c>
      <c r="C88">
        <f>IF($A88="","",Job_Master_Ring!C88)</f>
        <v/>
      </c>
      <c r="D88">
        <f>IF($A88="","",Job_Master_Ring!D88)</f>
        <v/>
      </c>
      <c r="E88">
        <f>IF($A88="","",IF($I88&lt;&gt;"",$I88,IFERROR(INDEX(Machine_List!$B$72:$B$81,MATCH(1,(Machine_List!$H$72:$H$81&lt;=IFERROR(VLOOKUP($B88,CHOOSE(MATCH($C88,Settings!$L$4:$L$10,0),OPR_BR1!$A$4:$K$18,OPR_BR2!$A$4:$K$18,OPR_CR2!$A$4:$K$18,OPR_CR3!$A$4:$K$18,OPR_CR4!$A$4:$K$18,OPR_RIM!$A$4:$K$18,OPR_BPR!$A$4:$K$18),10,0),0))*(Machine_List!$I$72:$I$81&gt;=IFERROR(VLOOKUP($B88,CHOOSE(MATCH($C88,Settings!$L$4:$L$10,0),OPR_BR1!$A$4:$K$18,OPR_BR2!$A$4:$K$18,OPR_CR2!$A$4:$K$18,OPR_CR3!$A$4:$K$18,OPR_CR4!$A$4:$K$18,OPR_RIM!$A$4:$K$18,OPR_BPR!$A$4:$K$18),11,0),9999)),0)),"NO COMPATIBLE MACHINE")))</f>
        <v/>
      </c>
      <c r="F88">
        <f>IF($E88="","",IFERROR(VLOOKUP($E88,Machine_List!$B:$G,6,0),""))</f>
        <v/>
      </c>
      <c r="G88" s="17">
        <f>IF($E88="","",IFERROR(VLOOKUP($E88,Machine_List!$B:$C,2,0),""))</f>
        <v/>
      </c>
      <c r="H88">
        <f>IF($E88="","",IFERROR(VLOOKUP($E88,Machine_List!$B:$D,3,0),""))</f>
        <v/>
      </c>
      <c r="J88" s="16">
        <f>IF($A88="","",IF($I88&lt;&gt;"",$I88,MAX(VENT_Plan!$M88,IFERROR(LOOKUP(2,1/($E$3:INDIRECT("E"&amp;(ROW()-1))=$E88),$M$3:INDIRECT("M"&amp;(ROW()-1))),VENT_Plan!$M88))))</f>
        <v/>
      </c>
      <c r="K88">
        <f>IF($A88="","",IFERROR(VLOOKUP(B88,CHOOSE(MATCH($C88,Settings!$L$4:$L$10,0),OPR_BR1!$A$4:$I$18,OPR_BR2!$A$4:$I$18,OPR_CR2!$A$4:$I$18,OPR_CR3!$A$4:$I$18,OPR_CR4!$A$4:$I$18,OPR_RIM!$A$4:$I$18,OPR_BPR!$A$4:$I$18),8,0),0))</f>
        <v/>
      </c>
      <c r="L88">
        <f>IF($A88="","",K88*D88)</f>
        <v/>
      </c>
      <c r="M88" s="16">
        <f>IF($A88="","",IF(AND(ISNUMBER(G88),G88&gt;=J88,G88&lt;=(J88+(L88/(IF(F88="Contract Workman",Settings!$K$5,Settings!$K$4))))),J88+(L88/(IF(F88="Contract Workman",Settings!$K$5,Settings!$K$4)))+(H88/(IF(F88="Contract Workman",Settings!$K$5,Settings!$K$4))),J88+(L88/(IF(F88="Contract Workman",Settings!$K$5,Settings!$K$4)))))</f>
        <v/>
      </c>
      <c r="N88">
        <f>IF($A88="","",IF(F88="Contract Workman",IF(AND(MOD(M88,1)&gt;=8/24,MOD(M88,1)&lt;20/24),"Shift S1","Shift S2"),IF(AND(MOD(M88,1)&gt;=7/24,MOD(M88,1)&lt;15/24),"Shift A",IF(AND(MOD(M88,1)&gt;=15/24,MOD(M88,1)&lt;23/24),"Shift B","Shift C"))))</f>
        <v/>
      </c>
      <c r="O88">
        <f>IF(B88="","",IF(IFERROR(ISNUMBER(SEARCH(TEXT(B88,"0"),VLOOKUP(E88,Machine_List!$B:$J,9,0))),FALSE),"✅ "&amp; E88,"❌ Sug: "&amp;IFERROR(INDEX(Machine_List!$B$72:$B$81,MATCH(1,(Machine_List!$H$72:$H$81&lt;=IFERROR(VLOOKUP($B88,OPR_BR1!$A$4:$K$18,10,0),0))*(Machine_List!$I$72:$I$81&gt;=IFERROR(VLOOKUP($B88,OPR_BR1!$A$4:$K$18,11,0),9999)),0)),"?")))</f>
        <v/>
      </c>
      <c r="P88">
        <f>IF(AND($A88&lt;&gt;"",P$3&gt;=$J88,P$3&lt;=$M88),1,"")</f>
        <v/>
      </c>
      <c r="Q88">
        <f>IF(AND($A88&lt;&gt;"",Q$3&gt;=$J88,Q$3&lt;=$M88),1,"")</f>
        <v/>
      </c>
      <c r="R88">
        <f>IF(AND($A88&lt;&gt;"",R$3&gt;=$J88,R$3&lt;=$M88),1,"")</f>
        <v/>
      </c>
      <c r="S88">
        <f>IF(AND($A88&lt;&gt;"",S$3&gt;=$J88,S$3&lt;=$M88),1,"")</f>
        <v/>
      </c>
      <c r="T88">
        <f>IF(AND($A88&lt;&gt;"",T$3&gt;=$J88,T$3&lt;=$M88),1,"")</f>
        <v/>
      </c>
      <c r="U88">
        <f>IF(AND($A88&lt;&gt;"",U$3&gt;=$J88,U$3&lt;=$M88),1,"")</f>
        <v/>
      </c>
      <c r="V88">
        <f>IF(AND($A88&lt;&gt;"",V$3&gt;=$J88,V$3&lt;=$M88),1,"")</f>
        <v/>
      </c>
      <c r="W88">
        <f>IF(AND($A88&lt;&gt;"",W$3&gt;=$J88,W$3&lt;=$M88),1,"")</f>
        <v/>
      </c>
      <c r="X88">
        <f>IF(AND($A88&lt;&gt;"",X$3&gt;=$J88,X$3&lt;=$M88),1,"")</f>
        <v/>
      </c>
      <c r="Y88">
        <f>IF(AND($A88&lt;&gt;"",Y$3&gt;=$J88,Y$3&lt;=$M88),1,"")</f>
        <v/>
      </c>
      <c r="Z88">
        <f>IF(AND($A88&lt;&gt;"",Z$3&gt;=$J88,Z$3&lt;=$M88),1,"")</f>
        <v/>
      </c>
      <c r="AA88">
        <f>IF(AND($A88&lt;&gt;"",AA$3&gt;=$J88,AA$3&lt;=$M88),1,"")</f>
        <v/>
      </c>
      <c r="AB88">
        <f>IF(AND($A88&lt;&gt;"",AB$3&gt;=$J88,AB$3&lt;=$M88),1,"")</f>
        <v/>
      </c>
      <c r="AC88">
        <f>IF(AND($A88&lt;&gt;"",AC$3&gt;=$J88,AC$3&lt;=$M88),1,"")</f>
        <v/>
      </c>
      <c r="AD88">
        <f>IF(AND($A88&lt;&gt;"",AD$3&gt;=$J88,AD$3&lt;=$M88),1,"")</f>
        <v/>
      </c>
      <c r="AE88">
        <f>IF(AND($A88&lt;&gt;"",AE$3&gt;=$J88,AE$3&lt;=$M88),1,"")</f>
        <v/>
      </c>
      <c r="AF88">
        <f>IF(AND($A88&lt;&gt;"",AF$3&gt;=$J88,AF$3&lt;=$M88),1,"")</f>
        <v/>
      </c>
      <c r="AG88">
        <f>IF(AND($A88&lt;&gt;"",AG$3&gt;=$J88,AG$3&lt;=$M88),1,"")</f>
        <v/>
      </c>
      <c r="AH88">
        <f>IF(AND($A88&lt;&gt;"",AH$3&gt;=$J88,AH$3&lt;=$M88),1,"")</f>
        <v/>
      </c>
      <c r="AI88">
        <f>IF(AND($A88&lt;&gt;"",AI$3&gt;=$J88,AI$3&lt;=$M88),1,"")</f>
        <v/>
      </c>
      <c r="AJ88">
        <f>IF(AND($A88&lt;&gt;"",AJ$3&gt;=$J88,AJ$3&lt;=$M88),1,"")</f>
        <v/>
      </c>
      <c r="AK88">
        <f>IF(AND($A88&lt;&gt;"",AK$3&gt;=$J88,AK$3&lt;=$M88),1,"")</f>
        <v/>
      </c>
      <c r="AL88">
        <f>IF(AND($A88&lt;&gt;"",AL$3&gt;=$J88,AL$3&lt;=$M88),1,"")</f>
        <v/>
      </c>
      <c r="AM88">
        <f>IF(AND($A88&lt;&gt;"",AM$3&gt;=$J88,AM$3&lt;=$M88),1,"")</f>
        <v/>
      </c>
      <c r="AN88">
        <f>IF(AND($A88&lt;&gt;"",AN$3&gt;=$J88,AN$3&lt;=$M88),1,"")</f>
        <v/>
      </c>
      <c r="AO88">
        <f>IF(AND($A88&lt;&gt;"",AO$3&gt;=$J88,AO$3&lt;=$M88),1,"")</f>
        <v/>
      </c>
      <c r="AP88">
        <f>IF(AND($A88&lt;&gt;"",AP$3&gt;=$J88,AP$3&lt;=$M88),1,"")</f>
        <v/>
      </c>
      <c r="AQ88">
        <f>IF(AND($A88&lt;&gt;"",AQ$3&gt;=$J88,AQ$3&lt;=$M88),1,"")</f>
        <v/>
      </c>
      <c r="AR88">
        <f>IF(AND($A88&lt;&gt;"",AR$3&gt;=$J88,AR$3&lt;=$M88),1,"")</f>
        <v/>
      </c>
      <c r="AS88">
        <f>IF(AND($A88&lt;&gt;"",AS$3&gt;=$J88,AS$3&lt;=$M88),1,"")</f>
        <v/>
      </c>
      <c r="AT88">
        <f>IF(AND($A88&lt;&gt;"",AT$3&gt;=$J88,AT$3&lt;=$M88),1,"")</f>
        <v/>
      </c>
      <c r="AU88">
        <f>IF(AND($A88&lt;&gt;"",AU$3&gt;=$J88,AU$3&lt;=$M88),1,"")</f>
        <v/>
      </c>
      <c r="AV88">
        <f>IF(AND($A88&lt;&gt;"",AV$3&gt;=$J88,AV$3&lt;=$M88),1,"")</f>
        <v/>
      </c>
      <c r="AW88">
        <f>IF(AND($A88&lt;&gt;"",AW$3&gt;=$J88,AW$3&lt;=$M88),1,"")</f>
        <v/>
      </c>
      <c r="AX88">
        <f>IF(AND($A88&lt;&gt;"",AX$3&gt;=$J88,AX$3&lt;=$M88),1,"")</f>
        <v/>
      </c>
      <c r="AY88">
        <f>IF(AND($A88&lt;&gt;"",AY$3&gt;=$J88,AY$3&lt;=$M88),1,"")</f>
        <v/>
      </c>
      <c r="AZ88">
        <f>IF(AND($A88&lt;&gt;"",AZ$3&gt;=$J88,AZ$3&lt;=$M88),1,"")</f>
        <v/>
      </c>
      <c r="BA88">
        <f>IF(AND($A88&lt;&gt;"",BA$3&gt;=$J88,BA$3&lt;=$M88),1,"")</f>
        <v/>
      </c>
      <c r="BB88">
        <f>IF(AND($A88&lt;&gt;"",BB$3&gt;=$J88,BB$3&lt;=$M88),1,"")</f>
        <v/>
      </c>
      <c r="BC88">
        <f>IF(AND($A88&lt;&gt;"",BC$3&gt;=$J88,BC$3&lt;=$M88),1,"")</f>
        <v/>
      </c>
      <c r="BD88">
        <f>IF(AND($A88&lt;&gt;"",BD$3&gt;=$J88,BD$3&lt;=$M88),1,"")</f>
        <v/>
      </c>
      <c r="BE88">
        <f>IF(AND($A88&lt;&gt;"",BE$3&gt;=$J88,BE$3&lt;=$M88),1,"")</f>
        <v/>
      </c>
      <c r="BF88">
        <f>IF(AND($A88&lt;&gt;"",BF$3&gt;=$J88,BF$3&lt;=$M88),1,"")</f>
        <v/>
      </c>
      <c r="BG88">
        <f>IF(AND($A88&lt;&gt;"",BG$3&gt;=$J88,BG$3&lt;=$M88),1,"")</f>
        <v/>
      </c>
      <c r="BH88">
        <f>IF(AND($A88&lt;&gt;"",BH$3&gt;=$J88,BH$3&lt;=$M88),1,"")</f>
        <v/>
      </c>
      <c r="BI88">
        <f>IF(AND($A88&lt;&gt;"",BI$3&gt;=$J88,BI$3&lt;=$M88),1,"")</f>
        <v/>
      </c>
      <c r="BJ88">
        <f>IF(AND($A88&lt;&gt;"",BJ$3&gt;=$J88,BJ$3&lt;=$M88),1,"")</f>
        <v/>
      </c>
      <c r="BK88">
        <f>IF(AND($A88&lt;&gt;"",BK$3&gt;=$J88,BK$3&lt;=$M88),1,"")</f>
        <v/>
      </c>
      <c r="BL88">
        <f>IF(AND($A88&lt;&gt;"",BL$3&gt;=$J88,BL$3&lt;=$M88),1,"")</f>
        <v/>
      </c>
      <c r="BM88">
        <f>IF(AND($A88&lt;&gt;"",BM$3&gt;=$J88,BM$3&lt;=$M88),1,"")</f>
        <v/>
      </c>
      <c r="BN88">
        <f>IF(AND($A88&lt;&gt;"",BN$3&gt;=$J88,BN$3&lt;=$M88),1,"")</f>
        <v/>
      </c>
      <c r="BO88">
        <f>IF(AND($A88&lt;&gt;"",BO$3&gt;=$J88,BO$3&lt;=$M88),1,"")</f>
        <v/>
      </c>
      <c r="BP88">
        <f>IF(AND($A88&lt;&gt;"",BP$3&gt;=$J88,BP$3&lt;=$M88),1,"")</f>
        <v/>
      </c>
      <c r="BQ88">
        <f>IF(AND($A88&lt;&gt;"",BQ$3&gt;=$J88,BQ$3&lt;=$M88),1,"")</f>
        <v/>
      </c>
      <c r="BR88">
        <f>IF(AND($A88&lt;&gt;"",BR$3&gt;=$J88,BR$3&lt;=$M88),1,"")</f>
        <v/>
      </c>
      <c r="BS88">
        <f>IF(AND($A88&lt;&gt;"",BS$3&gt;=$J88,BS$3&lt;=$M88),1,"")</f>
        <v/>
      </c>
      <c r="BT88">
        <f>IF(AND($A88&lt;&gt;"",BT$3&gt;=$J88,BT$3&lt;=$M88),1,"")</f>
        <v/>
      </c>
      <c r="BU88">
        <f>IF(AND($A88&lt;&gt;"",BU$3&gt;=$J88,BU$3&lt;=$M88),1,"")</f>
        <v/>
      </c>
      <c r="BV88">
        <f>IF(AND($A88&lt;&gt;"",BV$3&gt;=$J88,BV$3&lt;=$M88),1,"")</f>
        <v/>
      </c>
    </row>
    <row r="89">
      <c r="A89">
        <f>IF(Job_Master_Ring!$A89="","",Job_Master_Ring!$A89)</f>
        <v/>
      </c>
      <c r="B89">
        <f>IF($A89="","",Job_Master_Ring!B89)</f>
        <v/>
      </c>
      <c r="C89">
        <f>IF($A89="","",Job_Master_Ring!C89)</f>
        <v/>
      </c>
      <c r="D89">
        <f>IF($A89="","",Job_Master_Ring!D89)</f>
        <v/>
      </c>
      <c r="E89">
        <f>IF($A89="","",IF($I89&lt;&gt;"",$I89,IFERROR(INDEX(Machine_List!$B$72:$B$81,MATCH(1,(Machine_List!$H$72:$H$81&lt;=IFERROR(VLOOKUP($B89,CHOOSE(MATCH($C89,Settings!$L$4:$L$10,0),OPR_BR1!$A$4:$K$18,OPR_BR2!$A$4:$K$18,OPR_CR2!$A$4:$K$18,OPR_CR3!$A$4:$K$18,OPR_CR4!$A$4:$K$18,OPR_RIM!$A$4:$K$18,OPR_BPR!$A$4:$K$18),10,0),0))*(Machine_List!$I$72:$I$81&gt;=IFERROR(VLOOKUP($B89,CHOOSE(MATCH($C89,Settings!$L$4:$L$10,0),OPR_BR1!$A$4:$K$18,OPR_BR2!$A$4:$K$18,OPR_CR2!$A$4:$K$18,OPR_CR3!$A$4:$K$18,OPR_CR4!$A$4:$K$18,OPR_RIM!$A$4:$K$18,OPR_BPR!$A$4:$K$18),11,0),9999)),0)),"NO COMPATIBLE MACHINE")))</f>
        <v/>
      </c>
      <c r="F89">
        <f>IF($E89="","",IFERROR(VLOOKUP($E89,Machine_List!$B:$G,6,0),""))</f>
        <v/>
      </c>
      <c r="G89" s="17">
        <f>IF($E89="","",IFERROR(VLOOKUP($E89,Machine_List!$B:$C,2,0),""))</f>
        <v/>
      </c>
      <c r="H89">
        <f>IF($E89="","",IFERROR(VLOOKUP($E89,Machine_List!$B:$D,3,0),""))</f>
        <v/>
      </c>
      <c r="J89" s="16">
        <f>IF($A89="","",IF($I89&lt;&gt;"",$I89,MAX(VENT_Plan!$M89,IFERROR(LOOKUP(2,1/($E$3:INDIRECT("E"&amp;(ROW()-1))=$E89),$M$3:INDIRECT("M"&amp;(ROW()-1))),VENT_Plan!$M89))))</f>
        <v/>
      </c>
      <c r="K89">
        <f>IF($A89="","",IFERROR(VLOOKUP(B89,CHOOSE(MATCH($C89,Settings!$L$4:$L$10,0),OPR_BR1!$A$4:$I$18,OPR_BR2!$A$4:$I$18,OPR_CR2!$A$4:$I$18,OPR_CR3!$A$4:$I$18,OPR_CR4!$A$4:$I$18,OPR_RIM!$A$4:$I$18,OPR_BPR!$A$4:$I$18),8,0),0))</f>
        <v/>
      </c>
      <c r="L89">
        <f>IF($A89="","",K89*D89)</f>
        <v/>
      </c>
      <c r="M89" s="16">
        <f>IF($A89="","",IF(AND(ISNUMBER(G89),G89&gt;=J89,G89&lt;=(J89+(L89/(IF(F89="Contract Workman",Settings!$K$5,Settings!$K$4))))),J89+(L89/(IF(F89="Contract Workman",Settings!$K$5,Settings!$K$4)))+(H89/(IF(F89="Contract Workman",Settings!$K$5,Settings!$K$4))),J89+(L89/(IF(F89="Contract Workman",Settings!$K$5,Settings!$K$4)))))</f>
        <v/>
      </c>
      <c r="N89">
        <f>IF($A89="","",IF(F89="Contract Workman",IF(AND(MOD(M89,1)&gt;=8/24,MOD(M89,1)&lt;20/24),"Shift S1","Shift S2"),IF(AND(MOD(M89,1)&gt;=7/24,MOD(M89,1)&lt;15/24),"Shift A",IF(AND(MOD(M89,1)&gt;=15/24,MOD(M89,1)&lt;23/24),"Shift B","Shift C"))))</f>
        <v/>
      </c>
      <c r="O89">
        <f>IF(B89="","",IF(IFERROR(ISNUMBER(SEARCH(TEXT(B89,"0"),VLOOKUP(E89,Machine_List!$B:$J,9,0))),FALSE),"✅ "&amp; E89,"❌ Sug: "&amp;IFERROR(INDEX(Machine_List!$B$72:$B$81,MATCH(1,(Machine_List!$H$72:$H$81&lt;=IFERROR(VLOOKUP($B89,OPR_BR1!$A$4:$K$18,10,0),0))*(Machine_List!$I$72:$I$81&gt;=IFERROR(VLOOKUP($B89,OPR_BR1!$A$4:$K$18,11,0),9999)),0)),"?")))</f>
        <v/>
      </c>
      <c r="P89">
        <f>IF(AND($A89&lt;&gt;"",P$3&gt;=$J89,P$3&lt;=$M89),1,"")</f>
        <v/>
      </c>
      <c r="Q89">
        <f>IF(AND($A89&lt;&gt;"",Q$3&gt;=$J89,Q$3&lt;=$M89),1,"")</f>
        <v/>
      </c>
      <c r="R89">
        <f>IF(AND($A89&lt;&gt;"",R$3&gt;=$J89,R$3&lt;=$M89),1,"")</f>
        <v/>
      </c>
      <c r="S89">
        <f>IF(AND($A89&lt;&gt;"",S$3&gt;=$J89,S$3&lt;=$M89),1,"")</f>
        <v/>
      </c>
      <c r="T89">
        <f>IF(AND($A89&lt;&gt;"",T$3&gt;=$J89,T$3&lt;=$M89),1,"")</f>
        <v/>
      </c>
      <c r="U89">
        <f>IF(AND($A89&lt;&gt;"",U$3&gt;=$J89,U$3&lt;=$M89),1,"")</f>
        <v/>
      </c>
      <c r="V89">
        <f>IF(AND($A89&lt;&gt;"",V$3&gt;=$J89,V$3&lt;=$M89),1,"")</f>
        <v/>
      </c>
      <c r="W89">
        <f>IF(AND($A89&lt;&gt;"",W$3&gt;=$J89,W$3&lt;=$M89),1,"")</f>
        <v/>
      </c>
      <c r="X89">
        <f>IF(AND($A89&lt;&gt;"",X$3&gt;=$J89,X$3&lt;=$M89),1,"")</f>
        <v/>
      </c>
      <c r="Y89">
        <f>IF(AND($A89&lt;&gt;"",Y$3&gt;=$J89,Y$3&lt;=$M89),1,"")</f>
        <v/>
      </c>
      <c r="Z89">
        <f>IF(AND($A89&lt;&gt;"",Z$3&gt;=$J89,Z$3&lt;=$M89),1,"")</f>
        <v/>
      </c>
      <c r="AA89">
        <f>IF(AND($A89&lt;&gt;"",AA$3&gt;=$J89,AA$3&lt;=$M89),1,"")</f>
        <v/>
      </c>
      <c r="AB89">
        <f>IF(AND($A89&lt;&gt;"",AB$3&gt;=$J89,AB$3&lt;=$M89),1,"")</f>
        <v/>
      </c>
      <c r="AC89">
        <f>IF(AND($A89&lt;&gt;"",AC$3&gt;=$J89,AC$3&lt;=$M89),1,"")</f>
        <v/>
      </c>
      <c r="AD89">
        <f>IF(AND($A89&lt;&gt;"",AD$3&gt;=$J89,AD$3&lt;=$M89),1,"")</f>
        <v/>
      </c>
      <c r="AE89">
        <f>IF(AND($A89&lt;&gt;"",AE$3&gt;=$J89,AE$3&lt;=$M89),1,"")</f>
        <v/>
      </c>
      <c r="AF89">
        <f>IF(AND($A89&lt;&gt;"",AF$3&gt;=$J89,AF$3&lt;=$M89),1,"")</f>
        <v/>
      </c>
      <c r="AG89">
        <f>IF(AND($A89&lt;&gt;"",AG$3&gt;=$J89,AG$3&lt;=$M89),1,"")</f>
        <v/>
      </c>
      <c r="AH89">
        <f>IF(AND($A89&lt;&gt;"",AH$3&gt;=$J89,AH$3&lt;=$M89),1,"")</f>
        <v/>
      </c>
      <c r="AI89">
        <f>IF(AND($A89&lt;&gt;"",AI$3&gt;=$J89,AI$3&lt;=$M89),1,"")</f>
        <v/>
      </c>
      <c r="AJ89">
        <f>IF(AND($A89&lt;&gt;"",AJ$3&gt;=$J89,AJ$3&lt;=$M89),1,"")</f>
        <v/>
      </c>
      <c r="AK89">
        <f>IF(AND($A89&lt;&gt;"",AK$3&gt;=$J89,AK$3&lt;=$M89),1,"")</f>
        <v/>
      </c>
      <c r="AL89">
        <f>IF(AND($A89&lt;&gt;"",AL$3&gt;=$J89,AL$3&lt;=$M89),1,"")</f>
        <v/>
      </c>
      <c r="AM89">
        <f>IF(AND($A89&lt;&gt;"",AM$3&gt;=$J89,AM$3&lt;=$M89),1,"")</f>
        <v/>
      </c>
      <c r="AN89">
        <f>IF(AND($A89&lt;&gt;"",AN$3&gt;=$J89,AN$3&lt;=$M89),1,"")</f>
        <v/>
      </c>
      <c r="AO89">
        <f>IF(AND($A89&lt;&gt;"",AO$3&gt;=$J89,AO$3&lt;=$M89),1,"")</f>
        <v/>
      </c>
      <c r="AP89">
        <f>IF(AND($A89&lt;&gt;"",AP$3&gt;=$J89,AP$3&lt;=$M89),1,"")</f>
        <v/>
      </c>
      <c r="AQ89">
        <f>IF(AND($A89&lt;&gt;"",AQ$3&gt;=$J89,AQ$3&lt;=$M89),1,"")</f>
        <v/>
      </c>
      <c r="AR89">
        <f>IF(AND($A89&lt;&gt;"",AR$3&gt;=$J89,AR$3&lt;=$M89),1,"")</f>
        <v/>
      </c>
      <c r="AS89">
        <f>IF(AND($A89&lt;&gt;"",AS$3&gt;=$J89,AS$3&lt;=$M89),1,"")</f>
        <v/>
      </c>
      <c r="AT89">
        <f>IF(AND($A89&lt;&gt;"",AT$3&gt;=$J89,AT$3&lt;=$M89),1,"")</f>
        <v/>
      </c>
      <c r="AU89">
        <f>IF(AND($A89&lt;&gt;"",AU$3&gt;=$J89,AU$3&lt;=$M89),1,"")</f>
        <v/>
      </c>
      <c r="AV89">
        <f>IF(AND($A89&lt;&gt;"",AV$3&gt;=$J89,AV$3&lt;=$M89),1,"")</f>
        <v/>
      </c>
      <c r="AW89">
        <f>IF(AND($A89&lt;&gt;"",AW$3&gt;=$J89,AW$3&lt;=$M89),1,"")</f>
        <v/>
      </c>
      <c r="AX89">
        <f>IF(AND($A89&lt;&gt;"",AX$3&gt;=$J89,AX$3&lt;=$M89),1,"")</f>
        <v/>
      </c>
      <c r="AY89">
        <f>IF(AND($A89&lt;&gt;"",AY$3&gt;=$J89,AY$3&lt;=$M89),1,"")</f>
        <v/>
      </c>
      <c r="AZ89">
        <f>IF(AND($A89&lt;&gt;"",AZ$3&gt;=$J89,AZ$3&lt;=$M89),1,"")</f>
        <v/>
      </c>
      <c r="BA89">
        <f>IF(AND($A89&lt;&gt;"",BA$3&gt;=$J89,BA$3&lt;=$M89),1,"")</f>
        <v/>
      </c>
      <c r="BB89">
        <f>IF(AND($A89&lt;&gt;"",BB$3&gt;=$J89,BB$3&lt;=$M89),1,"")</f>
        <v/>
      </c>
      <c r="BC89">
        <f>IF(AND($A89&lt;&gt;"",BC$3&gt;=$J89,BC$3&lt;=$M89),1,"")</f>
        <v/>
      </c>
      <c r="BD89">
        <f>IF(AND($A89&lt;&gt;"",BD$3&gt;=$J89,BD$3&lt;=$M89),1,"")</f>
        <v/>
      </c>
      <c r="BE89">
        <f>IF(AND($A89&lt;&gt;"",BE$3&gt;=$J89,BE$3&lt;=$M89),1,"")</f>
        <v/>
      </c>
      <c r="BF89">
        <f>IF(AND($A89&lt;&gt;"",BF$3&gt;=$J89,BF$3&lt;=$M89),1,"")</f>
        <v/>
      </c>
      <c r="BG89">
        <f>IF(AND($A89&lt;&gt;"",BG$3&gt;=$J89,BG$3&lt;=$M89),1,"")</f>
        <v/>
      </c>
      <c r="BH89">
        <f>IF(AND($A89&lt;&gt;"",BH$3&gt;=$J89,BH$3&lt;=$M89),1,"")</f>
        <v/>
      </c>
      <c r="BI89">
        <f>IF(AND($A89&lt;&gt;"",BI$3&gt;=$J89,BI$3&lt;=$M89),1,"")</f>
        <v/>
      </c>
      <c r="BJ89">
        <f>IF(AND($A89&lt;&gt;"",BJ$3&gt;=$J89,BJ$3&lt;=$M89),1,"")</f>
        <v/>
      </c>
      <c r="BK89">
        <f>IF(AND($A89&lt;&gt;"",BK$3&gt;=$J89,BK$3&lt;=$M89),1,"")</f>
        <v/>
      </c>
      <c r="BL89">
        <f>IF(AND($A89&lt;&gt;"",BL$3&gt;=$J89,BL$3&lt;=$M89),1,"")</f>
        <v/>
      </c>
      <c r="BM89">
        <f>IF(AND($A89&lt;&gt;"",BM$3&gt;=$J89,BM$3&lt;=$M89),1,"")</f>
        <v/>
      </c>
      <c r="BN89">
        <f>IF(AND($A89&lt;&gt;"",BN$3&gt;=$J89,BN$3&lt;=$M89),1,"")</f>
        <v/>
      </c>
      <c r="BO89">
        <f>IF(AND($A89&lt;&gt;"",BO$3&gt;=$J89,BO$3&lt;=$M89),1,"")</f>
        <v/>
      </c>
      <c r="BP89">
        <f>IF(AND($A89&lt;&gt;"",BP$3&gt;=$J89,BP$3&lt;=$M89),1,"")</f>
        <v/>
      </c>
      <c r="BQ89">
        <f>IF(AND($A89&lt;&gt;"",BQ$3&gt;=$J89,BQ$3&lt;=$M89),1,"")</f>
        <v/>
      </c>
      <c r="BR89">
        <f>IF(AND($A89&lt;&gt;"",BR$3&gt;=$J89,BR$3&lt;=$M89),1,"")</f>
        <v/>
      </c>
      <c r="BS89">
        <f>IF(AND($A89&lt;&gt;"",BS$3&gt;=$J89,BS$3&lt;=$M89),1,"")</f>
        <v/>
      </c>
      <c r="BT89">
        <f>IF(AND($A89&lt;&gt;"",BT$3&gt;=$J89,BT$3&lt;=$M89),1,"")</f>
        <v/>
      </c>
      <c r="BU89">
        <f>IF(AND($A89&lt;&gt;"",BU$3&gt;=$J89,BU$3&lt;=$M89),1,"")</f>
        <v/>
      </c>
      <c r="BV89">
        <f>IF(AND($A89&lt;&gt;"",BV$3&gt;=$J89,BV$3&lt;=$M89),1,"")</f>
        <v/>
      </c>
    </row>
    <row r="90">
      <c r="A90">
        <f>IF(Job_Master_Ring!$A90="","",Job_Master_Ring!$A90)</f>
        <v/>
      </c>
      <c r="B90">
        <f>IF($A90="","",Job_Master_Ring!B90)</f>
        <v/>
      </c>
      <c r="C90">
        <f>IF($A90="","",Job_Master_Ring!C90)</f>
        <v/>
      </c>
      <c r="D90">
        <f>IF($A90="","",Job_Master_Ring!D90)</f>
        <v/>
      </c>
      <c r="E90">
        <f>IF($A90="","",IF($I90&lt;&gt;"",$I90,IFERROR(INDEX(Machine_List!$B$72:$B$81,MATCH(1,(Machine_List!$H$72:$H$81&lt;=IFERROR(VLOOKUP($B90,CHOOSE(MATCH($C90,Settings!$L$4:$L$10,0),OPR_BR1!$A$4:$K$18,OPR_BR2!$A$4:$K$18,OPR_CR2!$A$4:$K$18,OPR_CR3!$A$4:$K$18,OPR_CR4!$A$4:$K$18,OPR_RIM!$A$4:$K$18,OPR_BPR!$A$4:$K$18),10,0),0))*(Machine_List!$I$72:$I$81&gt;=IFERROR(VLOOKUP($B90,CHOOSE(MATCH($C90,Settings!$L$4:$L$10,0),OPR_BR1!$A$4:$K$18,OPR_BR2!$A$4:$K$18,OPR_CR2!$A$4:$K$18,OPR_CR3!$A$4:$K$18,OPR_CR4!$A$4:$K$18,OPR_RIM!$A$4:$K$18,OPR_BPR!$A$4:$K$18),11,0),9999)),0)),"NO COMPATIBLE MACHINE")))</f>
        <v/>
      </c>
      <c r="F90">
        <f>IF($E90="","",IFERROR(VLOOKUP($E90,Machine_List!$B:$G,6,0),""))</f>
        <v/>
      </c>
      <c r="G90" s="17">
        <f>IF($E90="","",IFERROR(VLOOKUP($E90,Machine_List!$B:$C,2,0),""))</f>
        <v/>
      </c>
      <c r="H90">
        <f>IF($E90="","",IFERROR(VLOOKUP($E90,Machine_List!$B:$D,3,0),""))</f>
        <v/>
      </c>
      <c r="J90" s="16">
        <f>IF($A90="","",IF($I90&lt;&gt;"",$I90,MAX(VENT_Plan!$M90,IFERROR(LOOKUP(2,1/($E$3:INDIRECT("E"&amp;(ROW()-1))=$E90),$M$3:INDIRECT("M"&amp;(ROW()-1))),VENT_Plan!$M90))))</f>
        <v/>
      </c>
      <c r="K90">
        <f>IF($A90="","",IFERROR(VLOOKUP(B90,CHOOSE(MATCH($C90,Settings!$L$4:$L$10,0),OPR_BR1!$A$4:$I$18,OPR_BR2!$A$4:$I$18,OPR_CR2!$A$4:$I$18,OPR_CR3!$A$4:$I$18,OPR_CR4!$A$4:$I$18,OPR_RIM!$A$4:$I$18,OPR_BPR!$A$4:$I$18),8,0),0))</f>
        <v/>
      </c>
      <c r="L90">
        <f>IF($A90="","",K90*D90)</f>
        <v/>
      </c>
      <c r="M90" s="16">
        <f>IF($A90="","",IF(AND(ISNUMBER(G90),G90&gt;=J90,G90&lt;=(J90+(L90/(IF(F90="Contract Workman",Settings!$K$5,Settings!$K$4))))),J90+(L90/(IF(F90="Contract Workman",Settings!$K$5,Settings!$K$4)))+(H90/(IF(F90="Contract Workman",Settings!$K$5,Settings!$K$4))),J90+(L90/(IF(F90="Contract Workman",Settings!$K$5,Settings!$K$4)))))</f>
        <v/>
      </c>
      <c r="N90">
        <f>IF($A90="","",IF(F90="Contract Workman",IF(AND(MOD(M90,1)&gt;=8/24,MOD(M90,1)&lt;20/24),"Shift S1","Shift S2"),IF(AND(MOD(M90,1)&gt;=7/24,MOD(M90,1)&lt;15/24),"Shift A",IF(AND(MOD(M90,1)&gt;=15/24,MOD(M90,1)&lt;23/24),"Shift B","Shift C"))))</f>
        <v/>
      </c>
      <c r="O90">
        <f>IF(B90="","",IF(IFERROR(ISNUMBER(SEARCH(TEXT(B90,"0"),VLOOKUP(E90,Machine_List!$B:$J,9,0))),FALSE),"✅ "&amp; E90,"❌ Sug: "&amp;IFERROR(INDEX(Machine_List!$B$72:$B$81,MATCH(1,(Machine_List!$H$72:$H$81&lt;=IFERROR(VLOOKUP($B90,OPR_BR1!$A$4:$K$18,10,0),0))*(Machine_List!$I$72:$I$81&gt;=IFERROR(VLOOKUP($B90,OPR_BR1!$A$4:$K$18,11,0),9999)),0)),"?")))</f>
        <v/>
      </c>
      <c r="P90">
        <f>IF(AND($A90&lt;&gt;"",P$3&gt;=$J90,P$3&lt;=$M90),1,"")</f>
        <v/>
      </c>
      <c r="Q90">
        <f>IF(AND($A90&lt;&gt;"",Q$3&gt;=$J90,Q$3&lt;=$M90),1,"")</f>
        <v/>
      </c>
      <c r="R90">
        <f>IF(AND($A90&lt;&gt;"",R$3&gt;=$J90,R$3&lt;=$M90),1,"")</f>
        <v/>
      </c>
      <c r="S90">
        <f>IF(AND($A90&lt;&gt;"",S$3&gt;=$J90,S$3&lt;=$M90),1,"")</f>
        <v/>
      </c>
      <c r="T90">
        <f>IF(AND($A90&lt;&gt;"",T$3&gt;=$J90,T$3&lt;=$M90),1,"")</f>
        <v/>
      </c>
      <c r="U90">
        <f>IF(AND($A90&lt;&gt;"",U$3&gt;=$J90,U$3&lt;=$M90),1,"")</f>
        <v/>
      </c>
      <c r="V90">
        <f>IF(AND($A90&lt;&gt;"",V$3&gt;=$J90,V$3&lt;=$M90),1,"")</f>
        <v/>
      </c>
      <c r="W90">
        <f>IF(AND($A90&lt;&gt;"",W$3&gt;=$J90,W$3&lt;=$M90),1,"")</f>
        <v/>
      </c>
      <c r="X90">
        <f>IF(AND($A90&lt;&gt;"",X$3&gt;=$J90,X$3&lt;=$M90),1,"")</f>
        <v/>
      </c>
      <c r="Y90">
        <f>IF(AND($A90&lt;&gt;"",Y$3&gt;=$J90,Y$3&lt;=$M90),1,"")</f>
        <v/>
      </c>
      <c r="Z90">
        <f>IF(AND($A90&lt;&gt;"",Z$3&gt;=$J90,Z$3&lt;=$M90),1,"")</f>
        <v/>
      </c>
      <c r="AA90">
        <f>IF(AND($A90&lt;&gt;"",AA$3&gt;=$J90,AA$3&lt;=$M90),1,"")</f>
        <v/>
      </c>
      <c r="AB90">
        <f>IF(AND($A90&lt;&gt;"",AB$3&gt;=$J90,AB$3&lt;=$M90),1,"")</f>
        <v/>
      </c>
      <c r="AC90">
        <f>IF(AND($A90&lt;&gt;"",AC$3&gt;=$J90,AC$3&lt;=$M90),1,"")</f>
        <v/>
      </c>
      <c r="AD90">
        <f>IF(AND($A90&lt;&gt;"",AD$3&gt;=$J90,AD$3&lt;=$M90),1,"")</f>
        <v/>
      </c>
      <c r="AE90">
        <f>IF(AND($A90&lt;&gt;"",AE$3&gt;=$J90,AE$3&lt;=$M90),1,"")</f>
        <v/>
      </c>
      <c r="AF90">
        <f>IF(AND($A90&lt;&gt;"",AF$3&gt;=$J90,AF$3&lt;=$M90),1,"")</f>
        <v/>
      </c>
      <c r="AG90">
        <f>IF(AND($A90&lt;&gt;"",AG$3&gt;=$J90,AG$3&lt;=$M90),1,"")</f>
        <v/>
      </c>
      <c r="AH90">
        <f>IF(AND($A90&lt;&gt;"",AH$3&gt;=$J90,AH$3&lt;=$M90),1,"")</f>
        <v/>
      </c>
      <c r="AI90">
        <f>IF(AND($A90&lt;&gt;"",AI$3&gt;=$J90,AI$3&lt;=$M90),1,"")</f>
        <v/>
      </c>
      <c r="AJ90">
        <f>IF(AND($A90&lt;&gt;"",AJ$3&gt;=$J90,AJ$3&lt;=$M90),1,"")</f>
        <v/>
      </c>
      <c r="AK90">
        <f>IF(AND($A90&lt;&gt;"",AK$3&gt;=$J90,AK$3&lt;=$M90),1,"")</f>
        <v/>
      </c>
      <c r="AL90">
        <f>IF(AND($A90&lt;&gt;"",AL$3&gt;=$J90,AL$3&lt;=$M90),1,"")</f>
        <v/>
      </c>
      <c r="AM90">
        <f>IF(AND($A90&lt;&gt;"",AM$3&gt;=$J90,AM$3&lt;=$M90),1,"")</f>
        <v/>
      </c>
      <c r="AN90">
        <f>IF(AND($A90&lt;&gt;"",AN$3&gt;=$J90,AN$3&lt;=$M90),1,"")</f>
        <v/>
      </c>
      <c r="AO90">
        <f>IF(AND($A90&lt;&gt;"",AO$3&gt;=$J90,AO$3&lt;=$M90),1,"")</f>
        <v/>
      </c>
      <c r="AP90">
        <f>IF(AND($A90&lt;&gt;"",AP$3&gt;=$J90,AP$3&lt;=$M90),1,"")</f>
        <v/>
      </c>
      <c r="AQ90">
        <f>IF(AND($A90&lt;&gt;"",AQ$3&gt;=$J90,AQ$3&lt;=$M90),1,"")</f>
        <v/>
      </c>
      <c r="AR90">
        <f>IF(AND($A90&lt;&gt;"",AR$3&gt;=$J90,AR$3&lt;=$M90),1,"")</f>
        <v/>
      </c>
      <c r="AS90">
        <f>IF(AND($A90&lt;&gt;"",AS$3&gt;=$J90,AS$3&lt;=$M90),1,"")</f>
        <v/>
      </c>
      <c r="AT90">
        <f>IF(AND($A90&lt;&gt;"",AT$3&gt;=$J90,AT$3&lt;=$M90),1,"")</f>
        <v/>
      </c>
      <c r="AU90">
        <f>IF(AND($A90&lt;&gt;"",AU$3&gt;=$J90,AU$3&lt;=$M90),1,"")</f>
        <v/>
      </c>
      <c r="AV90">
        <f>IF(AND($A90&lt;&gt;"",AV$3&gt;=$J90,AV$3&lt;=$M90),1,"")</f>
        <v/>
      </c>
      <c r="AW90">
        <f>IF(AND($A90&lt;&gt;"",AW$3&gt;=$J90,AW$3&lt;=$M90),1,"")</f>
        <v/>
      </c>
      <c r="AX90">
        <f>IF(AND($A90&lt;&gt;"",AX$3&gt;=$J90,AX$3&lt;=$M90),1,"")</f>
        <v/>
      </c>
      <c r="AY90">
        <f>IF(AND($A90&lt;&gt;"",AY$3&gt;=$J90,AY$3&lt;=$M90),1,"")</f>
        <v/>
      </c>
      <c r="AZ90">
        <f>IF(AND($A90&lt;&gt;"",AZ$3&gt;=$J90,AZ$3&lt;=$M90),1,"")</f>
        <v/>
      </c>
      <c r="BA90">
        <f>IF(AND($A90&lt;&gt;"",BA$3&gt;=$J90,BA$3&lt;=$M90),1,"")</f>
        <v/>
      </c>
      <c r="BB90">
        <f>IF(AND($A90&lt;&gt;"",BB$3&gt;=$J90,BB$3&lt;=$M90),1,"")</f>
        <v/>
      </c>
      <c r="BC90">
        <f>IF(AND($A90&lt;&gt;"",BC$3&gt;=$J90,BC$3&lt;=$M90),1,"")</f>
        <v/>
      </c>
      <c r="BD90">
        <f>IF(AND($A90&lt;&gt;"",BD$3&gt;=$J90,BD$3&lt;=$M90),1,"")</f>
        <v/>
      </c>
      <c r="BE90">
        <f>IF(AND($A90&lt;&gt;"",BE$3&gt;=$J90,BE$3&lt;=$M90),1,"")</f>
        <v/>
      </c>
      <c r="BF90">
        <f>IF(AND($A90&lt;&gt;"",BF$3&gt;=$J90,BF$3&lt;=$M90),1,"")</f>
        <v/>
      </c>
      <c r="BG90">
        <f>IF(AND($A90&lt;&gt;"",BG$3&gt;=$J90,BG$3&lt;=$M90),1,"")</f>
        <v/>
      </c>
      <c r="BH90">
        <f>IF(AND($A90&lt;&gt;"",BH$3&gt;=$J90,BH$3&lt;=$M90),1,"")</f>
        <v/>
      </c>
      <c r="BI90">
        <f>IF(AND($A90&lt;&gt;"",BI$3&gt;=$J90,BI$3&lt;=$M90),1,"")</f>
        <v/>
      </c>
      <c r="BJ90">
        <f>IF(AND($A90&lt;&gt;"",BJ$3&gt;=$J90,BJ$3&lt;=$M90),1,"")</f>
        <v/>
      </c>
      <c r="BK90">
        <f>IF(AND($A90&lt;&gt;"",BK$3&gt;=$J90,BK$3&lt;=$M90),1,"")</f>
        <v/>
      </c>
      <c r="BL90">
        <f>IF(AND($A90&lt;&gt;"",BL$3&gt;=$J90,BL$3&lt;=$M90),1,"")</f>
        <v/>
      </c>
      <c r="BM90">
        <f>IF(AND($A90&lt;&gt;"",BM$3&gt;=$J90,BM$3&lt;=$M90),1,"")</f>
        <v/>
      </c>
      <c r="BN90">
        <f>IF(AND($A90&lt;&gt;"",BN$3&gt;=$J90,BN$3&lt;=$M90),1,"")</f>
        <v/>
      </c>
      <c r="BO90">
        <f>IF(AND($A90&lt;&gt;"",BO$3&gt;=$J90,BO$3&lt;=$M90),1,"")</f>
        <v/>
      </c>
      <c r="BP90">
        <f>IF(AND($A90&lt;&gt;"",BP$3&gt;=$J90,BP$3&lt;=$M90),1,"")</f>
        <v/>
      </c>
      <c r="BQ90">
        <f>IF(AND($A90&lt;&gt;"",BQ$3&gt;=$J90,BQ$3&lt;=$M90),1,"")</f>
        <v/>
      </c>
      <c r="BR90">
        <f>IF(AND($A90&lt;&gt;"",BR$3&gt;=$J90,BR$3&lt;=$M90),1,"")</f>
        <v/>
      </c>
      <c r="BS90">
        <f>IF(AND($A90&lt;&gt;"",BS$3&gt;=$J90,BS$3&lt;=$M90),1,"")</f>
        <v/>
      </c>
      <c r="BT90">
        <f>IF(AND($A90&lt;&gt;"",BT$3&gt;=$J90,BT$3&lt;=$M90),1,"")</f>
        <v/>
      </c>
      <c r="BU90">
        <f>IF(AND($A90&lt;&gt;"",BU$3&gt;=$J90,BU$3&lt;=$M90),1,"")</f>
        <v/>
      </c>
      <c r="BV90">
        <f>IF(AND($A90&lt;&gt;"",BV$3&gt;=$J90,BV$3&lt;=$M90),1,"")</f>
        <v/>
      </c>
    </row>
    <row r="91">
      <c r="A91">
        <f>IF(Job_Master_Ring!$A91="","",Job_Master_Ring!$A91)</f>
        <v/>
      </c>
      <c r="B91">
        <f>IF($A91="","",Job_Master_Ring!B91)</f>
        <v/>
      </c>
      <c r="C91">
        <f>IF($A91="","",Job_Master_Ring!C91)</f>
        <v/>
      </c>
      <c r="D91">
        <f>IF($A91="","",Job_Master_Ring!D91)</f>
        <v/>
      </c>
      <c r="E91">
        <f>IF($A91="","",IF($I91&lt;&gt;"",$I91,IFERROR(INDEX(Machine_List!$B$72:$B$81,MATCH(1,(Machine_List!$H$72:$H$81&lt;=IFERROR(VLOOKUP($B91,CHOOSE(MATCH($C91,Settings!$L$4:$L$10,0),OPR_BR1!$A$4:$K$18,OPR_BR2!$A$4:$K$18,OPR_CR2!$A$4:$K$18,OPR_CR3!$A$4:$K$18,OPR_CR4!$A$4:$K$18,OPR_RIM!$A$4:$K$18,OPR_BPR!$A$4:$K$18),10,0),0))*(Machine_List!$I$72:$I$81&gt;=IFERROR(VLOOKUP($B91,CHOOSE(MATCH($C91,Settings!$L$4:$L$10,0),OPR_BR1!$A$4:$K$18,OPR_BR2!$A$4:$K$18,OPR_CR2!$A$4:$K$18,OPR_CR3!$A$4:$K$18,OPR_CR4!$A$4:$K$18,OPR_RIM!$A$4:$K$18,OPR_BPR!$A$4:$K$18),11,0),9999)),0)),"NO COMPATIBLE MACHINE")))</f>
        <v/>
      </c>
      <c r="F91">
        <f>IF($E91="","",IFERROR(VLOOKUP($E91,Machine_List!$B:$G,6,0),""))</f>
        <v/>
      </c>
      <c r="G91" s="17">
        <f>IF($E91="","",IFERROR(VLOOKUP($E91,Machine_List!$B:$C,2,0),""))</f>
        <v/>
      </c>
      <c r="H91">
        <f>IF($E91="","",IFERROR(VLOOKUP($E91,Machine_List!$B:$D,3,0),""))</f>
        <v/>
      </c>
      <c r="J91" s="16">
        <f>IF($A91="","",IF($I91&lt;&gt;"",$I91,MAX(VENT_Plan!$M91,IFERROR(LOOKUP(2,1/($E$3:INDIRECT("E"&amp;(ROW()-1))=$E91),$M$3:INDIRECT("M"&amp;(ROW()-1))),VENT_Plan!$M91))))</f>
        <v/>
      </c>
      <c r="K91">
        <f>IF($A91="","",IFERROR(VLOOKUP(B91,CHOOSE(MATCH($C91,Settings!$L$4:$L$10,0),OPR_BR1!$A$4:$I$18,OPR_BR2!$A$4:$I$18,OPR_CR2!$A$4:$I$18,OPR_CR3!$A$4:$I$18,OPR_CR4!$A$4:$I$18,OPR_RIM!$A$4:$I$18,OPR_BPR!$A$4:$I$18),8,0),0))</f>
        <v/>
      </c>
      <c r="L91">
        <f>IF($A91="","",K91*D91)</f>
        <v/>
      </c>
      <c r="M91" s="16">
        <f>IF($A91="","",IF(AND(ISNUMBER(G91),G91&gt;=J91,G91&lt;=(J91+(L91/(IF(F91="Contract Workman",Settings!$K$5,Settings!$K$4))))),J91+(L91/(IF(F91="Contract Workman",Settings!$K$5,Settings!$K$4)))+(H91/(IF(F91="Contract Workman",Settings!$K$5,Settings!$K$4))),J91+(L91/(IF(F91="Contract Workman",Settings!$K$5,Settings!$K$4)))))</f>
        <v/>
      </c>
      <c r="N91">
        <f>IF($A91="","",IF(F91="Contract Workman",IF(AND(MOD(M91,1)&gt;=8/24,MOD(M91,1)&lt;20/24),"Shift S1","Shift S2"),IF(AND(MOD(M91,1)&gt;=7/24,MOD(M91,1)&lt;15/24),"Shift A",IF(AND(MOD(M91,1)&gt;=15/24,MOD(M91,1)&lt;23/24),"Shift B","Shift C"))))</f>
        <v/>
      </c>
      <c r="O91">
        <f>IF(B91="","",IF(IFERROR(ISNUMBER(SEARCH(TEXT(B91,"0"),VLOOKUP(E91,Machine_List!$B:$J,9,0))),FALSE),"✅ "&amp; E91,"❌ Sug: "&amp;IFERROR(INDEX(Machine_List!$B$72:$B$81,MATCH(1,(Machine_List!$H$72:$H$81&lt;=IFERROR(VLOOKUP($B91,OPR_BR1!$A$4:$K$18,10,0),0))*(Machine_List!$I$72:$I$81&gt;=IFERROR(VLOOKUP($B91,OPR_BR1!$A$4:$K$18,11,0),9999)),0)),"?")))</f>
        <v/>
      </c>
      <c r="P91">
        <f>IF(AND($A91&lt;&gt;"",P$3&gt;=$J91,P$3&lt;=$M91),1,"")</f>
        <v/>
      </c>
      <c r="Q91">
        <f>IF(AND($A91&lt;&gt;"",Q$3&gt;=$J91,Q$3&lt;=$M91),1,"")</f>
        <v/>
      </c>
      <c r="R91">
        <f>IF(AND($A91&lt;&gt;"",R$3&gt;=$J91,R$3&lt;=$M91),1,"")</f>
        <v/>
      </c>
      <c r="S91">
        <f>IF(AND($A91&lt;&gt;"",S$3&gt;=$J91,S$3&lt;=$M91),1,"")</f>
        <v/>
      </c>
      <c r="T91">
        <f>IF(AND($A91&lt;&gt;"",T$3&gt;=$J91,T$3&lt;=$M91),1,"")</f>
        <v/>
      </c>
      <c r="U91">
        <f>IF(AND($A91&lt;&gt;"",U$3&gt;=$J91,U$3&lt;=$M91),1,"")</f>
        <v/>
      </c>
      <c r="V91">
        <f>IF(AND($A91&lt;&gt;"",V$3&gt;=$J91,V$3&lt;=$M91),1,"")</f>
        <v/>
      </c>
      <c r="W91">
        <f>IF(AND($A91&lt;&gt;"",W$3&gt;=$J91,W$3&lt;=$M91),1,"")</f>
        <v/>
      </c>
      <c r="X91">
        <f>IF(AND($A91&lt;&gt;"",X$3&gt;=$J91,X$3&lt;=$M91),1,"")</f>
        <v/>
      </c>
      <c r="Y91">
        <f>IF(AND($A91&lt;&gt;"",Y$3&gt;=$J91,Y$3&lt;=$M91),1,"")</f>
        <v/>
      </c>
      <c r="Z91">
        <f>IF(AND($A91&lt;&gt;"",Z$3&gt;=$J91,Z$3&lt;=$M91),1,"")</f>
        <v/>
      </c>
      <c r="AA91">
        <f>IF(AND($A91&lt;&gt;"",AA$3&gt;=$J91,AA$3&lt;=$M91),1,"")</f>
        <v/>
      </c>
      <c r="AB91">
        <f>IF(AND($A91&lt;&gt;"",AB$3&gt;=$J91,AB$3&lt;=$M91),1,"")</f>
        <v/>
      </c>
      <c r="AC91">
        <f>IF(AND($A91&lt;&gt;"",AC$3&gt;=$J91,AC$3&lt;=$M91),1,"")</f>
        <v/>
      </c>
      <c r="AD91">
        <f>IF(AND($A91&lt;&gt;"",AD$3&gt;=$J91,AD$3&lt;=$M91),1,"")</f>
        <v/>
      </c>
      <c r="AE91">
        <f>IF(AND($A91&lt;&gt;"",AE$3&gt;=$J91,AE$3&lt;=$M91),1,"")</f>
        <v/>
      </c>
      <c r="AF91">
        <f>IF(AND($A91&lt;&gt;"",AF$3&gt;=$J91,AF$3&lt;=$M91),1,"")</f>
        <v/>
      </c>
      <c r="AG91">
        <f>IF(AND($A91&lt;&gt;"",AG$3&gt;=$J91,AG$3&lt;=$M91),1,"")</f>
        <v/>
      </c>
      <c r="AH91">
        <f>IF(AND($A91&lt;&gt;"",AH$3&gt;=$J91,AH$3&lt;=$M91),1,"")</f>
        <v/>
      </c>
      <c r="AI91">
        <f>IF(AND($A91&lt;&gt;"",AI$3&gt;=$J91,AI$3&lt;=$M91),1,"")</f>
        <v/>
      </c>
      <c r="AJ91">
        <f>IF(AND($A91&lt;&gt;"",AJ$3&gt;=$J91,AJ$3&lt;=$M91),1,"")</f>
        <v/>
      </c>
      <c r="AK91">
        <f>IF(AND($A91&lt;&gt;"",AK$3&gt;=$J91,AK$3&lt;=$M91),1,"")</f>
        <v/>
      </c>
      <c r="AL91">
        <f>IF(AND($A91&lt;&gt;"",AL$3&gt;=$J91,AL$3&lt;=$M91),1,"")</f>
        <v/>
      </c>
      <c r="AM91">
        <f>IF(AND($A91&lt;&gt;"",AM$3&gt;=$J91,AM$3&lt;=$M91),1,"")</f>
        <v/>
      </c>
      <c r="AN91">
        <f>IF(AND($A91&lt;&gt;"",AN$3&gt;=$J91,AN$3&lt;=$M91),1,"")</f>
        <v/>
      </c>
      <c r="AO91">
        <f>IF(AND($A91&lt;&gt;"",AO$3&gt;=$J91,AO$3&lt;=$M91),1,"")</f>
        <v/>
      </c>
      <c r="AP91">
        <f>IF(AND($A91&lt;&gt;"",AP$3&gt;=$J91,AP$3&lt;=$M91),1,"")</f>
        <v/>
      </c>
      <c r="AQ91">
        <f>IF(AND($A91&lt;&gt;"",AQ$3&gt;=$J91,AQ$3&lt;=$M91),1,"")</f>
        <v/>
      </c>
      <c r="AR91">
        <f>IF(AND($A91&lt;&gt;"",AR$3&gt;=$J91,AR$3&lt;=$M91),1,"")</f>
        <v/>
      </c>
      <c r="AS91">
        <f>IF(AND($A91&lt;&gt;"",AS$3&gt;=$J91,AS$3&lt;=$M91),1,"")</f>
        <v/>
      </c>
      <c r="AT91">
        <f>IF(AND($A91&lt;&gt;"",AT$3&gt;=$J91,AT$3&lt;=$M91),1,"")</f>
        <v/>
      </c>
      <c r="AU91">
        <f>IF(AND($A91&lt;&gt;"",AU$3&gt;=$J91,AU$3&lt;=$M91),1,"")</f>
        <v/>
      </c>
      <c r="AV91">
        <f>IF(AND($A91&lt;&gt;"",AV$3&gt;=$J91,AV$3&lt;=$M91),1,"")</f>
        <v/>
      </c>
      <c r="AW91">
        <f>IF(AND($A91&lt;&gt;"",AW$3&gt;=$J91,AW$3&lt;=$M91),1,"")</f>
        <v/>
      </c>
      <c r="AX91">
        <f>IF(AND($A91&lt;&gt;"",AX$3&gt;=$J91,AX$3&lt;=$M91),1,"")</f>
        <v/>
      </c>
      <c r="AY91">
        <f>IF(AND($A91&lt;&gt;"",AY$3&gt;=$J91,AY$3&lt;=$M91),1,"")</f>
        <v/>
      </c>
      <c r="AZ91">
        <f>IF(AND($A91&lt;&gt;"",AZ$3&gt;=$J91,AZ$3&lt;=$M91),1,"")</f>
        <v/>
      </c>
      <c r="BA91">
        <f>IF(AND($A91&lt;&gt;"",BA$3&gt;=$J91,BA$3&lt;=$M91),1,"")</f>
        <v/>
      </c>
      <c r="BB91">
        <f>IF(AND($A91&lt;&gt;"",BB$3&gt;=$J91,BB$3&lt;=$M91),1,"")</f>
        <v/>
      </c>
      <c r="BC91">
        <f>IF(AND($A91&lt;&gt;"",BC$3&gt;=$J91,BC$3&lt;=$M91),1,"")</f>
        <v/>
      </c>
      <c r="BD91">
        <f>IF(AND($A91&lt;&gt;"",BD$3&gt;=$J91,BD$3&lt;=$M91),1,"")</f>
        <v/>
      </c>
      <c r="BE91">
        <f>IF(AND($A91&lt;&gt;"",BE$3&gt;=$J91,BE$3&lt;=$M91),1,"")</f>
        <v/>
      </c>
      <c r="BF91">
        <f>IF(AND($A91&lt;&gt;"",BF$3&gt;=$J91,BF$3&lt;=$M91),1,"")</f>
        <v/>
      </c>
      <c r="BG91">
        <f>IF(AND($A91&lt;&gt;"",BG$3&gt;=$J91,BG$3&lt;=$M91),1,"")</f>
        <v/>
      </c>
      <c r="BH91">
        <f>IF(AND($A91&lt;&gt;"",BH$3&gt;=$J91,BH$3&lt;=$M91),1,"")</f>
        <v/>
      </c>
      <c r="BI91">
        <f>IF(AND($A91&lt;&gt;"",BI$3&gt;=$J91,BI$3&lt;=$M91),1,"")</f>
        <v/>
      </c>
      <c r="BJ91">
        <f>IF(AND($A91&lt;&gt;"",BJ$3&gt;=$J91,BJ$3&lt;=$M91),1,"")</f>
        <v/>
      </c>
      <c r="BK91">
        <f>IF(AND($A91&lt;&gt;"",BK$3&gt;=$J91,BK$3&lt;=$M91),1,"")</f>
        <v/>
      </c>
      <c r="BL91">
        <f>IF(AND($A91&lt;&gt;"",BL$3&gt;=$J91,BL$3&lt;=$M91),1,"")</f>
        <v/>
      </c>
      <c r="BM91">
        <f>IF(AND($A91&lt;&gt;"",BM$3&gt;=$J91,BM$3&lt;=$M91),1,"")</f>
        <v/>
      </c>
      <c r="BN91">
        <f>IF(AND($A91&lt;&gt;"",BN$3&gt;=$J91,BN$3&lt;=$M91),1,"")</f>
        <v/>
      </c>
      <c r="BO91">
        <f>IF(AND($A91&lt;&gt;"",BO$3&gt;=$J91,BO$3&lt;=$M91),1,"")</f>
        <v/>
      </c>
      <c r="BP91">
        <f>IF(AND($A91&lt;&gt;"",BP$3&gt;=$J91,BP$3&lt;=$M91),1,"")</f>
        <v/>
      </c>
      <c r="BQ91">
        <f>IF(AND($A91&lt;&gt;"",BQ$3&gt;=$J91,BQ$3&lt;=$M91),1,"")</f>
        <v/>
      </c>
      <c r="BR91">
        <f>IF(AND($A91&lt;&gt;"",BR$3&gt;=$J91,BR$3&lt;=$M91),1,"")</f>
        <v/>
      </c>
      <c r="BS91">
        <f>IF(AND($A91&lt;&gt;"",BS$3&gt;=$J91,BS$3&lt;=$M91),1,"")</f>
        <v/>
      </c>
      <c r="BT91">
        <f>IF(AND($A91&lt;&gt;"",BT$3&gt;=$J91,BT$3&lt;=$M91),1,"")</f>
        <v/>
      </c>
      <c r="BU91">
        <f>IF(AND($A91&lt;&gt;"",BU$3&gt;=$J91,BU$3&lt;=$M91),1,"")</f>
        <v/>
      </c>
      <c r="BV91">
        <f>IF(AND($A91&lt;&gt;"",BV$3&gt;=$J91,BV$3&lt;=$M91),1,"")</f>
        <v/>
      </c>
    </row>
    <row r="92">
      <c r="A92">
        <f>IF(Job_Master_Ring!$A92="","",Job_Master_Ring!$A92)</f>
        <v/>
      </c>
      <c r="B92">
        <f>IF($A92="","",Job_Master_Ring!B92)</f>
        <v/>
      </c>
      <c r="C92">
        <f>IF($A92="","",Job_Master_Ring!C92)</f>
        <v/>
      </c>
      <c r="D92">
        <f>IF($A92="","",Job_Master_Ring!D92)</f>
        <v/>
      </c>
      <c r="E92">
        <f>IF($A92="","",IF($I92&lt;&gt;"",$I92,IFERROR(INDEX(Machine_List!$B$72:$B$81,MATCH(1,(Machine_List!$H$72:$H$81&lt;=IFERROR(VLOOKUP($B92,CHOOSE(MATCH($C92,Settings!$L$4:$L$10,0),OPR_BR1!$A$4:$K$18,OPR_BR2!$A$4:$K$18,OPR_CR2!$A$4:$K$18,OPR_CR3!$A$4:$K$18,OPR_CR4!$A$4:$K$18,OPR_RIM!$A$4:$K$18,OPR_BPR!$A$4:$K$18),10,0),0))*(Machine_List!$I$72:$I$81&gt;=IFERROR(VLOOKUP($B92,CHOOSE(MATCH($C92,Settings!$L$4:$L$10,0),OPR_BR1!$A$4:$K$18,OPR_BR2!$A$4:$K$18,OPR_CR2!$A$4:$K$18,OPR_CR3!$A$4:$K$18,OPR_CR4!$A$4:$K$18,OPR_RIM!$A$4:$K$18,OPR_BPR!$A$4:$K$18),11,0),9999)),0)),"NO COMPATIBLE MACHINE")))</f>
        <v/>
      </c>
      <c r="F92">
        <f>IF($E92="","",IFERROR(VLOOKUP($E92,Machine_List!$B:$G,6,0),""))</f>
        <v/>
      </c>
      <c r="G92" s="17">
        <f>IF($E92="","",IFERROR(VLOOKUP($E92,Machine_List!$B:$C,2,0),""))</f>
        <v/>
      </c>
      <c r="H92">
        <f>IF($E92="","",IFERROR(VLOOKUP($E92,Machine_List!$B:$D,3,0),""))</f>
        <v/>
      </c>
      <c r="J92" s="16">
        <f>IF($A92="","",IF($I92&lt;&gt;"",$I92,MAX(VENT_Plan!$M92,IFERROR(LOOKUP(2,1/($E$3:INDIRECT("E"&amp;(ROW()-1))=$E92),$M$3:INDIRECT("M"&amp;(ROW()-1))),VENT_Plan!$M92))))</f>
        <v/>
      </c>
      <c r="K92">
        <f>IF($A92="","",IFERROR(VLOOKUP(B92,CHOOSE(MATCH($C92,Settings!$L$4:$L$10,0),OPR_BR1!$A$4:$I$18,OPR_BR2!$A$4:$I$18,OPR_CR2!$A$4:$I$18,OPR_CR3!$A$4:$I$18,OPR_CR4!$A$4:$I$18,OPR_RIM!$A$4:$I$18,OPR_BPR!$A$4:$I$18),8,0),0))</f>
        <v/>
      </c>
      <c r="L92">
        <f>IF($A92="","",K92*D92)</f>
        <v/>
      </c>
      <c r="M92" s="16">
        <f>IF($A92="","",IF(AND(ISNUMBER(G92),G92&gt;=J92,G92&lt;=(J92+(L92/(IF(F92="Contract Workman",Settings!$K$5,Settings!$K$4))))),J92+(L92/(IF(F92="Contract Workman",Settings!$K$5,Settings!$K$4)))+(H92/(IF(F92="Contract Workman",Settings!$K$5,Settings!$K$4))),J92+(L92/(IF(F92="Contract Workman",Settings!$K$5,Settings!$K$4)))))</f>
        <v/>
      </c>
      <c r="N92">
        <f>IF($A92="","",IF(F92="Contract Workman",IF(AND(MOD(M92,1)&gt;=8/24,MOD(M92,1)&lt;20/24),"Shift S1","Shift S2"),IF(AND(MOD(M92,1)&gt;=7/24,MOD(M92,1)&lt;15/24),"Shift A",IF(AND(MOD(M92,1)&gt;=15/24,MOD(M92,1)&lt;23/24),"Shift B","Shift C"))))</f>
        <v/>
      </c>
      <c r="O92">
        <f>IF(B92="","",IF(IFERROR(ISNUMBER(SEARCH(TEXT(B92,"0"),VLOOKUP(E92,Machine_List!$B:$J,9,0))),FALSE),"✅ "&amp; E92,"❌ Sug: "&amp;IFERROR(INDEX(Machine_List!$B$72:$B$81,MATCH(1,(Machine_List!$H$72:$H$81&lt;=IFERROR(VLOOKUP($B92,OPR_BR1!$A$4:$K$18,10,0),0))*(Machine_List!$I$72:$I$81&gt;=IFERROR(VLOOKUP($B92,OPR_BR1!$A$4:$K$18,11,0),9999)),0)),"?")))</f>
        <v/>
      </c>
      <c r="P92">
        <f>IF(AND($A92&lt;&gt;"",P$3&gt;=$J92,P$3&lt;=$M92),1,"")</f>
        <v/>
      </c>
      <c r="Q92">
        <f>IF(AND($A92&lt;&gt;"",Q$3&gt;=$J92,Q$3&lt;=$M92),1,"")</f>
        <v/>
      </c>
      <c r="R92">
        <f>IF(AND($A92&lt;&gt;"",R$3&gt;=$J92,R$3&lt;=$M92),1,"")</f>
        <v/>
      </c>
      <c r="S92">
        <f>IF(AND($A92&lt;&gt;"",S$3&gt;=$J92,S$3&lt;=$M92),1,"")</f>
        <v/>
      </c>
      <c r="T92">
        <f>IF(AND($A92&lt;&gt;"",T$3&gt;=$J92,T$3&lt;=$M92),1,"")</f>
        <v/>
      </c>
      <c r="U92">
        <f>IF(AND($A92&lt;&gt;"",U$3&gt;=$J92,U$3&lt;=$M92),1,"")</f>
        <v/>
      </c>
      <c r="V92">
        <f>IF(AND($A92&lt;&gt;"",V$3&gt;=$J92,V$3&lt;=$M92),1,"")</f>
        <v/>
      </c>
      <c r="W92">
        <f>IF(AND($A92&lt;&gt;"",W$3&gt;=$J92,W$3&lt;=$M92),1,"")</f>
        <v/>
      </c>
      <c r="X92">
        <f>IF(AND($A92&lt;&gt;"",X$3&gt;=$J92,X$3&lt;=$M92),1,"")</f>
        <v/>
      </c>
      <c r="Y92">
        <f>IF(AND($A92&lt;&gt;"",Y$3&gt;=$J92,Y$3&lt;=$M92),1,"")</f>
        <v/>
      </c>
      <c r="Z92">
        <f>IF(AND($A92&lt;&gt;"",Z$3&gt;=$J92,Z$3&lt;=$M92),1,"")</f>
        <v/>
      </c>
      <c r="AA92">
        <f>IF(AND($A92&lt;&gt;"",AA$3&gt;=$J92,AA$3&lt;=$M92),1,"")</f>
        <v/>
      </c>
      <c r="AB92">
        <f>IF(AND($A92&lt;&gt;"",AB$3&gt;=$J92,AB$3&lt;=$M92),1,"")</f>
        <v/>
      </c>
      <c r="AC92">
        <f>IF(AND($A92&lt;&gt;"",AC$3&gt;=$J92,AC$3&lt;=$M92),1,"")</f>
        <v/>
      </c>
      <c r="AD92">
        <f>IF(AND($A92&lt;&gt;"",AD$3&gt;=$J92,AD$3&lt;=$M92),1,"")</f>
        <v/>
      </c>
      <c r="AE92">
        <f>IF(AND($A92&lt;&gt;"",AE$3&gt;=$J92,AE$3&lt;=$M92),1,"")</f>
        <v/>
      </c>
      <c r="AF92">
        <f>IF(AND($A92&lt;&gt;"",AF$3&gt;=$J92,AF$3&lt;=$M92),1,"")</f>
        <v/>
      </c>
      <c r="AG92">
        <f>IF(AND($A92&lt;&gt;"",AG$3&gt;=$J92,AG$3&lt;=$M92),1,"")</f>
        <v/>
      </c>
      <c r="AH92">
        <f>IF(AND($A92&lt;&gt;"",AH$3&gt;=$J92,AH$3&lt;=$M92),1,"")</f>
        <v/>
      </c>
      <c r="AI92">
        <f>IF(AND($A92&lt;&gt;"",AI$3&gt;=$J92,AI$3&lt;=$M92),1,"")</f>
        <v/>
      </c>
      <c r="AJ92">
        <f>IF(AND($A92&lt;&gt;"",AJ$3&gt;=$J92,AJ$3&lt;=$M92),1,"")</f>
        <v/>
      </c>
      <c r="AK92">
        <f>IF(AND($A92&lt;&gt;"",AK$3&gt;=$J92,AK$3&lt;=$M92),1,"")</f>
        <v/>
      </c>
      <c r="AL92">
        <f>IF(AND($A92&lt;&gt;"",AL$3&gt;=$J92,AL$3&lt;=$M92),1,"")</f>
        <v/>
      </c>
      <c r="AM92">
        <f>IF(AND($A92&lt;&gt;"",AM$3&gt;=$J92,AM$3&lt;=$M92),1,"")</f>
        <v/>
      </c>
      <c r="AN92">
        <f>IF(AND($A92&lt;&gt;"",AN$3&gt;=$J92,AN$3&lt;=$M92),1,"")</f>
        <v/>
      </c>
      <c r="AO92">
        <f>IF(AND($A92&lt;&gt;"",AO$3&gt;=$J92,AO$3&lt;=$M92),1,"")</f>
        <v/>
      </c>
      <c r="AP92">
        <f>IF(AND($A92&lt;&gt;"",AP$3&gt;=$J92,AP$3&lt;=$M92),1,"")</f>
        <v/>
      </c>
      <c r="AQ92">
        <f>IF(AND($A92&lt;&gt;"",AQ$3&gt;=$J92,AQ$3&lt;=$M92),1,"")</f>
        <v/>
      </c>
      <c r="AR92">
        <f>IF(AND($A92&lt;&gt;"",AR$3&gt;=$J92,AR$3&lt;=$M92),1,"")</f>
        <v/>
      </c>
      <c r="AS92">
        <f>IF(AND($A92&lt;&gt;"",AS$3&gt;=$J92,AS$3&lt;=$M92),1,"")</f>
        <v/>
      </c>
      <c r="AT92">
        <f>IF(AND($A92&lt;&gt;"",AT$3&gt;=$J92,AT$3&lt;=$M92),1,"")</f>
        <v/>
      </c>
      <c r="AU92">
        <f>IF(AND($A92&lt;&gt;"",AU$3&gt;=$J92,AU$3&lt;=$M92),1,"")</f>
        <v/>
      </c>
      <c r="AV92">
        <f>IF(AND($A92&lt;&gt;"",AV$3&gt;=$J92,AV$3&lt;=$M92),1,"")</f>
        <v/>
      </c>
      <c r="AW92">
        <f>IF(AND($A92&lt;&gt;"",AW$3&gt;=$J92,AW$3&lt;=$M92),1,"")</f>
        <v/>
      </c>
      <c r="AX92">
        <f>IF(AND($A92&lt;&gt;"",AX$3&gt;=$J92,AX$3&lt;=$M92),1,"")</f>
        <v/>
      </c>
      <c r="AY92">
        <f>IF(AND($A92&lt;&gt;"",AY$3&gt;=$J92,AY$3&lt;=$M92),1,"")</f>
        <v/>
      </c>
      <c r="AZ92">
        <f>IF(AND($A92&lt;&gt;"",AZ$3&gt;=$J92,AZ$3&lt;=$M92),1,"")</f>
        <v/>
      </c>
      <c r="BA92">
        <f>IF(AND($A92&lt;&gt;"",BA$3&gt;=$J92,BA$3&lt;=$M92),1,"")</f>
        <v/>
      </c>
      <c r="BB92">
        <f>IF(AND($A92&lt;&gt;"",BB$3&gt;=$J92,BB$3&lt;=$M92),1,"")</f>
        <v/>
      </c>
      <c r="BC92">
        <f>IF(AND($A92&lt;&gt;"",BC$3&gt;=$J92,BC$3&lt;=$M92),1,"")</f>
        <v/>
      </c>
      <c r="BD92">
        <f>IF(AND($A92&lt;&gt;"",BD$3&gt;=$J92,BD$3&lt;=$M92),1,"")</f>
        <v/>
      </c>
      <c r="BE92">
        <f>IF(AND($A92&lt;&gt;"",BE$3&gt;=$J92,BE$3&lt;=$M92),1,"")</f>
        <v/>
      </c>
      <c r="BF92">
        <f>IF(AND($A92&lt;&gt;"",BF$3&gt;=$J92,BF$3&lt;=$M92),1,"")</f>
        <v/>
      </c>
      <c r="BG92">
        <f>IF(AND($A92&lt;&gt;"",BG$3&gt;=$J92,BG$3&lt;=$M92),1,"")</f>
        <v/>
      </c>
      <c r="BH92">
        <f>IF(AND($A92&lt;&gt;"",BH$3&gt;=$J92,BH$3&lt;=$M92),1,"")</f>
        <v/>
      </c>
      <c r="BI92">
        <f>IF(AND($A92&lt;&gt;"",BI$3&gt;=$J92,BI$3&lt;=$M92),1,"")</f>
        <v/>
      </c>
      <c r="BJ92">
        <f>IF(AND($A92&lt;&gt;"",BJ$3&gt;=$J92,BJ$3&lt;=$M92),1,"")</f>
        <v/>
      </c>
      <c r="BK92">
        <f>IF(AND($A92&lt;&gt;"",BK$3&gt;=$J92,BK$3&lt;=$M92),1,"")</f>
        <v/>
      </c>
      <c r="BL92">
        <f>IF(AND($A92&lt;&gt;"",BL$3&gt;=$J92,BL$3&lt;=$M92),1,"")</f>
        <v/>
      </c>
      <c r="BM92">
        <f>IF(AND($A92&lt;&gt;"",BM$3&gt;=$J92,BM$3&lt;=$M92),1,"")</f>
        <v/>
      </c>
      <c r="BN92">
        <f>IF(AND($A92&lt;&gt;"",BN$3&gt;=$J92,BN$3&lt;=$M92),1,"")</f>
        <v/>
      </c>
      <c r="BO92">
        <f>IF(AND($A92&lt;&gt;"",BO$3&gt;=$J92,BO$3&lt;=$M92),1,"")</f>
        <v/>
      </c>
      <c r="BP92">
        <f>IF(AND($A92&lt;&gt;"",BP$3&gt;=$J92,BP$3&lt;=$M92),1,"")</f>
        <v/>
      </c>
      <c r="BQ92">
        <f>IF(AND($A92&lt;&gt;"",BQ$3&gt;=$J92,BQ$3&lt;=$M92),1,"")</f>
        <v/>
      </c>
      <c r="BR92">
        <f>IF(AND($A92&lt;&gt;"",BR$3&gt;=$J92,BR$3&lt;=$M92),1,"")</f>
        <v/>
      </c>
      <c r="BS92">
        <f>IF(AND($A92&lt;&gt;"",BS$3&gt;=$J92,BS$3&lt;=$M92),1,"")</f>
        <v/>
      </c>
      <c r="BT92">
        <f>IF(AND($A92&lt;&gt;"",BT$3&gt;=$J92,BT$3&lt;=$M92),1,"")</f>
        <v/>
      </c>
      <c r="BU92">
        <f>IF(AND($A92&lt;&gt;"",BU$3&gt;=$J92,BU$3&lt;=$M92),1,"")</f>
        <v/>
      </c>
      <c r="BV92">
        <f>IF(AND($A92&lt;&gt;"",BV$3&gt;=$J92,BV$3&lt;=$M92),1,"")</f>
        <v/>
      </c>
    </row>
    <row r="93">
      <c r="A93">
        <f>IF(Job_Master_Ring!$A93="","",Job_Master_Ring!$A93)</f>
        <v/>
      </c>
      <c r="B93">
        <f>IF($A93="","",Job_Master_Ring!B93)</f>
        <v/>
      </c>
      <c r="C93">
        <f>IF($A93="","",Job_Master_Ring!C93)</f>
        <v/>
      </c>
      <c r="D93">
        <f>IF($A93="","",Job_Master_Ring!D93)</f>
        <v/>
      </c>
      <c r="E93">
        <f>IF($A93="","",IF($I93&lt;&gt;"",$I93,IFERROR(INDEX(Machine_List!$B$72:$B$81,MATCH(1,(Machine_List!$H$72:$H$81&lt;=IFERROR(VLOOKUP($B93,CHOOSE(MATCH($C93,Settings!$L$4:$L$10,0),OPR_BR1!$A$4:$K$18,OPR_BR2!$A$4:$K$18,OPR_CR2!$A$4:$K$18,OPR_CR3!$A$4:$K$18,OPR_CR4!$A$4:$K$18,OPR_RIM!$A$4:$K$18,OPR_BPR!$A$4:$K$18),10,0),0))*(Machine_List!$I$72:$I$81&gt;=IFERROR(VLOOKUP($B93,CHOOSE(MATCH($C93,Settings!$L$4:$L$10,0),OPR_BR1!$A$4:$K$18,OPR_BR2!$A$4:$K$18,OPR_CR2!$A$4:$K$18,OPR_CR3!$A$4:$K$18,OPR_CR4!$A$4:$K$18,OPR_RIM!$A$4:$K$18,OPR_BPR!$A$4:$K$18),11,0),9999)),0)),"NO COMPATIBLE MACHINE")))</f>
        <v/>
      </c>
      <c r="F93">
        <f>IF($E93="","",IFERROR(VLOOKUP($E93,Machine_List!$B:$G,6,0),""))</f>
        <v/>
      </c>
      <c r="G93" s="17">
        <f>IF($E93="","",IFERROR(VLOOKUP($E93,Machine_List!$B:$C,2,0),""))</f>
        <v/>
      </c>
      <c r="H93">
        <f>IF($E93="","",IFERROR(VLOOKUP($E93,Machine_List!$B:$D,3,0),""))</f>
        <v/>
      </c>
      <c r="J93" s="16">
        <f>IF($A93="","",IF($I93&lt;&gt;"",$I93,MAX(VENT_Plan!$M93,IFERROR(LOOKUP(2,1/($E$3:INDIRECT("E"&amp;(ROW()-1))=$E93),$M$3:INDIRECT("M"&amp;(ROW()-1))),VENT_Plan!$M93))))</f>
        <v/>
      </c>
      <c r="K93">
        <f>IF($A93="","",IFERROR(VLOOKUP(B93,CHOOSE(MATCH($C93,Settings!$L$4:$L$10,0),OPR_BR1!$A$4:$I$18,OPR_BR2!$A$4:$I$18,OPR_CR2!$A$4:$I$18,OPR_CR3!$A$4:$I$18,OPR_CR4!$A$4:$I$18,OPR_RIM!$A$4:$I$18,OPR_BPR!$A$4:$I$18),8,0),0))</f>
        <v/>
      </c>
      <c r="L93">
        <f>IF($A93="","",K93*D93)</f>
        <v/>
      </c>
      <c r="M93" s="16">
        <f>IF($A93="","",IF(AND(ISNUMBER(G93),G93&gt;=J93,G93&lt;=(J93+(L93/(IF(F93="Contract Workman",Settings!$K$5,Settings!$K$4))))),J93+(L93/(IF(F93="Contract Workman",Settings!$K$5,Settings!$K$4)))+(H93/(IF(F93="Contract Workman",Settings!$K$5,Settings!$K$4))),J93+(L93/(IF(F93="Contract Workman",Settings!$K$5,Settings!$K$4)))))</f>
        <v/>
      </c>
      <c r="N93">
        <f>IF($A93="","",IF(F93="Contract Workman",IF(AND(MOD(M93,1)&gt;=8/24,MOD(M93,1)&lt;20/24),"Shift S1","Shift S2"),IF(AND(MOD(M93,1)&gt;=7/24,MOD(M93,1)&lt;15/24),"Shift A",IF(AND(MOD(M93,1)&gt;=15/24,MOD(M93,1)&lt;23/24),"Shift B","Shift C"))))</f>
        <v/>
      </c>
      <c r="O93">
        <f>IF(B93="","",IF(IFERROR(ISNUMBER(SEARCH(TEXT(B93,"0"),VLOOKUP(E93,Machine_List!$B:$J,9,0))),FALSE),"✅ "&amp; E93,"❌ Sug: "&amp;IFERROR(INDEX(Machine_List!$B$72:$B$81,MATCH(1,(Machine_List!$H$72:$H$81&lt;=IFERROR(VLOOKUP($B93,OPR_BR1!$A$4:$K$18,10,0),0))*(Machine_List!$I$72:$I$81&gt;=IFERROR(VLOOKUP($B93,OPR_BR1!$A$4:$K$18,11,0),9999)),0)),"?")))</f>
        <v/>
      </c>
      <c r="P93">
        <f>IF(AND($A93&lt;&gt;"",P$3&gt;=$J93,P$3&lt;=$M93),1,"")</f>
        <v/>
      </c>
      <c r="Q93">
        <f>IF(AND($A93&lt;&gt;"",Q$3&gt;=$J93,Q$3&lt;=$M93),1,"")</f>
        <v/>
      </c>
      <c r="R93">
        <f>IF(AND($A93&lt;&gt;"",R$3&gt;=$J93,R$3&lt;=$M93),1,"")</f>
        <v/>
      </c>
      <c r="S93">
        <f>IF(AND($A93&lt;&gt;"",S$3&gt;=$J93,S$3&lt;=$M93),1,"")</f>
        <v/>
      </c>
      <c r="T93">
        <f>IF(AND($A93&lt;&gt;"",T$3&gt;=$J93,T$3&lt;=$M93),1,"")</f>
        <v/>
      </c>
      <c r="U93">
        <f>IF(AND($A93&lt;&gt;"",U$3&gt;=$J93,U$3&lt;=$M93),1,"")</f>
        <v/>
      </c>
      <c r="V93">
        <f>IF(AND($A93&lt;&gt;"",V$3&gt;=$J93,V$3&lt;=$M93),1,"")</f>
        <v/>
      </c>
      <c r="W93">
        <f>IF(AND($A93&lt;&gt;"",W$3&gt;=$J93,W$3&lt;=$M93),1,"")</f>
        <v/>
      </c>
      <c r="X93">
        <f>IF(AND($A93&lt;&gt;"",X$3&gt;=$J93,X$3&lt;=$M93),1,"")</f>
        <v/>
      </c>
      <c r="Y93">
        <f>IF(AND($A93&lt;&gt;"",Y$3&gt;=$J93,Y$3&lt;=$M93),1,"")</f>
        <v/>
      </c>
      <c r="Z93">
        <f>IF(AND($A93&lt;&gt;"",Z$3&gt;=$J93,Z$3&lt;=$M93),1,"")</f>
        <v/>
      </c>
      <c r="AA93">
        <f>IF(AND($A93&lt;&gt;"",AA$3&gt;=$J93,AA$3&lt;=$M93),1,"")</f>
        <v/>
      </c>
      <c r="AB93">
        <f>IF(AND($A93&lt;&gt;"",AB$3&gt;=$J93,AB$3&lt;=$M93),1,"")</f>
        <v/>
      </c>
      <c r="AC93">
        <f>IF(AND($A93&lt;&gt;"",AC$3&gt;=$J93,AC$3&lt;=$M93),1,"")</f>
        <v/>
      </c>
      <c r="AD93">
        <f>IF(AND($A93&lt;&gt;"",AD$3&gt;=$J93,AD$3&lt;=$M93),1,"")</f>
        <v/>
      </c>
      <c r="AE93">
        <f>IF(AND($A93&lt;&gt;"",AE$3&gt;=$J93,AE$3&lt;=$M93),1,"")</f>
        <v/>
      </c>
      <c r="AF93">
        <f>IF(AND($A93&lt;&gt;"",AF$3&gt;=$J93,AF$3&lt;=$M93),1,"")</f>
        <v/>
      </c>
      <c r="AG93">
        <f>IF(AND($A93&lt;&gt;"",AG$3&gt;=$J93,AG$3&lt;=$M93),1,"")</f>
        <v/>
      </c>
      <c r="AH93">
        <f>IF(AND($A93&lt;&gt;"",AH$3&gt;=$J93,AH$3&lt;=$M93),1,"")</f>
        <v/>
      </c>
      <c r="AI93">
        <f>IF(AND($A93&lt;&gt;"",AI$3&gt;=$J93,AI$3&lt;=$M93),1,"")</f>
        <v/>
      </c>
      <c r="AJ93">
        <f>IF(AND($A93&lt;&gt;"",AJ$3&gt;=$J93,AJ$3&lt;=$M93),1,"")</f>
        <v/>
      </c>
      <c r="AK93">
        <f>IF(AND($A93&lt;&gt;"",AK$3&gt;=$J93,AK$3&lt;=$M93),1,"")</f>
        <v/>
      </c>
      <c r="AL93">
        <f>IF(AND($A93&lt;&gt;"",AL$3&gt;=$J93,AL$3&lt;=$M93),1,"")</f>
        <v/>
      </c>
      <c r="AM93">
        <f>IF(AND($A93&lt;&gt;"",AM$3&gt;=$J93,AM$3&lt;=$M93),1,"")</f>
        <v/>
      </c>
      <c r="AN93">
        <f>IF(AND($A93&lt;&gt;"",AN$3&gt;=$J93,AN$3&lt;=$M93),1,"")</f>
        <v/>
      </c>
      <c r="AO93">
        <f>IF(AND($A93&lt;&gt;"",AO$3&gt;=$J93,AO$3&lt;=$M93),1,"")</f>
        <v/>
      </c>
      <c r="AP93">
        <f>IF(AND($A93&lt;&gt;"",AP$3&gt;=$J93,AP$3&lt;=$M93),1,"")</f>
        <v/>
      </c>
      <c r="AQ93">
        <f>IF(AND($A93&lt;&gt;"",AQ$3&gt;=$J93,AQ$3&lt;=$M93),1,"")</f>
        <v/>
      </c>
      <c r="AR93">
        <f>IF(AND($A93&lt;&gt;"",AR$3&gt;=$J93,AR$3&lt;=$M93),1,"")</f>
        <v/>
      </c>
      <c r="AS93">
        <f>IF(AND($A93&lt;&gt;"",AS$3&gt;=$J93,AS$3&lt;=$M93),1,"")</f>
        <v/>
      </c>
      <c r="AT93">
        <f>IF(AND($A93&lt;&gt;"",AT$3&gt;=$J93,AT$3&lt;=$M93),1,"")</f>
        <v/>
      </c>
      <c r="AU93">
        <f>IF(AND($A93&lt;&gt;"",AU$3&gt;=$J93,AU$3&lt;=$M93),1,"")</f>
        <v/>
      </c>
      <c r="AV93">
        <f>IF(AND($A93&lt;&gt;"",AV$3&gt;=$J93,AV$3&lt;=$M93),1,"")</f>
        <v/>
      </c>
      <c r="AW93">
        <f>IF(AND($A93&lt;&gt;"",AW$3&gt;=$J93,AW$3&lt;=$M93),1,"")</f>
        <v/>
      </c>
      <c r="AX93">
        <f>IF(AND($A93&lt;&gt;"",AX$3&gt;=$J93,AX$3&lt;=$M93),1,"")</f>
        <v/>
      </c>
      <c r="AY93">
        <f>IF(AND($A93&lt;&gt;"",AY$3&gt;=$J93,AY$3&lt;=$M93),1,"")</f>
        <v/>
      </c>
      <c r="AZ93">
        <f>IF(AND($A93&lt;&gt;"",AZ$3&gt;=$J93,AZ$3&lt;=$M93),1,"")</f>
        <v/>
      </c>
      <c r="BA93">
        <f>IF(AND($A93&lt;&gt;"",BA$3&gt;=$J93,BA$3&lt;=$M93),1,"")</f>
        <v/>
      </c>
      <c r="BB93">
        <f>IF(AND($A93&lt;&gt;"",BB$3&gt;=$J93,BB$3&lt;=$M93),1,"")</f>
        <v/>
      </c>
      <c r="BC93">
        <f>IF(AND($A93&lt;&gt;"",BC$3&gt;=$J93,BC$3&lt;=$M93),1,"")</f>
        <v/>
      </c>
      <c r="BD93">
        <f>IF(AND($A93&lt;&gt;"",BD$3&gt;=$J93,BD$3&lt;=$M93),1,"")</f>
        <v/>
      </c>
      <c r="BE93">
        <f>IF(AND($A93&lt;&gt;"",BE$3&gt;=$J93,BE$3&lt;=$M93),1,"")</f>
        <v/>
      </c>
      <c r="BF93">
        <f>IF(AND($A93&lt;&gt;"",BF$3&gt;=$J93,BF$3&lt;=$M93),1,"")</f>
        <v/>
      </c>
      <c r="BG93">
        <f>IF(AND($A93&lt;&gt;"",BG$3&gt;=$J93,BG$3&lt;=$M93),1,"")</f>
        <v/>
      </c>
      <c r="BH93">
        <f>IF(AND($A93&lt;&gt;"",BH$3&gt;=$J93,BH$3&lt;=$M93),1,"")</f>
        <v/>
      </c>
      <c r="BI93">
        <f>IF(AND($A93&lt;&gt;"",BI$3&gt;=$J93,BI$3&lt;=$M93),1,"")</f>
        <v/>
      </c>
      <c r="BJ93">
        <f>IF(AND($A93&lt;&gt;"",BJ$3&gt;=$J93,BJ$3&lt;=$M93),1,"")</f>
        <v/>
      </c>
      <c r="BK93">
        <f>IF(AND($A93&lt;&gt;"",BK$3&gt;=$J93,BK$3&lt;=$M93),1,"")</f>
        <v/>
      </c>
      <c r="BL93">
        <f>IF(AND($A93&lt;&gt;"",BL$3&gt;=$J93,BL$3&lt;=$M93),1,"")</f>
        <v/>
      </c>
      <c r="BM93">
        <f>IF(AND($A93&lt;&gt;"",BM$3&gt;=$J93,BM$3&lt;=$M93),1,"")</f>
        <v/>
      </c>
      <c r="BN93">
        <f>IF(AND($A93&lt;&gt;"",BN$3&gt;=$J93,BN$3&lt;=$M93),1,"")</f>
        <v/>
      </c>
      <c r="BO93">
        <f>IF(AND($A93&lt;&gt;"",BO$3&gt;=$J93,BO$3&lt;=$M93),1,"")</f>
        <v/>
      </c>
      <c r="BP93">
        <f>IF(AND($A93&lt;&gt;"",BP$3&gt;=$J93,BP$3&lt;=$M93),1,"")</f>
        <v/>
      </c>
      <c r="BQ93">
        <f>IF(AND($A93&lt;&gt;"",BQ$3&gt;=$J93,BQ$3&lt;=$M93),1,"")</f>
        <v/>
      </c>
      <c r="BR93">
        <f>IF(AND($A93&lt;&gt;"",BR$3&gt;=$J93,BR$3&lt;=$M93),1,"")</f>
        <v/>
      </c>
      <c r="BS93">
        <f>IF(AND($A93&lt;&gt;"",BS$3&gt;=$J93,BS$3&lt;=$M93),1,"")</f>
        <v/>
      </c>
      <c r="BT93">
        <f>IF(AND($A93&lt;&gt;"",BT$3&gt;=$J93,BT$3&lt;=$M93),1,"")</f>
        <v/>
      </c>
      <c r="BU93">
        <f>IF(AND($A93&lt;&gt;"",BU$3&gt;=$J93,BU$3&lt;=$M93),1,"")</f>
        <v/>
      </c>
      <c r="BV93">
        <f>IF(AND($A93&lt;&gt;"",BV$3&gt;=$J93,BV$3&lt;=$M93),1,"")</f>
        <v/>
      </c>
    </row>
    <row r="94">
      <c r="A94">
        <f>IF(Job_Master_Ring!$A94="","",Job_Master_Ring!$A94)</f>
        <v/>
      </c>
      <c r="B94">
        <f>IF($A94="","",Job_Master_Ring!B94)</f>
        <v/>
      </c>
      <c r="C94">
        <f>IF($A94="","",Job_Master_Ring!C94)</f>
        <v/>
      </c>
      <c r="D94">
        <f>IF($A94="","",Job_Master_Ring!D94)</f>
        <v/>
      </c>
      <c r="E94">
        <f>IF($A94="","",IF($I94&lt;&gt;"",$I94,IFERROR(INDEX(Machine_List!$B$72:$B$81,MATCH(1,(Machine_List!$H$72:$H$81&lt;=IFERROR(VLOOKUP($B94,CHOOSE(MATCH($C94,Settings!$L$4:$L$10,0),OPR_BR1!$A$4:$K$18,OPR_BR2!$A$4:$K$18,OPR_CR2!$A$4:$K$18,OPR_CR3!$A$4:$K$18,OPR_CR4!$A$4:$K$18,OPR_RIM!$A$4:$K$18,OPR_BPR!$A$4:$K$18),10,0),0))*(Machine_List!$I$72:$I$81&gt;=IFERROR(VLOOKUP($B94,CHOOSE(MATCH($C94,Settings!$L$4:$L$10,0),OPR_BR1!$A$4:$K$18,OPR_BR2!$A$4:$K$18,OPR_CR2!$A$4:$K$18,OPR_CR3!$A$4:$K$18,OPR_CR4!$A$4:$K$18,OPR_RIM!$A$4:$K$18,OPR_BPR!$A$4:$K$18),11,0),9999)),0)),"NO COMPATIBLE MACHINE")))</f>
        <v/>
      </c>
      <c r="F94">
        <f>IF($E94="","",IFERROR(VLOOKUP($E94,Machine_List!$B:$G,6,0),""))</f>
        <v/>
      </c>
      <c r="G94" s="17">
        <f>IF($E94="","",IFERROR(VLOOKUP($E94,Machine_List!$B:$C,2,0),""))</f>
        <v/>
      </c>
      <c r="H94">
        <f>IF($E94="","",IFERROR(VLOOKUP($E94,Machine_List!$B:$D,3,0),""))</f>
        <v/>
      </c>
      <c r="J94" s="16">
        <f>IF($A94="","",IF($I94&lt;&gt;"",$I94,MAX(VENT_Plan!$M94,IFERROR(LOOKUP(2,1/($E$3:INDIRECT("E"&amp;(ROW()-1))=$E94),$M$3:INDIRECT("M"&amp;(ROW()-1))),VENT_Plan!$M94))))</f>
        <v/>
      </c>
      <c r="K94">
        <f>IF($A94="","",IFERROR(VLOOKUP(B94,CHOOSE(MATCH($C94,Settings!$L$4:$L$10,0),OPR_BR1!$A$4:$I$18,OPR_BR2!$A$4:$I$18,OPR_CR2!$A$4:$I$18,OPR_CR3!$A$4:$I$18,OPR_CR4!$A$4:$I$18,OPR_RIM!$A$4:$I$18,OPR_BPR!$A$4:$I$18),8,0),0))</f>
        <v/>
      </c>
      <c r="L94">
        <f>IF($A94="","",K94*D94)</f>
        <v/>
      </c>
      <c r="M94" s="16">
        <f>IF($A94="","",IF(AND(ISNUMBER(G94),G94&gt;=J94,G94&lt;=(J94+(L94/(IF(F94="Contract Workman",Settings!$K$5,Settings!$K$4))))),J94+(L94/(IF(F94="Contract Workman",Settings!$K$5,Settings!$K$4)))+(H94/(IF(F94="Contract Workman",Settings!$K$5,Settings!$K$4))),J94+(L94/(IF(F94="Contract Workman",Settings!$K$5,Settings!$K$4)))))</f>
        <v/>
      </c>
      <c r="N94">
        <f>IF($A94="","",IF(F94="Contract Workman",IF(AND(MOD(M94,1)&gt;=8/24,MOD(M94,1)&lt;20/24),"Shift S1","Shift S2"),IF(AND(MOD(M94,1)&gt;=7/24,MOD(M94,1)&lt;15/24),"Shift A",IF(AND(MOD(M94,1)&gt;=15/24,MOD(M94,1)&lt;23/24),"Shift B","Shift C"))))</f>
        <v/>
      </c>
      <c r="O94">
        <f>IF(B94="","",IF(IFERROR(ISNUMBER(SEARCH(TEXT(B94,"0"),VLOOKUP(E94,Machine_List!$B:$J,9,0))),FALSE),"✅ "&amp; E94,"❌ Sug: "&amp;IFERROR(INDEX(Machine_List!$B$72:$B$81,MATCH(1,(Machine_List!$H$72:$H$81&lt;=IFERROR(VLOOKUP($B94,OPR_BR1!$A$4:$K$18,10,0),0))*(Machine_List!$I$72:$I$81&gt;=IFERROR(VLOOKUP($B94,OPR_BR1!$A$4:$K$18,11,0),9999)),0)),"?")))</f>
        <v/>
      </c>
      <c r="P94">
        <f>IF(AND($A94&lt;&gt;"",P$3&gt;=$J94,P$3&lt;=$M94),1,"")</f>
        <v/>
      </c>
      <c r="Q94">
        <f>IF(AND($A94&lt;&gt;"",Q$3&gt;=$J94,Q$3&lt;=$M94),1,"")</f>
        <v/>
      </c>
      <c r="R94">
        <f>IF(AND($A94&lt;&gt;"",R$3&gt;=$J94,R$3&lt;=$M94),1,"")</f>
        <v/>
      </c>
      <c r="S94">
        <f>IF(AND($A94&lt;&gt;"",S$3&gt;=$J94,S$3&lt;=$M94),1,"")</f>
        <v/>
      </c>
      <c r="T94">
        <f>IF(AND($A94&lt;&gt;"",T$3&gt;=$J94,T$3&lt;=$M94),1,"")</f>
        <v/>
      </c>
      <c r="U94">
        <f>IF(AND($A94&lt;&gt;"",U$3&gt;=$J94,U$3&lt;=$M94),1,"")</f>
        <v/>
      </c>
      <c r="V94">
        <f>IF(AND($A94&lt;&gt;"",V$3&gt;=$J94,V$3&lt;=$M94),1,"")</f>
        <v/>
      </c>
      <c r="W94">
        <f>IF(AND($A94&lt;&gt;"",W$3&gt;=$J94,W$3&lt;=$M94),1,"")</f>
        <v/>
      </c>
      <c r="X94">
        <f>IF(AND($A94&lt;&gt;"",X$3&gt;=$J94,X$3&lt;=$M94),1,"")</f>
        <v/>
      </c>
      <c r="Y94">
        <f>IF(AND($A94&lt;&gt;"",Y$3&gt;=$J94,Y$3&lt;=$M94),1,"")</f>
        <v/>
      </c>
      <c r="Z94">
        <f>IF(AND($A94&lt;&gt;"",Z$3&gt;=$J94,Z$3&lt;=$M94),1,"")</f>
        <v/>
      </c>
      <c r="AA94">
        <f>IF(AND($A94&lt;&gt;"",AA$3&gt;=$J94,AA$3&lt;=$M94),1,"")</f>
        <v/>
      </c>
      <c r="AB94">
        <f>IF(AND($A94&lt;&gt;"",AB$3&gt;=$J94,AB$3&lt;=$M94),1,"")</f>
        <v/>
      </c>
      <c r="AC94">
        <f>IF(AND($A94&lt;&gt;"",AC$3&gt;=$J94,AC$3&lt;=$M94),1,"")</f>
        <v/>
      </c>
      <c r="AD94">
        <f>IF(AND($A94&lt;&gt;"",AD$3&gt;=$J94,AD$3&lt;=$M94),1,"")</f>
        <v/>
      </c>
      <c r="AE94">
        <f>IF(AND($A94&lt;&gt;"",AE$3&gt;=$J94,AE$3&lt;=$M94),1,"")</f>
        <v/>
      </c>
      <c r="AF94">
        <f>IF(AND($A94&lt;&gt;"",AF$3&gt;=$J94,AF$3&lt;=$M94),1,"")</f>
        <v/>
      </c>
      <c r="AG94">
        <f>IF(AND($A94&lt;&gt;"",AG$3&gt;=$J94,AG$3&lt;=$M94),1,"")</f>
        <v/>
      </c>
      <c r="AH94">
        <f>IF(AND($A94&lt;&gt;"",AH$3&gt;=$J94,AH$3&lt;=$M94),1,"")</f>
        <v/>
      </c>
      <c r="AI94">
        <f>IF(AND($A94&lt;&gt;"",AI$3&gt;=$J94,AI$3&lt;=$M94),1,"")</f>
        <v/>
      </c>
      <c r="AJ94">
        <f>IF(AND($A94&lt;&gt;"",AJ$3&gt;=$J94,AJ$3&lt;=$M94),1,"")</f>
        <v/>
      </c>
      <c r="AK94">
        <f>IF(AND($A94&lt;&gt;"",AK$3&gt;=$J94,AK$3&lt;=$M94),1,"")</f>
        <v/>
      </c>
      <c r="AL94">
        <f>IF(AND($A94&lt;&gt;"",AL$3&gt;=$J94,AL$3&lt;=$M94),1,"")</f>
        <v/>
      </c>
      <c r="AM94">
        <f>IF(AND($A94&lt;&gt;"",AM$3&gt;=$J94,AM$3&lt;=$M94),1,"")</f>
        <v/>
      </c>
      <c r="AN94">
        <f>IF(AND($A94&lt;&gt;"",AN$3&gt;=$J94,AN$3&lt;=$M94),1,"")</f>
        <v/>
      </c>
      <c r="AO94">
        <f>IF(AND($A94&lt;&gt;"",AO$3&gt;=$J94,AO$3&lt;=$M94),1,"")</f>
        <v/>
      </c>
      <c r="AP94">
        <f>IF(AND($A94&lt;&gt;"",AP$3&gt;=$J94,AP$3&lt;=$M94),1,"")</f>
        <v/>
      </c>
      <c r="AQ94">
        <f>IF(AND($A94&lt;&gt;"",AQ$3&gt;=$J94,AQ$3&lt;=$M94),1,"")</f>
        <v/>
      </c>
      <c r="AR94">
        <f>IF(AND($A94&lt;&gt;"",AR$3&gt;=$J94,AR$3&lt;=$M94),1,"")</f>
        <v/>
      </c>
      <c r="AS94">
        <f>IF(AND($A94&lt;&gt;"",AS$3&gt;=$J94,AS$3&lt;=$M94),1,"")</f>
        <v/>
      </c>
      <c r="AT94">
        <f>IF(AND($A94&lt;&gt;"",AT$3&gt;=$J94,AT$3&lt;=$M94),1,"")</f>
        <v/>
      </c>
      <c r="AU94">
        <f>IF(AND($A94&lt;&gt;"",AU$3&gt;=$J94,AU$3&lt;=$M94),1,"")</f>
        <v/>
      </c>
      <c r="AV94">
        <f>IF(AND($A94&lt;&gt;"",AV$3&gt;=$J94,AV$3&lt;=$M94),1,"")</f>
        <v/>
      </c>
      <c r="AW94">
        <f>IF(AND($A94&lt;&gt;"",AW$3&gt;=$J94,AW$3&lt;=$M94),1,"")</f>
        <v/>
      </c>
      <c r="AX94">
        <f>IF(AND($A94&lt;&gt;"",AX$3&gt;=$J94,AX$3&lt;=$M94),1,"")</f>
        <v/>
      </c>
      <c r="AY94">
        <f>IF(AND($A94&lt;&gt;"",AY$3&gt;=$J94,AY$3&lt;=$M94),1,"")</f>
        <v/>
      </c>
      <c r="AZ94">
        <f>IF(AND($A94&lt;&gt;"",AZ$3&gt;=$J94,AZ$3&lt;=$M94),1,"")</f>
        <v/>
      </c>
      <c r="BA94">
        <f>IF(AND($A94&lt;&gt;"",BA$3&gt;=$J94,BA$3&lt;=$M94),1,"")</f>
        <v/>
      </c>
      <c r="BB94">
        <f>IF(AND($A94&lt;&gt;"",BB$3&gt;=$J94,BB$3&lt;=$M94),1,"")</f>
        <v/>
      </c>
      <c r="BC94">
        <f>IF(AND($A94&lt;&gt;"",BC$3&gt;=$J94,BC$3&lt;=$M94),1,"")</f>
        <v/>
      </c>
      <c r="BD94">
        <f>IF(AND($A94&lt;&gt;"",BD$3&gt;=$J94,BD$3&lt;=$M94),1,"")</f>
        <v/>
      </c>
      <c r="BE94">
        <f>IF(AND($A94&lt;&gt;"",BE$3&gt;=$J94,BE$3&lt;=$M94),1,"")</f>
        <v/>
      </c>
      <c r="BF94">
        <f>IF(AND($A94&lt;&gt;"",BF$3&gt;=$J94,BF$3&lt;=$M94),1,"")</f>
        <v/>
      </c>
      <c r="BG94">
        <f>IF(AND($A94&lt;&gt;"",BG$3&gt;=$J94,BG$3&lt;=$M94),1,"")</f>
        <v/>
      </c>
      <c r="BH94">
        <f>IF(AND($A94&lt;&gt;"",BH$3&gt;=$J94,BH$3&lt;=$M94),1,"")</f>
        <v/>
      </c>
      <c r="BI94">
        <f>IF(AND($A94&lt;&gt;"",BI$3&gt;=$J94,BI$3&lt;=$M94),1,"")</f>
        <v/>
      </c>
      <c r="BJ94">
        <f>IF(AND($A94&lt;&gt;"",BJ$3&gt;=$J94,BJ$3&lt;=$M94),1,"")</f>
        <v/>
      </c>
      <c r="BK94">
        <f>IF(AND($A94&lt;&gt;"",BK$3&gt;=$J94,BK$3&lt;=$M94),1,"")</f>
        <v/>
      </c>
      <c r="BL94">
        <f>IF(AND($A94&lt;&gt;"",BL$3&gt;=$J94,BL$3&lt;=$M94),1,"")</f>
        <v/>
      </c>
      <c r="BM94">
        <f>IF(AND($A94&lt;&gt;"",BM$3&gt;=$J94,BM$3&lt;=$M94),1,"")</f>
        <v/>
      </c>
      <c r="BN94">
        <f>IF(AND($A94&lt;&gt;"",BN$3&gt;=$J94,BN$3&lt;=$M94),1,"")</f>
        <v/>
      </c>
      <c r="BO94">
        <f>IF(AND($A94&lt;&gt;"",BO$3&gt;=$J94,BO$3&lt;=$M94),1,"")</f>
        <v/>
      </c>
      <c r="BP94">
        <f>IF(AND($A94&lt;&gt;"",BP$3&gt;=$J94,BP$3&lt;=$M94),1,"")</f>
        <v/>
      </c>
      <c r="BQ94">
        <f>IF(AND($A94&lt;&gt;"",BQ$3&gt;=$J94,BQ$3&lt;=$M94),1,"")</f>
        <v/>
      </c>
      <c r="BR94">
        <f>IF(AND($A94&lt;&gt;"",BR$3&gt;=$J94,BR$3&lt;=$M94),1,"")</f>
        <v/>
      </c>
      <c r="BS94">
        <f>IF(AND($A94&lt;&gt;"",BS$3&gt;=$J94,BS$3&lt;=$M94),1,"")</f>
        <v/>
      </c>
      <c r="BT94">
        <f>IF(AND($A94&lt;&gt;"",BT$3&gt;=$J94,BT$3&lt;=$M94),1,"")</f>
        <v/>
      </c>
      <c r="BU94">
        <f>IF(AND($A94&lt;&gt;"",BU$3&gt;=$J94,BU$3&lt;=$M94),1,"")</f>
        <v/>
      </c>
      <c r="BV94">
        <f>IF(AND($A94&lt;&gt;"",BV$3&gt;=$J94,BV$3&lt;=$M94),1,"")</f>
        <v/>
      </c>
    </row>
    <row r="95">
      <c r="A95">
        <f>IF(Job_Master_Ring!$A95="","",Job_Master_Ring!$A95)</f>
        <v/>
      </c>
      <c r="B95">
        <f>IF($A95="","",Job_Master_Ring!B95)</f>
        <v/>
      </c>
      <c r="C95">
        <f>IF($A95="","",Job_Master_Ring!C95)</f>
        <v/>
      </c>
      <c r="D95">
        <f>IF($A95="","",Job_Master_Ring!D95)</f>
        <v/>
      </c>
      <c r="E95">
        <f>IF($A95="","",IF($I95&lt;&gt;"",$I95,IFERROR(INDEX(Machine_List!$B$72:$B$81,MATCH(1,(Machine_List!$H$72:$H$81&lt;=IFERROR(VLOOKUP($B95,CHOOSE(MATCH($C95,Settings!$L$4:$L$10,0),OPR_BR1!$A$4:$K$18,OPR_BR2!$A$4:$K$18,OPR_CR2!$A$4:$K$18,OPR_CR3!$A$4:$K$18,OPR_CR4!$A$4:$K$18,OPR_RIM!$A$4:$K$18,OPR_BPR!$A$4:$K$18),10,0),0))*(Machine_List!$I$72:$I$81&gt;=IFERROR(VLOOKUP($B95,CHOOSE(MATCH($C95,Settings!$L$4:$L$10,0),OPR_BR1!$A$4:$K$18,OPR_BR2!$A$4:$K$18,OPR_CR2!$A$4:$K$18,OPR_CR3!$A$4:$K$18,OPR_CR4!$A$4:$K$18,OPR_RIM!$A$4:$K$18,OPR_BPR!$A$4:$K$18),11,0),9999)),0)),"NO COMPATIBLE MACHINE")))</f>
        <v/>
      </c>
      <c r="F95">
        <f>IF($E95="","",IFERROR(VLOOKUP($E95,Machine_List!$B:$G,6,0),""))</f>
        <v/>
      </c>
      <c r="G95" s="17">
        <f>IF($E95="","",IFERROR(VLOOKUP($E95,Machine_List!$B:$C,2,0),""))</f>
        <v/>
      </c>
      <c r="H95">
        <f>IF($E95="","",IFERROR(VLOOKUP($E95,Machine_List!$B:$D,3,0),""))</f>
        <v/>
      </c>
      <c r="J95" s="16">
        <f>IF($A95="","",IF($I95&lt;&gt;"",$I95,MAX(VENT_Plan!$M95,IFERROR(LOOKUP(2,1/($E$3:INDIRECT("E"&amp;(ROW()-1))=$E95),$M$3:INDIRECT("M"&amp;(ROW()-1))),VENT_Plan!$M95))))</f>
        <v/>
      </c>
      <c r="K95">
        <f>IF($A95="","",IFERROR(VLOOKUP(B95,CHOOSE(MATCH($C95,Settings!$L$4:$L$10,0),OPR_BR1!$A$4:$I$18,OPR_BR2!$A$4:$I$18,OPR_CR2!$A$4:$I$18,OPR_CR3!$A$4:$I$18,OPR_CR4!$A$4:$I$18,OPR_RIM!$A$4:$I$18,OPR_BPR!$A$4:$I$18),8,0),0))</f>
        <v/>
      </c>
      <c r="L95">
        <f>IF($A95="","",K95*D95)</f>
        <v/>
      </c>
      <c r="M95" s="16">
        <f>IF($A95="","",IF(AND(ISNUMBER(G95),G95&gt;=J95,G95&lt;=(J95+(L95/(IF(F95="Contract Workman",Settings!$K$5,Settings!$K$4))))),J95+(L95/(IF(F95="Contract Workman",Settings!$K$5,Settings!$K$4)))+(H95/(IF(F95="Contract Workman",Settings!$K$5,Settings!$K$4))),J95+(L95/(IF(F95="Contract Workman",Settings!$K$5,Settings!$K$4)))))</f>
        <v/>
      </c>
      <c r="N95">
        <f>IF($A95="","",IF(F95="Contract Workman",IF(AND(MOD(M95,1)&gt;=8/24,MOD(M95,1)&lt;20/24),"Shift S1","Shift S2"),IF(AND(MOD(M95,1)&gt;=7/24,MOD(M95,1)&lt;15/24),"Shift A",IF(AND(MOD(M95,1)&gt;=15/24,MOD(M95,1)&lt;23/24),"Shift B","Shift C"))))</f>
        <v/>
      </c>
      <c r="O95">
        <f>IF(B95="","",IF(IFERROR(ISNUMBER(SEARCH(TEXT(B95,"0"),VLOOKUP(E95,Machine_List!$B:$J,9,0))),FALSE),"✅ "&amp; E95,"❌ Sug: "&amp;IFERROR(INDEX(Machine_List!$B$72:$B$81,MATCH(1,(Machine_List!$H$72:$H$81&lt;=IFERROR(VLOOKUP($B95,OPR_BR1!$A$4:$K$18,10,0),0))*(Machine_List!$I$72:$I$81&gt;=IFERROR(VLOOKUP($B95,OPR_BR1!$A$4:$K$18,11,0),9999)),0)),"?")))</f>
        <v/>
      </c>
      <c r="P95">
        <f>IF(AND($A95&lt;&gt;"",P$3&gt;=$J95,P$3&lt;=$M95),1,"")</f>
        <v/>
      </c>
      <c r="Q95">
        <f>IF(AND($A95&lt;&gt;"",Q$3&gt;=$J95,Q$3&lt;=$M95),1,"")</f>
        <v/>
      </c>
      <c r="R95">
        <f>IF(AND($A95&lt;&gt;"",R$3&gt;=$J95,R$3&lt;=$M95),1,"")</f>
        <v/>
      </c>
      <c r="S95">
        <f>IF(AND($A95&lt;&gt;"",S$3&gt;=$J95,S$3&lt;=$M95),1,"")</f>
        <v/>
      </c>
      <c r="T95">
        <f>IF(AND($A95&lt;&gt;"",T$3&gt;=$J95,T$3&lt;=$M95),1,"")</f>
        <v/>
      </c>
      <c r="U95">
        <f>IF(AND($A95&lt;&gt;"",U$3&gt;=$J95,U$3&lt;=$M95),1,"")</f>
        <v/>
      </c>
      <c r="V95">
        <f>IF(AND($A95&lt;&gt;"",V$3&gt;=$J95,V$3&lt;=$M95),1,"")</f>
        <v/>
      </c>
      <c r="W95">
        <f>IF(AND($A95&lt;&gt;"",W$3&gt;=$J95,W$3&lt;=$M95),1,"")</f>
        <v/>
      </c>
      <c r="X95">
        <f>IF(AND($A95&lt;&gt;"",X$3&gt;=$J95,X$3&lt;=$M95),1,"")</f>
        <v/>
      </c>
      <c r="Y95">
        <f>IF(AND($A95&lt;&gt;"",Y$3&gt;=$J95,Y$3&lt;=$M95),1,"")</f>
        <v/>
      </c>
      <c r="Z95">
        <f>IF(AND($A95&lt;&gt;"",Z$3&gt;=$J95,Z$3&lt;=$M95),1,"")</f>
        <v/>
      </c>
      <c r="AA95">
        <f>IF(AND($A95&lt;&gt;"",AA$3&gt;=$J95,AA$3&lt;=$M95),1,"")</f>
        <v/>
      </c>
      <c r="AB95">
        <f>IF(AND($A95&lt;&gt;"",AB$3&gt;=$J95,AB$3&lt;=$M95),1,"")</f>
        <v/>
      </c>
      <c r="AC95">
        <f>IF(AND($A95&lt;&gt;"",AC$3&gt;=$J95,AC$3&lt;=$M95),1,"")</f>
        <v/>
      </c>
      <c r="AD95">
        <f>IF(AND($A95&lt;&gt;"",AD$3&gt;=$J95,AD$3&lt;=$M95),1,"")</f>
        <v/>
      </c>
      <c r="AE95">
        <f>IF(AND($A95&lt;&gt;"",AE$3&gt;=$J95,AE$3&lt;=$M95),1,"")</f>
        <v/>
      </c>
      <c r="AF95">
        <f>IF(AND($A95&lt;&gt;"",AF$3&gt;=$J95,AF$3&lt;=$M95),1,"")</f>
        <v/>
      </c>
      <c r="AG95">
        <f>IF(AND($A95&lt;&gt;"",AG$3&gt;=$J95,AG$3&lt;=$M95),1,"")</f>
        <v/>
      </c>
      <c r="AH95">
        <f>IF(AND($A95&lt;&gt;"",AH$3&gt;=$J95,AH$3&lt;=$M95),1,"")</f>
        <v/>
      </c>
      <c r="AI95">
        <f>IF(AND($A95&lt;&gt;"",AI$3&gt;=$J95,AI$3&lt;=$M95),1,"")</f>
        <v/>
      </c>
      <c r="AJ95">
        <f>IF(AND($A95&lt;&gt;"",AJ$3&gt;=$J95,AJ$3&lt;=$M95),1,"")</f>
        <v/>
      </c>
      <c r="AK95">
        <f>IF(AND($A95&lt;&gt;"",AK$3&gt;=$J95,AK$3&lt;=$M95),1,"")</f>
        <v/>
      </c>
      <c r="AL95">
        <f>IF(AND($A95&lt;&gt;"",AL$3&gt;=$J95,AL$3&lt;=$M95),1,"")</f>
        <v/>
      </c>
      <c r="AM95">
        <f>IF(AND($A95&lt;&gt;"",AM$3&gt;=$J95,AM$3&lt;=$M95),1,"")</f>
        <v/>
      </c>
      <c r="AN95">
        <f>IF(AND($A95&lt;&gt;"",AN$3&gt;=$J95,AN$3&lt;=$M95),1,"")</f>
        <v/>
      </c>
      <c r="AO95">
        <f>IF(AND($A95&lt;&gt;"",AO$3&gt;=$J95,AO$3&lt;=$M95),1,"")</f>
        <v/>
      </c>
      <c r="AP95">
        <f>IF(AND($A95&lt;&gt;"",AP$3&gt;=$J95,AP$3&lt;=$M95),1,"")</f>
        <v/>
      </c>
      <c r="AQ95">
        <f>IF(AND($A95&lt;&gt;"",AQ$3&gt;=$J95,AQ$3&lt;=$M95),1,"")</f>
        <v/>
      </c>
      <c r="AR95">
        <f>IF(AND($A95&lt;&gt;"",AR$3&gt;=$J95,AR$3&lt;=$M95),1,"")</f>
        <v/>
      </c>
      <c r="AS95">
        <f>IF(AND($A95&lt;&gt;"",AS$3&gt;=$J95,AS$3&lt;=$M95),1,"")</f>
        <v/>
      </c>
      <c r="AT95">
        <f>IF(AND($A95&lt;&gt;"",AT$3&gt;=$J95,AT$3&lt;=$M95),1,"")</f>
        <v/>
      </c>
      <c r="AU95">
        <f>IF(AND($A95&lt;&gt;"",AU$3&gt;=$J95,AU$3&lt;=$M95),1,"")</f>
        <v/>
      </c>
      <c r="AV95">
        <f>IF(AND($A95&lt;&gt;"",AV$3&gt;=$J95,AV$3&lt;=$M95),1,"")</f>
        <v/>
      </c>
      <c r="AW95">
        <f>IF(AND($A95&lt;&gt;"",AW$3&gt;=$J95,AW$3&lt;=$M95),1,"")</f>
        <v/>
      </c>
      <c r="AX95">
        <f>IF(AND($A95&lt;&gt;"",AX$3&gt;=$J95,AX$3&lt;=$M95),1,"")</f>
        <v/>
      </c>
      <c r="AY95">
        <f>IF(AND($A95&lt;&gt;"",AY$3&gt;=$J95,AY$3&lt;=$M95),1,"")</f>
        <v/>
      </c>
      <c r="AZ95">
        <f>IF(AND($A95&lt;&gt;"",AZ$3&gt;=$J95,AZ$3&lt;=$M95),1,"")</f>
        <v/>
      </c>
      <c r="BA95">
        <f>IF(AND($A95&lt;&gt;"",BA$3&gt;=$J95,BA$3&lt;=$M95),1,"")</f>
        <v/>
      </c>
      <c r="BB95">
        <f>IF(AND($A95&lt;&gt;"",BB$3&gt;=$J95,BB$3&lt;=$M95),1,"")</f>
        <v/>
      </c>
      <c r="BC95">
        <f>IF(AND($A95&lt;&gt;"",BC$3&gt;=$J95,BC$3&lt;=$M95),1,"")</f>
        <v/>
      </c>
      <c r="BD95">
        <f>IF(AND($A95&lt;&gt;"",BD$3&gt;=$J95,BD$3&lt;=$M95),1,"")</f>
        <v/>
      </c>
      <c r="BE95">
        <f>IF(AND($A95&lt;&gt;"",BE$3&gt;=$J95,BE$3&lt;=$M95),1,"")</f>
        <v/>
      </c>
      <c r="BF95">
        <f>IF(AND($A95&lt;&gt;"",BF$3&gt;=$J95,BF$3&lt;=$M95),1,"")</f>
        <v/>
      </c>
      <c r="BG95">
        <f>IF(AND($A95&lt;&gt;"",BG$3&gt;=$J95,BG$3&lt;=$M95),1,"")</f>
        <v/>
      </c>
      <c r="BH95">
        <f>IF(AND($A95&lt;&gt;"",BH$3&gt;=$J95,BH$3&lt;=$M95),1,"")</f>
        <v/>
      </c>
      <c r="BI95">
        <f>IF(AND($A95&lt;&gt;"",BI$3&gt;=$J95,BI$3&lt;=$M95),1,"")</f>
        <v/>
      </c>
      <c r="BJ95">
        <f>IF(AND($A95&lt;&gt;"",BJ$3&gt;=$J95,BJ$3&lt;=$M95),1,"")</f>
        <v/>
      </c>
      <c r="BK95">
        <f>IF(AND($A95&lt;&gt;"",BK$3&gt;=$J95,BK$3&lt;=$M95),1,"")</f>
        <v/>
      </c>
      <c r="BL95">
        <f>IF(AND($A95&lt;&gt;"",BL$3&gt;=$J95,BL$3&lt;=$M95),1,"")</f>
        <v/>
      </c>
      <c r="BM95">
        <f>IF(AND($A95&lt;&gt;"",BM$3&gt;=$J95,BM$3&lt;=$M95),1,"")</f>
        <v/>
      </c>
      <c r="BN95">
        <f>IF(AND($A95&lt;&gt;"",BN$3&gt;=$J95,BN$3&lt;=$M95),1,"")</f>
        <v/>
      </c>
      <c r="BO95">
        <f>IF(AND($A95&lt;&gt;"",BO$3&gt;=$J95,BO$3&lt;=$M95),1,"")</f>
        <v/>
      </c>
      <c r="BP95">
        <f>IF(AND($A95&lt;&gt;"",BP$3&gt;=$J95,BP$3&lt;=$M95),1,"")</f>
        <v/>
      </c>
      <c r="BQ95">
        <f>IF(AND($A95&lt;&gt;"",BQ$3&gt;=$J95,BQ$3&lt;=$M95),1,"")</f>
        <v/>
      </c>
      <c r="BR95">
        <f>IF(AND($A95&lt;&gt;"",BR$3&gt;=$J95,BR$3&lt;=$M95),1,"")</f>
        <v/>
      </c>
      <c r="BS95">
        <f>IF(AND($A95&lt;&gt;"",BS$3&gt;=$J95,BS$3&lt;=$M95),1,"")</f>
        <v/>
      </c>
      <c r="BT95">
        <f>IF(AND($A95&lt;&gt;"",BT$3&gt;=$J95,BT$3&lt;=$M95),1,"")</f>
        <v/>
      </c>
      <c r="BU95">
        <f>IF(AND($A95&lt;&gt;"",BU$3&gt;=$J95,BU$3&lt;=$M95),1,"")</f>
        <v/>
      </c>
      <c r="BV95">
        <f>IF(AND($A95&lt;&gt;"",BV$3&gt;=$J95,BV$3&lt;=$M95),1,"")</f>
        <v/>
      </c>
    </row>
    <row r="96">
      <c r="A96">
        <f>IF(Job_Master_Ring!$A96="","",Job_Master_Ring!$A96)</f>
        <v/>
      </c>
      <c r="B96">
        <f>IF($A96="","",Job_Master_Ring!B96)</f>
        <v/>
      </c>
      <c r="C96">
        <f>IF($A96="","",Job_Master_Ring!C96)</f>
        <v/>
      </c>
      <c r="D96">
        <f>IF($A96="","",Job_Master_Ring!D96)</f>
        <v/>
      </c>
      <c r="E96">
        <f>IF($A96="","",IF($I96&lt;&gt;"",$I96,IFERROR(INDEX(Machine_List!$B$72:$B$81,MATCH(1,(Machine_List!$H$72:$H$81&lt;=IFERROR(VLOOKUP($B96,CHOOSE(MATCH($C96,Settings!$L$4:$L$10,0),OPR_BR1!$A$4:$K$18,OPR_BR2!$A$4:$K$18,OPR_CR2!$A$4:$K$18,OPR_CR3!$A$4:$K$18,OPR_CR4!$A$4:$K$18,OPR_RIM!$A$4:$K$18,OPR_BPR!$A$4:$K$18),10,0),0))*(Machine_List!$I$72:$I$81&gt;=IFERROR(VLOOKUP($B96,CHOOSE(MATCH($C96,Settings!$L$4:$L$10,0),OPR_BR1!$A$4:$K$18,OPR_BR2!$A$4:$K$18,OPR_CR2!$A$4:$K$18,OPR_CR3!$A$4:$K$18,OPR_CR4!$A$4:$K$18,OPR_RIM!$A$4:$K$18,OPR_BPR!$A$4:$K$18),11,0),9999)),0)),"NO COMPATIBLE MACHINE")))</f>
        <v/>
      </c>
      <c r="F96">
        <f>IF($E96="","",IFERROR(VLOOKUP($E96,Machine_List!$B:$G,6,0),""))</f>
        <v/>
      </c>
      <c r="G96" s="17">
        <f>IF($E96="","",IFERROR(VLOOKUP($E96,Machine_List!$B:$C,2,0),""))</f>
        <v/>
      </c>
      <c r="H96">
        <f>IF($E96="","",IFERROR(VLOOKUP($E96,Machine_List!$B:$D,3,0),""))</f>
        <v/>
      </c>
      <c r="J96" s="16">
        <f>IF($A96="","",IF($I96&lt;&gt;"",$I96,MAX(VENT_Plan!$M96,IFERROR(LOOKUP(2,1/($E$3:INDIRECT("E"&amp;(ROW()-1))=$E96),$M$3:INDIRECT("M"&amp;(ROW()-1))),VENT_Plan!$M96))))</f>
        <v/>
      </c>
      <c r="K96">
        <f>IF($A96="","",IFERROR(VLOOKUP(B96,CHOOSE(MATCH($C96,Settings!$L$4:$L$10,0),OPR_BR1!$A$4:$I$18,OPR_BR2!$A$4:$I$18,OPR_CR2!$A$4:$I$18,OPR_CR3!$A$4:$I$18,OPR_CR4!$A$4:$I$18,OPR_RIM!$A$4:$I$18,OPR_BPR!$A$4:$I$18),8,0),0))</f>
        <v/>
      </c>
      <c r="L96">
        <f>IF($A96="","",K96*D96)</f>
        <v/>
      </c>
      <c r="M96" s="16">
        <f>IF($A96="","",IF(AND(ISNUMBER(G96),G96&gt;=J96,G96&lt;=(J96+(L96/(IF(F96="Contract Workman",Settings!$K$5,Settings!$K$4))))),J96+(L96/(IF(F96="Contract Workman",Settings!$K$5,Settings!$K$4)))+(H96/(IF(F96="Contract Workman",Settings!$K$5,Settings!$K$4))),J96+(L96/(IF(F96="Contract Workman",Settings!$K$5,Settings!$K$4)))))</f>
        <v/>
      </c>
      <c r="N96">
        <f>IF($A96="","",IF(F96="Contract Workman",IF(AND(MOD(M96,1)&gt;=8/24,MOD(M96,1)&lt;20/24),"Shift S1","Shift S2"),IF(AND(MOD(M96,1)&gt;=7/24,MOD(M96,1)&lt;15/24),"Shift A",IF(AND(MOD(M96,1)&gt;=15/24,MOD(M96,1)&lt;23/24),"Shift B","Shift C"))))</f>
        <v/>
      </c>
      <c r="O96">
        <f>IF(B96="","",IF(IFERROR(ISNUMBER(SEARCH(TEXT(B96,"0"),VLOOKUP(E96,Machine_List!$B:$J,9,0))),FALSE),"✅ "&amp; E96,"❌ Sug: "&amp;IFERROR(INDEX(Machine_List!$B$72:$B$81,MATCH(1,(Machine_List!$H$72:$H$81&lt;=IFERROR(VLOOKUP($B96,OPR_BR1!$A$4:$K$18,10,0),0))*(Machine_List!$I$72:$I$81&gt;=IFERROR(VLOOKUP($B96,OPR_BR1!$A$4:$K$18,11,0),9999)),0)),"?")))</f>
        <v/>
      </c>
      <c r="P96">
        <f>IF(AND($A96&lt;&gt;"",P$3&gt;=$J96,P$3&lt;=$M96),1,"")</f>
        <v/>
      </c>
      <c r="Q96">
        <f>IF(AND($A96&lt;&gt;"",Q$3&gt;=$J96,Q$3&lt;=$M96),1,"")</f>
        <v/>
      </c>
      <c r="R96">
        <f>IF(AND($A96&lt;&gt;"",R$3&gt;=$J96,R$3&lt;=$M96),1,"")</f>
        <v/>
      </c>
      <c r="S96">
        <f>IF(AND($A96&lt;&gt;"",S$3&gt;=$J96,S$3&lt;=$M96),1,"")</f>
        <v/>
      </c>
      <c r="T96">
        <f>IF(AND($A96&lt;&gt;"",T$3&gt;=$J96,T$3&lt;=$M96),1,"")</f>
        <v/>
      </c>
      <c r="U96">
        <f>IF(AND($A96&lt;&gt;"",U$3&gt;=$J96,U$3&lt;=$M96),1,"")</f>
        <v/>
      </c>
      <c r="V96">
        <f>IF(AND($A96&lt;&gt;"",V$3&gt;=$J96,V$3&lt;=$M96),1,"")</f>
        <v/>
      </c>
      <c r="W96">
        <f>IF(AND($A96&lt;&gt;"",W$3&gt;=$J96,W$3&lt;=$M96),1,"")</f>
        <v/>
      </c>
      <c r="X96">
        <f>IF(AND($A96&lt;&gt;"",X$3&gt;=$J96,X$3&lt;=$M96),1,"")</f>
        <v/>
      </c>
      <c r="Y96">
        <f>IF(AND($A96&lt;&gt;"",Y$3&gt;=$J96,Y$3&lt;=$M96),1,"")</f>
        <v/>
      </c>
      <c r="Z96">
        <f>IF(AND($A96&lt;&gt;"",Z$3&gt;=$J96,Z$3&lt;=$M96),1,"")</f>
        <v/>
      </c>
      <c r="AA96">
        <f>IF(AND($A96&lt;&gt;"",AA$3&gt;=$J96,AA$3&lt;=$M96),1,"")</f>
        <v/>
      </c>
      <c r="AB96">
        <f>IF(AND($A96&lt;&gt;"",AB$3&gt;=$J96,AB$3&lt;=$M96),1,"")</f>
        <v/>
      </c>
      <c r="AC96">
        <f>IF(AND($A96&lt;&gt;"",AC$3&gt;=$J96,AC$3&lt;=$M96),1,"")</f>
        <v/>
      </c>
      <c r="AD96">
        <f>IF(AND($A96&lt;&gt;"",AD$3&gt;=$J96,AD$3&lt;=$M96),1,"")</f>
        <v/>
      </c>
      <c r="AE96">
        <f>IF(AND($A96&lt;&gt;"",AE$3&gt;=$J96,AE$3&lt;=$M96),1,"")</f>
        <v/>
      </c>
      <c r="AF96">
        <f>IF(AND($A96&lt;&gt;"",AF$3&gt;=$J96,AF$3&lt;=$M96),1,"")</f>
        <v/>
      </c>
      <c r="AG96">
        <f>IF(AND($A96&lt;&gt;"",AG$3&gt;=$J96,AG$3&lt;=$M96),1,"")</f>
        <v/>
      </c>
      <c r="AH96">
        <f>IF(AND($A96&lt;&gt;"",AH$3&gt;=$J96,AH$3&lt;=$M96),1,"")</f>
        <v/>
      </c>
      <c r="AI96">
        <f>IF(AND($A96&lt;&gt;"",AI$3&gt;=$J96,AI$3&lt;=$M96),1,"")</f>
        <v/>
      </c>
      <c r="AJ96">
        <f>IF(AND($A96&lt;&gt;"",AJ$3&gt;=$J96,AJ$3&lt;=$M96),1,"")</f>
        <v/>
      </c>
      <c r="AK96">
        <f>IF(AND($A96&lt;&gt;"",AK$3&gt;=$J96,AK$3&lt;=$M96),1,"")</f>
        <v/>
      </c>
      <c r="AL96">
        <f>IF(AND($A96&lt;&gt;"",AL$3&gt;=$J96,AL$3&lt;=$M96),1,"")</f>
        <v/>
      </c>
      <c r="AM96">
        <f>IF(AND($A96&lt;&gt;"",AM$3&gt;=$J96,AM$3&lt;=$M96),1,"")</f>
        <v/>
      </c>
      <c r="AN96">
        <f>IF(AND($A96&lt;&gt;"",AN$3&gt;=$J96,AN$3&lt;=$M96),1,"")</f>
        <v/>
      </c>
      <c r="AO96">
        <f>IF(AND($A96&lt;&gt;"",AO$3&gt;=$J96,AO$3&lt;=$M96),1,"")</f>
        <v/>
      </c>
      <c r="AP96">
        <f>IF(AND($A96&lt;&gt;"",AP$3&gt;=$J96,AP$3&lt;=$M96),1,"")</f>
        <v/>
      </c>
      <c r="AQ96">
        <f>IF(AND($A96&lt;&gt;"",AQ$3&gt;=$J96,AQ$3&lt;=$M96),1,"")</f>
        <v/>
      </c>
      <c r="AR96">
        <f>IF(AND($A96&lt;&gt;"",AR$3&gt;=$J96,AR$3&lt;=$M96),1,"")</f>
        <v/>
      </c>
      <c r="AS96">
        <f>IF(AND($A96&lt;&gt;"",AS$3&gt;=$J96,AS$3&lt;=$M96),1,"")</f>
        <v/>
      </c>
      <c r="AT96">
        <f>IF(AND($A96&lt;&gt;"",AT$3&gt;=$J96,AT$3&lt;=$M96),1,"")</f>
        <v/>
      </c>
      <c r="AU96">
        <f>IF(AND($A96&lt;&gt;"",AU$3&gt;=$J96,AU$3&lt;=$M96),1,"")</f>
        <v/>
      </c>
      <c r="AV96">
        <f>IF(AND($A96&lt;&gt;"",AV$3&gt;=$J96,AV$3&lt;=$M96),1,"")</f>
        <v/>
      </c>
      <c r="AW96">
        <f>IF(AND($A96&lt;&gt;"",AW$3&gt;=$J96,AW$3&lt;=$M96),1,"")</f>
        <v/>
      </c>
      <c r="AX96">
        <f>IF(AND($A96&lt;&gt;"",AX$3&gt;=$J96,AX$3&lt;=$M96),1,"")</f>
        <v/>
      </c>
      <c r="AY96">
        <f>IF(AND($A96&lt;&gt;"",AY$3&gt;=$J96,AY$3&lt;=$M96),1,"")</f>
        <v/>
      </c>
      <c r="AZ96">
        <f>IF(AND($A96&lt;&gt;"",AZ$3&gt;=$J96,AZ$3&lt;=$M96),1,"")</f>
        <v/>
      </c>
      <c r="BA96">
        <f>IF(AND($A96&lt;&gt;"",BA$3&gt;=$J96,BA$3&lt;=$M96),1,"")</f>
        <v/>
      </c>
      <c r="BB96">
        <f>IF(AND($A96&lt;&gt;"",BB$3&gt;=$J96,BB$3&lt;=$M96),1,"")</f>
        <v/>
      </c>
      <c r="BC96">
        <f>IF(AND($A96&lt;&gt;"",BC$3&gt;=$J96,BC$3&lt;=$M96),1,"")</f>
        <v/>
      </c>
      <c r="BD96">
        <f>IF(AND($A96&lt;&gt;"",BD$3&gt;=$J96,BD$3&lt;=$M96),1,"")</f>
        <v/>
      </c>
      <c r="BE96">
        <f>IF(AND($A96&lt;&gt;"",BE$3&gt;=$J96,BE$3&lt;=$M96),1,"")</f>
        <v/>
      </c>
      <c r="BF96">
        <f>IF(AND($A96&lt;&gt;"",BF$3&gt;=$J96,BF$3&lt;=$M96),1,"")</f>
        <v/>
      </c>
      <c r="BG96">
        <f>IF(AND($A96&lt;&gt;"",BG$3&gt;=$J96,BG$3&lt;=$M96),1,"")</f>
        <v/>
      </c>
      <c r="BH96">
        <f>IF(AND($A96&lt;&gt;"",BH$3&gt;=$J96,BH$3&lt;=$M96),1,"")</f>
        <v/>
      </c>
      <c r="BI96">
        <f>IF(AND($A96&lt;&gt;"",BI$3&gt;=$J96,BI$3&lt;=$M96),1,"")</f>
        <v/>
      </c>
      <c r="BJ96">
        <f>IF(AND($A96&lt;&gt;"",BJ$3&gt;=$J96,BJ$3&lt;=$M96),1,"")</f>
        <v/>
      </c>
      <c r="BK96">
        <f>IF(AND($A96&lt;&gt;"",BK$3&gt;=$J96,BK$3&lt;=$M96),1,"")</f>
        <v/>
      </c>
      <c r="BL96">
        <f>IF(AND($A96&lt;&gt;"",BL$3&gt;=$J96,BL$3&lt;=$M96),1,"")</f>
        <v/>
      </c>
      <c r="BM96">
        <f>IF(AND($A96&lt;&gt;"",BM$3&gt;=$J96,BM$3&lt;=$M96),1,"")</f>
        <v/>
      </c>
      <c r="BN96">
        <f>IF(AND($A96&lt;&gt;"",BN$3&gt;=$J96,BN$3&lt;=$M96),1,"")</f>
        <v/>
      </c>
      <c r="BO96">
        <f>IF(AND($A96&lt;&gt;"",BO$3&gt;=$J96,BO$3&lt;=$M96),1,"")</f>
        <v/>
      </c>
      <c r="BP96">
        <f>IF(AND($A96&lt;&gt;"",BP$3&gt;=$J96,BP$3&lt;=$M96),1,"")</f>
        <v/>
      </c>
      <c r="BQ96">
        <f>IF(AND($A96&lt;&gt;"",BQ$3&gt;=$J96,BQ$3&lt;=$M96),1,"")</f>
        <v/>
      </c>
      <c r="BR96">
        <f>IF(AND($A96&lt;&gt;"",BR$3&gt;=$J96,BR$3&lt;=$M96),1,"")</f>
        <v/>
      </c>
      <c r="BS96">
        <f>IF(AND($A96&lt;&gt;"",BS$3&gt;=$J96,BS$3&lt;=$M96),1,"")</f>
        <v/>
      </c>
      <c r="BT96">
        <f>IF(AND($A96&lt;&gt;"",BT$3&gt;=$J96,BT$3&lt;=$M96),1,"")</f>
        <v/>
      </c>
      <c r="BU96">
        <f>IF(AND($A96&lt;&gt;"",BU$3&gt;=$J96,BU$3&lt;=$M96),1,"")</f>
        <v/>
      </c>
      <c r="BV96">
        <f>IF(AND($A96&lt;&gt;"",BV$3&gt;=$J96,BV$3&lt;=$M96),1,"")</f>
        <v/>
      </c>
    </row>
    <row r="97">
      <c r="A97">
        <f>IF(Job_Master_Ring!$A97="","",Job_Master_Ring!$A97)</f>
        <v/>
      </c>
      <c r="B97">
        <f>IF($A97="","",Job_Master_Ring!B97)</f>
        <v/>
      </c>
      <c r="C97">
        <f>IF($A97="","",Job_Master_Ring!C97)</f>
        <v/>
      </c>
      <c r="D97">
        <f>IF($A97="","",Job_Master_Ring!D97)</f>
        <v/>
      </c>
      <c r="E97">
        <f>IF($A97="","",IF($I97&lt;&gt;"",$I97,IFERROR(INDEX(Machine_List!$B$72:$B$81,MATCH(1,(Machine_List!$H$72:$H$81&lt;=IFERROR(VLOOKUP($B97,CHOOSE(MATCH($C97,Settings!$L$4:$L$10,0),OPR_BR1!$A$4:$K$18,OPR_BR2!$A$4:$K$18,OPR_CR2!$A$4:$K$18,OPR_CR3!$A$4:$K$18,OPR_CR4!$A$4:$K$18,OPR_RIM!$A$4:$K$18,OPR_BPR!$A$4:$K$18),10,0),0))*(Machine_List!$I$72:$I$81&gt;=IFERROR(VLOOKUP($B97,CHOOSE(MATCH($C97,Settings!$L$4:$L$10,0),OPR_BR1!$A$4:$K$18,OPR_BR2!$A$4:$K$18,OPR_CR2!$A$4:$K$18,OPR_CR3!$A$4:$K$18,OPR_CR4!$A$4:$K$18,OPR_RIM!$A$4:$K$18,OPR_BPR!$A$4:$K$18),11,0),9999)),0)),"NO COMPATIBLE MACHINE")))</f>
        <v/>
      </c>
      <c r="F97">
        <f>IF($E97="","",IFERROR(VLOOKUP($E97,Machine_List!$B:$G,6,0),""))</f>
        <v/>
      </c>
      <c r="G97" s="17">
        <f>IF($E97="","",IFERROR(VLOOKUP($E97,Machine_List!$B:$C,2,0),""))</f>
        <v/>
      </c>
      <c r="H97">
        <f>IF($E97="","",IFERROR(VLOOKUP($E97,Machine_List!$B:$D,3,0),""))</f>
        <v/>
      </c>
      <c r="J97" s="16">
        <f>IF($A97="","",IF($I97&lt;&gt;"",$I97,MAX(VENT_Plan!$M97,IFERROR(LOOKUP(2,1/($E$3:INDIRECT("E"&amp;(ROW()-1))=$E97),$M$3:INDIRECT("M"&amp;(ROW()-1))),VENT_Plan!$M97))))</f>
        <v/>
      </c>
      <c r="K97">
        <f>IF($A97="","",IFERROR(VLOOKUP(B97,CHOOSE(MATCH($C97,Settings!$L$4:$L$10,0),OPR_BR1!$A$4:$I$18,OPR_BR2!$A$4:$I$18,OPR_CR2!$A$4:$I$18,OPR_CR3!$A$4:$I$18,OPR_CR4!$A$4:$I$18,OPR_RIM!$A$4:$I$18,OPR_BPR!$A$4:$I$18),8,0),0))</f>
        <v/>
      </c>
      <c r="L97">
        <f>IF($A97="","",K97*D97)</f>
        <v/>
      </c>
      <c r="M97" s="16">
        <f>IF($A97="","",IF(AND(ISNUMBER(G97),G97&gt;=J97,G97&lt;=(J97+(L97/(IF(F97="Contract Workman",Settings!$K$5,Settings!$K$4))))),J97+(L97/(IF(F97="Contract Workman",Settings!$K$5,Settings!$K$4)))+(H97/(IF(F97="Contract Workman",Settings!$K$5,Settings!$K$4))),J97+(L97/(IF(F97="Contract Workman",Settings!$K$5,Settings!$K$4)))))</f>
        <v/>
      </c>
      <c r="N97">
        <f>IF($A97="","",IF(F97="Contract Workman",IF(AND(MOD(M97,1)&gt;=8/24,MOD(M97,1)&lt;20/24),"Shift S1","Shift S2"),IF(AND(MOD(M97,1)&gt;=7/24,MOD(M97,1)&lt;15/24),"Shift A",IF(AND(MOD(M97,1)&gt;=15/24,MOD(M97,1)&lt;23/24),"Shift B","Shift C"))))</f>
        <v/>
      </c>
      <c r="O97">
        <f>IF(B97="","",IF(IFERROR(ISNUMBER(SEARCH(TEXT(B97,"0"),VLOOKUP(E97,Machine_List!$B:$J,9,0))),FALSE),"✅ "&amp; E97,"❌ Sug: "&amp;IFERROR(INDEX(Machine_List!$B$72:$B$81,MATCH(1,(Machine_List!$H$72:$H$81&lt;=IFERROR(VLOOKUP($B97,OPR_BR1!$A$4:$K$18,10,0),0))*(Machine_List!$I$72:$I$81&gt;=IFERROR(VLOOKUP($B97,OPR_BR1!$A$4:$K$18,11,0),9999)),0)),"?")))</f>
        <v/>
      </c>
      <c r="P97">
        <f>IF(AND($A97&lt;&gt;"",P$3&gt;=$J97,P$3&lt;=$M97),1,"")</f>
        <v/>
      </c>
      <c r="Q97">
        <f>IF(AND($A97&lt;&gt;"",Q$3&gt;=$J97,Q$3&lt;=$M97),1,"")</f>
        <v/>
      </c>
      <c r="R97">
        <f>IF(AND($A97&lt;&gt;"",R$3&gt;=$J97,R$3&lt;=$M97),1,"")</f>
        <v/>
      </c>
      <c r="S97">
        <f>IF(AND($A97&lt;&gt;"",S$3&gt;=$J97,S$3&lt;=$M97),1,"")</f>
        <v/>
      </c>
      <c r="T97">
        <f>IF(AND($A97&lt;&gt;"",T$3&gt;=$J97,T$3&lt;=$M97),1,"")</f>
        <v/>
      </c>
      <c r="U97">
        <f>IF(AND($A97&lt;&gt;"",U$3&gt;=$J97,U$3&lt;=$M97),1,"")</f>
        <v/>
      </c>
      <c r="V97">
        <f>IF(AND($A97&lt;&gt;"",V$3&gt;=$J97,V$3&lt;=$M97),1,"")</f>
        <v/>
      </c>
      <c r="W97">
        <f>IF(AND($A97&lt;&gt;"",W$3&gt;=$J97,W$3&lt;=$M97),1,"")</f>
        <v/>
      </c>
      <c r="X97">
        <f>IF(AND($A97&lt;&gt;"",X$3&gt;=$J97,X$3&lt;=$M97),1,"")</f>
        <v/>
      </c>
      <c r="Y97">
        <f>IF(AND($A97&lt;&gt;"",Y$3&gt;=$J97,Y$3&lt;=$M97),1,"")</f>
        <v/>
      </c>
      <c r="Z97">
        <f>IF(AND($A97&lt;&gt;"",Z$3&gt;=$J97,Z$3&lt;=$M97),1,"")</f>
        <v/>
      </c>
      <c r="AA97">
        <f>IF(AND($A97&lt;&gt;"",AA$3&gt;=$J97,AA$3&lt;=$M97),1,"")</f>
        <v/>
      </c>
      <c r="AB97">
        <f>IF(AND($A97&lt;&gt;"",AB$3&gt;=$J97,AB$3&lt;=$M97),1,"")</f>
        <v/>
      </c>
      <c r="AC97">
        <f>IF(AND($A97&lt;&gt;"",AC$3&gt;=$J97,AC$3&lt;=$M97),1,"")</f>
        <v/>
      </c>
      <c r="AD97">
        <f>IF(AND($A97&lt;&gt;"",AD$3&gt;=$J97,AD$3&lt;=$M97),1,"")</f>
        <v/>
      </c>
      <c r="AE97">
        <f>IF(AND($A97&lt;&gt;"",AE$3&gt;=$J97,AE$3&lt;=$M97),1,"")</f>
        <v/>
      </c>
      <c r="AF97">
        <f>IF(AND($A97&lt;&gt;"",AF$3&gt;=$J97,AF$3&lt;=$M97),1,"")</f>
        <v/>
      </c>
      <c r="AG97">
        <f>IF(AND($A97&lt;&gt;"",AG$3&gt;=$J97,AG$3&lt;=$M97),1,"")</f>
        <v/>
      </c>
      <c r="AH97">
        <f>IF(AND($A97&lt;&gt;"",AH$3&gt;=$J97,AH$3&lt;=$M97),1,"")</f>
        <v/>
      </c>
      <c r="AI97">
        <f>IF(AND($A97&lt;&gt;"",AI$3&gt;=$J97,AI$3&lt;=$M97),1,"")</f>
        <v/>
      </c>
      <c r="AJ97">
        <f>IF(AND($A97&lt;&gt;"",AJ$3&gt;=$J97,AJ$3&lt;=$M97),1,"")</f>
        <v/>
      </c>
      <c r="AK97">
        <f>IF(AND($A97&lt;&gt;"",AK$3&gt;=$J97,AK$3&lt;=$M97),1,"")</f>
        <v/>
      </c>
      <c r="AL97">
        <f>IF(AND($A97&lt;&gt;"",AL$3&gt;=$J97,AL$3&lt;=$M97),1,"")</f>
        <v/>
      </c>
      <c r="AM97">
        <f>IF(AND($A97&lt;&gt;"",AM$3&gt;=$J97,AM$3&lt;=$M97),1,"")</f>
        <v/>
      </c>
      <c r="AN97">
        <f>IF(AND($A97&lt;&gt;"",AN$3&gt;=$J97,AN$3&lt;=$M97),1,"")</f>
        <v/>
      </c>
      <c r="AO97">
        <f>IF(AND($A97&lt;&gt;"",AO$3&gt;=$J97,AO$3&lt;=$M97),1,"")</f>
        <v/>
      </c>
      <c r="AP97">
        <f>IF(AND($A97&lt;&gt;"",AP$3&gt;=$J97,AP$3&lt;=$M97),1,"")</f>
        <v/>
      </c>
      <c r="AQ97">
        <f>IF(AND($A97&lt;&gt;"",AQ$3&gt;=$J97,AQ$3&lt;=$M97),1,"")</f>
        <v/>
      </c>
      <c r="AR97">
        <f>IF(AND($A97&lt;&gt;"",AR$3&gt;=$J97,AR$3&lt;=$M97),1,"")</f>
        <v/>
      </c>
      <c r="AS97">
        <f>IF(AND($A97&lt;&gt;"",AS$3&gt;=$J97,AS$3&lt;=$M97),1,"")</f>
        <v/>
      </c>
      <c r="AT97">
        <f>IF(AND($A97&lt;&gt;"",AT$3&gt;=$J97,AT$3&lt;=$M97),1,"")</f>
        <v/>
      </c>
      <c r="AU97">
        <f>IF(AND($A97&lt;&gt;"",AU$3&gt;=$J97,AU$3&lt;=$M97),1,"")</f>
        <v/>
      </c>
      <c r="AV97">
        <f>IF(AND($A97&lt;&gt;"",AV$3&gt;=$J97,AV$3&lt;=$M97),1,"")</f>
        <v/>
      </c>
      <c r="AW97">
        <f>IF(AND($A97&lt;&gt;"",AW$3&gt;=$J97,AW$3&lt;=$M97),1,"")</f>
        <v/>
      </c>
      <c r="AX97">
        <f>IF(AND($A97&lt;&gt;"",AX$3&gt;=$J97,AX$3&lt;=$M97),1,"")</f>
        <v/>
      </c>
      <c r="AY97">
        <f>IF(AND($A97&lt;&gt;"",AY$3&gt;=$J97,AY$3&lt;=$M97),1,"")</f>
        <v/>
      </c>
      <c r="AZ97">
        <f>IF(AND($A97&lt;&gt;"",AZ$3&gt;=$J97,AZ$3&lt;=$M97),1,"")</f>
        <v/>
      </c>
      <c r="BA97">
        <f>IF(AND($A97&lt;&gt;"",BA$3&gt;=$J97,BA$3&lt;=$M97),1,"")</f>
        <v/>
      </c>
      <c r="BB97">
        <f>IF(AND($A97&lt;&gt;"",BB$3&gt;=$J97,BB$3&lt;=$M97),1,"")</f>
        <v/>
      </c>
      <c r="BC97">
        <f>IF(AND($A97&lt;&gt;"",BC$3&gt;=$J97,BC$3&lt;=$M97),1,"")</f>
        <v/>
      </c>
      <c r="BD97">
        <f>IF(AND($A97&lt;&gt;"",BD$3&gt;=$J97,BD$3&lt;=$M97),1,"")</f>
        <v/>
      </c>
      <c r="BE97">
        <f>IF(AND($A97&lt;&gt;"",BE$3&gt;=$J97,BE$3&lt;=$M97),1,"")</f>
        <v/>
      </c>
      <c r="BF97">
        <f>IF(AND($A97&lt;&gt;"",BF$3&gt;=$J97,BF$3&lt;=$M97),1,"")</f>
        <v/>
      </c>
      <c r="BG97">
        <f>IF(AND($A97&lt;&gt;"",BG$3&gt;=$J97,BG$3&lt;=$M97),1,"")</f>
        <v/>
      </c>
      <c r="BH97">
        <f>IF(AND($A97&lt;&gt;"",BH$3&gt;=$J97,BH$3&lt;=$M97),1,"")</f>
        <v/>
      </c>
      <c r="BI97">
        <f>IF(AND($A97&lt;&gt;"",BI$3&gt;=$J97,BI$3&lt;=$M97),1,"")</f>
        <v/>
      </c>
      <c r="BJ97">
        <f>IF(AND($A97&lt;&gt;"",BJ$3&gt;=$J97,BJ$3&lt;=$M97),1,"")</f>
        <v/>
      </c>
      <c r="BK97">
        <f>IF(AND($A97&lt;&gt;"",BK$3&gt;=$J97,BK$3&lt;=$M97),1,"")</f>
        <v/>
      </c>
      <c r="BL97">
        <f>IF(AND($A97&lt;&gt;"",BL$3&gt;=$J97,BL$3&lt;=$M97),1,"")</f>
        <v/>
      </c>
      <c r="BM97">
        <f>IF(AND($A97&lt;&gt;"",BM$3&gt;=$J97,BM$3&lt;=$M97),1,"")</f>
        <v/>
      </c>
      <c r="BN97">
        <f>IF(AND($A97&lt;&gt;"",BN$3&gt;=$J97,BN$3&lt;=$M97),1,"")</f>
        <v/>
      </c>
      <c r="BO97">
        <f>IF(AND($A97&lt;&gt;"",BO$3&gt;=$J97,BO$3&lt;=$M97),1,"")</f>
        <v/>
      </c>
      <c r="BP97">
        <f>IF(AND($A97&lt;&gt;"",BP$3&gt;=$J97,BP$3&lt;=$M97),1,"")</f>
        <v/>
      </c>
      <c r="BQ97">
        <f>IF(AND($A97&lt;&gt;"",BQ$3&gt;=$J97,BQ$3&lt;=$M97),1,"")</f>
        <v/>
      </c>
      <c r="BR97">
        <f>IF(AND($A97&lt;&gt;"",BR$3&gt;=$J97,BR$3&lt;=$M97),1,"")</f>
        <v/>
      </c>
      <c r="BS97">
        <f>IF(AND($A97&lt;&gt;"",BS$3&gt;=$J97,BS$3&lt;=$M97),1,"")</f>
        <v/>
      </c>
      <c r="BT97">
        <f>IF(AND($A97&lt;&gt;"",BT$3&gt;=$J97,BT$3&lt;=$M97),1,"")</f>
        <v/>
      </c>
      <c r="BU97">
        <f>IF(AND($A97&lt;&gt;"",BU$3&gt;=$J97,BU$3&lt;=$M97),1,"")</f>
        <v/>
      </c>
      <c r="BV97">
        <f>IF(AND($A97&lt;&gt;"",BV$3&gt;=$J97,BV$3&lt;=$M97),1,"")</f>
        <v/>
      </c>
    </row>
    <row r="98">
      <c r="A98">
        <f>IF(Job_Master_Ring!$A98="","",Job_Master_Ring!$A98)</f>
        <v/>
      </c>
      <c r="B98">
        <f>IF($A98="","",Job_Master_Ring!B98)</f>
        <v/>
      </c>
      <c r="C98">
        <f>IF($A98="","",Job_Master_Ring!C98)</f>
        <v/>
      </c>
      <c r="D98">
        <f>IF($A98="","",Job_Master_Ring!D98)</f>
        <v/>
      </c>
      <c r="E98">
        <f>IF($A98="","",IF($I98&lt;&gt;"",$I98,IFERROR(INDEX(Machine_List!$B$72:$B$81,MATCH(1,(Machine_List!$H$72:$H$81&lt;=IFERROR(VLOOKUP($B98,CHOOSE(MATCH($C98,Settings!$L$4:$L$10,0),OPR_BR1!$A$4:$K$18,OPR_BR2!$A$4:$K$18,OPR_CR2!$A$4:$K$18,OPR_CR3!$A$4:$K$18,OPR_CR4!$A$4:$K$18,OPR_RIM!$A$4:$K$18,OPR_BPR!$A$4:$K$18),10,0),0))*(Machine_List!$I$72:$I$81&gt;=IFERROR(VLOOKUP($B98,CHOOSE(MATCH($C98,Settings!$L$4:$L$10,0),OPR_BR1!$A$4:$K$18,OPR_BR2!$A$4:$K$18,OPR_CR2!$A$4:$K$18,OPR_CR3!$A$4:$K$18,OPR_CR4!$A$4:$K$18,OPR_RIM!$A$4:$K$18,OPR_BPR!$A$4:$K$18),11,0),9999)),0)),"NO COMPATIBLE MACHINE")))</f>
        <v/>
      </c>
      <c r="F98">
        <f>IF($E98="","",IFERROR(VLOOKUP($E98,Machine_List!$B:$G,6,0),""))</f>
        <v/>
      </c>
      <c r="G98" s="17">
        <f>IF($E98="","",IFERROR(VLOOKUP($E98,Machine_List!$B:$C,2,0),""))</f>
        <v/>
      </c>
      <c r="H98">
        <f>IF($E98="","",IFERROR(VLOOKUP($E98,Machine_List!$B:$D,3,0),""))</f>
        <v/>
      </c>
      <c r="J98" s="16">
        <f>IF($A98="","",IF($I98&lt;&gt;"",$I98,MAX(VENT_Plan!$M98,IFERROR(LOOKUP(2,1/($E$3:INDIRECT("E"&amp;(ROW()-1))=$E98),$M$3:INDIRECT("M"&amp;(ROW()-1))),VENT_Plan!$M98))))</f>
        <v/>
      </c>
      <c r="K98">
        <f>IF($A98="","",IFERROR(VLOOKUP(B98,CHOOSE(MATCH($C98,Settings!$L$4:$L$10,0),OPR_BR1!$A$4:$I$18,OPR_BR2!$A$4:$I$18,OPR_CR2!$A$4:$I$18,OPR_CR3!$A$4:$I$18,OPR_CR4!$A$4:$I$18,OPR_RIM!$A$4:$I$18,OPR_BPR!$A$4:$I$18),8,0),0))</f>
        <v/>
      </c>
      <c r="L98">
        <f>IF($A98="","",K98*D98)</f>
        <v/>
      </c>
      <c r="M98" s="16">
        <f>IF($A98="","",IF(AND(ISNUMBER(G98),G98&gt;=J98,G98&lt;=(J98+(L98/(IF(F98="Contract Workman",Settings!$K$5,Settings!$K$4))))),J98+(L98/(IF(F98="Contract Workman",Settings!$K$5,Settings!$K$4)))+(H98/(IF(F98="Contract Workman",Settings!$K$5,Settings!$K$4))),J98+(L98/(IF(F98="Contract Workman",Settings!$K$5,Settings!$K$4)))))</f>
        <v/>
      </c>
      <c r="N98">
        <f>IF($A98="","",IF(F98="Contract Workman",IF(AND(MOD(M98,1)&gt;=8/24,MOD(M98,1)&lt;20/24),"Shift S1","Shift S2"),IF(AND(MOD(M98,1)&gt;=7/24,MOD(M98,1)&lt;15/24),"Shift A",IF(AND(MOD(M98,1)&gt;=15/24,MOD(M98,1)&lt;23/24),"Shift B","Shift C"))))</f>
        <v/>
      </c>
      <c r="O98">
        <f>IF(B98="","",IF(IFERROR(ISNUMBER(SEARCH(TEXT(B98,"0"),VLOOKUP(E98,Machine_List!$B:$J,9,0))),FALSE),"✅ "&amp; E98,"❌ Sug: "&amp;IFERROR(INDEX(Machine_List!$B$72:$B$81,MATCH(1,(Machine_List!$H$72:$H$81&lt;=IFERROR(VLOOKUP($B98,OPR_BR1!$A$4:$K$18,10,0),0))*(Machine_List!$I$72:$I$81&gt;=IFERROR(VLOOKUP($B98,OPR_BR1!$A$4:$K$18,11,0),9999)),0)),"?")))</f>
        <v/>
      </c>
      <c r="P98">
        <f>IF(AND($A98&lt;&gt;"",P$3&gt;=$J98,P$3&lt;=$M98),1,"")</f>
        <v/>
      </c>
      <c r="Q98">
        <f>IF(AND($A98&lt;&gt;"",Q$3&gt;=$J98,Q$3&lt;=$M98),1,"")</f>
        <v/>
      </c>
      <c r="R98">
        <f>IF(AND($A98&lt;&gt;"",R$3&gt;=$J98,R$3&lt;=$M98),1,"")</f>
        <v/>
      </c>
      <c r="S98">
        <f>IF(AND($A98&lt;&gt;"",S$3&gt;=$J98,S$3&lt;=$M98),1,"")</f>
        <v/>
      </c>
      <c r="T98">
        <f>IF(AND($A98&lt;&gt;"",T$3&gt;=$J98,T$3&lt;=$M98),1,"")</f>
        <v/>
      </c>
      <c r="U98">
        <f>IF(AND($A98&lt;&gt;"",U$3&gt;=$J98,U$3&lt;=$M98),1,"")</f>
        <v/>
      </c>
      <c r="V98">
        <f>IF(AND($A98&lt;&gt;"",V$3&gt;=$J98,V$3&lt;=$M98),1,"")</f>
        <v/>
      </c>
      <c r="W98">
        <f>IF(AND($A98&lt;&gt;"",W$3&gt;=$J98,W$3&lt;=$M98),1,"")</f>
        <v/>
      </c>
      <c r="X98">
        <f>IF(AND($A98&lt;&gt;"",X$3&gt;=$J98,X$3&lt;=$M98),1,"")</f>
        <v/>
      </c>
      <c r="Y98">
        <f>IF(AND($A98&lt;&gt;"",Y$3&gt;=$J98,Y$3&lt;=$M98),1,"")</f>
        <v/>
      </c>
      <c r="Z98">
        <f>IF(AND($A98&lt;&gt;"",Z$3&gt;=$J98,Z$3&lt;=$M98),1,"")</f>
        <v/>
      </c>
      <c r="AA98">
        <f>IF(AND($A98&lt;&gt;"",AA$3&gt;=$J98,AA$3&lt;=$M98),1,"")</f>
        <v/>
      </c>
      <c r="AB98">
        <f>IF(AND($A98&lt;&gt;"",AB$3&gt;=$J98,AB$3&lt;=$M98),1,"")</f>
        <v/>
      </c>
      <c r="AC98">
        <f>IF(AND($A98&lt;&gt;"",AC$3&gt;=$J98,AC$3&lt;=$M98),1,"")</f>
        <v/>
      </c>
      <c r="AD98">
        <f>IF(AND($A98&lt;&gt;"",AD$3&gt;=$J98,AD$3&lt;=$M98),1,"")</f>
        <v/>
      </c>
      <c r="AE98">
        <f>IF(AND($A98&lt;&gt;"",AE$3&gt;=$J98,AE$3&lt;=$M98),1,"")</f>
        <v/>
      </c>
      <c r="AF98">
        <f>IF(AND($A98&lt;&gt;"",AF$3&gt;=$J98,AF$3&lt;=$M98),1,"")</f>
        <v/>
      </c>
      <c r="AG98">
        <f>IF(AND($A98&lt;&gt;"",AG$3&gt;=$J98,AG$3&lt;=$M98),1,"")</f>
        <v/>
      </c>
      <c r="AH98">
        <f>IF(AND($A98&lt;&gt;"",AH$3&gt;=$J98,AH$3&lt;=$M98),1,"")</f>
        <v/>
      </c>
      <c r="AI98">
        <f>IF(AND($A98&lt;&gt;"",AI$3&gt;=$J98,AI$3&lt;=$M98),1,"")</f>
        <v/>
      </c>
      <c r="AJ98">
        <f>IF(AND($A98&lt;&gt;"",AJ$3&gt;=$J98,AJ$3&lt;=$M98),1,"")</f>
        <v/>
      </c>
      <c r="AK98">
        <f>IF(AND($A98&lt;&gt;"",AK$3&gt;=$J98,AK$3&lt;=$M98),1,"")</f>
        <v/>
      </c>
      <c r="AL98">
        <f>IF(AND($A98&lt;&gt;"",AL$3&gt;=$J98,AL$3&lt;=$M98),1,"")</f>
        <v/>
      </c>
      <c r="AM98">
        <f>IF(AND($A98&lt;&gt;"",AM$3&gt;=$J98,AM$3&lt;=$M98),1,"")</f>
        <v/>
      </c>
      <c r="AN98">
        <f>IF(AND($A98&lt;&gt;"",AN$3&gt;=$J98,AN$3&lt;=$M98),1,"")</f>
        <v/>
      </c>
      <c r="AO98">
        <f>IF(AND($A98&lt;&gt;"",AO$3&gt;=$J98,AO$3&lt;=$M98),1,"")</f>
        <v/>
      </c>
      <c r="AP98">
        <f>IF(AND($A98&lt;&gt;"",AP$3&gt;=$J98,AP$3&lt;=$M98),1,"")</f>
        <v/>
      </c>
      <c r="AQ98">
        <f>IF(AND($A98&lt;&gt;"",AQ$3&gt;=$J98,AQ$3&lt;=$M98),1,"")</f>
        <v/>
      </c>
      <c r="AR98">
        <f>IF(AND($A98&lt;&gt;"",AR$3&gt;=$J98,AR$3&lt;=$M98),1,"")</f>
        <v/>
      </c>
      <c r="AS98">
        <f>IF(AND($A98&lt;&gt;"",AS$3&gt;=$J98,AS$3&lt;=$M98),1,"")</f>
        <v/>
      </c>
      <c r="AT98">
        <f>IF(AND($A98&lt;&gt;"",AT$3&gt;=$J98,AT$3&lt;=$M98),1,"")</f>
        <v/>
      </c>
      <c r="AU98">
        <f>IF(AND($A98&lt;&gt;"",AU$3&gt;=$J98,AU$3&lt;=$M98),1,"")</f>
        <v/>
      </c>
      <c r="AV98">
        <f>IF(AND($A98&lt;&gt;"",AV$3&gt;=$J98,AV$3&lt;=$M98),1,"")</f>
        <v/>
      </c>
      <c r="AW98">
        <f>IF(AND($A98&lt;&gt;"",AW$3&gt;=$J98,AW$3&lt;=$M98),1,"")</f>
        <v/>
      </c>
      <c r="AX98">
        <f>IF(AND($A98&lt;&gt;"",AX$3&gt;=$J98,AX$3&lt;=$M98),1,"")</f>
        <v/>
      </c>
      <c r="AY98">
        <f>IF(AND($A98&lt;&gt;"",AY$3&gt;=$J98,AY$3&lt;=$M98),1,"")</f>
        <v/>
      </c>
      <c r="AZ98">
        <f>IF(AND($A98&lt;&gt;"",AZ$3&gt;=$J98,AZ$3&lt;=$M98),1,"")</f>
        <v/>
      </c>
      <c r="BA98">
        <f>IF(AND($A98&lt;&gt;"",BA$3&gt;=$J98,BA$3&lt;=$M98),1,"")</f>
        <v/>
      </c>
      <c r="BB98">
        <f>IF(AND($A98&lt;&gt;"",BB$3&gt;=$J98,BB$3&lt;=$M98),1,"")</f>
        <v/>
      </c>
      <c r="BC98">
        <f>IF(AND($A98&lt;&gt;"",BC$3&gt;=$J98,BC$3&lt;=$M98),1,"")</f>
        <v/>
      </c>
      <c r="BD98">
        <f>IF(AND($A98&lt;&gt;"",BD$3&gt;=$J98,BD$3&lt;=$M98),1,"")</f>
        <v/>
      </c>
      <c r="BE98">
        <f>IF(AND($A98&lt;&gt;"",BE$3&gt;=$J98,BE$3&lt;=$M98),1,"")</f>
        <v/>
      </c>
      <c r="BF98">
        <f>IF(AND($A98&lt;&gt;"",BF$3&gt;=$J98,BF$3&lt;=$M98),1,"")</f>
        <v/>
      </c>
      <c r="BG98">
        <f>IF(AND($A98&lt;&gt;"",BG$3&gt;=$J98,BG$3&lt;=$M98),1,"")</f>
        <v/>
      </c>
      <c r="BH98">
        <f>IF(AND($A98&lt;&gt;"",BH$3&gt;=$J98,BH$3&lt;=$M98),1,"")</f>
        <v/>
      </c>
      <c r="BI98">
        <f>IF(AND($A98&lt;&gt;"",BI$3&gt;=$J98,BI$3&lt;=$M98),1,"")</f>
        <v/>
      </c>
      <c r="BJ98">
        <f>IF(AND($A98&lt;&gt;"",BJ$3&gt;=$J98,BJ$3&lt;=$M98),1,"")</f>
        <v/>
      </c>
      <c r="BK98">
        <f>IF(AND($A98&lt;&gt;"",BK$3&gt;=$J98,BK$3&lt;=$M98),1,"")</f>
        <v/>
      </c>
      <c r="BL98">
        <f>IF(AND($A98&lt;&gt;"",BL$3&gt;=$J98,BL$3&lt;=$M98),1,"")</f>
        <v/>
      </c>
      <c r="BM98">
        <f>IF(AND($A98&lt;&gt;"",BM$3&gt;=$J98,BM$3&lt;=$M98),1,"")</f>
        <v/>
      </c>
      <c r="BN98">
        <f>IF(AND($A98&lt;&gt;"",BN$3&gt;=$J98,BN$3&lt;=$M98),1,"")</f>
        <v/>
      </c>
      <c r="BO98">
        <f>IF(AND($A98&lt;&gt;"",BO$3&gt;=$J98,BO$3&lt;=$M98),1,"")</f>
        <v/>
      </c>
      <c r="BP98">
        <f>IF(AND($A98&lt;&gt;"",BP$3&gt;=$J98,BP$3&lt;=$M98),1,"")</f>
        <v/>
      </c>
      <c r="BQ98">
        <f>IF(AND($A98&lt;&gt;"",BQ$3&gt;=$J98,BQ$3&lt;=$M98),1,"")</f>
        <v/>
      </c>
      <c r="BR98">
        <f>IF(AND($A98&lt;&gt;"",BR$3&gt;=$J98,BR$3&lt;=$M98),1,"")</f>
        <v/>
      </c>
      <c r="BS98">
        <f>IF(AND($A98&lt;&gt;"",BS$3&gt;=$J98,BS$3&lt;=$M98),1,"")</f>
        <v/>
      </c>
      <c r="BT98">
        <f>IF(AND($A98&lt;&gt;"",BT$3&gt;=$J98,BT$3&lt;=$M98),1,"")</f>
        <v/>
      </c>
      <c r="BU98">
        <f>IF(AND($A98&lt;&gt;"",BU$3&gt;=$J98,BU$3&lt;=$M98),1,"")</f>
        <v/>
      </c>
      <c r="BV98">
        <f>IF(AND($A98&lt;&gt;"",BV$3&gt;=$J98,BV$3&lt;=$M98),1,"")</f>
        <v/>
      </c>
    </row>
    <row r="99">
      <c r="A99">
        <f>IF(Job_Master_Ring!$A99="","",Job_Master_Ring!$A99)</f>
        <v/>
      </c>
      <c r="B99">
        <f>IF($A99="","",Job_Master_Ring!B99)</f>
        <v/>
      </c>
      <c r="C99">
        <f>IF($A99="","",Job_Master_Ring!C99)</f>
        <v/>
      </c>
      <c r="D99">
        <f>IF($A99="","",Job_Master_Ring!D99)</f>
        <v/>
      </c>
      <c r="E99">
        <f>IF($A99="","",IF($I99&lt;&gt;"",$I99,IFERROR(INDEX(Machine_List!$B$72:$B$81,MATCH(1,(Machine_List!$H$72:$H$81&lt;=IFERROR(VLOOKUP($B99,CHOOSE(MATCH($C99,Settings!$L$4:$L$10,0),OPR_BR1!$A$4:$K$18,OPR_BR2!$A$4:$K$18,OPR_CR2!$A$4:$K$18,OPR_CR3!$A$4:$K$18,OPR_CR4!$A$4:$K$18,OPR_RIM!$A$4:$K$18,OPR_BPR!$A$4:$K$18),10,0),0))*(Machine_List!$I$72:$I$81&gt;=IFERROR(VLOOKUP($B99,CHOOSE(MATCH($C99,Settings!$L$4:$L$10,0),OPR_BR1!$A$4:$K$18,OPR_BR2!$A$4:$K$18,OPR_CR2!$A$4:$K$18,OPR_CR3!$A$4:$K$18,OPR_CR4!$A$4:$K$18,OPR_RIM!$A$4:$K$18,OPR_BPR!$A$4:$K$18),11,0),9999)),0)),"NO COMPATIBLE MACHINE")))</f>
        <v/>
      </c>
      <c r="F99">
        <f>IF($E99="","",IFERROR(VLOOKUP($E99,Machine_List!$B:$G,6,0),""))</f>
        <v/>
      </c>
      <c r="G99" s="17">
        <f>IF($E99="","",IFERROR(VLOOKUP($E99,Machine_List!$B:$C,2,0),""))</f>
        <v/>
      </c>
      <c r="H99">
        <f>IF($E99="","",IFERROR(VLOOKUP($E99,Machine_List!$B:$D,3,0),""))</f>
        <v/>
      </c>
      <c r="J99" s="16">
        <f>IF($A99="","",IF($I99&lt;&gt;"",$I99,MAX(VENT_Plan!$M99,IFERROR(LOOKUP(2,1/($E$3:INDIRECT("E"&amp;(ROW()-1))=$E99),$M$3:INDIRECT("M"&amp;(ROW()-1))),VENT_Plan!$M99))))</f>
        <v/>
      </c>
      <c r="K99">
        <f>IF($A99="","",IFERROR(VLOOKUP(B99,CHOOSE(MATCH($C99,Settings!$L$4:$L$10,0),OPR_BR1!$A$4:$I$18,OPR_BR2!$A$4:$I$18,OPR_CR2!$A$4:$I$18,OPR_CR3!$A$4:$I$18,OPR_CR4!$A$4:$I$18,OPR_RIM!$A$4:$I$18,OPR_BPR!$A$4:$I$18),8,0),0))</f>
        <v/>
      </c>
      <c r="L99">
        <f>IF($A99="","",K99*D99)</f>
        <v/>
      </c>
      <c r="M99" s="16">
        <f>IF($A99="","",IF(AND(ISNUMBER(G99),G99&gt;=J99,G99&lt;=(J99+(L99/(IF(F99="Contract Workman",Settings!$K$5,Settings!$K$4))))),J99+(L99/(IF(F99="Contract Workman",Settings!$K$5,Settings!$K$4)))+(H99/(IF(F99="Contract Workman",Settings!$K$5,Settings!$K$4))),J99+(L99/(IF(F99="Contract Workman",Settings!$K$5,Settings!$K$4)))))</f>
        <v/>
      </c>
      <c r="N99">
        <f>IF($A99="","",IF(F99="Contract Workman",IF(AND(MOD(M99,1)&gt;=8/24,MOD(M99,1)&lt;20/24),"Shift S1","Shift S2"),IF(AND(MOD(M99,1)&gt;=7/24,MOD(M99,1)&lt;15/24),"Shift A",IF(AND(MOD(M99,1)&gt;=15/24,MOD(M99,1)&lt;23/24),"Shift B","Shift C"))))</f>
        <v/>
      </c>
      <c r="O99">
        <f>IF(B99="","",IF(IFERROR(ISNUMBER(SEARCH(TEXT(B99,"0"),VLOOKUP(E99,Machine_List!$B:$J,9,0))),FALSE),"✅ "&amp; E99,"❌ Sug: "&amp;IFERROR(INDEX(Machine_List!$B$72:$B$81,MATCH(1,(Machine_List!$H$72:$H$81&lt;=IFERROR(VLOOKUP($B99,OPR_BR1!$A$4:$K$18,10,0),0))*(Machine_List!$I$72:$I$81&gt;=IFERROR(VLOOKUP($B99,OPR_BR1!$A$4:$K$18,11,0),9999)),0)),"?")))</f>
        <v/>
      </c>
      <c r="P99">
        <f>IF(AND($A99&lt;&gt;"",P$3&gt;=$J99,P$3&lt;=$M99),1,"")</f>
        <v/>
      </c>
      <c r="Q99">
        <f>IF(AND($A99&lt;&gt;"",Q$3&gt;=$J99,Q$3&lt;=$M99),1,"")</f>
        <v/>
      </c>
      <c r="R99">
        <f>IF(AND($A99&lt;&gt;"",R$3&gt;=$J99,R$3&lt;=$M99),1,"")</f>
        <v/>
      </c>
      <c r="S99">
        <f>IF(AND($A99&lt;&gt;"",S$3&gt;=$J99,S$3&lt;=$M99),1,"")</f>
        <v/>
      </c>
      <c r="T99">
        <f>IF(AND($A99&lt;&gt;"",T$3&gt;=$J99,T$3&lt;=$M99),1,"")</f>
        <v/>
      </c>
      <c r="U99">
        <f>IF(AND($A99&lt;&gt;"",U$3&gt;=$J99,U$3&lt;=$M99),1,"")</f>
        <v/>
      </c>
      <c r="V99">
        <f>IF(AND($A99&lt;&gt;"",V$3&gt;=$J99,V$3&lt;=$M99),1,"")</f>
        <v/>
      </c>
      <c r="W99">
        <f>IF(AND($A99&lt;&gt;"",W$3&gt;=$J99,W$3&lt;=$M99),1,"")</f>
        <v/>
      </c>
      <c r="X99">
        <f>IF(AND($A99&lt;&gt;"",X$3&gt;=$J99,X$3&lt;=$M99),1,"")</f>
        <v/>
      </c>
      <c r="Y99">
        <f>IF(AND($A99&lt;&gt;"",Y$3&gt;=$J99,Y$3&lt;=$M99),1,"")</f>
        <v/>
      </c>
      <c r="Z99">
        <f>IF(AND($A99&lt;&gt;"",Z$3&gt;=$J99,Z$3&lt;=$M99),1,"")</f>
        <v/>
      </c>
      <c r="AA99">
        <f>IF(AND($A99&lt;&gt;"",AA$3&gt;=$J99,AA$3&lt;=$M99),1,"")</f>
        <v/>
      </c>
      <c r="AB99">
        <f>IF(AND($A99&lt;&gt;"",AB$3&gt;=$J99,AB$3&lt;=$M99),1,"")</f>
        <v/>
      </c>
      <c r="AC99">
        <f>IF(AND($A99&lt;&gt;"",AC$3&gt;=$J99,AC$3&lt;=$M99),1,"")</f>
        <v/>
      </c>
      <c r="AD99">
        <f>IF(AND($A99&lt;&gt;"",AD$3&gt;=$J99,AD$3&lt;=$M99),1,"")</f>
        <v/>
      </c>
      <c r="AE99">
        <f>IF(AND($A99&lt;&gt;"",AE$3&gt;=$J99,AE$3&lt;=$M99),1,"")</f>
        <v/>
      </c>
      <c r="AF99">
        <f>IF(AND($A99&lt;&gt;"",AF$3&gt;=$J99,AF$3&lt;=$M99),1,"")</f>
        <v/>
      </c>
      <c r="AG99">
        <f>IF(AND($A99&lt;&gt;"",AG$3&gt;=$J99,AG$3&lt;=$M99),1,"")</f>
        <v/>
      </c>
      <c r="AH99">
        <f>IF(AND($A99&lt;&gt;"",AH$3&gt;=$J99,AH$3&lt;=$M99),1,"")</f>
        <v/>
      </c>
      <c r="AI99">
        <f>IF(AND($A99&lt;&gt;"",AI$3&gt;=$J99,AI$3&lt;=$M99),1,"")</f>
        <v/>
      </c>
      <c r="AJ99">
        <f>IF(AND($A99&lt;&gt;"",AJ$3&gt;=$J99,AJ$3&lt;=$M99),1,"")</f>
        <v/>
      </c>
      <c r="AK99">
        <f>IF(AND($A99&lt;&gt;"",AK$3&gt;=$J99,AK$3&lt;=$M99),1,"")</f>
        <v/>
      </c>
      <c r="AL99">
        <f>IF(AND($A99&lt;&gt;"",AL$3&gt;=$J99,AL$3&lt;=$M99),1,"")</f>
        <v/>
      </c>
      <c r="AM99">
        <f>IF(AND($A99&lt;&gt;"",AM$3&gt;=$J99,AM$3&lt;=$M99),1,"")</f>
        <v/>
      </c>
      <c r="AN99">
        <f>IF(AND($A99&lt;&gt;"",AN$3&gt;=$J99,AN$3&lt;=$M99),1,"")</f>
        <v/>
      </c>
      <c r="AO99">
        <f>IF(AND($A99&lt;&gt;"",AO$3&gt;=$J99,AO$3&lt;=$M99),1,"")</f>
        <v/>
      </c>
      <c r="AP99">
        <f>IF(AND($A99&lt;&gt;"",AP$3&gt;=$J99,AP$3&lt;=$M99),1,"")</f>
        <v/>
      </c>
      <c r="AQ99">
        <f>IF(AND($A99&lt;&gt;"",AQ$3&gt;=$J99,AQ$3&lt;=$M99),1,"")</f>
        <v/>
      </c>
      <c r="AR99">
        <f>IF(AND($A99&lt;&gt;"",AR$3&gt;=$J99,AR$3&lt;=$M99),1,"")</f>
        <v/>
      </c>
      <c r="AS99">
        <f>IF(AND($A99&lt;&gt;"",AS$3&gt;=$J99,AS$3&lt;=$M99),1,"")</f>
        <v/>
      </c>
      <c r="AT99">
        <f>IF(AND($A99&lt;&gt;"",AT$3&gt;=$J99,AT$3&lt;=$M99),1,"")</f>
        <v/>
      </c>
      <c r="AU99">
        <f>IF(AND($A99&lt;&gt;"",AU$3&gt;=$J99,AU$3&lt;=$M99),1,"")</f>
        <v/>
      </c>
      <c r="AV99">
        <f>IF(AND($A99&lt;&gt;"",AV$3&gt;=$J99,AV$3&lt;=$M99),1,"")</f>
        <v/>
      </c>
      <c r="AW99">
        <f>IF(AND($A99&lt;&gt;"",AW$3&gt;=$J99,AW$3&lt;=$M99),1,"")</f>
        <v/>
      </c>
      <c r="AX99">
        <f>IF(AND($A99&lt;&gt;"",AX$3&gt;=$J99,AX$3&lt;=$M99),1,"")</f>
        <v/>
      </c>
      <c r="AY99">
        <f>IF(AND($A99&lt;&gt;"",AY$3&gt;=$J99,AY$3&lt;=$M99),1,"")</f>
        <v/>
      </c>
      <c r="AZ99">
        <f>IF(AND($A99&lt;&gt;"",AZ$3&gt;=$J99,AZ$3&lt;=$M99),1,"")</f>
        <v/>
      </c>
      <c r="BA99">
        <f>IF(AND($A99&lt;&gt;"",BA$3&gt;=$J99,BA$3&lt;=$M99),1,"")</f>
        <v/>
      </c>
      <c r="BB99">
        <f>IF(AND($A99&lt;&gt;"",BB$3&gt;=$J99,BB$3&lt;=$M99),1,"")</f>
        <v/>
      </c>
      <c r="BC99">
        <f>IF(AND($A99&lt;&gt;"",BC$3&gt;=$J99,BC$3&lt;=$M99),1,"")</f>
        <v/>
      </c>
      <c r="BD99">
        <f>IF(AND($A99&lt;&gt;"",BD$3&gt;=$J99,BD$3&lt;=$M99),1,"")</f>
        <v/>
      </c>
      <c r="BE99">
        <f>IF(AND($A99&lt;&gt;"",BE$3&gt;=$J99,BE$3&lt;=$M99),1,"")</f>
        <v/>
      </c>
      <c r="BF99">
        <f>IF(AND($A99&lt;&gt;"",BF$3&gt;=$J99,BF$3&lt;=$M99),1,"")</f>
        <v/>
      </c>
      <c r="BG99">
        <f>IF(AND($A99&lt;&gt;"",BG$3&gt;=$J99,BG$3&lt;=$M99),1,"")</f>
        <v/>
      </c>
      <c r="BH99">
        <f>IF(AND($A99&lt;&gt;"",BH$3&gt;=$J99,BH$3&lt;=$M99),1,"")</f>
        <v/>
      </c>
      <c r="BI99">
        <f>IF(AND($A99&lt;&gt;"",BI$3&gt;=$J99,BI$3&lt;=$M99),1,"")</f>
        <v/>
      </c>
      <c r="BJ99">
        <f>IF(AND($A99&lt;&gt;"",BJ$3&gt;=$J99,BJ$3&lt;=$M99),1,"")</f>
        <v/>
      </c>
      <c r="BK99">
        <f>IF(AND($A99&lt;&gt;"",BK$3&gt;=$J99,BK$3&lt;=$M99),1,"")</f>
        <v/>
      </c>
      <c r="BL99">
        <f>IF(AND($A99&lt;&gt;"",BL$3&gt;=$J99,BL$3&lt;=$M99),1,"")</f>
        <v/>
      </c>
      <c r="BM99">
        <f>IF(AND($A99&lt;&gt;"",BM$3&gt;=$J99,BM$3&lt;=$M99),1,"")</f>
        <v/>
      </c>
      <c r="BN99">
        <f>IF(AND($A99&lt;&gt;"",BN$3&gt;=$J99,BN$3&lt;=$M99),1,"")</f>
        <v/>
      </c>
      <c r="BO99">
        <f>IF(AND($A99&lt;&gt;"",BO$3&gt;=$J99,BO$3&lt;=$M99),1,"")</f>
        <v/>
      </c>
      <c r="BP99">
        <f>IF(AND($A99&lt;&gt;"",BP$3&gt;=$J99,BP$3&lt;=$M99),1,"")</f>
        <v/>
      </c>
      <c r="BQ99">
        <f>IF(AND($A99&lt;&gt;"",BQ$3&gt;=$J99,BQ$3&lt;=$M99),1,"")</f>
        <v/>
      </c>
      <c r="BR99">
        <f>IF(AND($A99&lt;&gt;"",BR$3&gt;=$J99,BR$3&lt;=$M99),1,"")</f>
        <v/>
      </c>
      <c r="BS99">
        <f>IF(AND($A99&lt;&gt;"",BS$3&gt;=$J99,BS$3&lt;=$M99),1,"")</f>
        <v/>
      </c>
      <c r="BT99">
        <f>IF(AND($A99&lt;&gt;"",BT$3&gt;=$J99,BT$3&lt;=$M99),1,"")</f>
        <v/>
      </c>
      <c r="BU99">
        <f>IF(AND($A99&lt;&gt;"",BU$3&gt;=$J99,BU$3&lt;=$M99),1,"")</f>
        <v/>
      </c>
      <c r="BV99">
        <f>IF(AND($A99&lt;&gt;"",BV$3&gt;=$J99,BV$3&lt;=$M99),1,"")</f>
        <v/>
      </c>
    </row>
    <row r="100">
      <c r="A100">
        <f>IF(Job_Master_Ring!$A100="","",Job_Master_Ring!$A100)</f>
        <v/>
      </c>
      <c r="B100">
        <f>IF($A100="","",Job_Master_Ring!B100)</f>
        <v/>
      </c>
      <c r="C100">
        <f>IF($A100="","",Job_Master_Ring!C100)</f>
        <v/>
      </c>
      <c r="D100">
        <f>IF($A100="","",Job_Master_Ring!D100)</f>
        <v/>
      </c>
      <c r="E100">
        <f>IF($A100="","",IF($I100&lt;&gt;"",$I100,IFERROR(INDEX(Machine_List!$B$72:$B$81,MATCH(1,(Machine_List!$H$72:$H$81&lt;=IFERROR(VLOOKUP($B100,CHOOSE(MATCH($C100,Settings!$L$4:$L$10,0),OPR_BR1!$A$4:$K$18,OPR_BR2!$A$4:$K$18,OPR_CR2!$A$4:$K$18,OPR_CR3!$A$4:$K$18,OPR_CR4!$A$4:$K$18,OPR_RIM!$A$4:$K$18,OPR_BPR!$A$4:$K$18),10,0),0))*(Machine_List!$I$72:$I$81&gt;=IFERROR(VLOOKUP($B100,CHOOSE(MATCH($C100,Settings!$L$4:$L$10,0),OPR_BR1!$A$4:$K$18,OPR_BR2!$A$4:$K$18,OPR_CR2!$A$4:$K$18,OPR_CR3!$A$4:$K$18,OPR_CR4!$A$4:$K$18,OPR_RIM!$A$4:$K$18,OPR_BPR!$A$4:$K$18),11,0),9999)),0)),"NO COMPATIBLE MACHINE")))</f>
        <v/>
      </c>
      <c r="F100">
        <f>IF($E100="","",IFERROR(VLOOKUP($E100,Machine_List!$B:$G,6,0),""))</f>
        <v/>
      </c>
      <c r="G100" s="17">
        <f>IF($E100="","",IFERROR(VLOOKUP($E100,Machine_List!$B:$C,2,0),""))</f>
        <v/>
      </c>
      <c r="H100">
        <f>IF($E100="","",IFERROR(VLOOKUP($E100,Machine_List!$B:$D,3,0),""))</f>
        <v/>
      </c>
      <c r="J100" s="16">
        <f>IF($A100="","",IF($I100&lt;&gt;"",$I100,MAX(VENT_Plan!$M100,IFERROR(LOOKUP(2,1/($E$3:INDIRECT("E"&amp;(ROW()-1))=$E100),$M$3:INDIRECT("M"&amp;(ROW()-1))),VENT_Plan!$M100))))</f>
        <v/>
      </c>
      <c r="K100">
        <f>IF($A100="","",IFERROR(VLOOKUP(B100,CHOOSE(MATCH($C100,Settings!$L$4:$L$10,0),OPR_BR1!$A$4:$I$18,OPR_BR2!$A$4:$I$18,OPR_CR2!$A$4:$I$18,OPR_CR3!$A$4:$I$18,OPR_CR4!$A$4:$I$18,OPR_RIM!$A$4:$I$18,OPR_BPR!$A$4:$I$18),8,0),0))</f>
        <v/>
      </c>
      <c r="L100">
        <f>IF($A100="","",K100*D100)</f>
        <v/>
      </c>
      <c r="M100" s="16">
        <f>IF($A100="","",IF(AND(ISNUMBER(G100),G100&gt;=J100,G100&lt;=(J100+(L100/(IF(F100="Contract Workman",Settings!$K$5,Settings!$K$4))))),J100+(L100/(IF(F100="Contract Workman",Settings!$K$5,Settings!$K$4)))+(H100/(IF(F100="Contract Workman",Settings!$K$5,Settings!$K$4))),J100+(L100/(IF(F100="Contract Workman",Settings!$K$5,Settings!$K$4)))))</f>
        <v/>
      </c>
      <c r="N100">
        <f>IF($A100="","",IF(F100="Contract Workman",IF(AND(MOD(M100,1)&gt;=8/24,MOD(M100,1)&lt;20/24),"Shift S1","Shift S2"),IF(AND(MOD(M100,1)&gt;=7/24,MOD(M100,1)&lt;15/24),"Shift A",IF(AND(MOD(M100,1)&gt;=15/24,MOD(M100,1)&lt;23/24),"Shift B","Shift C"))))</f>
        <v/>
      </c>
      <c r="O100">
        <f>IF(B100="","",IF(IFERROR(ISNUMBER(SEARCH(TEXT(B100,"0"),VLOOKUP(E100,Machine_List!$B:$J,9,0))),FALSE),"✅ "&amp; E100,"❌ Sug: "&amp;IFERROR(INDEX(Machine_List!$B$72:$B$81,MATCH(1,(Machine_List!$H$72:$H$81&lt;=IFERROR(VLOOKUP($B100,OPR_BR1!$A$4:$K$18,10,0),0))*(Machine_List!$I$72:$I$81&gt;=IFERROR(VLOOKUP($B100,OPR_BR1!$A$4:$K$18,11,0),9999)),0)),"?")))</f>
        <v/>
      </c>
      <c r="P100">
        <f>IF(AND($A100&lt;&gt;"",P$3&gt;=$J100,P$3&lt;=$M100),1,"")</f>
        <v/>
      </c>
      <c r="Q100">
        <f>IF(AND($A100&lt;&gt;"",Q$3&gt;=$J100,Q$3&lt;=$M100),1,"")</f>
        <v/>
      </c>
      <c r="R100">
        <f>IF(AND($A100&lt;&gt;"",R$3&gt;=$J100,R$3&lt;=$M100),1,"")</f>
        <v/>
      </c>
      <c r="S100">
        <f>IF(AND($A100&lt;&gt;"",S$3&gt;=$J100,S$3&lt;=$M100),1,"")</f>
        <v/>
      </c>
      <c r="T100">
        <f>IF(AND($A100&lt;&gt;"",T$3&gt;=$J100,T$3&lt;=$M100),1,"")</f>
        <v/>
      </c>
      <c r="U100">
        <f>IF(AND($A100&lt;&gt;"",U$3&gt;=$J100,U$3&lt;=$M100),1,"")</f>
        <v/>
      </c>
      <c r="V100">
        <f>IF(AND($A100&lt;&gt;"",V$3&gt;=$J100,V$3&lt;=$M100),1,"")</f>
        <v/>
      </c>
      <c r="W100">
        <f>IF(AND($A100&lt;&gt;"",W$3&gt;=$J100,W$3&lt;=$M100),1,"")</f>
        <v/>
      </c>
      <c r="X100">
        <f>IF(AND($A100&lt;&gt;"",X$3&gt;=$J100,X$3&lt;=$M100),1,"")</f>
        <v/>
      </c>
      <c r="Y100">
        <f>IF(AND($A100&lt;&gt;"",Y$3&gt;=$J100,Y$3&lt;=$M100),1,"")</f>
        <v/>
      </c>
      <c r="Z100">
        <f>IF(AND($A100&lt;&gt;"",Z$3&gt;=$J100,Z$3&lt;=$M100),1,"")</f>
        <v/>
      </c>
      <c r="AA100">
        <f>IF(AND($A100&lt;&gt;"",AA$3&gt;=$J100,AA$3&lt;=$M100),1,"")</f>
        <v/>
      </c>
      <c r="AB100">
        <f>IF(AND($A100&lt;&gt;"",AB$3&gt;=$J100,AB$3&lt;=$M100),1,"")</f>
        <v/>
      </c>
      <c r="AC100">
        <f>IF(AND($A100&lt;&gt;"",AC$3&gt;=$J100,AC$3&lt;=$M100),1,"")</f>
        <v/>
      </c>
      <c r="AD100">
        <f>IF(AND($A100&lt;&gt;"",AD$3&gt;=$J100,AD$3&lt;=$M100),1,"")</f>
        <v/>
      </c>
      <c r="AE100">
        <f>IF(AND($A100&lt;&gt;"",AE$3&gt;=$J100,AE$3&lt;=$M100),1,"")</f>
        <v/>
      </c>
      <c r="AF100">
        <f>IF(AND($A100&lt;&gt;"",AF$3&gt;=$J100,AF$3&lt;=$M100),1,"")</f>
        <v/>
      </c>
      <c r="AG100">
        <f>IF(AND($A100&lt;&gt;"",AG$3&gt;=$J100,AG$3&lt;=$M100),1,"")</f>
        <v/>
      </c>
      <c r="AH100">
        <f>IF(AND($A100&lt;&gt;"",AH$3&gt;=$J100,AH$3&lt;=$M100),1,"")</f>
        <v/>
      </c>
      <c r="AI100">
        <f>IF(AND($A100&lt;&gt;"",AI$3&gt;=$J100,AI$3&lt;=$M100),1,"")</f>
        <v/>
      </c>
      <c r="AJ100">
        <f>IF(AND($A100&lt;&gt;"",AJ$3&gt;=$J100,AJ$3&lt;=$M100),1,"")</f>
        <v/>
      </c>
      <c r="AK100">
        <f>IF(AND($A100&lt;&gt;"",AK$3&gt;=$J100,AK$3&lt;=$M100),1,"")</f>
        <v/>
      </c>
      <c r="AL100">
        <f>IF(AND($A100&lt;&gt;"",AL$3&gt;=$J100,AL$3&lt;=$M100),1,"")</f>
        <v/>
      </c>
      <c r="AM100">
        <f>IF(AND($A100&lt;&gt;"",AM$3&gt;=$J100,AM$3&lt;=$M100),1,"")</f>
        <v/>
      </c>
      <c r="AN100">
        <f>IF(AND($A100&lt;&gt;"",AN$3&gt;=$J100,AN$3&lt;=$M100),1,"")</f>
        <v/>
      </c>
      <c r="AO100">
        <f>IF(AND($A100&lt;&gt;"",AO$3&gt;=$J100,AO$3&lt;=$M100),1,"")</f>
        <v/>
      </c>
      <c r="AP100">
        <f>IF(AND($A100&lt;&gt;"",AP$3&gt;=$J100,AP$3&lt;=$M100),1,"")</f>
        <v/>
      </c>
      <c r="AQ100">
        <f>IF(AND($A100&lt;&gt;"",AQ$3&gt;=$J100,AQ$3&lt;=$M100),1,"")</f>
        <v/>
      </c>
      <c r="AR100">
        <f>IF(AND($A100&lt;&gt;"",AR$3&gt;=$J100,AR$3&lt;=$M100),1,"")</f>
        <v/>
      </c>
      <c r="AS100">
        <f>IF(AND($A100&lt;&gt;"",AS$3&gt;=$J100,AS$3&lt;=$M100),1,"")</f>
        <v/>
      </c>
      <c r="AT100">
        <f>IF(AND($A100&lt;&gt;"",AT$3&gt;=$J100,AT$3&lt;=$M100),1,"")</f>
        <v/>
      </c>
      <c r="AU100">
        <f>IF(AND($A100&lt;&gt;"",AU$3&gt;=$J100,AU$3&lt;=$M100),1,"")</f>
        <v/>
      </c>
      <c r="AV100">
        <f>IF(AND($A100&lt;&gt;"",AV$3&gt;=$J100,AV$3&lt;=$M100),1,"")</f>
        <v/>
      </c>
      <c r="AW100">
        <f>IF(AND($A100&lt;&gt;"",AW$3&gt;=$J100,AW$3&lt;=$M100),1,"")</f>
        <v/>
      </c>
      <c r="AX100">
        <f>IF(AND($A100&lt;&gt;"",AX$3&gt;=$J100,AX$3&lt;=$M100),1,"")</f>
        <v/>
      </c>
      <c r="AY100">
        <f>IF(AND($A100&lt;&gt;"",AY$3&gt;=$J100,AY$3&lt;=$M100),1,"")</f>
        <v/>
      </c>
      <c r="AZ100">
        <f>IF(AND($A100&lt;&gt;"",AZ$3&gt;=$J100,AZ$3&lt;=$M100),1,"")</f>
        <v/>
      </c>
      <c r="BA100">
        <f>IF(AND($A100&lt;&gt;"",BA$3&gt;=$J100,BA$3&lt;=$M100),1,"")</f>
        <v/>
      </c>
      <c r="BB100">
        <f>IF(AND($A100&lt;&gt;"",BB$3&gt;=$J100,BB$3&lt;=$M100),1,"")</f>
        <v/>
      </c>
      <c r="BC100">
        <f>IF(AND($A100&lt;&gt;"",BC$3&gt;=$J100,BC$3&lt;=$M100),1,"")</f>
        <v/>
      </c>
      <c r="BD100">
        <f>IF(AND($A100&lt;&gt;"",BD$3&gt;=$J100,BD$3&lt;=$M100),1,"")</f>
        <v/>
      </c>
      <c r="BE100">
        <f>IF(AND($A100&lt;&gt;"",BE$3&gt;=$J100,BE$3&lt;=$M100),1,"")</f>
        <v/>
      </c>
      <c r="BF100">
        <f>IF(AND($A100&lt;&gt;"",BF$3&gt;=$J100,BF$3&lt;=$M100),1,"")</f>
        <v/>
      </c>
      <c r="BG100">
        <f>IF(AND($A100&lt;&gt;"",BG$3&gt;=$J100,BG$3&lt;=$M100),1,"")</f>
        <v/>
      </c>
      <c r="BH100">
        <f>IF(AND($A100&lt;&gt;"",BH$3&gt;=$J100,BH$3&lt;=$M100),1,"")</f>
        <v/>
      </c>
      <c r="BI100">
        <f>IF(AND($A100&lt;&gt;"",BI$3&gt;=$J100,BI$3&lt;=$M100),1,"")</f>
        <v/>
      </c>
      <c r="BJ100">
        <f>IF(AND($A100&lt;&gt;"",BJ$3&gt;=$J100,BJ$3&lt;=$M100),1,"")</f>
        <v/>
      </c>
      <c r="BK100">
        <f>IF(AND($A100&lt;&gt;"",BK$3&gt;=$J100,BK$3&lt;=$M100),1,"")</f>
        <v/>
      </c>
      <c r="BL100">
        <f>IF(AND($A100&lt;&gt;"",BL$3&gt;=$J100,BL$3&lt;=$M100),1,"")</f>
        <v/>
      </c>
      <c r="BM100">
        <f>IF(AND($A100&lt;&gt;"",BM$3&gt;=$J100,BM$3&lt;=$M100),1,"")</f>
        <v/>
      </c>
      <c r="BN100">
        <f>IF(AND($A100&lt;&gt;"",BN$3&gt;=$J100,BN$3&lt;=$M100),1,"")</f>
        <v/>
      </c>
      <c r="BO100">
        <f>IF(AND($A100&lt;&gt;"",BO$3&gt;=$J100,BO$3&lt;=$M100),1,"")</f>
        <v/>
      </c>
      <c r="BP100">
        <f>IF(AND($A100&lt;&gt;"",BP$3&gt;=$J100,BP$3&lt;=$M100),1,"")</f>
        <v/>
      </c>
      <c r="BQ100">
        <f>IF(AND($A100&lt;&gt;"",BQ$3&gt;=$J100,BQ$3&lt;=$M100),1,"")</f>
        <v/>
      </c>
      <c r="BR100">
        <f>IF(AND($A100&lt;&gt;"",BR$3&gt;=$J100,BR$3&lt;=$M100),1,"")</f>
        <v/>
      </c>
      <c r="BS100">
        <f>IF(AND($A100&lt;&gt;"",BS$3&gt;=$J100,BS$3&lt;=$M100),1,"")</f>
        <v/>
      </c>
      <c r="BT100">
        <f>IF(AND($A100&lt;&gt;"",BT$3&gt;=$J100,BT$3&lt;=$M100),1,"")</f>
        <v/>
      </c>
      <c r="BU100">
        <f>IF(AND($A100&lt;&gt;"",BU$3&gt;=$J100,BU$3&lt;=$M100),1,"")</f>
        <v/>
      </c>
      <c r="BV100">
        <f>IF(AND($A100&lt;&gt;"",BV$3&gt;=$J100,BV$3&lt;=$M100),1,"")</f>
        <v/>
      </c>
    </row>
    <row r="101">
      <c r="A101">
        <f>IF(Job_Master_Ring!$A101="","",Job_Master_Ring!$A101)</f>
        <v/>
      </c>
      <c r="B101">
        <f>IF($A101="","",Job_Master_Ring!B101)</f>
        <v/>
      </c>
      <c r="C101">
        <f>IF($A101="","",Job_Master_Ring!C101)</f>
        <v/>
      </c>
      <c r="D101">
        <f>IF($A101="","",Job_Master_Ring!D101)</f>
        <v/>
      </c>
      <c r="E101">
        <f>IF($A101="","",IF($I101&lt;&gt;"",$I101,IFERROR(INDEX(Machine_List!$B$72:$B$81,MATCH(1,(Machine_List!$H$72:$H$81&lt;=IFERROR(VLOOKUP($B101,CHOOSE(MATCH($C101,Settings!$L$4:$L$10,0),OPR_BR1!$A$4:$K$18,OPR_BR2!$A$4:$K$18,OPR_CR2!$A$4:$K$18,OPR_CR3!$A$4:$K$18,OPR_CR4!$A$4:$K$18,OPR_RIM!$A$4:$K$18,OPR_BPR!$A$4:$K$18),10,0),0))*(Machine_List!$I$72:$I$81&gt;=IFERROR(VLOOKUP($B101,CHOOSE(MATCH($C101,Settings!$L$4:$L$10,0),OPR_BR1!$A$4:$K$18,OPR_BR2!$A$4:$K$18,OPR_CR2!$A$4:$K$18,OPR_CR3!$A$4:$K$18,OPR_CR4!$A$4:$K$18,OPR_RIM!$A$4:$K$18,OPR_BPR!$A$4:$K$18),11,0),9999)),0)),"NO COMPATIBLE MACHINE")))</f>
        <v/>
      </c>
      <c r="F101">
        <f>IF($E101="","",IFERROR(VLOOKUP($E101,Machine_List!$B:$G,6,0),""))</f>
        <v/>
      </c>
      <c r="G101" s="17">
        <f>IF($E101="","",IFERROR(VLOOKUP($E101,Machine_List!$B:$C,2,0),""))</f>
        <v/>
      </c>
      <c r="H101">
        <f>IF($E101="","",IFERROR(VLOOKUP($E101,Machine_List!$B:$D,3,0),""))</f>
        <v/>
      </c>
      <c r="J101" s="16">
        <f>IF($A101="","",IF($I101&lt;&gt;"",$I101,MAX(VENT_Plan!$M101,IFERROR(LOOKUP(2,1/($E$3:INDIRECT("E"&amp;(ROW()-1))=$E101),$M$3:INDIRECT("M"&amp;(ROW()-1))),VENT_Plan!$M101))))</f>
        <v/>
      </c>
      <c r="K101">
        <f>IF($A101="","",IFERROR(VLOOKUP(B101,CHOOSE(MATCH($C101,Settings!$L$4:$L$10,0),OPR_BR1!$A$4:$I$18,OPR_BR2!$A$4:$I$18,OPR_CR2!$A$4:$I$18,OPR_CR3!$A$4:$I$18,OPR_CR4!$A$4:$I$18,OPR_RIM!$A$4:$I$18,OPR_BPR!$A$4:$I$18),8,0),0))</f>
        <v/>
      </c>
      <c r="L101">
        <f>IF($A101="","",K101*D101)</f>
        <v/>
      </c>
      <c r="M101" s="16">
        <f>IF($A101="","",IF(AND(ISNUMBER(G101),G101&gt;=J101,G101&lt;=(J101+(L101/(IF(F101="Contract Workman",Settings!$K$5,Settings!$K$4))))),J101+(L101/(IF(F101="Contract Workman",Settings!$K$5,Settings!$K$4)))+(H101/(IF(F101="Contract Workman",Settings!$K$5,Settings!$K$4))),J101+(L101/(IF(F101="Contract Workman",Settings!$K$5,Settings!$K$4)))))</f>
        <v/>
      </c>
      <c r="N101">
        <f>IF($A101="","",IF(F101="Contract Workman",IF(AND(MOD(M101,1)&gt;=8/24,MOD(M101,1)&lt;20/24),"Shift S1","Shift S2"),IF(AND(MOD(M101,1)&gt;=7/24,MOD(M101,1)&lt;15/24),"Shift A",IF(AND(MOD(M101,1)&gt;=15/24,MOD(M101,1)&lt;23/24),"Shift B","Shift C"))))</f>
        <v/>
      </c>
      <c r="O101">
        <f>IF(B101="","",IF(IFERROR(ISNUMBER(SEARCH(TEXT(B101,"0"),VLOOKUP(E101,Machine_List!$B:$J,9,0))),FALSE),"✅ "&amp; E101,"❌ Sug: "&amp;IFERROR(INDEX(Machine_List!$B$72:$B$81,MATCH(1,(Machine_List!$H$72:$H$81&lt;=IFERROR(VLOOKUP($B101,OPR_BR1!$A$4:$K$18,10,0),0))*(Machine_List!$I$72:$I$81&gt;=IFERROR(VLOOKUP($B101,OPR_BR1!$A$4:$K$18,11,0),9999)),0)),"?")))</f>
        <v/>
      </c>
      <c r="P101">
        <f>IF(AND($A101&lt;&gt;"",P$3&gt;=$J101,P$3&lt;=$M101),1,"")</f>
        <v/>
      </c>
      <c r="Q101">
        <f>IF(AND($A101&lt;&gt;"",Q$3&gt;=$J101,Q$3&lt;=$M101),1,"")</f>
        <v/>
      </c>
      <c r="R101">
        <f>IF(AND($A101&lt;&gt;"",R$3&gt;=$J101,R$3&lt;=$M101),1,"")</f>
        <v/>
      </c>
      <c r="S101">
        <f>IF(AND($A101&lt;&gt;"",S$3&gt;=$J101,S$3&lt;=$M101),1,"")</f>
        <v/>
      </c>
      <c r="T101">
        <f>IF(AND($A101&lt;&gt;"",T$3&gt;=$J101,T$3&lt;=$M101),1,"")</f>
        <v/>
      </c>
      <c r="U101">
        <f>IF(AND($A101&lt;&gt;"",U$3&gt;=$J101,U$3&lt;=$M101),1,"")</f>
        <v/>
      </c>
      <c r="V101">
        <f>IF(AND($A101&lt;&gt;"",V$3&gt;=$J101,V$3&lt;=$M101),1,"")</f>
        <v/>
      </c>
      <c r="W101">
        <f>IF(AND($A101&lt;&gt;"",W$3&gt;=$J101,W$3&lt;=$M101),1,"")</f>
        <v/>
      </c>
      <c r="X101">
        <f>IF(AND($A101&lt;&gt;"",X$3&gt;=$J101,X$3&lt;=$M101),1,"")</f>
        <v/>
      </c>
      <c r="Y101">
        <f>IF(AND($A101&lt;&gt;"",Y$3&gt;=$J101,Y$3&lt;=$M101),1,"")</f>
        <v/>
      </c>
      <c r="Z101">
        <f>IF(AND($A101&lt;&gt;"",Z$3&gt;=$J101,Z$3&lt;=$M101),1,"")</f>
        <v/>
      </c>
      <c r="AA101">
        <f>IF(AND($A101&lt;&gt;"",AA$3&gt;=$J101,AA$3&lt;=$M101),1,"")</f>
        <v/>
      </c>
      <c r="AB101">
        <f>IF(AND($A101&lt;&gt;"",AB$3&gt;=$J101,AB$3&lt;=$M101),1,"")</f>
        <v/>
      </c>
      <c r="AC101">
        <f>IF(AND($A101&lt;&gt;"",AC$3&gt;=$J101,AC$3&lt;=$M101),1,"")</f>
        <v/>
      </c>
      <c r="AD101">
        <f>IF(AND($A101&lt;&gt;"",AD$3&gt;=$J101,AD$3&lt;=$M101),1,"")</f>
        <v/>
      </c>
      <c r="AE101">
        <f>IF(AND($A101&lt;&gt;"",AE$3&gt;=$J101,AE$3&lt;=$M101),1,"")</f>
        <v/>
      </c>
      <c r="AF101">
        <f>IF(AND($A101&lt;&gt;"",AF$3&gt;=$J101,AF$3&lt;=$M101),1,"")</f>
        <v/>
      </c>
      <c r="AG101">
        <f>IF(AND($A101&lt;&gt;"",AG$3&gt;=$J101,AG$3&lt;=$M101),1,"")</f>
        <v/>
      </c>
      <c r="AH101">
        <f>IF(AND($A101&lt;&gt;"",AH$3&gt;=$J101,AH$3&lt;=$M101),1,"")</f>
        <v/>
      </c>
      <c r="AI101">
        <f>IF(AND($A101&lt;&gt;"",AI$3&gt;=$J101,AI$3&lt;=$M101),1,"")</f>
        <v/>
      </c>
      <c r="AJ101">
        <f>IF(AND($A101&lt;&gt;"",AJ$3&gt;=$J101,AJ$3&lt;=$M101),1,"")</f>
        <v/>
      </c>
      <c r="AK101">
        <f>IF(AND($A101&lt;&gt;"",AK$3&gt;=$J101,AK$3&lt;=$M101),1,"")</f>
        <v/>
      </c>
      <c r="AL101">
        <f>IF(AND($A101&lt;&gt;"",AL$3&gt;=$J101,AL$3&lt;=$M101),1,"")</f>
        <v/>
      </c>
      <c r="AM101">
        <f>IF(AND($A101&lt;&gt;"",AM$3&gt;=$J101,AM$3&lt;=$M101),1,"")</f>
        <v/>
      </c>
      <c r="AN101">
        <f>IF(AND($A101&lt;&gt;"",AN$3&gt;=$J101,AN$3&lt;=$M101),1,"")</f>
        <v/>
      </c>
      <c r="AO101">
        <f>IF(AND($A101&lt;&gt;"",AO$3&gt;=$J101,AO$3&lt;=$M101),1,"")</f>
        <v/>
      </c>
      <c r="AP101">
        <f>IF(AND($A101&lt;&gt;"",AP$3&gt;=$J101,AP$3&lt;=$M101),1,"")</f>
        <v/>
      </c>
      <c r="AQ101">
        <f>IF(AND($A101&lt;&gt;"",AQ$3&gt;=$J101,AQ$3&lt;=$M101),1,"")</f>
        <v/>
      </c>
      <c r="AR101">
        <f>IF(AND($A101&lt;&gt;"",AR$3&gt;=$J101,AR$3&lt;=$M101),1,"")</f>
        <v/>
      </c>
      <c r="AS101">
        <f>IF(AND($A101&lt;&gt;"",AS$3&gt;=$J101,AS$3&lt;=$M101),1,"")</f>
        <v/>
      </c>
      <c r="AT101">
        <f>IF(AND($A101&lt;&gt;"",AT$3&gt;=$J101,AT$3&lt;=$M101),1,"")</f>
        <v/>
      </c>
      <c r="AU101">
        <f>IF(AND($A101&lt;&gt;"",AU$3&gt;=$J101,AU$3&lt;=$M101),1,"")</f>
        <v/>
      </c>
      <c r="AV101">
        <f>IF(AND($A101&lt;&gt;"",AV$3&gt;=$J101,AV$3&lt;=$M101),1,"")</f>
        <v/>
      </c>
      <c r="AW101">
        <f>IF(AND($A101&lt;&gt;"",AW$3&gt;=$J101,AW$3&lt;=$M101),1,"")</f>
        <v/>
      </c>
      <c r="AX101">
        <f>IF(AND($A101&lt;&gt;"",AX$3&gt;=$J101,AX$3&lt;=$M101),1,"")</f>
        <v/>
      </c>
      <c r="AY101">
        <f>IF(AND($A101&lt;&gt;"",AY$3&gt;=$J101,AY$3&lt;=$M101),1,"")</f>
        <v/>
      </c>
      <c r="AZ101">
        <f>IF(AND($A101&lt;&gt;"",AZ$3&gt;=$J101,AZ$3&lt;=$M101),1,"")</f>
        <v/>
      </c>
      <c r="BA101">
        <f>IF(AND($A101&lt;&gt;"",BA$3&gt;=$J101,BA$3&lt;=$M101),1,"")</f>
        <v/>
      </c>
      <c r="BB101">
        <f>IF(AND($A101&lt;&gt;"",BB$3&gt;=$J101,BB$3&lt;=$M101),1,"")</f>
        <v/>
      </c>
      <c r="BC101">
        <f>IF(AND($A101&lt;&gt;"",BC$3&gt;=$J101,BC$3&lt;=$M101),1,"")</f>
        <v/>
      </c>
      <c r="BD101">
        <f>IF(AND($A101&lt;&gt;"",BD$3&gt;=$J101,BD$3&lt;=$M101),1,"")</f>
        <v/>
      </c>
      <c r="BE101">
        <f>IF(AND($A101&lt;&gt;"",BE$3&gt;=$J101,BE$3&lt;=$M101),1,"")</f>
        <v/>
      </c>
      <c r="BF101">
        <f>IF(AND($A101&lt;&gt;"",BF$3&gt;=$J101,BF$3&lt;=$M101),1,"")</f>
        <v/>
      </c>
      <c r="BG101">
        <f>IF(AND($A101&lt;&gt;"",BG$3&gt;=$J101,BG$3&lt;=$M101),1,"")</f>
        <v/>
      </c>
      <c r="BH101">
        <f>IF(AND($A101&lt;&gt;"",BH$3&gt;=$J101,BH$3&lt;=$M101),1,"")</f>
        <v/>
      </c>
      <c r="BI101">
        <f>IF(AND($A101&lt;&gt;"",BI$3&gt;=$J101,BI$3&lt;=$M101),1,"")</f>
        <v/>
      </c>
      <c r="BJ101">
        <f>IF(AND($A101&lt;&gt;"",BJ$3&gt;=$J101,BJ$3&lt;=$M101),1,"")</f>
        <v/>
      </c>
      <c r="BK101">
        <f>IF(AND($A101&lt;&gt;"",BK$3&gt;=$J101,BK$3&lt;=$M101),1,"")</f>
        <v/>
      </c>
      <c r="BL101">
        <f>IF(AND($A101&lt;&gt;"",BL$3&gt;=$J101,BL$3&lt;=$M101),1,"")</f>
        <v/>
      </c>
      <c r="BM101">
        <f>IF(AND($A101&lt;&gt;"",BM$3&gt;=$J101,BM$3&lt;=$M101),1,"")</f>
        <v/>
      </c>
      <c r="BN101">
        <f>IF(AND($A101&lt;&gt;"",BN$3&gt;=$J101,BN$3&lt;=$M101),1,"")</f>
        <v/>
      </c>
      <c r="BO101">
        <f>IF(AND($A101&lt;&gt;"",BO$3&gt;=$J101,BO$3&lt;=$M101),1,"")</f>
        <v/>
      </c>
      <c r="BP101">
        <f>IF(AND($A101&lt;&gt;"",BP$3&gt;=$J101,BP$3&lt;=$M101),1,"")</f>
        <v/>
      </c>
      <c r="BQ101">
        <f>IF(AND($A101&lt;&gt;"",BQ$3&gt;=$J101,BQ$3&lt;=$M101),1,"")</f>
        <v/>
      </c>
      <c r="BR101">
        <f>IF(AND($A101&lt;&gt;"",BR$3&gt;=$J101,BR$3&lt;=$M101),1,"")</f>
        <v/>
      </c>
      <c r="BS101">
        <f>IF(AND($A101&lt;&gt;"",BS$3&gt;=$J101,BS$3&lt;=$M101),1,"")</f>
        <v/>
      </c>
      <c r="BT101">
        <f>IF(AND($A101&lt;&gt;"",BT$3&gt;=$J101,BT$3&lt;=$M101),1,"")</f>
        <v/>
      </c>
      <c r="BU101">
        <f>IF(AND($A101&lt;&gt;"",BU$3&gt;=$J101,BU$3&lt;=$M101),1,"")</f>
        <v/>
      </c>
      <c r="BV101">
        <f>IF(AND($A101&lt;&gt;"",BV$3&gt;=$J101,BV$3&lt;=$M101),1,"")</f>
        <v/>
      </c>
    </row>
    <row r="102">
      <c r="A102">
        <f>IF(Job_Master_Ring!$A102="","",Job_Master_Ring!$A102)</f>
        <v/>
      </c>
      <c r="B102">
        <f>IF($A102="","",Job_Master_Ring!B102)</f>
        <v/>
      </c>
      <c r="C102">
        <f>IF($A102="","",Job_Master_Ring!C102)</f>
        <v/>
      </c>
      <c r="D102">
        <f>IF($A102="","",Job_Master_Ring!D102)</f>
        <v/>
      </c>
      <c r="E102">
        <f>IF($A102="","",IF($I102&lt;&gt;"",$I102,IFERROR(INDEX(Machine_List!$B$72:$B$81,MATCH(1,(Machine_List!$H$72:$H$81&lt;=IFERROR(VLOOKUP($B102,CHOOSE(MATCH($C102,Settings!$L$4:$L$10,0),OPR_BR1!$A$4:$K$18,OPR_BR2!$A$4:$K$18,OPR_CR2!$A$4:$K$18,OPR_CR3!$A$4:$K$18,OPR_CR4!$A$4:$K$18,OPR_RIM!$A$4:$K$18,OPR_BPR!$A$4:$K$18),10,0),0))*(Machine_List!$I$72:$I$81&gt;=IFERROR(VLOOKUP($B102,CHOOSE(MATCH($C102,Settings!$L$4:$L$10,0),OPR_BR1!$A$4:$K$18,OPR_BR2!$A$4:$K$18,OPR_CR2!$A$4:$K$18,OPR_CR3!$A$4:$K$18,OPR_CR4!$A$4:$K$18,OPR_RIM!$A$4:$K$18,OPR_BPR!$A$4:$K$18),11,0),9999)),0)),"NO COMPATIBLE MACHINE")))</f>
        <v/>
      </c>
      <c r="F102">
        <f>IF($E102="","",IFERROR(VLOOKUP($E102,Machine_List!$B:$G,6,0),""))</f>
        <v/>
      </c>
      <c r="G102" s="17">
        <f>IF($E102="","",IFERROR(VLOOKUP($E102,Machine_List!$B:$C,2,0),""))</f>
        <v/>
      </c>
      <c r="H102">
        <f>IF($E102="","",IFERROR(VLOOKUP($E102,Machine_List!$B:$D,3,0),""))</f>
        <v/>
      </c>
      <c r="J102" s="16">
        <f>IF($A102="","",IF($I102&lt;&gt;"",$I102,MAX(VENT_Plan!$M102,IFERROR(LOOKUP(2,1/($E$3:INDIRECT("E"&amp;(ROW()-1))=$E102),$M$3:INDIRECT("M"&amp;(ROW()-1))),VENT_Plan!$M102))))</f>
        <v/>
      </c>
      <c r="K102">
        <f>IF($A102="","",IFERROR(VLOOKUP(B102,CHOOSE(MATCH($C102,Settings!$L$4:$L$10,0),OPR_BR1!$A$4:$I$18,OPR_BR2!$A$4:$I$18,OPR_CR2!$A$4:$I$18,OPR_CR3!$A$4:$I$18,OPR_CR4!$A$4:$I$18,OPR_RIM!$A$4:$I$18,OPR_BPR!$A$4:$I$18),8,0),0))</f>
        <v/>
      </c>
      <c r="L102">
        <f>IF($A102="","",K102*D102)</f>
        <v/>
      </c>
      <c r="M102" s="16">
        <f>IF($A102="","",IF(AND(ISNUMBER(G102),G102&gt;=J102,G102&lt;=(J102+(L102/(IF(F102="Contract Workman",Settings!$K$5,Settings!$K$4))))),J102+(L102/(IF(F102="Contract Workman",Settings!$K$5,Settings!$K$4)))+(H102/(IF(F102="Contract Workman",Settings!$K$5,Settings!$K$4))),J102+(L102/(IF(F102="Contract Workman",Settings!$K$5,Settings!$K$4)))))</f>
        <v/>
      </c>
      <c r="N102">
        <f>IF($A102="","",IF(F102="Contract Workman",IF(AND(MOD(M102,1)&gt;=8/24,MOD(M102,1)&lt;20/24),"Shift S1","Shift S2"),IF(AND(MOD(M102,1)&gt;=7/24,MOD(M102,1)&lt;15/24),"Shift A",IF(AND(MOD(M102,1)&gt;=15/24,MOD(M102,1)&lt;23/24),"Shift B","Shift C"))))</f>
        <v/>
      </c>
      <c r="O102">
        <f>IF(B102="","",IF(IFERROR(ISNUMBER(SEARCH(TEXT(B102,"0"),VLOOKUP(E102,Machine_List!$B:$J,9,0))),FALSE),"✅ "&amp; E102,"❌ Sug: "&amp;IFERROR(INDEX(Machine_List!$B$72:$B$81,MATCH(1,(Machine_List!$H$72:$H$81&lt;=IFERROR(VLOOKUP($B102,OPR_BR1!$A$4:$K$18,10,0),0))*(Machine_List!$I$72:$I$81&gt;=IFERROR(VLOOKUP($B102,OPR_BR1!$A$4:$K$18,11,0),9999)),0)),"?")))</f>
        <v/>
      </c>
      <c r="P102">
        <f>IF(AND($A102&lt;&gt;"",P$3&gt;=$J102,P$3&lt;=$M102),1,"")</f>
        <v/>
      </c>
      <c r="Q102">
        <f>IF(AND($A102&lt;&gt;"",Q$3&gt;=$J102,Q$3&lt;=$M102),1,"")</f>
        <v/>
      </c>
      <c r="R102">
        <f>IF(AND($A102&lt;&gt;"",R$3&gt;=$J102,R$3&lt;=$M102),1,"")</f>
        <v/>
      </c>
      <c r="S102">
        <f>IF(AND($A102&lt;&gt;"",S$3&gt;=$J102,S$3&lt;=$M102),1,"")</f>
        <v/>
      </c>
      <c r="T102">
        <f>IF(AND($A102&lt;&gt;"",T$3&gt;=$J102,T$3&lt;=$M102),1,"")</f>
        <v/>
      </c>
      <c r="U102">
        <f>IF(AND($A102&lt;&gt;"",U$3&gt;=$J102,U$3&lt;=$M102),1,"")</f>
        <v/>
      </c>
      <c r="V102">
        <f>IF(AND($A102&lt;&gt;"",V$3&gt;=$J102,V$3&lt;=$M102),1,"")</f>
        <v/>
      </c>
      <c r="W102">
        <f>IF(AND($A102&lt;&gt;"",W$3&gt;=$J102,W$3&lt;=$M102),1,"")</f>
        <v/>
      </c>
      <c r="X102">
        <f>IF(AND($A102&lt;&gt;"",X$3&gt;=$J102,X$3&lt;=$M102),1,"")</f>
        <v/>
      </c>
      <c r="Y102">
        <f>IF(AND($A102&lt;&gt;"",Y$3&gt;=$J102,Y$3&lt;=$M102),1,"")</f>
        <v/>
      </c>
      <c r="Z102">
        <f>IF(AND($A102&lt;&gt;"",Z$3&gt;=$J102,Z$3&lt;=$M102),1,"")</f>
        <v/>
      </c>
      <c r="AA102">
        <f>IF(AND($A102&lt;&gt;"",AA$3&gt;=$J102,AA$3&lt;=$M102),1,"")</f>
        <v/>
      </c>
      <c r="AB102">
        <f>IF(AND($A102&lt;&gt;"",AB$3&gt;=$J102,AB$3&lt;=$M102),1,"")</f>
        <v/>
      </c>
      <c r="AC102">
        <f>IF(AND($A102&lt;&gt;"",AC$3&gt;=$J102,AC$3&lt;=$M102),1,"")</f>
        <v/>
      </c>
      <c r="AD102">
        <f>IF(AND($A102&lt;&gt;"",AD$3&gt;=$J102,AD$3&lt;=$M102),1,"")</f>
        <v/>
      </c>
      <c r="AE102">
        <f>IF(AND($A102&lt;&gt;"",AE$3&gt;=$J102,AE$3&lt;=$M102),1,"")</f>
        <v/>
      </c>
      <c r="AF102">
        <f>IF(AND($A102&lt;&gt;"",AF$3&gt;=$J102,AF$3&lt;=$M102),1,"")</f>
        <v/>
      </c>
      <c r="AG102">
        <f>IF(AND($A102&lt;&gt;"",AG$3&gt;=$J102,AG$3&lt;=$M102),1,"")</f>
        <v/>
      </c>
      <c r="AH102">
        <f>IF(AND($A102&lt;&gt;"",AH$3&gt;=$J102,AH$3&lt;=$M102),1,"")</f>
        <v/>
      </c>
      <c r="AI102">
        <f>IF(AND($A102&lt;&gt;"",AI$3&gt;=$J102,AI$3&lt;=$M102),1,"")</f>
        <v/>
      </c>
      <c r="AJ102">
        <f>IF(AND($A102&lt;&gt;"",AJ$3&gt;=$J102,AJ$3&lt;=$M102),1,"")</f>
        <v/>
      </c>
      <c r="AK102">
        <f>IF(AND($A102&lt;&gt;"",AK$3&gt;=$J102,AK$3&lt;=$M102),1,"")</f>
        <v/>
      </c>
      <c r="AL102">
        <f>IF(AND($A102&lt;&gt;"",AL$3&gt;=$J102,AL$3&lt;=$M102),1,"")</f>
        <v/>
      </c>
      <c r="AM102">
        <f>IF(AND($A102&lt;&gt;"",AM$3&gt;=$J102,AM$3&lt;=$M102),1,"")</f>
        <v/>
      </c>
      <c r="AN102">
        <f>IF(AND($A102&lt;&gt;"",AN$3&gt;=$J102,AN$3&lt;=$M102),1,"")</f>
        <v/>
      </c>
      <c r="AO102">
        <f>IF(AND($A102&lt;&gt;"",AO$3&gt;=$J102,AO$3&lt;=$M102),1,"")</f>
        <v/>
      </c>
      <c r="AP102">
        <f>IF(AND($A102&lt;&gt;"",AP$3&gt;=$J102,AP$3&lt;=$M102),1,"")</f>
        <v/>
      </c>
      <c r="AQ102">
        <f>IF(AND($A102&lt;&gt;"",AQ$3&gt;=$J102,AQ$3&lt;=$M102),1,"")</f>
        <v/>
      </c>
      <c r="AR102">
        <f>IF(AND($A102&lt;&gt;"",AR$3&gt;=$J102,AR$3&lt;=$M102),1,"")</f>
        <v/>
      </c>
      <c r="AS102">
        <f>IF(AND($A102&lt;&gt;"",AS$3&gt;=$J102,AS$3&lt;=$M102),1,"")</f>
        <v/>
      </c>
      <c r="AT102">
        <f>IF(AND($A102&lt;&gt;"",AT$3&gt;=$J102,AT$3&lt;=$M102),1,"")</f>
        <v/>
      </c>
      <c r="AU102">
        <f>IF(AND($A102&lt;&gt;"",AU$3&gt;=$J102,AU$3&lt;=$M102),1,"")</f>
        <v/>
      </c>
      <c r="AV102">
        <f>IF(AND($A102&lt;&gt;"",AV$3&gt;=$J102,AV$3&lt;=$M102),1,"")</f>
        <v/>
      </c>
      <c r="AW102">
        <f>IF(AND($A102&lt;&gt;"",AW$3&gt;=$J102,AW$3&lt;=$M102),1,"")</f>
        <v/>
      </c>
      <c r="AX102">
        <f>IF(AND($A102&lt;&gt;"",AX$3&gt;=$J102,AX$3&lt;=$M102),1,"")</f>
        <v/>
      </c>
      <c r="AY102">
        <f>IF(AND($A102&lt;&gt;"",AY$3&gt;=$J102,AY$3&lt;=$M102),1,"")</f>
        <v/>
      </c>
      <c r="AZ102">
        <f>IF(AND($A102&lt;&gt;"",AZ$3&gt;=$J102,AZ$3&lt;=$M102),1,"")</f>
        <v/>
      </c>
      <c r="BA102">
        <f>IF(AND($A102&lt;&gt;"",BA$3&gt;=$J102,BA$3&lt;=$M102),1,"")</f>
        <v/>
      </c>
      <c r="BB102">
        <f>IF(AND($A102&lt;&gt;"",BB$3&gt;=$J102,BB$3&lt;=$M102),1,"")</f>
        <v/>
      </c>
      <c r="BC102">
        <f>IF(AND($A102&lt;&gt;"",BC$3&gt;=$J102,BC$3&lt;=$M102),1,"")</f>
        <v/>
      </c>
      <c r="BD102">
        <f>IF(AND($A102&lt;&gt;"",BD$3&gt;=$J102,BD$3&lt;=$M102),1,"")</f>
        <v/>
      </c>
      <c r="BE102">
        <f>IF(AND($A102&lt;&gt;"",BE$3&gt;=$J102,BE$3&lt;=$M102),1,"")</f>
        <v/>
      </c>
      <c r="BF102">
        <f>IF(AND($A102&lt;&gt;"",BF$3&gt;=$J102,BF$3&lt;=$M102),1,"")</f>
        <v/>
      </c>
      <c r="BG102">
        <f>IF(AND($A102&lt;&gt;"",BG$3&gt;=$J102,BG$3&lt;=$M102),1,"")</f>
        <v/>
      </c>
      <c r="BH102">
        <f>IF(AND($A102&lt;&gt;"",BH$3&gt;=$J102,BH$3&lt;=$M102),1,"")</f>
        <v/>
      </c>
      <c r="BI102">
        <f>IF(AND($A102&lt;&gt;"",BI$3&gt;=$J102,BI$3&lt;=$M102),1,"")</f>
        <v/>
      </c>
      <c r="BJ102">
        <f>IF(AND($A102&lt;&gt;"",BJ$3&gt;=$J102,BJ$3&lt;=$M102),1,"")</f>
        <v/>
      </c>
      <c r="BK102">
        <f>IF(AND($A102&lt;&gt;"",BK$3&gt;=$J102,BK$3&lt;=$M102),1,"")</f>
        <v/>
      </c>
      <c r="BL102">
        <f>IF(AND($A102&lt;&gt;"",BL$3&gt;=$J102,BL$3&lt;=$M102),1,"")</f>
        <v/>
      </c>
      <c r="BM102">
        <f>IF(AND($A102&lt;&gt;"",BM$3&gt;=$J102,BM$3&lt;=$M102),1,"")</f>
        <v/>
      </c>
      <c r="BN102">
        <f>IF(AND($A102&lt;&gt;"",BN$3&gt;=$J102,BN$3&lt;=$M102),1,"")</f>
        <v/>
      </c>
      <c r="BO102">
        <f>IF(AND($A102&lt;&gt;"",BO$3&gt;=$J102,BO$3&lt;=$M102),1,"")</f>
        <v/>
      </c>
      <c r="BP102">
        <f>IF(AND($A102&lt;&gt;"",BP$3&gt;=$J102,BP$3&lt;=$M102),1,"")</f>
        <v/>
      </c>
      <c r="BQ102">
        <f>IF(AND($A102&lt;&gt;"",BQ$3&gt;=$J102,BQ$3&lt;=$M102),1,"")</f>
        <v/>
      </c>
      <c r="BR102">
        <f>IF(AND($A102&lt;&gt;"",BR$3&gt;=$J102,BR$3&lt;=$M102),1,"")</f>
        <v/>
      </c>
      <c r="BS102">
        <f>IF(AND($A102&lt;&gt;"",BS$3&gt;=$J102,BS$3&lt;=$M102),1,"")</f>
        <v/>
      </c>
      <c r="BT102">
        <f>IF(AND($A102&lt;&gt;"",BT$3&gt;=$J102,BT$3&lt;=$M102),1,"")</f>
        <v/>
      </c>
      <c r="BU102">
        <f>IF(AND($A102&lt;&gt;"",BU$3&gt;=$J102,BU$3&lt;=$M102),1,"")</f>
        <v/>
      </c>
      <c r="BV102">
        <f>IF(AND($A102&lt;&gt;"",BV$3&gt;=$J102,BV$3&lt;=$M102),1,"")</f>
        <v/>
      </c>
    </row>
    <row r="103">
      <c r="A103">
        <f>IF(Job_Master_Ring!$A103="","",Job_Master_Ring!$A103)</f>
        <v/>
      </c>
      <c r="B103">
        <f>IF($A103="","",Job_Master_Ring!B103)</f>
        <v/>
      </c>
      <c r="C103">
        <f>IF($A103="","",Job_Master_Ring!C103)</f>
        <v/>
      </c>
      <c r="D103">
        <f>IF($A103="","",Job_Master_Ring!D103)</f>
        <v/>
      </c>
      <c r="E103">
        <f>IF($A103="","",IF($I103&lt;&gt;"",$I103,IFERROR(INDEX(Machine_List!$B$72:$B$81,MATCH(1,(Machine_List!$H$72:$H$81&lt;=IFERROR(VLOOKUP($B103,CHOOSE(MATCH($C103,Settings!$L$4:$L$10,0),OPR_BR1!$A$4:$K$18,OPR_BR2!$A$4:$K$18,OPR_CR2!$A$4:$K$18,OPR_CR3!$A$4:$K$18,OPR_CR4!$A$4:$K$18,OPR_RIM!$A$4:$K$18,OPR_BPR!$A$4:$K$18),10,0),0))*(Machine_List!$I$72:$I$81&gt;=IFERROR(VLOOKUP($B103,CHOOSE(MATCH($C103,Settings!$L$4:$L$10,0),OPR_BR1!$A$4:$K$18,OPR_BR2!$A$4:$K$18,OPR_CR2!$A$4:$K$18,OPR_CR3!$A$4:$K$18,OPR_CR4!$A$4:$K$18,OPR_RIM!$A$4:$K$18,OPR_BPR!$A$4:$K$18),11,0),9999)),0)),"NO COMPATIBLE MACHINE")))</f>
        <v/>
      </c>
      <c r="F103">
        <f>IF($E103="","",IFERROR(VLOOKUP($E103,Machine_List!$B:$G,6,0),""))</f>
        <v/>
      </c>
      <c r="G103" s="17">
        <f>IF($E103="","",IFERROR(VLOOKUP($E103,Machine_List!$B:$C,2,0),""))</f>
        <v/>
      </c>
      <c r="H103">
        <f>IF($E103="","",IFERROR(VLOOKUP($E103,Machine_List!$B:$D,3,0),""))</f>
        <v/>
      </c>
      <c r="J103" s="16">
        <f>IF($A103="","",IF($I103&lt;&gt;"",$I103,MAX(VENT_Plan!$M103,IFERROR(LOOKUP(2,1/($E$3:INDIRECT("E"&amp;(ROW()-1))=$E103),$M$3:INDIRECT("M"&amp;(ROW()-1))),VENT_Plan!$M103))))</f>
        <v/>
      </c>
      <c r="K103">
        <f>IF($A103="","",IFERROR(VLOOKUP(B103,CHOOSE(MATCH($C103,Settings!$L$4:$L$10,0),OPR_BR1!$A$4:$I$18,OPR_BR2!$A$4:$I$18,OPR_CR2!$A$4:$I$18,OPR_CR3!$A$4:$I$18,OPR_CR4!$A$4:$I$18,OPR_RIM!$A$4:$I$18,OPR_BPR!$A$4:$I$18),8,0),0))</f>
        <v/>
      </c>
      <c r="L103">
        <f>IF($A103="","",K103*D103)</f>
        <v/>
      </c>
      <c r="M103" s="16">
        <f>IF($A103="","",IF(AND(ISNUMBER(G103),G103&gt;=J103,G103&lt;=(J103+(L103/(IF(F103="Contract Workman",Settings!$K$5,Settings!$K$4))))),J103+(L103/(IF(F103="Contract Workman",Settings!$K$5,Settings!$K$4)))+(H103/(IF(F103="Contract Workman",Settings!$K$5,Settings!$K$4))),J103+(L103/(IF(F103="Contract Workman",Settings!$K$5,Settings!$K$4)))))</f>
        <v/>
      </c>
      <c r="N103">
        <f>IF($A103="","",IF(F103="Contract Workman",IF(AND(MOD(M103,1)&gt;=8/24,MOD(M103,1)&lt;20/24),"Shift S1","Shift S2"),IF(AND(MOD(M103,1)&gt;=7/24,MOD(M103,1)&lt;15/24),"Shift A",IF(AND(MOD(M103,1)&gt;=15/24,MOD(M103,1)&lt;23/24),"Shift B","Shift C"))))</f>
        <v/>
      </c>
      <c r="O103">
        <f>IF(B103="","",IF(IFERROR(ISNUMBER(SEARCH(TEXT(B103,"0"),VLOOKUP(E103,Machine_List!$B:$J,9,0))),FALSE),"✅ "&amp; E103,"❌ Sug: "&amp;IFERROR(INDEX(Machine_List!$B$72:$B$81,MATCH(1,(Machine_List!$H$72:$H$81&lt;=IFERROR(VLOOKUP($B103,OPR_BR1!$A$4:$K$18,10,0),0))*(Machine_List!$I$72:$I$81&gt;=IFERROR(VLOOKUP($B103,OPR_BR1!$A$4:$K$18,11,0),9999)),0)),"?")))</f>
        <v/>
      </c>
      <c r="P103">
        <f>IF(AND($A103&lt;&gt;"",P$3&gt;=$J103,P$3&lt;=$M103),1,"")</f>
        <v/>
      </c>
      <c r="Q103">
        <f>IF(AND($A103&lt;&gt;"",Q$3&gt;=$J103,Q$3&lt;=$M103),1,"")</f>
        <v/>
      </c>
      <c r="R103">
        <f>IF(AND($A103&lt;&gt;"",R$3&gt;=$J103,R$3&lt;=$M103),1,"")</f>
        <v/>
      </c>
      <c r="S103">
        <f>IF(AND($A103&lt;&gt;"",S$3&gt;=$J103,S$3&lt;=$M103),1,"")</f>
        <v/>
      </c>
      <c r="T103">
        <f>IF(AND($A103&lt;&gt;"",T$3&gt;=$J103,T$3&lt;=$M103),1,"")</f>
        <v/>
      </c>
      <c r="U103">
        <f>IF(AND($A103&lt;&gt;"",U$3&gt;=$J103,U$3&lt;=$M103),1,"")</f>
        <v/>
      </c>
      <c r="V103">
        <f>IF(AND($A103&lt;&gt;"",V$3&gt;=$J103,V$3&lt;=$M103),1,"")</f>
        <v/>
      </c>
      <c r="W103">
        <f>IF(AND($A103&lt;&gt;"",W$3&gt;=$J103,W$3&lt;=$M103),1,"")</f>
        <v/>
      </c>
      <c r="X103">
        <f>IF(AND($A103&lt;&gt;"",X$3&gt;=$J103,X$3&lt;=$M103),1,"")</f>
        <v/>
      </c>
      <c r="Y103">
        <f>IF(AND($A103&lt;&gt;"",Y$3&gt;=$J103,Y$3&lt;=$M103),1,"")</f>
        <v/>
      </c>
      <c r="Z103">
        <f>IF(AND($A103&lt;&gt;"",Z$3&gt;=$J103,Z$3&lt;=$M103),1,"")</f>
        <v/>
      </c>
      <c r="AA103">
        <f>IF(AND($A103&lt;&gt;"",AA$3&gt;=$J103,AA$3&lt;=$M103),1,"")</f>
        <v/>
      </c>
      <c r="AB103">
        <f>IF(AND($A103&lt;&gt;"",AB$3&gt;=$J103,AB$3&lt;=$M103),1,"")</f>
        <v/>
      </c>
      <c r="AC103">
        <f>IF(AND($A103&lt;&gt;"",AC$3&gt;=$J103,AC$3&lt;=$M103),1,"")</f>
        <v/>
      </c>
      <c r="AD103">
        <f>IF(AND($A103&lt;&gt;"",AD$3&gt;=$J103,AD$3&lt;=$M103),1,"")</f>
        <v/>
      </c>
      <c r="AE103">
        <f>IF(AND($A103&lt;&gt;"",AE$3&gt;=$J103,AE$3&lt;=$M103),1,"")</f>
        <v/>
      </c>
      <c r="AF103">
        <f>IF(AND($A103&lt;&gt;"",AF$3&gt;=$J103,AF$3&lt;=$M103),1,"")</f>
        <v/>
      </c>
      <c r="AG103">
        <f>IF(AND($A103&lt;&gt;"",AG$3&gt;=$J103,AG$3&lt;=$M103),1,"")</f>
        <v/>
      </c>
      <c r="AH103">
        <f>IF(AND($A103&lt;&gt;"",AH$3&gt;=$J103,AH$3&lt;=$M103),1,"")</f>
        <v/>
      </c>
      <c r="AI103">
        <f>IF(AND($A103&lt;&gt;"",AI$3&gt;=$J103,AI$3&lt;=$M103),1,"")</f>
        <v/>
      </c>
      <c r="AJ103">
        <f>IF(AND($A103&lt;&gt;"",AJ$3&gt;=$J103,AJ$3&lt;=$M103),1,"")</f>
        <v/>
      </c>
      <c r="AK103">
        <f>IF(AND($A103&lt;&gt;"",AK$3&gt;=$J103,AK$3&lt;=$M103),1,"")</f>
        <v/>
      </c>
      <c r="AL103">
        <f>IF(AND($A103&lt;&gt;"",AL$3&gt;=$J103,AL$3&lt;=$M103),1,"")</f>
        <v/>
      </c>
      <c r="AM103">
        <f>IF(AND($A103&lt;&gt;"",AM$3&gt;=$J103,AM$3&lt;=$M103),1,"")</f>
        <v/>
      </c>
      <c r="AN103">
        <f>IF(AND($A103&lt;&gt;"",AN$3&gt;=$J103,AN$3&lt;=$M103),1,"")</f>
        <v/>
      </c>
      <c r="AO103">
        <f>IF(AND($A103&lt;&gt;"",AO$3&gt;=$J103,AO$3&lt;=$M103),1,"")</f>
        <v/>
      </c>
      <c r="AP103">
        <f>IF(AND($A103&lt;&gt;"",AP$3&gt;=$J103,AP$3&lt;=$M103),1,"")</f>
        <v/>
      </c>
      <c r="AQ103">
        <f>IF(AND($A103&lt;&gt;"",AQ$3&gt;=$J103,AQ$3&lt;=$M103),1,"")</f>
        <v/>
      </c>
      <c r="AR103">
        <f>IF(AND($A103&lt;&gt;"",AR$3&gt;=$J103,AR$3&lt;=$M103),1,"")</f>
        <v/>
      </c>
      <c r="AS103">
        <f>IF(AND($A103&lt;&gt;"",AS$3&gt;=$J103,AS$3&lt;=$M103),1,"")</f>
        <v/>
      </c>
      <c r="AT103">
        <f>IF(AND($A103&lt;&gt;"",AT$3&gt;=$J103,AT$3&lt;=$M103),1,"")</f>
        <v/>
      </c>
      <c r="AU103">
        <f>IF(AND($A103&lt;&gt;"",AU$3&gt;=$J103,AU$3&lt;=$M103),1,"")</f>
        <v/>
      </c>
      <c r="AV103">
        <f>IF(AND($A103&lt;&gt;"",AV$3&gt;=$J103,AV$3&lt;=$M103),1,"")</f>
        <v/>
      </c>
      <c r="AW103">
        <f>IF(AND($A103&lt;&gt;"",AW$3&gt;=$J103,AW$3&lt;=$M103),1,"")</f>
        <v/>
      </c>
      <c r="AX103">
        <f>IF(AND($A103&lt;&gt;"",AX$3&gt;=$J103,AX$3&lt;=$M103),1,"")</f>
        <v/>
      </c>
      <c r="AY103">
        <f>IF(AND($A103&lt;&gt;"",AY$3&gt;=$J103,AY$3&lt;=$M103),1,"")</f>
        <v/>
      </c>
      <c r="AZ103">
        <f>IF(AND($A103&lt;&gt;"",AZ$3&gt;=$J103,AZ$3&lt;=$M103),1,"")</f>
        <v/>
      </c>
      <c r="BA103">
        <f>IF(AND($A103&lt;&gt;"",BA$3&gt;=$J103,BA$3&lt;=$M103),1,"")</f>
        <v/>
      </c>
      <c r="BB103">
        <f>IF(AND($A103&lt;&gt;"",BB$3&gt;=$J103,BB$3&lt;=$M103),1,"")</f>
        <v/>
      </c>
      <c r="BC103">
        <f>IF(AND($A103&lt;&gt;"",BC$3&gt;=$J103,BC$3&lt;=$M103),1,"")</f>
        <v/>
      </c>
      <c r="BD103">
        <f>IF(AND($A103&lt;&gt;"",BD$3&gt;=$J103,BD$3&lt;=$M103),1,"")</f>
        <v/>
      </c>
      <c r="BE103">
        <f>IF(AND($A103&lt;&gt;"",BE$3&gt;=$J103,BE$3&lt;=$M103),1,"")</f>
        <v/>
      </c>
      <c r="BF103">
        <f>IF(AND($A103&lt;&gt;"",BF$3&gt;=$J103,BF$3&lt;=$M103),1,"")</f>
        <v/>
      </c>
      <c r="BG103">
        <f>IF(AND($A103&lt;&gt;"",BG$3&gt;=$J103,BG$3&lt;=$M103),1,"")</f>
        <v/>
      </c>
      <c r="BH103">
        <f>IF(AND($A103&lt;&gt;"",BH$3&gt;=$J103,BH$3&lt;=$M103),1,"")</f>
        <v/>
      </c>
      <c r="BI103">
        <f>IF(AND($A103&lt;&gt;"",BI$3&gt;=$J103,BI$3&lt;=$M103),1,"")</f>
        <v/>
      </c>
      <c r="BJ103">
        <f>IF(AND($A103&lt;&gt;"",BJ$3&gt;=$J103,BJ$3&lt;=$M103),1,"")</f>
        <v/>
      </c>
      <c r="BK103">
        <f>IF(AND($A103&lt;&gt;"",BK$3&gt;=$J103,BK$3&lt;=$M103),1,"")</f>
        <v/>
      </c>
      <c r="BL103">
        <f>IF(AND($A103&lt;&gt;"",BL$3&gt;=$J103,BL$3&lt;=$M103),1,"")</f>
        <v/>
      </c>
      <c r="BM103">
        <f>IF(AND($A103&lt;&gt;"",BM$3&gt;=$J103,BM$3&lt;=$M103),1,"")</f>
        <v/>
      </c>
      <c r="BN103">
        <f>IF(AND($A103&lt;&gt;"",BN$3&gt;=$J103,BN$3&lt;=$M103),1,"")</f>
        <v/>
      </c>
      <c r="BO103">
        <f>IF(AND($A103&lt;&gt;"",BO$3&gt;=$J103,BO$3&lt;=$M103),1,"")</f>
        <v/>
      </c>
      <c r="BP103">
        <f>IF(AND($A103&lt;&gt;"",BP$3&gt;=$J103,BP$3&lt;=$M103),1,"")</f>
        <v/>
      </c>
      <c r="BQ103">
        <f>IF(AND($A103&lt;&gt;"",BQ$3&gt;=$J103,BQ$3&lt;=$M103),1,"")</f>
        <v/>
      </c>
      <c r="BR103">
        <f>IF(AND($A103&lt;&gt;"",BR$3&gt;=$J103,BR$3&lt;=$M103),1,"")</f>
        <v/>
      </c>
      <c r="BS103">
        <f>IF(AND($A103&lt;&gt;"",BS$3&gt;=$J103,BS$3&lt;=$M103),1,"")</f>
        <v/>
      </c>
      <c r="BT103">
        <f>IF(AND($A103&lt;&gt;"",BT$3&gt;=$J103,BT$3&lt;=$M103),1,"")</f>
        <v/>
      </c>
      <c r="BU103">
        <f>IF(AND($A103&lt;&gt;"",BU$3&gt;=$J103,BU$3&lt;=$M103),1,"")</f>
        <v/>
      </c>
      <c r="BV103">
        <f>IF(AND($A103&lt;&gt;"",BV$3&gt;=$J103,BV$3&lt;=$M103),1,"")</f>
        <v/>
      </c>
    </row>
  </sheetData>
  <conditionalFormatting sqref="A4:A103">
    <cfRule type="expression" priority="1" dxfId="0">
      <formula>VLOOKUP($A4,Job_Master_Ring!$A:$G,7,0)="High"</formula>
    </cfRule>
    <cfRule type="expression" priority="2" dxfId="1">
      <formula>VLOOKUP($A4,Job_Master_Ring!$A:$G,7,0)="Medium"</formula>
    </cfRule>
    <cfRule type="expression" priority="3" dxfId="2">
      <formula>VLOOKUP($A4,Job_Master_Ring!$A:$G,7,0)="Low"</formula>
    </cfRule>
  </conditionalFormatting>
  <conditionalFormatting sqref="P4:BV103">
    <cfRule type="expression" priority="4" dxfId="7">
      <formula>P4=1</formula>
    </cfRule>
    <cfRule type="expression" priority="5" dxfId="8">
      <formula>WEEKDAY(P$3,2)&gt;=6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G103"/>
  <sheetViews>
    <sheetView workbookViewId="0">
      <pane xSplit="15" ySplit="3" topLeftCell="P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8" customWidth="1" min="3" max="3"/>
    <col width="8" customWidth="1" min="4" max="4"/>
    <col width="16" customWidth="1" min="5" max="5"/>
    <col width="14" customWidth="1" min="6" max="6"/>
    <col width="12" customWidth="1" min="7" max="7"/>
    <col width="8" customWidth="1" min="8" max="8"/>
    <col width="10" customWidth="1" min="9" max="9"/>
    <col width="14" customWidth="1" min="10" max="10"/>
    <col width="8" customWidth="1" min="11" max="11"/>
    <col width="10" customWidth="1" min="12" max="12"/>
    <col width="14" customWidth="1" min="13" max="13"/>
    <col width="12" customWidth="1" min="14" max="14"/>
    <col width="14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  <col width="3" customWidth="1" min="67" max="67"/>
    <col width="3" customWidth="1" min="68" max="68"/>
    <col width="3" customWidth="1" min="69" max="69"/>
    <col width="3" customWidth="1" min="70" max="70"/>
    <col width="3" customWidth="1" min="71" max="71"/>
    <col width="3" customWidth="1" min="72" max="72"/>
    <col width="3" customWidth="1" min="73" max="73"/>
    <col width="3" customWidth="1" min="74" max="74"/>
  </cols>
  <sheetData>
    <row r="1">
      <c r="BX1" s="24" t="inlineStr">
        <is>
          <t>QC — Monthly Load vs Capacity</t>
        </is>
      </c>
    </row>
    <row r="2">
      <c r="BX2" s="25" t="inlineStr">
        <is>
          <t>Apr-26</t>
        </is>
      </c>
      <c r="BY2" s="25" t="inlineStr">
        <is>
          <t>May-26</t>
        </is>
      </c>
      <c r="BZ2" s="25" t="inlineStr">
        <is>
          <t>Jun-26</t>
        </is>
      </c>
      <c r="CA2" s="25" t="inlineStr">
        <is>
          <t>Jul-26</t>
        </is>
      </c>
      <c r="CB2" s="25" t="inlineStr">
        <is>
          <t>Aug-26</t>
        </is>
      </c>
      <c r="CC2" s="25" t="inlineStr">
        <is>
          <t>Sep-26</t>
        </is>
      </c>
      <c r="CD2" s="25" t="inlineStr">
        <is>
          <t>Oct-26</t>
        </is>
      </c>
      <c r="CE2" s="25" t="inlineStr">
        <is>
          <t>Nov-26</t>
        </is>
      </c>
      <c r="CF2" s="25" t="inlineStr">
        <is>
          <t>Dec-26</t>
        </is>
      </c>
      <c r="CG2" s="25" t="inlineStr">
        <is>
          <t>Jan-27</t>
        </is>
      </c>
    </row>
    <row r="3" ht="40" customHeight="1">
      <c r="A3" s="5" t="inlineStr">
        <is>
          <t>Job ID</t>
        </is>
      </c>
      <c r="B3" s="5" t="inlineStr">
        <is>
          <t>Size</t>
        </is>
      </c>
      <c r="C3" s="4" t="inlineStr">
        <is>
          <t>Type</t>
        </is>
      </c>
      <c r="D3" s="5" t="inlineStr">
        <is>
          <t>Parts</t>
        </is>
      </c>
      <c r="E3" s="22" t="inlineStr">
        <is>
          <t>Allocated Machine</t>
        </is>
      </c>
      <c r="F3" s="6" t="inlineStr">
        <is>
          <t>Worker</t>
        </is>
      </c>
      <c r="G3" s="22" t="inlineStr">
        <is>
          <t>PM Date</t>
        </is>
      </c>
      <c r="H3" s="22" t="inlineStr">
        <is>
          <t>PM Hrs</t>
        </is>
      </c>
      <c r="I3" s="4" t="inlineStr">
        <is>
          <t>Override</t>
        </is>
      </c>
      <c r="J3" s="5" t="inlineStr">
        <is>
          <t>Start Date</t>
        </is>
      </c>
      <c r="K3" s="5" t="inlineStr">
        <is>
          <t>Unit CT</t>
        </is>
      </c>
      <c r="L3" s="5" t="inlineStr">
        <is>
          <t>Total Load</t>
        </is>
      </c>
      <c r="M3" s="5" t="inlineStr">
        <is>
          <t>End Date</t>
        </is>
      </c>
      <c r="N3" s="8" t="inlineStr">
        <is>
          <t>Shift | Time</t>
        </is>
      </c>
      <c r="O3" s="23" t="inlineStr">
        <is>
          <t>Machine Helper
(Pick Compatible)</t>
        </is>
      </c>
      <c r="P3" s="15" t="n">
        <v>46113</v>
      </c>
      <c r="Q3" s="15" t="n">
        <v>46114</v>
      </c>
      <c r="R3" s="15" t="n">
        <v>46115</v>
      </c>
      <c r="S3" s="15" t="n">
        <v>46116</v>
      </c>
      <c r="T3" s="15" t="n">
        <v>46118</v>
      </c>
      <c r="U3" s="15" t="n">
        <v>46119</v>
      </c>
      <c r="V3" s="15" t="n">
        <v>46120</v>
      </c>
      <c r="W3" s="15" t="n">
        <v>46121</v>
      </c>
      <c r="X3" s="15" t="n">
        <v>46122</v>
      </c>
      <c r="Y3" s="15" t="n">
        <v>46123</v>
      </c>
      <c r="Z3" s="15" t="n">
        <v>46124</v>
      </c>
      <c r="AA3" s="15" t="n">
        <v>46125</v>
      </c>
      <c r="AB3" s="15" t="n">
        <v>46126</v>
      </c>
      <c r="AC3" s="15" t="n">
        <v>46127</v>
      </c>
      <c r="AD3" s="15" t="n">
        <v>46128</v>
      </c>
      <c r="AE3" s="15" t="n">
        <v>46129</v>
      </c>
      <c r="AF3" s="15" t="n">
        <v>46130</v>
      </c>
      <c r="AG3" s="15" t="n">
        <v>46131</v>
      </c>
      <c r="AH3" s="15" t="n">
        <v>46132</v>
      </c>
      <c r="AI3" s="15" t="n">
        <v>46133</v>
      </c>
      <c r="AJ3" s="15" t="n">
        <v>46134</v>
      </c>
      <c r="AK3" s="15" t="n">
        <v>46135</v>
      </c>
      <c r="AL3" s="15" t="n">
        <v>46136</v>
      </c>
      <c r="AM3" s="15" t="n">
        <v>46137</v>
      </c>
      <c r="AN3" s="15" t="n">
        <v>46138</v>
      </c>
      <c r="AO3" s="15" t="n">
        <v>46139</v>
      </c>
      <c r="AP3" s="15" t="n">
        <v>46140</v>
      </c>
      <c r="AQ3" s="15" t="n">
        <v>46141</v>
      </c>
      <c r="AR3" s="15" t="n">
        <v>46142</v>
      </c>
      <c r="AS3" s="15" t="n">
        <v>46143</v>
      </c>
      <c r="AT3" s="15" t="n">
        <v>46144</v>
      </c>
      <c r="AU3" s="15" t="n">
        <v>46145</v>
      </c>
      <c r="AV3" s="15" t="n">
        <v>46146</v>
      </c>
      <c r="AW3" s="15" t="n">
        <v>46147</v>
      </c>
      <c r="AX3" s="15" t="n">
        <v>46148</v>
      </c>
      <c r="AY3" s="15" t="n">
        <v>46149</v>
      </c>
      <c r="AZ3" s="15" t="n">
        <v>46150</v>
      </c>
      <c r="BA3" s="15" t="n">
        <v>46151</v>
      </c>
      <c r="BB3" s="15" t="n">
        <v>46152</v>
      </c>
      <c r="BC3" s="15" t="n">
        <v>46153</v>
      </c>
      <c r="BD3" s="15" t="n">
        <v>46154</v>
      </c>
      <c r="BE3" s="15" t="n">
        <v>46155</v>
      </c>
      <c r="BF3" s="15" t="n">
        <v>46156</v>
      </c>
      <c r="BG3" s="15" t="n">
        <v>46157</v>
      </c>
      <c r="BH3" s="15" t="n">
        <v>46158</v>
      </c>
      <c r="BI3" s="15" t="n">
        <v>46159</v>
      </c>
      <c r="BJ3" s="15" t="n">
        <v>46160</v>
      </c>
      <c r="BK3" s="15" t="n">
        <v>46161</v>
      </c>
      <c r="BL3" s="15" t="n">
        <v>46162</v>
      </c>
      <c r="BM3" s="15" t="n">
        <v>46163</v>
      </c>
      <c r="BN3" s="15" t="n">
        <v>46164</v>
      </c>
      <c r="BO3" s="15" t="n">
        <v>46165</v>
      </c>
      <c r="BP3" s="15" t="n">
        <v>46166</v>
      </c>
      <c r="BQ3" s="15" t="n">
        <v>46167</v>
      </c>
      <c r="BR3" s="15" t="n">
        <v>46168</v>
      </c>
      <c r="BS3" s="15" t="n">
        <v>46169</v>
      </c>
      <c r="BT3" s="15" t="n">
        <v>46170</v>
      </c>
      <c r="BU3" s="15" t="n">
        <v>46171</v>
      </c>
      <c r="BV3" s="15" t="n">
        <v>46172</v>
      </c>
      <c r="BW3" s="26" t="inlineStr">
        <is>
          <t>Load (Hrs)</t>
        </is>
      </c>
      <c r="BX3" s="27" t="n">
        <v>0</v>
      </c>
      <c r="BY3" s="27" t="n">
        <v>0</v>
      </c>
      <c r="BZ3" s="27" t="n">
        <v>0</v>
      </c>
      <c r="CA3" s="27" t="n">
        <v>0</v>
      </c>
      <c r="CB3" s="27" t="n">
        <v>0</v>
      </c>
      <c r="CC3" s="27" t="n">
        <v>0</v>
      </c>
      <c r="CD3" s="27" t="n">
        <v>0</v>
      </c>
      <c r="CE3" s="27" t="n">
        <v>0</v>
      </c>
      <c r="CF3" s="27" t="n">
        <v>0</v>
      </c>
      <c r="CG3" s="27" t="n">
        <v>0</v>
      </c>
    </row>
    <row r="4">
      <c r="A4">
        <f>IF(Job_Master_Ring!$A4="","",Job_Master_Ring!$A4)</f>
        <v/>
      </c>
      <c r="B4">
        <f>IF($A4="","",Job_Master_Ring!B4)</f>
        <v/>
      </c>
      <c r="C4">
        <f>IF($A4="","",Job_Master_Ring!C4)</f>
        <v/>
      </c>
      <c r="D4">
        <f>IF($A4="","",Job_Master_Ring!D4)</f>
        <v/>
      </c>
      <c r="E4">
        <f>IF($A4="","",IF($I4&lt;&gt;"",$I4,IFERROR(INDEX(Machine_List!$B$82:$B$86,MATCH(1,(Machine_List!$H$82:$H$86&lt;=IFERROR(VLOOKUP($B4,CHOOSE(MATCH($C4,Settings!$L$4:$L$10,0),OPR_BR1!$A$4:$K$18,OPR_BR2!$A$4:$K$18,OPR_CR2!$A$4:$K$18,OPR_CR3!$A$4:$K$18,OPR_CR4!$A$4:$K$18,OPR_RIM!$A$4:$K$18,OPR_BPR!$A$4:$K$18),10,0),0))*(Machine_List!$I$82:$I$86&gt;=IFERROR(VLOOKUP($B4,CHOOSE(MATCH($C4,Settings!$L$4:$L$10,0),OPR_BR1!$A$4:$K$18,OPR_BR2!$A$4:$K$18,OPR_CR2!$A$4:$K$18,OPR_CR3!$A$4:$K$18,OPR_CR4!$A$4:$K$18,OPR_RIM!$A$4:$K$18,OPR_BPR!$A$4:$K$18),11,0),9999)),0)),"NO COMPATIBLE MACHINE")))</f>
        <v/>
      </c>
      <c r="F4">
        <f>IF($E4="","",IFERROR(VLOOKUP($E4,Machine_List!$B:$G,6,0),""))</f>
        <v/>
      </c>
      <c r="G4" s="17">
        <f>IF($E4="","",IFERROR(VLOOKUP($E4,Machine_List!$B:$C,2,0),""))</f>
        <v/>
      </c>
      <c r="H4">
        <f>IF($E4="","",IFERROR(VLOOKUP($E4,Machine_List!$B:$D,3,0),""))</f>
        <v/>
      </c>
      <c r="J4" s="16">
        <f>IF($A4="","",IF($I4&lt;&gt;"",$I4,MAX(FID_Plan!$M4,IFERROR(LOOKUP(2,1/($E$3:INDIRECT("E"&amp;(ROW()-1))=$E4),$M$3:INDIRECT("M"&amp;(ROW()-1))),FID_Plan!$M4))))</f>
        <v/>
      </c>
      <c r="K4">
        <f>IF($A4="","",IFERROR(VLOOKUP(B4,CHOOSE(MATCH($C4,Settings!$L$4:$L$10,0),OPR_BR1!$A$4:$I$18,OPR_BR2!$A$4:$I$18,OPR_CR2!$A$4:$I$18,OPR_CR3!$A$4:$I$18,OPR_CR4!$A$4:$I$18,OPR_RIM!$A$4:$I$18,OPR_BPR!$A$4:$I$18),9,0),0))</f>
        <v/>
      </c>
      <c r="L4">
        <f>IF($A4="","",K4*D4)</f>
        <v/>
      </c>
      <c r="M4" s="16">
        <f>IF($A4=""," ",$J4+($L4/(IF(F4="Contract Workman",Settings!$K$5,Settings!$K$4))))</f>
        <v/>
      </c>
      <c r="N4">
        <f>IF($A4="","",IF(F4="Contract Workman",IF(AND(MOD(M4,1)&gt;=8/24,MOD(M4,1)&lt;20/24),"Shift S1","Shift S2"),IF(AND(MOD(M4,1)&gt;=7/24,MOD(M4,1)&lt;15/24),"Shift A",IF(AND(MOD(M4,1)&gt;=15/24,MOD(M4,1)&lt;23/24),"Shift B","Shift C"))))</f>
        <v/>
      </c>
      <c r="O4">
        <f>IF(B4="","",IF(IFERROR(ISNUMBER(SEARCH(TEXT(B4,"0"),VLOOKUP(E4,Machine_List!$B:$J,9,0))),FALSE),"✅ "&amp; E4,"❌ Sug: "&amp;IFERROR(INDEX(Machine_List!$B$82:$B$86,MATCH(1,(Machine_List!$H$82:$H$86&lt;=IFERROR(VLOOKUP($B4,OPR_BR1!$A$4:$K$18,10,0),0))*(Machine_List!$I$82:$I$86&gt;=IFERROR(VLOOKUP($B4,OPR_BR1!$A$4:$K$18,11,0),9999)),0)),"?")))</f>
        <v/>
      </c>
      <c r="P4">
        <f>IF(AND($A4&lt;&gt;"",P$3&gt;=$J4,P$3&lt;=$M4),1,"")</f>
        <v/>
      </c>
      <c r="Q4">
        <f>IF(AND($A4&lt;&gt;"",Q$3&gt;=$J4,Q$3&lt;=$M4),1,"")</f>
        <v/>
      </c>
      <c r="R4">
        <f>IF(AND($A4&lt;&gt;"",R$3&gt;=$J4,R$3&lt;=$M4),1,"")</f>
        <v/>
      </c>
      <c r="S4">
        <f>IF(AND($A4&lt;&gt;"",S$3&gt;=$J4,S$3&lt;=$M4),1,"")</f>
        <v/>
      </c>
      <c r="T4">
        <f>IF(AND($A4&lt;&gt;"",T$3&gt;=$J4,T$3&lt;=$M4),1,"")</f>
        <v/>
      </c>
      <c r="U4">
        <f>IF(AND($A4&lt;&gt;"",U$3&gt;=$J4,U$3&lt;=$M4),1,"")</f>
        <v/>
      </c>
      <c r="V4">
        <f>IF(AND($A4&lt;&gt;"",V$3&gt;=$J4,V$3&lt;=$M4),1,"")</f>
        <v/>
      </c>
      <c r="W4">
        <f>IF(AND($A4&lt;&gt;"",W$3&gt;=$J4,W$3&lt;=$M4),1,"")</f>
        <v/>
      </c>
      <c r="X4">
        <f>IF(AND($A4&lt;&gt;"",X$3&gt;=$J4,X$3&lt;=$M4),1,"")</f>
        <v/>
      </c>
      <c r="Y4">
        <f>IF(AND($A4&lt;&gt;"",Y$3&gt;=$J4,Y$3&lt;=$M4),1,"")</f>
        <v/>
      </c>
      <c r="Z4">
        <f>IF(AND($A4&lt;&gt;"",Z$3&gt;=$J4,Z$3&lt;=$M4),1,"")</f>
        <v/>
      </c>
      <c r="AA4">
        <f>IF(AND($A4&lt;&gt;"",AA$3&gt;=$J4,AA$3&lt;=$M4),1,"")</f>
        <v/>
      </c>
      <c r="AB4">
        <f>IF(AND($A4&lt;&gt;"",AB$3&gt;=$J4,AB$3&lt;=$M4),1,"")</f>
        <v/>
      </c>
      <c r="AC4">
        <f>IF(AND($A4&lt;&gt;"",AC$3&gt;=$J4,AC$3&lt;=$M4),1,"")</f>
        <v/>
      </c>
      <c r="AD4">
        <f>IF(AND($A4&lt;&gt;"",AD$3&gt;=$J4,AD$3&lt;=$M4),1,"")</f>
        <v/>
      </c>
      <c r="AE4">
        <f>IF(AND($A4&lt;&gt;"",AE$3&gt;=$J4,AE$3&lt;=$M4),1,"")</f>
        <v/>
      </c>
      <c r="AF4">
        <f>IF(AND($A4&lt;&gt;"",AF$3&gt;=$J4,AF$3&lt;=$M4),1,"")</f>
        <v/>
      </c>
      <c r="AG4">
        <f>IF(AND($A4&lt;&gt;"",AG$3&gt;=$J4,AG$3&lt;=$M4),1,"")</f>
        <v/>
      </c>
      <c r="AH4">
        <f>IF(AND($A4&lt;&gt;"",AH$3&gt;=$J4,AH$3&lt;=$M4),1,"")</f>
        <v/>
      </c>
      <c r="AI4">
        <f>IF(AND($A4&lt;&gt;"",AI$3&gt;=$J4,AI$3&lt;=$M4),1,"")</f>
        <v/>
      </c>
      <c r="AJ4">
        <f>IF(AND($A4&lt;&gt;"",AJ$3&gt;=$J4,AJ$3&lt;=$M4),1,"")</f>
        <v/>
      </c>
      <c r="AK4">
        <f>IF(AND($A4&lt;&gt;"",AK$3&gt;=$J4,AK$3&lt;=$M4),1,"")</f>
        <v/>
      </c>
      <c r="AL4">
        <f>IF(AND($A4&lt;&gt;"",AL$3&gt;=$J4,AL$3&lt;=$M4),1,"")</f>
        <v/>
      </c>
      <c r="AM4">
        <f>IF(AND($A4&lt;&gt;"",AM$3&gt;=$J4,AM$3&lt;=$M4),1,"")</f>
        <v/>
      </c>
      <c r="AN4">
        <f>IF(AND($A4&lt;&gt;"",AN$3&gt;=$J4,AN$3&lt;=$M4),1,"")</f>
        <v/>
      </c>
      <c r="AO4">
        <f>IF(AND($A4&lt;&gt;"",AO$3&gt;=$J4,AO$3&lt;=$M4),1,"")</f>
        <v/>
      </c>
      <c r="AP4">
        <f>IF(AND($A4&lt;&gt;"",AP$3&gt;=$J4,AP$3&lt;=$M4),1,"")</f>
        <v/>
      </c>
      <c r="AQ4">
        <f>IF(AND($A4&lt;&gt;"",AQ$3&gt;=$J4,AQ$3&lt;=$M4),1,"")</f>
        <v/>
      </c>
      <c r="AR4">
        <f>IF(AND($A4&lt;&gt;"",AR$3&gt;=$J4,AR$3&lt;=$M4),1,"")</f>
        <v/>
      </c>
      <c r="AS4">
        <f>IF(AND($A4&lt;&gt;"",AS$3&gt;=$J4,AS$3&lt;=$M4),1,"")</f>
        <v/>
      </c>
      <c r="AT4">
        <f>IF(AND($A4&lt;&gt;"",AT$3&gt;=$J4,AT$3&lt;=$M4),1,"")</f>
        <v/>
      </c>
      <c r="AU4">
        <f>IF(AND($A4&lt;&gt;"",AU$3&gt;=$J4,AU$3&lt;=$M4),1,"")</f>
        <v/>
      </c>
      <c r="AV4">
        <f>IF(AND($A4&lt;&gt;"",AV$3&gt;=$J4,AV$3&lt;=$M4),1,"")</f>
        <v/>
      </c>
      <c r="AW4">
        <f>IF(AND($A4&lt;&gt;"",AW$3&gt;=$J4,AW$3&lt;=$M4),1,"")</f>
        <v/>
      </c>
      <c r="AX4">
        <f>IF(AND($A4&lt;&gt;"",AX$3&gt;=$J4,AX$3&lt;=$M4),1,"")</f>
        <v/>
      </c>
      <c r="AY4">
        <f>IF(AND($A4&lt;&gt;"",AY$3&gt;=$J4,AY$3&lt;=$M4),1,"")</f>
        <v/>
      </c>
      <c r="AZ4">
        <f>IF(AND($A4&lt;&gt;"",AZ$3&gt;=$J4,AZ$3&lt;=$M4),1,"")</f>
        <v/>
      </c>
      <c r="BA4">
        <f>IF(AND($A4&lt;&gt;"",BA$3&gt;=$J4,BA$3&lt;=$M4),1,"")</f>
        <v/>
      </c>
      <c r="BB4">
        <f>IF(AND($A4&lt;&gt;"",BB$3&gt;=$J4,BB$3&lt;=$M4),1,"")</f>
        <v/>
      </c>
      <c r="BC4">
        <f>IF(AND($A4&lt;&gt;"",BC$3&gt;=$J4,BC$3&lt;=$M4),1,"")</f>
        <v/>
      </c>
      <c r="BD4">
        <f>IF(AND($A4&lt;&gt;"",BD$3&gt;=$J4,BD$3&lt;=$M4),1,"")</f>
        <v/>
      </c>
      <c r="BE4">
        <f>IF(AND($A4&lt;&gt;"",BE$3&gt;=$J4,BE$3&lt;=$M4),1,"")</f>
        <v/>
      </c>
      <c r="BF4">
        <f>IF(AND($A4&lt;&gt;"",BF$3&gt;=$J4,BF$3&lt;=$M4),1,"")</f>
        <v/>
      </c>
      <c r="BG4">
        <f>IF(AND($A4&lt;&gt;"",BG$3&gt;=$J4,BG$3&lt;=$M4),1,"")</f>
        <v/>
      </c>
      <c r="BH4">
        <f>IF(AND($A4&lt;&gt;"",BH$3&gt;=$J4,BH$3&lt;=$M4),1,"")</f>
        <v/>
      </c>
      <c r="BI4">
        <f>IF(AND($A4&lt;&gt;"",BI$3&gt;=$J4,BI$3&lt;=$M4),1,"")</f>
        <v/>
      </c>
      <c r="BJ4">
        <f>IF(AND($A4&lt;&gt;"",BJ$3&gt;=$J4,BJ$3&lt;=$M4),1,"")</f>
        <v/>
      </c>
      <c r="BK4">
        <f>IF(AND($A4&lt;&gt;"",BK$3&gt;=$J4,BK$3&lt;=$M4),1,"")</f>
        <v/>
      </c>
      <c r="BL4">
        <f>IF(AND($A4&lt;&gt;"",BL$3&gt;=$J4,BL$3&lt;=$M4),1,"")</f>
        <v/>
      </c>
      <c r="BM4">
        <f>IF(AND($A4&lt;&gt;"",BM$3&gt;=$J4,BM$3&lt;=$M4),1,"")</f>
        <v/>
      </c>
      <c r="BN4">
        <f>IF(AND($A4&lt;&gt;"",BN$3&gt;=$J4,BN$3&lt;=$M4),1,"")</f>
        <v/>
      </c>
      <c r="BO4">
        <f>IF(AND($A4&lt;&gt;"",BO$3&gt;=$J4,BO$3&lt;=$M4),1,"")</f>
        <v/>
      </c>
      <c r="BP4">
        <f>IF(AND($A4&lt;&gt;"",BP$3&gt;=$J4,BP$3&lt;=$M4),1,"")</f>
        <v/>
      </c>
      <c r="BQ4">
        <f>IF(AND($A4&lt;&gt;"",BQ$3&gt;=$J4,BQ$3&lt;=$M4),1,"")</f>
        <v/>
      </c>
      <c r="BR4">
        <f>IF(AND($A4&lt;&gt;"",BR$3&gt;=$J4,BR$3&lt;=$M4),1,"")</f>
        <v/>
      </c>
      <c r="BS4">
        <f>IF(AND($A4&lt;&gt;"",BS$3&gt;=$J4,BS$3&lt;=$M4),1,"")</f>
        <v/>
      </c>
      <c r="BT4">
        <f>IF(AND($A4&lt;&gt;"",BT$3&gt;=$J4,BT$3&lt;=$M4),1,"")</f>
        <v/>
      </c>
      <c r="BU4">
        <f>IF(AND($A4&lt;&gt;"",BU$3&gt;=$J4,BU$3&lt;=$M4),1,"")</f>
        <v/>
      </c>
      <c r="BV4">
        <f>IF(AND($A4&lt;&gt;"",BV$3&gt;=$J4,BV$3&lt;=$M4),1,"")</f>
        <v/>
      </c>
      <c r="BW4" s="26" t="inlineStr">
        <is>
          <t>Capacity (Hrs)</t>
        </is>
      </c>
      <c r="BX4" s="27" t="n">
        <v>3240</v>
      </c>
      <c r="BY4" s="27" t="n">
        <v>3348</v>
      </c>
      <c r="BZ4" s="27" t="n">
        <v>3240</v>
      </c>
      <c r="CA4" s="27" t="n">
        <v>3348</v>
      </c>
      <c r="CB4" s="27" t="n">
        <v>3348</v>
      </c>
      <c r="CC4" s="27" t="n">
        <v>3240</v>
      </c>
      <c r="CD4" s="27" t="n">
        <v>3348</v>
      </c>
      <c r="CE4" s="27" t="n">
        <v>3240</v>
      </c>
      <c r="CF4" s="27" t="n">
        <v>3348</v>
      </c>
      <c r="CG4" s="27" t="n">
        <v>3348</v>
      </c>
    </row>
    <row r="5">
      <c r="A5">
        <f>IF(Job_Master_Ring!$A5="","",Job_Master_Ring!$A5)</f>
        <v/>
      </c>
      <c r="B5">
        <f>IF($A5="","",Job_Master_Ring!B5)</f>
        <v/>
      </c>
      <c r="C5">
        <f>IF($A5="","",Job_Master_Ring!C5)</f>
        <v/>
      </c>
      <c r="D5">
        <f>IF($A5="","",Job_Master_Ring!D5)</f>
        <v/>
      </c>
      <c r="E5">
        <f>IF($A5="","",IF($I5&lt;&gt;"",$I5,IFERROR(INDEX(Machine_List!$B$82:$B$86,MATCH(1,(Machine_List!$H$82:$H$86&lt;=IFERROR(VLOOKUP($B5,CHOOSE(MATCH($C5,Settings!$L$4:$L$10,0),OPR_BR1!$A$4:$K$18,OPR_BR2!$A$4:$K$18,OPR_CR2!$A$4:$K$18,OPR_CR3!$A$4:$K$18,OPR_CR4!$A$4:$K$18,OPR_RIM!$A$4:$K$18,OPR_BPR!$A$4:$K$18),10,0),0))*(Machine_List!$I$82:$I$86&gt;=IFERROR(VLOOKUP($B5,CHOOSE(MATCH($C5,Settings!$L$4:$L$10,0),OPR_BR1!$A$4:$K$18,OPR_BR2!$A$4:$K$18,OPR_CR2!$A$4:$K$18,OPR_CR3!$A$4:$K$18,OPR_CR4!$A$4:$K$18,OPR_RIM!$A$4:$K$18,OPR_BPR!$A$4:$K$18),11,0),9999)),0)),"NO COMPATIBLE MACHINE")))</f>
        <v/>
      </c>
      <c r="F5">
        <f>IF($E5="","",IFERROR(VLOOKUP($E5,Machine_List!$B:$G,6,0),""))</f>
        <v/>
      </c>
      <c r="G5" s="17">
        <f>IF($E5="","",IFERROR(VLOOKUP($E5,Machine_List!$B:$C,2,0),""))</f>
        <v/>
      </c>
      <c r="H5">
        <f>IF($E5="","",IFERROR(VLOOKUP($E5,Machine_List!$B:$D,3,0),""))</f>
        <v/>
      </c>
      <c r="J5" s="16">
        <f>IF($A5="","",IF($I5&lt;&gt;"",$I5,MAX(FID_Plan!$M5,IFERROR(LOOKUP(2,1/($E$3:INDIRECT("E"&amp;(ROW()-1))=$E5),$M$3:INDIRECT("M"&amp;(ROW()-1))),FID_Plan!$M5))))</f>
        <v/>
      </c>
      <c r="K5">
        <f>IF($A5="","",IFERROR(VLOOKUP(B5,CHOOSE(MATCH($C5,Settings!$L$4:$L$10,0),OPR_BR1!$A$4:$I$18,OPR_BR2!$A$4:$I$18,OPR_CR2!$A$4:$I$18,OPR_CR3!$A$4:$I$18,OPR_CR4!$A$4:$I$18,OPR_RIM!$A$4:$I$18,OPR_BPR!$A$4:$I$18),9,0),0))</f>
        <v/>
      </c>
      <c r="L5">
        <f>IF($A5="","",K5*D5)</f>
        <v/>
      </c>
      <c r="M5" s="16">
        <f>IF($A5=""," ",$J5+($L5/(IF(F5="Contract Workman",Settings!$K$5,Settings!$K$4))))</f>
        <v/>
      </c>
      <c r="N5">
        <f>IF($A5="","",IF(F5="Contract Workman",IF(AND(MOD(M5,1)&gt;=8/24,MOD(M5,1)&lt;20/24),"Shift S1","Shift S2"),IF(AND(MOD(M5,1)&gt;=7/24,MOD(M5,1)&lt;15/24),"Shift A",IF(AND(MOD(M5,1)&gt;=15/24,MOD(M5,1)&lt;23/24),"Shift B","Shift C"))))</f>
        <v/>
      </c>
      <c r="O5">
        <f>IF(B5="","",IF(IFERROR(ISNUMBER(SEARCH(TEXT(B5,"0"),VLOOKUP(E5,Machine_List!$B:$J,9,0))),FALSE),"✅ "&amp; E5,"❌ Sug: "&amp;IFERROR(INDEX(Machine_List!$B$82:$B$86,MATCH(1,(Machine_List!$H$82:$H$86&lt;=IFERROR(VLOOKUP($B5,OPR_BR1!$A$4:$K$18,10,0),0))*(Machine_List!$I$82:$I$86&gt;=IFERROR(VLOOKUP($B5,OPR_BR1!$A$4:$K$18,11,0),9999)),0)),"?")))</f>
        <v/>
      </c>
      <c r="P5">
        <f>IF(AND($A5&lt;&gt;"",P$3&gt;=$J5,P$3&lt;=$M5),1,"")</f>
        <v/>
      </c>
      <c r="Q5">
        <f>IF(AND($A5&lt;&gt;"",Q$3&gt;=$J5,Q$3&lt;=$M5),1,"")</f>
        <v/>
      </c>
      <c r="R5">
        <f>IF(AND($A5&lt;&gt;"",R$3&gt;=$J5,R$3&lt;=$M5),1,"")</f>
        <v/>
      </c>
      <c r="S5">
        <f>IF(AND($A5&lt;&gt;"",S$3&gt;=$J5,S$3&lt;=$M5),1,"")</f>
        <v/>
      </c>
      <c r="T5">
        <f>IF(AND($A5&lt;&gt;"",T$3&gt;=$J5,T$3&lt;=$M5),1,"")</f>
        <v/>
      </c>
      <c r="U5">
        <f>IF(AND($A5&lt;&gt;"",U$3&gt;=$J5,U$3&lt;=$M5),1,"")</f>
        <v/>
      </c>
      <c r="V5">
        <f>IF(AND($A5&lt;&gt;"",V$3&gt;=$J5,V$3&lt;=$M5),1,"")</f>
        <v/>
      </c>
      <c r="W5">
        <f>IF(AND($A5&lt;&gt;"",W$3&gt;=$J5,W$3&lt;=$M5),1,"")</f>
        <v/>
      </c>
      <c r="X5">
        <f>IF(AND($A5&lt;&gt;"",X$3&gt;=$J5,X$3&lt;=$M5),1,"")</f>
        <v/>
      </c>
      <c r="Y5">
        <f>IF(AND($A5&lt;&gt;"",Y$3&gt;=$J5,Y$3&lt;=$M5),1,"")</f>
        <v/>
      </c>
      <c r="Z5">
        <f>IF(AND($A5&lt;&gt;"",Z$3&gt;=$J5,Z$3&lt;=$M5),1,"")</f>
        <v/>
      </c>
      <c r="AA5">
        <f>IF(AND($A5&lt;&gt;"",AA$3&gt;=$J5,AA$3&lt;=$M5),1,"")</f>
        <v/>
      </c>
      <c r="AB5">
        <f>IF(AND($A5&lt;&gt;"",AB$3&gt;=$J5,AB$3&lt;=$M5),1,"")</f>
        <v/>
      </c>
      <c r="AC5">
        <f>IF(AND($A5&lt;&gt;"",AC$3&gt;=$J5,AC$3&lt;=$M5),1,"")</f>
        <v/>
      </c>
      <c r="AD5">
        <f>IF(AND($A5&lt;&gt;"",AD$3&gt;=$J5,AD$3&lt;=$M5),1,"")</f>
        <v/>
      </c>
      <c r="AE5">
        <f>IF(AND($A5&lt;&gt;"",AE$3&gt;=$J5,AE$3&lt;=$M5),1,"")</f>
        <v/>
      </c>
      <c r="AF5">
        <f>IF(AND($A5&lt;&gt;"",AF$3&gt;=$J5,AF$3&lt;=$M5),1,"")</f>
        <v/>
      </c>
      <c r="AG5">
        <f>IF(AND($A5&lt;&gt;"",AG$3&gt;=$J5,AG$3&lt;=$M5),1,"")</f>
        <v/>
      </c>
      <c r="AH5">
        <f>IF(AND($A5&lt;&gt;"",AH$3&gt;=$J5,AH$3&lt;=$M5),1,"")</f>
        <v/>
      </c>
      <c r="AI5">
        <f>IF(AND($A5&lt;&gt;"",AI$3&gt;=$J5,AI$3&lt;=$M5),1,"")</f>
        <v/>
      </c>
      <c r="AJ5">
        <f>IF(AND($A5&lt;&gt;"",AJ$3&gt;=$J5,AJ$3&lt;=$M5),1,"")</f>
        <v/>
      </c>
      <c r="AK5">
        <f>IF(AND($A5&lt;&gt;"",AK$3&gt;=$J5,AK$3&lt;=$M5),1,"")</f>
        <v/>
      </c>
      <c r="AL5">
        <f>IF(AND($A5&lt;&gt;"",AL$3&gt;=$J5,AL$3&lt;=$M5),1,"")</f>
        <v/>
      </c>
      <c r="AM5">
        <f>IF(AND($A5&lt;&gt;"",AM$3&gt;=$J5,AM$3&lt;=$M5),1,"")</f>
        <v/>
      </c>
      <c r="AN5">
        <f>IF(AND($A5&lt;&gt;"",AN$3&gt;=$J5,AN$3&lt;=$M5),1,"")</f>
        <v/>
      </c>
      <c r="AO5">
        <f>IF(AND($A5&lt;&gt;"",AO$3&gt;=$J5,AO$3&lt;=$M5),1,"")</f>
        <v/>
      </c>
      <c r="AP5">
        <f>IF(AND($A5&lt;&gt;"",AP$3&gt;=$J5,AP$3&lt;=$M5),1,"")</f>
        <v/>
      </c>
      <c r="AQ5">
        <f>IF(AND($A5&lt;&gt;"",AQ$3&gt;=$J5,AQ$3&lt;=$M5),1,"")</f>
        <v/>
      </c>
      <c r="AR5">
        <f>IF(AND($A5&lt;&gt;"",AR$3&gt;=$J5,AR$3&lt;=$M5),1,"")</f>
        <v/>
      </c>
      <c r="AS5">
        <f>IF(AND($A5&lt;&gt;"",AS$3&gt;=$J5,AS$3&lt;=$M5),1,"")</f>
        <v/>
      </c>
      <c r="AT5">
        <f>IF(AND($A5&lt;&gt;"",AT$3&gt;=$J5,AT$3&lt;=$M5),1,"")</f>
        <v/>
      </c>
      <c r="AU5">
        <f>IF(AND($A5&lt;&gt;"",AU$3&gt;=$J5,AU$3&lt;=$M5),1,"")</f>
        <v/>
      </c>
      <c r="AV5">
        <f>IF(AND($A5&lt;&gt;"",AV$3&gt;=$J5,AV$3&lt;=$M5),1,"")</f>
        <v/>
      </c>
      <c r="AW5">
        <f>IF(AND($A5&lt;&gt;"",AW$3&gt;=$J5,AW$3&lt;=$M5),1,"")</f>
        <v/>
      </c>
      <c r="AX5">
        <f>IF(AND($A5&lt;&gt;"",AX$3&gt;=$J5,AX$3&lt;=$M5),1,"")</f>
        <v/>
      </c>
      <c r="AY5">
        <f>IF(AND($A5&lt;&gt;"",AY$3&gt;=$J5,AY$3&lt;=$M5),1,"")</f>
        <v/>
      </c>
      <c r="AZ5">
        <f>IF(AND($A5&lt;&gt;"",AZ$3&gt;=$J5,AZ$3&lt;=$M5),1,"")</f>
        <v/>
      </c>
      <c r="BA5">
        <f>IF(AND($A5&lt;&gt;"",BA$3&gt;=$J5,BA$3&lt;=$M5),1,"")</f>
        <v/>
      </c>
      <c r="BB5">
        <f>IF(AND($A5&lt;&gt;"",BB$3&gt;=$J5,BB$3&lt;=$M5),1,"")</f>
        <v/>
      </c>
      <c r="BC5">
        <f>IF(AND($A5&lt;&gt;"",BC$3&gt;=$J5,BC$3&lt;=$M5),1,"")</f>
        <v/>
      </c>
      <c r="BD5">
        <f>IF(AND($A5&lt;&gt;"",BD$3&gt;=$J5,BD$3&lt;=$M5),1,"")</f>
        <v/>
      </c>
      <c r="BE5">
        <f>IF(AND($A5&lt;&gt;"",BE$3&gt;=$J5,BE$3&lt;=$M5),1,"")</f>
        <v/>
      </c>
      <c r="BF5">
        <f>IF(AND($A5&lt;&gt;"",BF$3&gt;=$J5,BF$3&lt;=$M5),1,"")</f>
        <v/>
      </c>
      <c r="BG5">
        <f>IF(AND($A5&lt;&gt;"",BG$3&gt;=$J5,BG$3&lt;=$M5),1,"")</f>
        <v/>
      </c>
      <c r="BH5">
        <f>IF(AND($A5&lt;&gt;"",BH$3&gt;=$J5,BH$3&lt;=$M5),1,"")</f>
        <v/>
      </c>
      <c r="BI5">
        <f>IF(AND($A5&lt;&gt;"",BI$3&gt;=$J5,BI$3&lt;=$M5),1,"")</f>
        <v/>
      </c>
      <c r="BJ5">
        <f>IF(AND($A5&lt;&gt;"",BJ$3&gt;=$J5,BJ$3&lt;=$M5),1,"")</f>
        <v/>
      </c>
      <c r="BK5">
        <f>IF(AND($A5&lt;&gt;"",BK$3&gt;=$J5,BK$3&lt;=$M5),1,"")</f>
        <v/>
      </c>
      <c r="BL5">
        <f>IF(AND($A5&lt;&gt;"",BL$3&gt;=$J5,BL$3&lt;=$M5),1,"")</f>
        <v/>
      </c>
      <c r="BM5">
        <f>IF(AND($A5&lt;&gt;"",BM$3&gt;=$J5,BM$3&lt;=$M5),1,"")</f>
        <v/>
      </c>
      <c r="BN5">
        <f>IF(AND($A5&lt;&gt;"",BN$3&gt;=$J5,BN$3&lt;=$M5),1,"")</f>
        <v/>
      </c>
      <c r="BO5">
        <f>IF(AND($A5&lt;&gt;"",BO$3&gt;=$J5,BO$3&lt;=$M5),1,"")</f>
        <v/>
      </c>
      <c r="BP5">
        <f>IF(AND($A5&lt;&gt;"",BP$3&gt;=$J5,BP$3&lt;=$M5),1,"")</f>
        <v/>
      </c>
      <c r="BQ5">
        <f>IF(AND($A5&lt;&gt;"",BQ$3&gt;=$J5,BQ$3&lt;=$M5),1,"")</f>
        <v/>
      </c>
      <c r="BR5">
        <f>IF(AND($A5&lt;&gt;"",BR$3&gt;=$J5,BR$3&lt;=$M5),1,"")</f>
        <v/>
      </c>
      <c r="BS5">
        <f>IF(AND($A5&lt;&gt;"",BS$3&gt;=$J5,BS$3&lt;=$M5),1,"")</f>
        <v/>
      </c>
      <c r="BT5">
        <f>IF(AND($A5&lt;&gt;"",BT$3&gt;=$J5,BT$3&lt;=$M5),1,"")</f>
        <v/>
      </c>
      <c r="BU5">
        <f>IF(AND($A5&lt;&gt;"",BU$3&gt;=$J5,BU$3&lt;=$M5),1,"")</f>
        <v/>
      </c>
      <c r="BV5">
        <f>IF(AND($A5&lt;&gt;"",BV$3&gt;=$J5,BV$3&lt;=$M5),1,"")</f>
        <v/>
      </c>
    </row>
    <row r="6">
      <c r="A6">
        <f>IF(Job_Master_Ring!$A6="","",Job_Master_Ring!$A6)</f>
        <v/>
      </c>
      <c r="B6">
        <f>IF($A6="","",Job_Master_Ring!B6)</f>
        <v/>
      </c>
      <c r="C6">
        <f>IF($A6="","",Job_Master_Ring!C6)</f>
        <v/>
      </c>
      <c r="D6">
        <f>IF($A6="","",Job_Master_Ring!D6)</f>
        <v/>
      </c>
      <c r="E6">
        <f>IF($A6="","",IF($I6&lt;&gt;"",$I6,IFERROR(INDEX(Machine_List!$B$82:$B$86,MATCH(1,(Machine_List!$H$82:$H$86&lt;=IFERROR(VLOOKUP($B6,CHOOSE(MATCH($C6,Settings!$L$4:$L$10,0),OPR_BR1!$A$4:$K$18,OPR_BR2!$A$4:$K$18,OPR_CR2!$A$4:$K$18,OPR_CR3!$A$4:$K$18,OPR_CR4!$A$4:$K$18,OPR_RIM!$A$4:$K$18,OPR_BPR!$A$4:$K$18),10,0),0))*(Machine_List!$I$82:$I$86&gt;=IFERROR(VLOOKUP($B6,CHOOSE(MATCH($C6,Settings!$L$4:$L$10,0),OPR_BR1!$A$4:$K$18,OPR_BR2!$A$4:$K$18,OPR_CR2!$A$4:$K$18,OPR_CR3!$A$4:$K$18,OPR_CR4!$A$4:$K$18,OPR_RIM!$A$4:$K$18,OPR_BPR!$A$4:$K$18),11,0),9999)),0)),"NO COMPATIBLE MACHINE")))</f>
        <v/>
      </c>
      <c r="F6">
        <f>IF($E6="","",IFERROR(VLOOKUP($E6,Machine_List!$B:$G,6,0),""))</f>
        <v/>
      </c>
      <c r="G6" s="17">
        <f>IF($E6="","",IFERROR(VLOOKUP($E6,Machine_List!$B:$C,2,0),""))</f>
        <v/>
      </c>
      <c r="H6">
        <f>IF($E6="","",IFERROR(VLOOKUP($E6,Machine_List!$B:$D,3,0),""))</f>
        <v/>
      </c>
      <c r="J6" s="16">
        <f>IF($A6="","",IF($I6&lt;&gt;"",$I6,MAX(FID_Plan!$M6,IFERROR(LOOKUP(2,1/($E$3:INDIRECT("E"&amp;(ROW()-1))=$E6),$M$3:INDIRECT("M"&amp;(ROW()-1))),FID_Plan!$M6))))</f>
        <v/>
      </c>
      <c r="K6">
        <f>IF($A6="","",IFERROR(VLOOKUP(B6,CHOOSE(MATCH($C6,Settings!$L$4:$L$10,0),OPR_BR1!$A$4:$I$18,OPR_BR2!$A$4:$I$18,OPR_CR2!$A$4:$I$18,OPR_CR3!$A$4:$I$18,OPR_CR4!$A$4:$I$18,OPR_RIM!$A$4:$I$18,OPR_BPR!$A$4:$I$18),9,0),0))</f>
        <v/>
      </c>
      <c r="L6">
        <f>IF($A6="","",K6*D6)</f>
        <v/>
      </c>
      <c r="M6" s="16">
        <f>IF($A6=""," ",$J6+($L6/(IF(F6="Contract Workman",Settings!$K$5,Settings!$K$4))))</f>
        <v/>
      </c>
      <c r="N6">
        <f>IF($A6="","",IF(F6="Contract Workman",IF(AND(MOD(M6,1)&gt;=8/24,MOD(M6,1)&lt;20/24),"Shift S1","Shift S2"),IF(AND(MOD(M6,1)&gt;=7/24,MOD(M6,1)&lt;15/24),"Shift A",IF(AND(MOD(M6,1)&gt;=15/24,MOD(M6,1)&lt;23/24),"Shift B","Shift C"))))</f>
        <v/>
      </c>
      <c r="O6">
        <f>IF(B6="","",IF(IFERROR(ISNUMBER(SEARCH(TEXT(B6,"0"),VLOOKUP(E6,Machine_List!$B:$J,9,0))),FALSE),"✅ "&amp; E6,"❌ Sug: "&amp;IFERROR(INDEX(Machine_List!$B$82:$B$86,MATCH(1,(Machine_List!$H$82:$H$86&lt;=IFERROR(VLOOKUP($B6,OPR_BR1!$A$4:$K$18,10,0),0))*(Machine_List!$I$82:$I$86&gt;=IFERROR(VLOOKUP($B6,OPR_BR1!$A$4:$K$18,11,0),9999)),0)),"?")))</f>
        <v/>
      </c>
      <c r="P6">
        <f>IF(AND($A6&lt;&gt;"",P$3&gt;=$J6,P$3&lt;=$M6),1,"")</f>
        <v/>
      </c>
      <c r="Q6">
        <f>IF(AND($A6&lt;&gt;"",Q$3&gt;=$J6,Q$3&lt;=$M6),1,"")</f>
        <v/>
      </c>
      <c r="R6">
        <f>IF(AND($A6&lt;&gt;"",R$3&gt;=$J6,R$3&lt;=$M6),1,"")</f>
        <v/>
      </c>
      <c r="S6">
        <f>IF(AND($A6&lt;&gt;"",S$3&gt;=$J6,S$3&lt;=$M6),1,"")</f>
        <v/>
      </c>
      <c r="T6">
        <f>IF(AND($A6&lt;&gt;"",T$3&gt;=$J6,T$3&lt;=$M6),1,"")</f>
        <v/>
      </c>
      <c r="U6">
        <f>IF(AND($A6&lt;&gt;"",U$3&gt;=$J6,U$3&lt;=$M6),1,"")</f>
        <v/>
      </c>
      <c r="V6">
        <f>IF(AND($A6&lt;&gt;"",V$3&gt;=$J6,V$3&lt;=$M6),1,"")</f>
        <v/>
      </c>
      <c r="W6">
        <f>IF(AND($A6&lt;&gt;"",W$3&gt;=$J6,W$3&lt;=$M6),1,"")</f>
        <v/>
      </c>
      <c r="X6">
        <f>IF(AND($A6&lt;&gt;"",X$3&gt;=$J6,X$3&lt;=$M6),1,"")</f>
        <v/>
      </c>
      <c r="Y6">
        <f>IF(AND($A6&lt;&gt;"",Y$3&gt;=$J6,Y$3&lt;=$M6),1,"")</f>
        <v/>
      </c>
      <c r="Z6">
        <f>IF(AND($A6&lt;&gt;"",Z$3&gt;=$J6,Z$3&lt;=$M6),1,"")</f>
        <v/>
      </c>
      <c r="AA6">
        <f>IF(AND($A6&lt;&gt;"",AA$3&gt;=$J6,AA$3&lt;=$M6),1,"")</f>
        <v/>
      </c>
      <c r="AB6">
        <f>IF(AND($A6&lt;&gt;"",AB$3&gt;=$J6,AB$3&lt;=$M6),1,"")</f>
        <v/>
      </c>
      <c r="AC6">
        <f>IF(AND($A6&lt;&gt;"",AC$3&gt;=$J6,AC$3&lt;=$M6),1,"")</f>
        <v/>
      </c>
      <c r="AD6">
        <f>IF(AND($A6&lt;&gt;"",AD$3&gt;=$J6,AD$3&lt;=$M6),1,"")</f>
        <v/>
      </c>
      <c r="AE6">
        <f>IF(AND($A6&lt;&gt;"",AE$3&gt;=$J6,AE$3&lt;=$M6),1,"")</f>
        <v/>
      </c>
      <c r="AF6">
        <f>IF(AND($A6&lt;&gt;"",AF$3&gt;=$J6,AF$3&lt;=$M6),1,"")</f>
        <v/>
      </c>
      <c r="AG6">
        <f>IF(AND($A6&lt;&gt;"",AG$3&gt;=$J6,AG$3&lt;=$M6),1,"")</f>
        <v/>
      </c>
      <c r="AH6">
        <f>IF(AND($A6&lt;&gt;"",AH$3&gt;=$J6,AH$3&lt;=$M6),1,"")</f>
        <v/>
      </c>
      <c r="AI6">
        <f>IF(AND($A6&lt;&gt;"",AI$3&gt;=$J6,AI$3&lt;=$M6),1,"")</f>
        <v/>
      </c>
      <c r="AJ6">
        <f>IF(AND($A6&lt;&gt;"",AJ$3&gt;=$J6,AJ$3&lt;=$M6),1,"")</f>
        <v/>
      </c>
      <c r="AK6">
        <f>IF(AND($A6&lt;&gt;"",AK$3&gt;=$J6,AK$3&lt;=$M6),1,"")</f>
        <v/>
      </c>
      <c r="AL6">
        <f>IF(AND($A6&lt;&gt;"",AL$3&gt;=$J6,AL$3&lt;=$M6),1,"")</f>
        <v/>
      </c>
      <c r="AM6">
        <f>IF(AND($A6&lt;&gt;"",AM$3&gt;=$J6,AM$3&lt;=$M6),1,"")</f>
        <v/>
      </c>
      <c r="AN6">
        <f>IF(AND($A6&lt;&gt;"",AN$3&gt;=$J6,AN$3&lt;=$M6),1,"")</f>
        <v/>
      </c>
      <c r="AO6">
        <f>IF(AND($A6&lt;&gt;"",AO$3&gt;=$J6,AO$3&lt;=$M6),1,"")</f>
        <v/>
      </c>
      <c r="AP6">
        <f>IF(AND($A6&lt;&gt;"",AP$3&gt;=$J6,AP$3&lt;=$M6),1,"")</f>
        <v/>
      </c>
      <c r="AQ6">
        <f>IF(AND($A6&lt;&gt;"",AQ$3&gt;=$J6,AQ$3&lt;=$M6),1,"")</f>
        <v/>
      </c>
      <c r="AR6">
        <f>IF(AND($A6&lt;&gt;"",AR$3&gt;=$J6,AR$3&lt;=$M6),1,"")</f>
        <v/>
      </c>
      <c r="AS6">
        <f>IF(AND($A6&lt;&gt;"",AS$3&gt;=$J6,AS$3&lt;=$M6),1,"")</f>
        <v/>
      </c>
      <c r="AT6">
        <f>IF(AND($A6&lt;&gt;"",AT$3&gt;=$J6,AT$3&lt;=$M6),1,"")</f>
        <v/>
      </c>
      <c r="AU6">
        <f>IF(AND($A6&lt;&gt;"",AU$3&gt;=$J6,AU$3&lt;=$M6),1,"")</f>
        <v/>
      </c>
      <c r="AV6">
        <f>IF(AND($A6&lt;&gt;"",AV$3&gt;=$J6,AV$3&lt;=$M6),1,"")</f>
        <v/>
      </c>
      <c r="AW6">
        <f>IF(AND($A6&lt;&gt;"",AW$3&gt;=$J6,AW$3&lt;=$M6),1,"")</f>
        <v/>
      </c>
      <c r="AX6">
        <f>IF(AND($A6&lt;&gt;"",AX$3&gt;=$J6,AX$3&lt;=$M6),1,"")</f>
        <v/>
      </c>
      <c r="AY6">
        <f>IF(AND($A6&lt;&gt;"",AY$3&gt;=$J6,AY$3&lt;=$M6),1,"")</f>
        <v/>
      </c>
      <c r="AZ6">
        <f>IF(AND($A6&lt;&gt;"",AZ$3&gt;=$J6,AZ$3&lt;=$M6),1,"")</f>
        <v/>
      </c>
      <c r="BA6">
        <f>IF(AND($A6&lt;&gt;"",BA$3&gt;=$J6,BA$3&lt;=$M6),1,"")</f>
        <v/>
      </c>
      <c r="BB6">
        <f>IF(AND($A6&lt;&gt;"",BB$3&gt;=$J6,BB$3&lt;=$M6),1,"")</f>
        <v/>
      </c>
      <c r="BC6">
        <f>IF(AND($A6&lt;&gt;"",BC$3&gt;=$J6,BC$3&lt;=$M6),1,"")</f>
        <v/>
      </c>
      <c r="BD6">
        <f>IF(AND($A6&lt;&gt;"",BD$3&gt;=$J6,BD$3&lt;=$M6),1,"")</f>
        <v/>
      </c>
      <c r="BE6">
        <f>IF(AND($A6&lt;&gt;"",BE$3&gt;=$J6,BE$3&lt;=$M6),1,"")</f>
        <v/>
      </c>
      <c r="BF6">
        <f>IF(AND($A6&lt;&gt;"",BF$3&gt;=$J6,BF$3&lt;=$M6),1,"")</f>
        <v/>
      </c>
      <c r="BG6">
        <f>IF(AND($A6&lt;&gt;"",BG$3&gt;=$J6,BG$3&lt;=$M6),1,"")</f>
        <v/>
      </c>
      <c r="BH6">
        <f>IF(AND($A6&lt;&gt;"",BH$3&gt;=$J6,BH$3&lt;=$M6),1,"")</f>
        <v/>
      </c>
      <c r="BI6">
        <f>IF(AND($A6&lt;&gt;"",BI$3&gt;=$J6,BI$3&lt;=$M6),1,"")</f>
        <v/>
      </c>
      <c r="BJ6">
        <f>IF(AND($A6&lt;&gt;"",BJ$3&gt;=$J6,BJ$3&lt;=$M6),1,"")</f>
        <v/>
      </c>
      <c r="BK6">
        <f>IF(AND($A6&lt;&gt;"",BK$3&gt;=$J6,BK$3&lt;=$M6),1,"")</f>
        <v/>
      </c>
      <c r="BL6">
        <f>IF(AND($A6&lt;&gt;"",BL$3&gt;=$J6,BL$3&lt;=$M6),1,"")</f>
        <v/>
      </c>
      <c r="BM6">
        <f>IF(AND($A6&lt;&gt;"",BM$3&gt;=$J6,BM$3&lt;=$M6),1,"")</f>
        <v/>
      </c>
      <c r="BN6">
        <f>IF(AND($A6&lt;&gt;"",BN$3&gt;=$J6,BN$3&lt;=$M6),1,"")</f>
        <v/>
      </c>
      <c r="BO6">
        <f>IF(AND($A6&lt;&gt;"",BO$3&gt;=$J6,BO$3&lt;=$M6),1,"")</f>
        <v/>
      </c>
      <c r="BP6">
        <f>IF(AND($A6&lt;&gt;"",BP$3&gt;=$J6,BP$3&lt;=$M6),1,"")</f>
        <v/>
      </c>
      <c r="BQ6">
        <f>IF(AND($A6&lt;&gt;"",BQ$3&gt;=$J6,BQ$3&lt;=$M6),1,"")</f>
        <v/>
      </c>
      <c r="BR6">
        <f>IF(AND($A6&lt;&gt;"",BR$3&gt;=$J6,BR$3&lt;=$M6),1,"")</f>
        <v/>
      </c>
      <c r="BS6">
        <f>IF(AND($A6&lt;&gt;"",BS$3&gt;=$J6,BS$3&lt;=$M6),1,"")</f>
        <v/>
      </c>
      <c r="BT6">
        <f>IF(AND($A6&lt;&gt;"",BT$3&gt;=$J6,BT$3&lt;=$M6),1,"")</f>
        <v/>
      </c>
      <c r="BU6">
        <f>IF(AND($A6&lt;&gt;"",BU$3&gt;=$J6,BU$3&lt;=$M6),1,"")</f>
        <v/>
      </c>
      <c r="BV6">
        <f>IF(AND($A6&lt;&gt;"",BV$3&gt;=$J6,BV$3&lt;=$M6),1,"")</f>
        <v/>
      </c>
    </row>
    <row r="7">
      <c r="A7">
        <f>IF(Job_Master_Ring!$A7="","",Job_Master_Ring!$A7)</f>
        <v/>
      </c>
      <c r="B7">
        <f>IF($A7="","",Job_Master_Ring!B7)</f>
        <v/>
      </c>
      <c r="C7">
        <f>IF($A7="","",Job_Master_Ring!C7)</f>
        <v/>
      </c>
      <c r="D7">
        <f>IF($A7="","",Job_Master_Ring!D7)</f>
        <v/>
      </c>
      <c r="E7">
        <f>IF($A7="","",IF($I7&lt;&gt;"",$I7,IFERROR(INDEX(Machine_List!$B$82:$B$86,MATCH(1,(Machine_List!$H$82:$H$86&lt;=IFERROR(VLOOKUP($B7,CHOOSE(MATCH($C7,Settings!$L$4:$L$10,0),OPR_BR1!$A$4:$K$18,OPR_BR2!$A$4:$K$18,OPR_CR2!$A$4:$K$18,OPR_CR3!$A$4:$K$18,OPR_CR4!$A$4:$K$18,OPR_RIM!$A$4:$K$18,OPR_BPR!$A$4:$K$18),10,0),0))*(Machine_List!$I$82:$I$86&gt;=IFERROR(VLOOKUP($B7,CHOOSE(MATCH($C7,Settings!$L$4:$L$10,0),OPR_BR1!$A$4:$K$18,OPR_BR2!$A$4:$K$18,OPR_CR2!$A$4:$K$18,OPR_CR3!$A$4:$K$18,OPR_CR4!$A$4:$K$18,OPR_RIM!$A$4:$K$18,OPR_BPR!$A$4:$K$18),11,0),9999)),0)),"NO COMPATIBLE MACHINE")))</f>
        <v/>
      </c>
      <c r="F7">
        <f>IF($E7="","",IFERROR(VLOOKUP($E7,Machine_List!$B:$G,6,0),""))</f>
        <v/>
      </c>
      <c r="G7" s="17">
        <f>IF($E7="","",IFERROR(VLOOKUP($E7,Machine_List!$B:$C,2,0),""))</f>
        <v/>
      </c>
      <c r="H7">
        <f>IF($E7="","",IFERROR(VLOOKUP($E7,Machine_List!$B:$D,3,0),""))</f>
        <v/>
      </c>
      <c r="J7" s="16">
        <f>IF($A7="","",IF($I7&lt;&gt;"",$I7,MAX(FID_Plan!$M7,IFERROR(LOOKUP(2,1/($E$3:INDIRECT("E"&amp;(ROW()-1))=$E7),$M$3:INDIRECT("M"&amp;(ROW()-1))),FID_Plan!$M7))))</f>
        <v/>
      </c>
      <c r="K7">
        <f>IF($A7="","",IFERROR(VLOOKUP(B7,CHOOSE(MATCH($C7,Settings!$L$4:$L$10,0),OPR_BR1!$A$4:$I$18,OPR_BR2!$A$4:$I$18,OPR_CR2!$A$4:$I$18,OPR_CR3!$A$4:$I$18,OPR_CR4!$A$4:$I$18,OPR_RIM!$A$4:$I$18,OPR_BPR!$A$4:$I$18),9,0),0))</f>
        <v/>
      </c>
      <c r="L7">
        <f>IF($A7="","",K7*D7)</f>
        <v/>
      </c>
      <c r="M7" s="16">
        <f>IF($A7=""," ",$J7+($L7/(IF(F7="Contract Workman",Settings!$K$5,Settings!$K$4))))</f>
        <v/>
      </c>
      <c r="N7">
        <f>IF($A7="","",IF(F7="Contract Workman",IF(AND(MOD(M7,1)&gt;=8/24,MOD(M7,1)&lt;20/24),"Shift S1","Shift S2"),IF(AND(MOD(M7,1)&gt;=7/24,MOD(M7,1)&lt;15/24),"Shift A",IF(AND(MOD(M7,1)&gt;=15/24,MOD(M7,1)&lt;23/24),"Shift B","Shift C"))))</f>
        <v/>
      </c>
      <c r="O7">
        <f>IF(B7="","",IF(IFERROR(ISNUMBER(SEARCH(TEXT(B7,"0"),VLOOKUP(E7,Machine_List!$B:$J,9,0))),FALSE),"✅ "&amp; E7,"❌ Sug: "&amp;IFERROR(INDEX(Machine_List!$B$82:$B$86,MATCH(1,(Machine_List!$H$82:$H$86&lt;=IFERROR(VLOOKUP($B7,OPR_BR1!$A$4:$K$18,10,0),0))*(Machine_List!$I$82:$I$86&gt;=IFERROR(VLOOKUP($B7,OPR_BR1!$A$4:$K$18,11,0),9999)),0)),"?")))</f>
        <v/>
      </c>
      <c r="P7">
        <f>IF(AND($A7&lt;&gt;"",P$3&gt;=$J7,P$3&lt;=$M7),1,"")</f>
        <v/>
      </c>
      <c r="Q7">
        <f>IF(AND($A7&lt;&gt;"",Q$3&gt;=$J7,Q$3&lt;=$M7),1,"")</f>
        <v/>
      </c>
      <c r="R7">
        <f>IF(AND($A7&lt;&gt;"",R$3&gt;=$J7,R$3&lt;=$M7),1,"")</f>
        <v/>
      </c>
      <c r="S7">
        <f>IF(AND($A7&lt;&gt;"",S$3&gt;=$J7,S$3&lt;=$M7),1,"")</f>
        <v/>
      </c>
      <c r="T7">
        <f>IF(AND($A7&lt;&gt;"",T$3&gt;=$J7,T$3&lt;=$M7),1,"")</f>
        <v/>
      </c>
      <c r="U7">
        <f>IF(AND($A7&lt;&gt;"",U$3&gt;=$J7,U$3&lt;=$M7),1,"")</f>
        <v/>
      </c>
      <c r="V7">
        <f>IF(AND($A7&lt;&gt;"",V$3&gt;=$J7,V$3&lt;=$M7),1,"")</f>
        <v/>
      </c>
      <c r="W7">
        <f>IF(AND($A7&lt;&gt;"",W$3&gt;=$J7,W$3&lt;=$M7),1,"")</f>
        <v/>
      </c>
      <c r="X7">
        <f>IF(AND($A7&lt;&gt;"",X$3&gt;=$J7,X$3&lt;=$M7),1,"")</f>
        <v/>
      </c>
      <c r="Y7">
        <f>IF(AND($A7&lt;&gt;"",Y$3&gt;=$J7,Y$3&lt;=$M7),1,"")</f>
        <v/>
      </c>
      <c r="Z7">
        <f>IF(AND($A7&lt;&gt;"",Z$3&gt;=$J7,Z$3&lt;=$M7),1,"")</f>
        <v/>
      </c>
      <c r="AA7">
        <f>IF(AND($A7&lt;&gt;"",AA$3&gt;=$J7,AA$3&lt;=$M7),1,"")</f>
        <v/>
      </c>
      <c r="AB7">
        <f>IF(AND($A7&lt;&gt;"",AB$3&gt;=$J7,AB$3&lt;=$M7),1,"")</f>
        <v/>
      </c>
      <c r="AC7">
        <f>IF(AND($A7&lt;&gt;"",AC$3&gt;=$J7,AC$3&lt;=$M7),1,"")</f>
        <v/>
      </c>
      <c r="AD7">
        <f>IF(AND($A7&lt;&gt;"",AD$3&gt;=$J7,AD$3&lt;=$M7),1,"")</f>
        <v/>
      </c>
      <c r="AE7">
        <f>IF(AND($A7&lt;&gt;"",AE$3&gt;=$J7,AE$3&lt;=$M7),1,"")</f>
        <v/>
      </c>
      <c r="AF7">
        <f>IF(AND($A7&lt;&gt;"",AF$3&gt;=$J7,AF$3&lt;=$M7),1,"")</f>
        <v/>
      </c>
      <c r="AG7">
        <f>IF(AND($A7&lt;&gt;"",AG$3&gt;=$J7,AG$3&lt;=$M7),1,"")</f>
        <v/>
      </c>
      <c r="AH7">
        <f>IF(AND($A7&lt;&gt;"",AH$3&gt;=$J7,AH$3&lt;=$M7),1,"")</f>
        <v/>
      </c>
      <c r="AI7">
        <f>IF(AND($A7&lt;&gt;"",AI$3&gt;=$J7,AI$3&lt;=$M7),1,"")</f>
        <v/>
      </c>
      <c r="AJ7">
        <f>IF(AND($A7&lt;&gt;"",AJ$3&gt;=$J7,AJ$3&lt;=$M7),1,"")</f>
        <v/>
      </c>
      <c r="AK7">
        <f>IF(AND($A7&lt;&gt;"",AK$3&gt;=$J7,AK$3&lt;=$M7),1,"")</f>
        <v/>
      </c>
      <c r="AL7">
        <f>IF(AND($A7&lt;&gt;"",AL$3&gt;=$J7,AL$3&lt;=$M7),1,"")</f>
        <v/>
      </c>
      <c r="AM7">
        <f>IF(AND($A7&lt;&gt;"",AM$3&gt;=$J7,AM$3&lt;=$M7),1,"")</f>
        <v/>
      </c>
      <c r="AN7">
        <f>IF(AND($A7&lt;&gt;"",AN$3&gt;=$J7,AN$3&lt;=$M7),1,"")</f>
        <v/>
      </c>
      <c r="AO7">
        <f>IF(AND($A7&lt;&gt;"",AO$3&gt;=$J7,AO$3&lt;=$M7),1,"")</f>
        <v/>
      </c>
      <c r="AP7">
        <f>IF(AND($A7&lt;&gt;"",AP$3&gt;=$J7,AP$3&lt;=$M7),1,"")</f>
        <v/>
      </c>
      <c r="AQ7">
        <f>IF(AND($A7&lt;&gt;"",AQ$3&gt;=$J7,AQ$3&lt;=$M7),1,"")</f>
        <v/>
      </c>
      <c r="AR7">
        <f>IF(AND($A7&lt;&gt;"",AR$3&gt;=$J7,AR$3&lt;=$M7),1,"")</f>
        <v/>
      </c>
      <c r="AS7">
        <f>IF(AND($A7&lt;&gt;"",AS$3&gt;=$J7,AS$3&lt;=$M7),1,"")</f>
        <v/>
      </c>
      <c r="AT7">
        <f>IF(AND($A7&lt;&gt;"",AT$3&gt;=$J7,AT$3&lt;=$M7),1,"")</f>
        <v/>
      </c>
      <c r="AU7">
        <f>IF(AND($A7&lt;&gt;"",AU$3&gt;=$J7,AU$3&lt;=$M7),1,"")</f>
        <v/>
      </c>
      <c r="AV7">
        <f>IF(AND($A7&lt;&gt;"",AV$3&gt;=$J7,AV$3&lt;=$M7),1,"")</f>
        <v/>
      </c>
      <c r="AW7">
        <f>IF(AND($A7&lt;&gt;"",AW$3&gt;=$J7,AW$3&lt;=$M7),1,"")</f>
        <v/>
      </c>
      <c r="AX7">
        <f>IF(AND($A7&lt;&gt;"",AX$3&gt;=$J7,AX$3&lt;=$M7),1,"")</f>
        <v/>
      </c>
      <c r="AY7">
        <f>IF(AND($A7&lt;&gt;"",AY$3&gt;=$J7,AY$3&lt;=$M7),1,"")</f>
        <v/>
      </c>
      <c r="AZ7">
        <f>IF(AND($A7&lt;&gt;"",AZ$3&gt;=$J7,AZ$3&lt;=$M7),1,"")</f>
        <v/>
      </c>
      <c r="BA7">
        <f>IF(AND($A7&lt;&gt;"",BA$3&gt;=$J7,BA$3&lt;=$M7),1,"")</f>
        <v/>
      </c>
      <c r="BB7">
        <f>IF(AND($A7&lt;&gt;"",BB$3&gt;=$J7,BB$3&lt;=$M7),1,"")</f>
        <v/>
      </c>
      <c r="BC7">
        <f>IF(AND($A7&lt;&gt;"",BC$3&gt;=$J7,BC$3&lt;=$M7),1,"")</f>
        <v/>
      </c>
      <c r="BD7">
        <f>IF(AND($A7&lt;&gt;"",BD$3&gt;=$J7,BD$3&lt;=$M7),1,"")</f>
        <v/>
      </c>
      <c r="BE7">
        <f>IF(AND($A7&lt;&gt;"",BE$3&gt;=$J7,BE$3&lt;=$M7),1,"")</f>
        <v/>
      </c>
      <c r="BF7">
        <f>IF(AND($A7&lt;&gt;"",BF$3&gt;=$J7,BF$3&lt;=$M7),1,"")</f>
        <v/>
      </c>
      <c r="BG7">
        <f>IF(AND($A7&lt;&gt;"",BG$3&gt;=$J7,BG$3&lt;=$M7),1,"")</f>
        <v/>
      </c>
      <c r="BH7">
        <f>IF(AND($A7&lt;&gt;"",BH$3&gt;=$J7,BH$3&lt;=$M7),1,"")</f>
        <v/>
      </c>
      <c r="BI7">
        <f>IF(AND($A7&lt;&gt;"",BI$3&gt;=$J7,BI$3&lt;=$M7),1,"")</f>
        <v/>
      </c>
      <c r="BJ7">
        <f>IF(AND($A7&lt;&gt;"",BJ$3&gt;=$J7,BJ$3&lt;=$M7),1,"")</f>
        <v/>
      </c>
      <c r="BK7">
        <f>IF(AND($A7&lt;&gt;"",BK$3&gt;=$J7,BK$3&lt;=$M7),1,"")</f>
        <v/>
      </c>
      <c r="BL7">
        <f>IF(AND($A7&lt;&gt;"",BL$3&gt;=$J7,BL$3&lt;=$M7),1,"")</f>
        <v/>
      </c>
      <c r="BM7">
        <f>IF(AND($A7&lt;&gt;"",BM$3&gt;=$J7,BM$3&lt;=$M7),1,"")</f>
        <v/>
      </c>
      <c r="BN7">
        <f>IF(AND($A7&lt;&gt;"",BN$3&gt;=$J7,BN$3&lt;=$M7),1,"")</f>
        <v/>
      </c>
      <c r="BO7">
        <f>IF(AND($A7&lt;&gt;"",BO$3&gt;=$J7,BO$3&lt;=$M7),1,"")</f>
        <v/>
      </c>
      <c r="BP7">
        <f>IF(AND($A7&lt;&gt;"",BP$3&gt;=$J7,BP$3&lt;=$M7),1,"")</f>
        <v/>
      </c>
      <c r="BQ7">
        <f>IF(AND($A7&lt;&gt;"",BQ$3&gt;=$J7,BQ$3&lt;=$M7),1,"")</f>
        <v/>
      </c>
      <c r="BR7">
        <f>IF(AND($A7&lt;&gt;"",BR$3&gt;=$J7,BR$3&lt;=$M7),1,"")</f>
        <v/>
      </c>
      <c r="BS7">
        <f>IF(AND($A7&lt;&gt;"",BS$3&gt;=$J7,BS$3&lt;=$M7),1,"")</f>
        <v/>
      </c>
      <c r="BT7">
        <f>IF(AND($A7&lt;&gt;"",BT$3&gt;=$J7,BT$3&lt;=$M7),1,"")</f>
        <v/>
      </c>
      <c r="BU7">
        <f>IF(AND($A7&lt;&gt;"",BU$3&gt;=$J7,BU$3&lt;=$M7),1,"")</f>
        <v/>
      </c>
      <c r="BV7">
        <f>IF(AND($A7&lt;&gt;"",BV$3&gt;=$J7,BV$3&lt;=$M7),1,"")</f>
        <v/>
      </c>
    </row>
    <row r="8">
      <c r="A8">
        <f>IF(Job_Master_Ring!$A8="","",Job_Master_Ring!$A8)</f>
        <v/>
      </c>
      <c r="B8">
        <f>IF($A8="","",Job_Master_Ring!B8)</f>
        <v/>
      </c>
      <c r="C8">
        <f>IF($A8="","",Job_Master_Ring!C8)</f>
        <v/>
      </c>
      <c r="D8">
        <f>IF($A8="","",Job_Master_Ring!D8)</f>
        <v/>
      </c>
      <c r="E8">
        <f>IF($A8="","",IF($I8&lt;&gt;"",$I8,IFERROR(INDEX(Machine_List!$B$82:$B$86,MATCH(1,(Machine_List!$H$82:$H$86&lt;=IFERROR(VLOOKUP($B8,CHOOSE(MATCH($C8,Settings!$L$4:$L$10,0),OPR_BR1!$A$4:$K$18,OPR_BR2!$A$4:$K$18,OPR_CR2!$A$4:$K$18,OPR_CR3!$A$4:$K$18,OPR_CR4!$A$4:$K$18,OPR_RIM!$A$4:$K$18,OPR_BPR!$A$4:$K$18),10,0),0))*(Machine_List!$I$82:$I$86&gt;=IFERROR(VLOOKUP($B8,CHOOSE(MATCH($C8,Settings!$L$4:$L$10,0),OPR_BR1!$A$4:$K$18,OPR_BR2!$A$4:$K$18,OPR_CR2!$A$4:$K$18,OPR_CR3!$A$4:$K$18,OPR_CR4!$A$4:$K$18,OPR_RIM!$A$4:$K$18,OPR_BPR!$A$4:$K$18),11,0),9999)),0)),"NO COMPATIBLE MACHINE")))</f>
        <v/>
      </c>
      <c r="F8">
        <f>IF($E8="","",IFERROR(VLOOKUP($E8,Machine_List!$B:$G,6,0),""))</f>
        <v/>
      </c>
      <c r="G8" s="17">
        <f>IF($E8="","",IFERROR(VLOOKUP($E8,Machine_List!$B:$C,2,0),""))</f>
        <v/>
      </c>
      <c r="H8">
        <f>IF($E8="","",IFERROR(VLOOKUP($E8,Machine_List!$B:$D,3,0),""))</f>
        <v/>
      </c>
      <c r="J8" s="16">
        <f>IF($A8="","",IF($I8&lt;&gt;"",$I8,MAX(FID_Plan!$M8,IFERROR(LOOKUP(2,1/($E$3:INDIRECT("E"&amp;(ROW()-1))=$E8),$M$3:INDIRECT("M"&amp;(ROW()-1))),FID_Plan!$M8))))</f>
        <v/>
      </c>
      <c r="K8">
        <f>IF($A8="","",IFERROR(VLOOKUP(B8,CHOOSE(MATCH($C8,Settings!$L$4:$L$10,0),OPR_BR1!$A$4:$I$18,OPR_BR2!$A$4:$I$18,OPR_CR2!$A$4:$I$18,OPR_CR3!$A$4:$I$18,OPR_CR4!$A$4:$I$18,OPR_RIM!$A$4:$I$18,OPR_BPR!$A$4:$I$18),9,0),0))</f>
        <v/>
      </c>
      <c r="L8">
        <f>IF($A8="","",K8*D8)</f>
        <v/>
      </c>
      <c r="M8" s="16">
        <f>IF($A8=""," ",$J8+($L8/(IF(F8="Contract Workman",Settings!$K$5,Settings!$K$4))))</f>
        <v/>
      </c>
      <c r="N8">
        <f>IF($A8="","",IF(F8="Contract Workman",IF(AND(MOD(M8,1)&gt;=8/24,MOD(M8,1)&lt;20/24),"Shift S1","Shift S2"),IF(AND(MOD(M8,1)&gt;=7/24,MOD(M8,1)&lt;15/24),"Shift A",IF(AND(MOD(M8,1)&gt;=15/24,MOD(M8,1)&lt;23/24),"Shift B","Shift C"))))</f>
        <v/>
      </c>
      <c r="O8">
        <f>IF(B8="","",IF(IFERROR(ISNUMBER(SEARCH(TEXT(B8,"0"),VLOOKUP(E8,Machine_List!$B:$J,9,0))),FALSE),"✅ "&amp; E8,"❌ Sug: "&amp;IFERROR(INDEX(Machine_List!$B$82:$B$86,MATCH(1,(Machine_List!$H$82:$H$86&lt;=IFERROR(VLOOKUP($B8,OPR_BR1!$A$4:$K$18,10,0),0))*(Machine_List!$I$82:$I$86&gt;=IFERROR(VLOOKUP($B8,OPR_BR1!$A$4:$K$18,11,0),9999)),0)),"?")))</f>
        <v/>
      </c>
      <c r="P8">
        <f>IF(AND($A8&lt;&gt;"",P$3&gt;=$J8,P$3&lt;=$M8),1,"")</f>
        <v/>
      </c>
      <c r="Q8">
        <f>IF(AND($A8&lt;&gt;"",Q$3&gt;=$J8,Q$3&lt;=$M8),1,"")</f>
        <v/>
      </c>
      <c r="R8">
        <f>IF(AND($A8&lt;&gt;"",R$3&gt;=$J8,R$3&lt;=$M8),1,"")</f>
        <v/>
      </c>
      <c r="S8">
        <f>IF(AND($A8&lt;&gt;"",S$3&gt;=$J8,S$3&lt;=$M8),1,"")</f>
        <v/>
      </c>
      <c r="T8">
        <f>IF(AND($A8&lt;&gt;"",T$3&gt;=$J8,T$3&lt;=$M8),1,"")</f>
        <v/>
      </c>
      <c r="U8">
        <f>IF(AND($A8&lt;&gt;"",U$3&gt;=$J8,U$3&lt;=$M8),1,"")</f>
        <v/>
      </c>
      <c r="V8">
        <f>IF(AND($A8&lt;&gt;"",V$3&gt;=$J8,V$3&lt;=$M8),1,"")</f>
        <v/>
      </c>
      <c r="W8">
        <f>IF(AND($A8&lt;&gt;"",W$3&gt;=$J8,W$3&lt;=$M8),1,"")</f>
        <v/>
      </c>
      <c r="X8">
        <f>IF(AND($A8&lt;&gt;"",X$3&gt;=$J8,X$3&lt;=$M8),1,"")</f>
        <v/>
      </c>
      <c r="Y8">
        <f>IF(AND($A8&lt;&gt;"",Y$3&gt;=$J8,Y$3&lt;=$M8),1,"")</f>
        <v/>
      </c>
      <c r="Z8">
        <f>IF(AND($A8&lt;&gt;"",Z$3&gt;=$J8,Z$3&lt;=$M8),1,"")</f>
        <v/>
      </c>
      <c r="AA8">
        <f>IF(AND($A8&lt;&gt;"",AA$3&gt;=$J8,AA$3&lt;=$M8),1,"")</f>
        <v/>
      </c>
      <c r="AB8">
        <f>IF(AND($A8&lt;&gt;"",AB$3&gt;=$J8,AB$3&lt;=$M8),1,"")</f>
        <v/>
      </c>
      <c r="AC8">
        <f>IF(AND($A8&lt;&gt;"",AC$3&gt;=$J8,AC$3&lt;=$M8),1,"")</f>
        <v/>
      </c>
      <c r="AD8">
        <f>IF(AND($A8&lt;&gt;"",AD$3&gt;=$J8,AD$3&lt;=$M8),1,"")</f>
        <v/>
      </c>
      <c r="AE8">
        <f>IF(AND($A8&lt;&gt;"",AE$3&gt;=$J8,AE$3&lt;=$M8),1,"")</f>
        <v/>
      </c>
      <c r="AF8">
        <f>IF(AND($A8&lt;&gt;"",AF$3&gt;=$J8,AF$3&lt;=$M8),1,"")</f>
        <v/>
      </c>
      <c r="AG8">
        <f>IF(AND($A8&lt;&gt;"",AG$3&gt;=$J8,AG$3&lt;=$M8),1,"")</f>
        <v/>
      </c>
      <c r="AH8">
        <f>IF(AND($A8&lt;&gt;"",AH$3&gt;=$J8,AH$3&lt;=$M8),1,"")</f>
        <v/>
      </c>
      <c r="AI8">
        <f>IF(AND($A8&lt;&gt;"",AI$3&gt;=$J8,AI$3&lt;=$M8),1,"")</f>
        <v/>
      </c>
      <c r="AJ8">
        <f>IF(AND($A8&lt;&gt;"",AJ$3&gt;=$J8,AJ$3&lt;=$M8),1,"")</f>
        <v/>
      </c>
      <c r="AK8">
        <f>IF(AND($A8&lt;&gt;"",AK$3&gt;=$J8,AK$3&lt;=$M8),1,"")</f>
        <v/>
      </c>
      <c r="AL8">
        <f>IF(AND($A8&lt;&gt;"",AL$3&gt;=$J8,AL$3&lt;=$M8),1,"")</f>
        <v/>
      </c>
      <c r="AM8">
        <f>IF(AND($A8&lt;&gt;"",AM$3&gt;=$J8,AM$3&lt;=$M8),1,"")</f>
        <v/>
      </c>
      <c r="AN8">
        <f>IF(AND($A8&lt;&gt;"",AN$3&gt;=$J8,AN$3&lt;=$M8),1,"")</f>
        <v/>
      </c>
      <c r="AO8">
        <f>IF(AND($A8&lt;&gt;"",AO$3&gt;=$J8,AO$3&lt;=$M8),1,"")</f>
        <v/>
      </c>
      <c r="AP8">
        <f>IF(AND($A8&lt;&gt;"",AP$3&gt;=$J8,AP$3&lt;=$M8),1,"")</f>
        <v/>
      </c>
      <c r="AQ8">
        <f>IF(AND($A8&lt;&gt;"",AQ$3&gt;=$J8,AQ$3&lt;=$M8),1,"")</f>
        <v/>
      </c>
      <c r="AR8">
        <f>IF(AND($A8&lt;&gt;"",AR$3&gt;=$J8,AR$3&lt;=$M8),1,"")</f>
        <v/>
      </c>
      <c r="AS8">
        <f>IF(AND($A8&lt;&gt;"",AS$3&gt;=$J8,AS$3&lt;=$M8),1,"")</f>
        <v/>
      </c>
      <c r="AT8">
        <f>IF(AND($A8&lt;&gt;"",AT$3&gt;=$J8,AT$3&lt;=$M8),1,"")</f>
        <v/>
      </c>
      <c r="AU8">
        <f>IF(AND($A8&lt;&gt;"",AU$3&gt;=$J8,AU$3&lt;=$M8),1,"")</f>
        <v/>
      </c>
      <c r="AV8">
        <f>IF(AND($A8&lt;&gt;"",AV$3&gt;=$J8,AV$3&lt;=$M8),1,"")</f>
        <v/>
      </c>
      <c r="AW8">
        <f>IF(AND($A8&lt;&gt;"",AW$3&gt;=$J8,AW$3&lt;=$M8),1,"")</f>
        <v/>
      </c>
      <c r="AX8">
        <f>IF(AND($A8&lt;&gt;"",AX$3&gt;=$J8,AX$3&lt;=$M8),1,"")</f>
        <v/>
      </c>
      <c r="AY8">
        <f>IF(AND($A8&lt;&gt;"",AY$3&gt;=$J8,AY$3&lt;=$M8),1,"")</f>
        <v/>
      </c>
      <c r="AZ8">
        <f>IF(AND($A8&lt;&gt;"",AZ$3&gt;=$J8,AZ$3&lt;=$M8),1,"")</f>
        <v/>
      </c>
      <c r="BA8">
        <f>IF(AND($A8&lt;&gt;"",BA$3&gt;=$J8,BA$3&lt;=$M8),1,"")</f>
        <v/>
      </c>
      <c r="BB8">
        <f>IF(AND($A8&lt;&gt;"",BB$3&gt;=$J8,BB$3&lt;=$M8),1,"")</f>
        <v/>
      </c>
      <c r="BC8">
        <f>IF(AND($A8&lt;&gt;"",BC$3&gt;=$J8,BC$3&lt;=$M8),1,"")</f>
        <v/>
      </c>
      <c r="BD8">
        <f>IF(AND($A8&lt;&gt;"",BD$3&gt;=$J8,BD$3&lt;=$M8),1,"")</f>
        <v/>
      </c>
      <c r="BE8">
        <f>IF(AND($A8&lt;&gt;"",BE$3&gt;=$J8,BE$3&lt;=$M8),1,"")</f>
        <v/>
      </c>
      <c r="BF8">
        <f>IF(AND($A8&lt;&gt;"",BF$3&gt;=$J8,BF$3&lt;=$M8),1,"")</f>
        <v/>
      </c>
      <c r="BG8">
        <f>IF(AND($A8&lt;&gt;"",BG$3&gt;=$J8,BG$3&lt;=$M8),1,"")</f>
        <v/>
      </c>
      <c r="BH8">
        <f>IF(AND($A8&lt;&gt;"",BH$3&gt;=$J8,BH$3&lt;=$M8),1,"")</f>
        <v/>
      </c>
      <c r="BI8">
        <f>IF(AND($A8&lt;&gt;"",BI$3&gt;=$J8,BI$3&lt;=$M8),1,"")</f>
        <v/>
      </c>
      <c r="BJ8">
        <f>IF(AND($A8&lt;&gt;"",BJ$3&gt;=$J8,BJ$3&lt;=$M8),1,"")</f>
        <v/>
      </c>
      <c r="BK8">
        <f>IF(AND($A8&lt;&gt;"",BK$3&gt;=$J8,BK$3&lt;=$M8),1,"")</f>
        <v/>
      </c>
      <c r="BL8">
        <f>IF(AND($A8&lt;&gt;"",BL$3&gt;=$J8,BL$3&lt;=$M8),1,"")</f>
        <v/>
      </c>
      <c r="BM8">
        <f>IF(AND($A8&lt;&gt;"",BM$3&gt;=$J8,BM$3&lt;=$M8),1,"")</f>
        <v/>
      </c>
      <c r="BN8">
        <f>IF(AND($A8&lt;&gt;"",BN$3&gt;=$J8,BN$3&lt;=$M8),1,"")</f>
        <v/>
      </c>
      <c r="BO8">
        <f>IF(AND($A8&lt;&gt;"",BO$3&gt;=$J8,BO$3&lt;=$M8),1,"")</f>
        <v/>
      </c>
      <c r="BP8">
        <f>IF(AND($A8&lt;&gt;"",BP$3&gt;=$J8,BP$3&lt;=$M8),1,"")</f>
        <v/>
      </c>
      <c r="BQ8">
        <f>IF(AND($A8&lt;&gt;"",BQ$3&gt;=$J8,BQ$3&lt;=$M8),1,"")</f>
        <v/>
      </c>
      <c r="BR8">
        <f>IF(AND($A8&lt;&gt;"",BR$3&gt;=$J8,BR$3&lt;=$M8),1,"")</f>
        <v/>
      </c>
      <c r="BS8">
        <f>IF(AND($A8&lt;&gt;"",BS$3&gt;=$J8,BS$3&lt;=$M8),1,"")</f>
        <v/>
      </c>
      <c r="BT8">
        <f>IF(AND($A8&lt;&gt;"",BT$3&gt;=$J8,BT$3&lt;=$M8),1,"")</f>
        <v/>
      </c>
      <c r="BU8">
        <f>IF(AND($A8&lt;&gt;"",BU$3&gt;=$J8,BU$3&lt;=$M8),1,"")</f>
        <v/>
      </c>
      <c r="BV8">
        <f>IF(AND($A8&lt;&gt;"",BV$3&gt;=$J8,BV$3&lt;=$M8),1,"")</f>
        <v/>
      </c>
    </row>
    <row r="9">
      <c r="A9">
        <f>IF(Job_Master_Ring!$A9="","",Job_Master_Ring!$A9)</f>
        <v/>
      </c>
      <c r="B9">
        <f>IF($A9="","",Job_Master_Ring!B9)</f>
        <v/>
      </c>
      <c r="C9">
        <f>IF($A9="","",Job_Master_Ring!C9)</f>
        <v/>
      </c>
      <c r="D9">
        <f>IF($A9="","",Job_Master_Ring!D9)</f>
        <v/>
      </c>
      <c r="E9">
        <f>IF($A9="","",IF($I9&lt;&gt;"",$I9,IFERROR(INDEX(Machine_List!$B$82:$B$86,MATCH(1,(Machine_List!$H$82:$H$86&lt;=IFERROR(VLOOKUP($B9,CHOOSE(MATCH($C9,Settings!$L$4:$L$10,0),OPR_BR1!$A$4:$K$18,OPR_BR2!$A$4:$K$18,OPR_CR2!$A$4:$K$18,OPR_CR3!$A$4:$K$18,OPR_CR4!$A$4:$K$18,OPR_RIM!$A$4:$K$18,OPR_BPR!$A$4:$K$18),10,0),0))*(Machine_List!$I$82:$I$86&gt;=IFERROR(VLOOKUP($B9,CHOOSE(MATCH($C9,Settings!$L$4:$L$10,0),OPR_BR1!$A$4:$K$18,OPR_BR2!$A$4:$K$18,OPR_CR2!$A$4:$K$18,OPR_CR3!$A$4:$K$18,OPR_CR4!$A$4:$K$18,OPR_RIM!$A$4:$K$18,OPR_BPR!$A$4:$K$18),11,0),9999)),0)),"NO COMPATIBLE MACHINE")))</f>
        <v/>
      </c>
      <c r="F9">
        <f>IF($E9="","",IFERROR(VLOOKUP($E9,Machine_List!$B:$G,6,0),""))</f>
        <v/>
      </c>
      <c r="G9" s="17">
        <f>IF($E9="","",IFERROR(VLOOKUP($E9,Machine_List!$B:$C,2,0),""))</f>
        <v/>
      </c>
      <c r="H9">
        <f>IF($E9="","",IFERROR(VLOOKUP($E9,Machine_List!$B:$D,3,0),""))</f>
        <v/>
      </c>
      <c r="J9" s="16">
        <f>IF($A9="","",IF($I9&lt;&gt;"",$I9,MAX(FID_Plan!$M9,IFERROR(LOOKUP(2,1/($E$3:INDIRECT("E"&amp;(ROW()-1))=$E9),$M$3:INDIRECT("M"&amp;(ROW()-1))),FID_Plan!$M9))))</f>
        <v/>
      </c>
      <c r="K9">
        <f>IF($A9="","",IFERROR(VLOOKUP(B9,CHOOSE(MATCH($C9,Settings!$L$4:$L$10,0),OPR_BR1!$A$4:$I$18,OPR_BR2!$A$4:$I$18,OPR_CR2!$A$4:$I$18,OPR_CR3!$A$4:$I$18,OPR_CR4!$A$4:$I$18,OPR_RIM!$A$4:$I$18,OPR_BPR!$A$4:$I$18),9,0),0))</f>
        <v/>
      </c>
      <c r="L9">
        <f>IF($A9="","",K9*D9)</f>
        <v/>
      </c>
      <c r="M9" s="16">
        <f>IF($A9=""," ",$J9+($L9/(IF(F9="Contract Workman",Settings!$K$5,Settings!$K$4))))</f>
        <v/>
      </c>
      <c r="N9">
        <f>IF($A9="","",IF(F9="Contract Workman",IF(AND(MOD(M9,1)&gt;=8/24,MOD(M9,1)&lt;20/24),"Shift S1","Shift S2"),IF(AND(MOD(M9,1)&gt;=7/24,MOD(M9,1)&lt;15/24),"Shift A",IF(AND(MOD(M9,1)&gt;=15/24,MOD(M9,1)&lt;23/24),"Shift B","Shift C"))))</f>
        <v/>
      </c>
      <c r="O9">
        <f>IF(B9="","",IF(IFERROR(ISNUMBER(SEARCH(TEXT(B9,"0"),VLOOKUP(E9,Machine_List!$B:$J,9,0))),FALSE),"✅ "&amp; E9,"❌ Sug: "&amp;IFERROR(INDEX(Machine_List!$B$82:$B$86,MATCH(1,(Machine_List!$H$82:$H$86&lt;=IFERROR(VLOOKUP($B9,OPR_BR1!$A$4:$K$18,10,0),0))*(Machine_List!$I$82:$I$86&gt;=IFERROR(VLOOKUP($B9,OPR_BR1!$A$4:$K$18,11,0),9999)),0)),"?")))</f>
        <v/>
      </c>
      <c r="P9">
        <f>IF(AND($A9&lt;&gt;"",P$3&gt;=$J9,P$3&lt;=$M9),1,"")</f>
        <v/>
      </c>
      <c r="Q9">
        <f>IF(AND($A9&lt;&gt;"",Q$3&gt;=$J9,Q$3&lt;=$M9),1,"")</f>
        <v/>
      </c>
      <c r="R9">
        <f>IF(AND($A9&lt;&gt;"",R$3&gt;=$J9,R$3&lt;=$M9),1,"")</f>
        <v/>
      </c>
      <c r="S9">
        <f>IF(AND($A9&lt;&gt;"",S$3&gt;=$J9,S$3&lt;=$M9),1,"")</f>
        <v/>
      </c>
      <c r="T9">
        <f>IF(AND($A9&lt;&gt;"",T$3&gt;=$J9,T$3&lt;=$M9),1,"")</f>
        <v/>
      </c>
      <c r="U9">
        <f>IF(AND($A9&lt;&gt;"",U$3&gt;=$J9,U$3&lt;=$M9),1,"")</f>
        <v/>
      </c>
      <c r="V9">
        <f>IF(AND($A9&lt;&gt;"",V$3&gt;=$J9,V$3&lt;=$M9),1,"")</f>
        <v/>
      </c>
      <c r="W9">
        <f>IF(AND($A9&lt;&gt;"",W$3&gt;=$J9,W$3&lt;=$M9),1,"")</f>
        <v/>
      </c>
      <c r="X9">
        <f>IF(AND($A9&lt;&gt;"",X$3&gt;=$J9,X$3&lt;=$M9),1,"")</f>
        <v/>
      </c>
      <c r="Y9">
        <f>IF(AND($A9&lt;&gt;"",Y$3&gt;=$J9,Y$3&lt;=$M9),1,"")</f>
        <v/>
      </c>
      <c r="Z9">
        <f>IF(AND($A9&lt;&gt;"",Z$3&gt;=$J9,Z$3&lt;=$M9),1,"")</f>
        <v/>
      </c>
      <c r="AA9">
        <f>IF(AND($A9&lt;&gt;"",AA$3&gt;=$J9,AA$3&lt;=$M9),1,"")</f>
        <v/>
      </c>
      <c r="AB9">
        <f>IF(AND($A9&lt;&gt;"",AB$3&gt;=$J9,AB$3&lt;=$M9),1,"")</f>
        <v/>
      </c>
      <c r="AC9">
        <f>IF(AND($A9&lt;&gt;"",AC$3&gt;=$J9,AC$3&lt;=$M9),1,"")</f>
        <v/>
      </c>
      <c r="AD9">
        <f>IF(AND($A9&lt;&gt;"",AD$3&gt;=$J9,AD$3&lt;=$M9),1,"")</f>
        <v/>
      </c>
      <c r="AE9">
        <f>IF(AND($A9&lt;&gt;"",AE$3&gt;=$J9,AE$3&lt;=$M9),1,"")</f>
        <v/>
      </c>
      <c r="AF9">
        <f>IF(AND($A9&lt;&gt;"",AF$3&gt;=$J9,AF$3&lt;=$M9),1,"")</f>
        <v/>
      </c>
      <c r="AG9">
        <f>IF(AND($A9&lt;&gt;"",AG$3&gt;=$J9,AG$3&lt;=$M9),1,"")</f>
        <v/>
      </c>
      <c r="AH9">
        <f>IF(AND($A9&lt;&gt;"",AH$3&gt;=$J9,AH$3&lt;=$M9),1,"")</f>
        <v/>
      </c>
      <c r="AI9">
        <f>IF(AND($A9&lt;&gt;"",AI$3&gt;=$J9,AI$3&lt;=$M9),1,"")</f>
        <v/>
      </c>
      <c r="AJ9">
        <f>IF(AND($A9&lt;&gt;"",AJ$3&gt;=$J9,AJ$3&lt;=$M9),1,"")</f>
        <v/>
      </c>
      <c r="AK9">
        <f>IF(AND($A9&lt;&gt;"",AK$3&gt;=$J9,AK$3&lt;=$M9),1,"")</f>
        <v/>
      </c>
      <c r="AL9">
        <f>IF(AND($A9&lt;&gt;"",AL$3&gt;=$J9,AL$3&lt;=$M9),1,"")</f>
        <v/>
      </c>
      <c r="AM9">
        <f>IF(AND($A9&lt;&gt;"",AM$3&gt;=$J9,AM$3&lt;=$M9),1,"")</f>
        <v/>
      </c>
      <c r="AN9">
        <f>IF(AND($A9&lt;&gt;"",AN$3&gt;=$J9,AN$3&lt;=$M9),1,"")</f>
        <v/>
      </c>
      <c r="AO9">
        <f>IF(AND($A9&lt;&gt;"",AO$3&gt;=$J9,AO$3&lt;=$M9),1,"")</f>
        <v/>
      </c>
      <c r="AP9">
        <f>IF(AND($A9&lt;&gt;"",AP$3&gt;=$J9,AP$3&lt;=$M9),1,"")</f>
        <v/>
      </c>
      <c r="AQ9">
        <f>IF(AND($A9&lt;&gt;"",AQ$3&gt;=$J9,AQ$3&lt;=$M9),1,"")</f>
        <v/>
      </c>
      <c r="AR9">
        <f>IF(AND($A9&lt;&gt;"",AR$3&gt;=$J9,AR$3&lt;=$M9),1,"")</f>
        <v/>
      </c>
      <c r="AS9">
        <f>IF(AND($A9&lt;&gt;"",AS$3&gt;=$J9,AS$3&lt;=$M9),1,"")</f>
        <v/>
      </c>
      <c r="AT9">
        <f>IF(AND($A9&lt;&gt;"",AT$3&gt;=$J9,AT$3&lt;=$M9),1,"")</f>
        <v/>
      </c>
      <c r="AU9">
        <f>IF(AND($A9&lt;&gt;"",AU$3&gt;=$J9,AU$3&lt;=$M9),1,"")</f>
        <v/>
      </c>
      <c r="AV9">
        <f>IF(AND($A9&lt;&gt;"",AV$3&gt;=$J9,AV$3&lt;=$M9),1,"")</f>
        <v/>
      </c>
      <c r="AW9">
        <f>IF(AND($A9&lt;&gt;"",AW$3&gt;=$J9,AW$3&lt;=$M9),1,"")</f>
        <v/>
      </c>
      <c r="AX9">
        <f>IF(AND($A9&lt;&gt;"",AX$3&gt;=$J9,AX$3&lt;=$M9),1,"")</f>
        <v/>
      </c>
      <c r="AY9">
        <f>IF(AND($A9&lt;&gt;"",AY$3&gt;=$J9,AY$3&lt;=$M9),1,"")</f>
        <v/>
      </c>
      <c r="AZ9">
        <f>IF(AND($A9&lt;&gt;"",AZ$3&gt;=$J9,AZ$3&lt;=$M9),1,"")</f>
        <v/>
      </c>
      <c r="BA9">
        <f>IF(AND($A9&lt;&gt;"",BA$3&gt;=$J9,BA$3&lt;=$M9),1,"")</f>
        <v/>
      </c>
      <c r="BB9">
        <f>IF(AND($A9&lt;&gt;"",BB$3&gt;=$J9,BB$3&lt;=$M9),1,"")</f>
        <v/>
      </c>
      <c r="BC9">
        <f>IF(AND($A9&lt;&gt;"",BC$3&gt;=$J9,BC$3&lt;=$M9),1,"")</f>
        <v/>
      </c>
      <c r="BD9">
        <f>IF(AND($A9&lt;&gt;"",BD$3&gt;=$J9,BD$3&lt;=$M9),1,"")</f>
        <v/>
      </c>
      <c r="BE9">
        <f>IF(AND($A9&lt;&gt;"",BE$3&gt;=$J9,BE$3&lt;=$M9),1,"")</f>
        <v/>
      </c>
      <c r="BF9">
        <f>IF(AND($A9&lt;&gt;"",BF$3&gt;=$J9,BF$3&lt;=$M9),1,"")</f>
        <v/>
      </c>
      <c r="BG9">
        <f>IF(AND($A9&lt;&gt;"",BG$3&gt;=$J9,BG$3&lt;=$M9),1,"")</f>
        <v/>
      </c>
      <c r="BH9">
        <f>IF(AND($A9&lt;&gt;"",BH$3&gt;=$J9,BH$3&lt;=$M9),1,"")</f>
        <v/>
      </c>
      <c r="BI9">
        <f>IF(AND($A9&lt;&gt;"",BI$3&gt;=$J9,BI$3&lt;=$M9),1,"")</f>
        <v/>
      </c>
      <c r="BJ9">
        <f>IF(AND($A9&lt;&gt;"",BJ$3&gt;=$J9,BJ$3&lt;=$M9),1,"")</f>
        <v/>
      </c>
      <c r="BK9">
        <f>IF(AND($A9&lt;&gt;"",BK$3&gt;=$J9,BK$3&lt;=$M9),1,"")</f>
        <v/>
      </c>
      <c r="BL9">
        <f>IF(AND($A9&lt;&gt;"",BL$3&gt;=$J9,BL$3&lt;=$M9),1,"")</f>
        <v/>
      </c>
      <c r="BM9">
        <f>IF(AND($A9&lt;&gt;"",BM$3&gt;=$J9,BM$3&lt;=$M9),1,"")</f>
        <v/>
      </c>
      <c r="BN9">
        <f>IF(AND($A9&lt;&gt;"",BN$3&gt;=$J9,BN$3&lt;=$M9),1,"")</f>
        <v/>
      </c>
      <c r="BO9">
        <f>IF(AND($A9&lt;&gt;"",BO$3&gt;=$J9,BO$3&lt;=$M9),1,"")</f>
        <v/>
      </c>
      <c r="BP9">
        <f>IF(AND($A9&lt;&gt;"",BP$3&gt;=$J9,BP$3&lt;=$M9),1,"")</f>
        <v/>
      </c>
      <c r="BQ9">
        <f>IF(AND($A9&lt;&gt;"",BQ$3&gt;=$J9,BQ$3&lt;=$M9),1,"")</f>
        <v/>
      </c>
      <c r="BR9">
        <f>IF(AND($A9&lt;&gt;"",BR$3&gt;=$J9,BR$3&lt;=$M9),1,"")</f>
        <v/>
      </c>
      <c r="BS9">
        <f>IF(AND($A9&lt;&gt;"",BS$3&gt;=$J9,BS$3&lt;=$M9),1,"")</f>
        <v/>
      </c>
      <c r="BT9">
        <f>IF(AND($A9&lt;&gt;"",BT$3&gt;=$J9,BT$3&lt;=$M9),1,"")</f>
        <v/>
      </c>
      <c r="BU9">
        <f>IF(AND($A9&lt;&gt;"",BU$3&gt;=$J9,BU$3&lt;=$M9),1,"")</f>
        <v/>
      </c>
      <c r="BV9">
        <f>IF(AND($A9&lt;&gt;"",BV$3&gt;=$J9,BV$3&lt;=$M9),1,"")</f>
        <v/>
      </c>
    </row>
    <row r="10">
      <c r="A10">
        <f>IF(Job_Master_Ring!$A10="","",Job_Master_Ring!$A10)</f>
        <v/>
      </c>
      <c r="B10">
        <f>IF($A10="","",Job_Master_Ring!B10)</f>
        <v/>
      </c>
      <c r="C10">
        <f>IF($A10="","",Job_Master_Ring!C10)</f>
        <v/>
      </c>
      <c r="D10">
        <f>IF($A10="","",Job_Master_Ring!D10)</f>
        <v/>
      </c>
      <c r="E10">
        <f>IF($A10="","",IF($I10&lt;&gt;"",$I10,IFERROR(INDEX(Machine_List!$B$82:$B$86,MATCH(1,(Machine_List!$H$82:$H$86&lt;=IFERROR(VLOOKUP($B10,CHOOSE(MATCH($C10,Settings!$L$4:$L$10,0),OPR_BR1!$A$4:$K$18,OPR_BR2!$A$4:$K$18,OPR_CR2!$A$4:$K$18,OPR_CR3!$A$4:$K$18,OPR_CR4!$A$4:$K$18,OPR_RIM!$A$4:$K$18,OPR_BPR!$A$4:$K$18),10,0),0))*(Machine_List!$I$82:$I$86&gt;=IFERROR(VLOOKUP($B10,CHOOSE(MATCH($C10,Settings!$L$4:$L$10,0),OPR_BR1!$A$4:$K$18,OPR_BR2!$A$4:$K$18,OPR_CR2!$A$4:$K$18,OPR_CR3!$A$4:$K$18,OPR_CR4!$A$4:$K$18,OPR_RIM!$A$4:$K$18,OPR_BPR!$A$4:$K$18),11,0),9999)),0)),"NO COMPATIBLE MACHINE")))</f>
        <v/>
      </c>
      <c r="F10">
        <f>IF($E10="","",IFERROR(VLOOKUP($E10,Machine_List!$B:$G,6,0),""))</f>
        <v/>
      </c>
      <c r="G10" s="17">
        <f>IF($E10="","",IFERROR(VLOOKUP($E10,Machine_List!$B:$C,2,0),""))</f>
        <v/>
      </c>
      <c r="H10">
        <f>IF($E10="","",IFERROR(VLOOKUP($E10,Machine_List!$B:$D,3,0),""))</f>
        <v/>
      </c>
      <c r="J10" s="16">
        <f>IF($A10="","",IF($I10&lt;&gt;"",$I10,MAX(FID_Plan!$M10,IFERROR(LOOKUP(2,1/($E$3:INDIRECT("E"&amp;(ROW()-1))=$E10),$M$3:INDIRECT("M"&amp;(ROW()-1))),FID_Plan!$M10))))</f>
        <v/>
      </c>
      <c r="K10">
        <f>IF($A10="","",IFERROR(VLOOKUP(B10,CHOOSE(MATCH($C10,Settings!$L$4:$L$10,0),OPR_BR1!$A$4:$I$18,OPR_BR2!$A$4:$I$18,OPR_CR2!$A$4:$I$18,OPR_CR3!$A$4:$I$18,OPR_CR4!$A$4:$I$18,OPR_RIM!$A$4:$I$18,OPR_BPR!$A$4:$I$18),9,0),0))</f>
        <v/>
      </c>
      <c r="L10">
        <f>IF($A10="","",K10*D10)</f>
        <v/>
      </c>
      <c r="M10" s="16">
        <f>IF($A10=""," ",$J10+($L10/(IF(F10="Contract Workman",Settings!$K$5,Settings!$K$4))))</f>
        <v/>
      </c>
      <c r="N10">
        <f>IF($A10="","",IF(F10="Contract Workman",IF(AND(MOD(M10,1)&gt;=8/24,MOD(M10,1)&lt;20/24),"Shift S1","Shift S2"),IF(AND(MOD(M10,1)&gt;=7/24,MOD(M10,1)&lt;15/24),"Shift A",IF(AND(MOD(M10,1)&gt;=15/24,MOD(M10,1)&lt;23/24),"Shift B","Shift C"))))</f>
        <v/>
      </c>
      <c r="O10">
        <f>IF(B10="","",IF(IFERROR(ISNUMBER(SEARCH(TEXT(B10,"0"),VLOOKUP(E10,Machine_List!$B:$J,9,0))),FALSE),"✅ "&amp; E10,"❌ Sug: "&amp;IFERROR(INDEX(Machine_List!$B$82:$B$86,MATCH(1,(Machine_List!$H$82:$H$86&lt;=IFERROR(VLOOKUP($B10,OPR_BR1!$A$4:$K$18,10,0),0))*(Machine_List!$I$82:$I$86&gt;=IFERROR(VLOOKUP($B10,OPR_BR1!$A$4:$K$18,11,0),9999)),0)),"?")))</f>
        <v/>
      </c>
      <c r="P10">
        <f>IF(AND($A10&lt;&gt;"",P$3&gt;=$J10,P$3&lt;=$M10),1,"")</f>
        <v/>
      </c>
      <c r="Q10">
        <f>IF(AND($A10&lt;&gt;"",Q$3&gt;=$J10,Q$3&lt;=$M10),1,"")</f>
        <v/>
      </c>
      <c r="R10">
        <f>IF(AND($A10&lt;&gt;"",R$3&gt;=$J10,R$3&lt;=$M10),1,"")</f>
        <v/>
      </c>
      <c r="S10">
        <f>IF(AND($A10&lt;&gt;"",S$3&gt;=$J10,S$3&lt;=$M10),1,"")</f>
        <v/>
      </c>
      <c r="T10">
        <f>IF(AND($A10&lt;&gt;"",T$3&gt;=$J10,T$3&lt;=$M10),1,"")</f>
        <v/>
      </c>
      <c r="U10">
        <f>IF(AND($A10&lt;&gt;"",U$3&gt;=$J10,U$3&lt;=$M10),1,"")</f>
        <v/>
      </c>
      <c r="V10">
        <f>IF(AND($A10&lt;&gt;"",V$3&gt;=$J10,V$3&lt;=$M10),1,"")</f>
        <v/>
      </c>
      <c r="W10">
        <f>IF(AND($A10&lt;&gt;"",W$3&gt;=$J10,W$3&lt;=$M10),1,"")</f>
        <v/>
      </c>
      <c r="X10">
        <f>IF(AND($A10&lt;&gt;"",X$3&gt;=$J10,X$3&lt;=$M10),1,"")</f>
        <v/>
      </c>
      <c r="Y10">
        <f>IF(AND($A10&lt;&gt;"",Y$3&gt;=$J10,Y$3&lt;=$M10),1,"")</f>
        <v/>
      </c>
      <c r="Z10">
        <f>IF(AND($A10&lt;&gt;"",Z$3&gt;=$J10,Z$3&lt;=$M10),1,"")</f>
        <v/>
      </c>
      <c r="AA10">
        <f>IF(AND($A10&lt;&gt;"",AA$3&gt;=$J10,AA$3&lt;=$M10),1,"")</f>
        <v/>
      </c>
      <c r="AB10">
        <f>IF(AND($A10&lt;&gt;"",AB$3&gt;=$J10,AB$3&lt;=$M10),1,"")</f>
        <v/>
      </c>
      <c r="AC10">
        <f>IF(AND($A10&lt;&gt;"",AC$3&gt;=$J10,AC$3&lt;=$M10),1,"")</f>
        <v/>
      </c>
      <c r="AD10">
        <f>IF(AND($A10&lt;&gt;"",AD$3&gt;=$J10,AD$3&lt;=$M10),1,"")</f>
        <v/>
      </c>
      <c r="AE10">
        <f>IF(AND($A10&lt;&gt;"",AE$3&gt;=$J10,AE$3&lt;=$M10),1,"")</f>
        <v/>
      </c>
      <c r="AF10">
        <f>IF(AND($A10&lt;&gt;"",AF$3&gt;=$J10,AF$3&lt;=$M10),1,"")</f>
        <v/>
      </c>
      <c r="AG10">
        <f>IF(AND($A10&lt;&gt;"",AG$3&gt;=$J10,AG$3&lt;=$M10),1,"")</f>
        <v/>
      </c>
      <c r="AH10">
        <f>IF(AND($A10&lt;&gt;"",AH$3&gt;=$J10,AH$3&lt;=$M10),1,"")</f>
        <v/>
      </c>
      <c r="AI10">
        <f>IF(AND($A10&lt;&gt;"",AI$3&gt;=$J10,AI$3&lt;=$M10),1,"")</f>
        <v/>
      </c>
      <c r="AJ10">
        <f>IF(AND($A10&lt;&gt;"",AJ$3&gt;=$J10,AJ$3&lt;=$M10),1,"")</f>
        <v/>
      </c>
      <c r="AK10">
        <f>IF(AND($A10&lt;&gt;"",AK$3&gt;=$J10,AK$3&lt;=$M10),1,"")</f>
        <v/>
      </c>
      <c r="AL10">
        <f>IF(AND($A10&lt;&gt;"",AL$3&gt;=$J10,AL$3&lt;=$M10),1,"")</f>
        <v/>
      </c>
      <c r="AM10">
        <f>IF(AND($A10&lt;&gt;"",AM$3&gt;=$J10,AM$3&lt;=$M10),1,"")</f>
        <v/>
      </c>
      <c r="AN10">
        <f>IF(AND($A10&lt;&gt;"",AN$3&gt;=$J10,AN$3&lt;=$M10),1,"")</f>
        <v/>
      </c>
      <c r="AO10">
        <f>IF(AND($A10&lt;&gt;"",AO$3&gt;=$J10,AO$3&lt;=$M10),1,"")</f>
        <v/>
      </c>
      <c r="AP10">
        <f>IF(AND($A10&lt;&gt;"",AP$3&gt;=$J10,AP$3&lt;=$M10),1,"")</f>
        <v/>
      </c>
      <c r="AQ10">
        <f>IF(AND($A10&lt;&gt;"",AQ$3&gt;=$J10,AQ$3&lt;=$M10),1,"")</f>
        <v/>
      </c>
      <c r="AR10">
        <f>IF(AND($A10&lt;&gt;"",AR$3&gt;=$J10,AR$3&lt;=$M10),1,"")</f>
        <v/>
      </c>
      <c r="AS10">
        <f>IF(AND($A10&lt;&gt;"",AS$3&gt;=$J10,AS$3&lt;=$M10),1,"")</f>
        <v/>
      </c>
      <c r="AT10">
        <f>IF(AND($A10&lt;&gt;"",AT$3&gt;=$J10,AT$3&lt;=$M10),1,"")</f>
        <v/>
      </c>
      <c r="AU10">
        <f>IF(AND($A10&lt;&gt;"",AU$3&gt;=$J10,AU$3&lt;=$M10),1,"")</f>
        <v/>
      </c>
      <c r="AV10">
        <f>IF(AND($A10&lt;&gt;"",AV$3&gt;=$J10,AV$3&lt;=$M10),1,"")</f>
        <v/>
      </c>
      <c r="AW10">
        <f>IF(AND($A10&lt;&gt;"",AW$3&gt;=$J10,AW$3&lt;=$M10),1,"")</f>
        <v/>
      </c>
      <c r="AX10">
        <f>IF(AND($A10&lt;&gt;"",AX$3&gt;=$J10,AX$3&lt;=$M10),1,"")</f>
        <v/>
      </c>
      <c r="AY10">
        <f>IF(AND($A10&lt;&gt;"",AY$3&gt;=$J10,AY$3&lt;=$M10),1,"")</f>
        <v/>
      </c>
      <c r="AZ10">
        <f>IF(AND($A10&lt;&gt;"",AZ$3&gt;=$J10,AZ$3&lt;=$M10),1,"")</f>
        <v/>
      </c>
      <c r="BA10">
        <f>IF(AND($A10&lt;&gt;"",BA$3&gt;=$J10,BA$3&lt;=$M10),1,"")</f>
        <v/>
      </c>
      <c r="BB10">
        <f>IF(AND($A10&lt;&gt;"",BB$3&gt;=$J10,BB$3&lt;=$M10),1,"")</f>
        <v/>
      </c>
      <c r="BC10">
        <f>IF(AND($A10&lt;&gt;"",BC$3&gt;=$J10,BC$3&lt;=$M10),1,"")</f>
        <v/>
      </c>
      <c r="BD10">
        <f>IF(AND($A10&lt;&gt;"",BD$3&gt;=$J10,BD$3&lt;=$M10),1,"")</f>
        <v/>
      </c>
      <c r="BE10">
        <f>IF(AND($A10&lt;&gt;"",BE$3&gt;=$J10,BE$3&lt;=$M10),1,"")</f>
        <v/>
      </c>
      <c r="BF10">
        <f>IF(AND($A10&lt;&gt;"",BF$3&gt;=$J10,BF$3&lt;=$M10),1,"")</f>
        <v/>
      </c>
      <c r="BG10">
        <f>IF(AND($A10&lt;&gt;"",BG$3&gt;=$J10,BG$3&lt;=$M10),1,"")</f>
        <v/>
      </c>
      <c r="BH10">
        <f>IF(AND($A10&lt;&gt;"",BH$3&gt;=$J10,BH$3&lt;=$M10),1,"")</f>
        <v/>
      </c>
      <c r="BI10">
        <f>IF(AND($A10&lt;&gt;"",BI$3&gt;=$J10,BI$3&lt;=$M10),1,"")</f>
        <v/>
      </c>
      <c r="BJ10">
        <f>IF(AND($A10&lt;&gt;"",BJ$3&gt;=$J10,BJ$3&lt;=$M10),1,"")</f>
        <v/>
      </c>
      <c r="BK10">
        <f>IF(AND($A10&lt;&gt;"",BK$3&gt;=$J10,BK$3&lt;=$M10),1,"")</f>
        <v/>
      </c>
      <c r="BL10">
        <f>IF(AND($A10&lt;&gt;"",BL$3&gt;=$J10,BL$3&lt;=$M10),1,"")</f>
        <v/>
      </c>
      <c r="BM10">
        <f>IF(AND($A10&lt;&gt;"",BM$3&gt;=$J10,BM$3&lt;=$M10),1,"")</f>
        <v/>
      </c>
      <c r="BN10">
        <f>IF(AND($A10&lt;&gt;"",BN$3&gt;=$J10,BN$3&lt;=$M10),1,"")</f>
        <v/>
      </c>
      <c r="BO10">
        <f>IF(AND($A10&lt;&gt;"",BO$3&gt;=$J10,BO$3&lt;=$M10),1,"")</f>
        <v/>
      </c>
      <c r="BP10">
        <f>IF(AND($A10&lt;&gt;"",BP$3&gt;=$J10,BP$3&lt;=$M10),1,"")</f>
        <v/>
      </c>
      <c r="BQ10">
        <f>IF(AND($A10&lt;&gt;"",BQ$3&gt;=$J10,BQ$3&lt;=$M10),1,"")</f>
        <v/>
      </c>
      <c r="BR10">
        <f>IF(AND($A10&lt;&gt;"",BR$3&gt;=$J10,BR$3&lt;=$M10),1,"")</f>
        <v/>
      </c>
      <c r="BS10">
        <f>IF(AND($A10&lt;&gt;"",BS$3&gt;=$J10,BS$3&lt;=$M10),1,"")</f>
        <v/>
      </c>
      <c r="BT10">
        <f>IF(AND($A10&lt;&gt;"",BT$3&gt;=$J10,BT$3&lt;=$M10),1,"")</f>
        <v/>
      </c>
      <c r="BU10">
        <f>IF(AND($A10&lt;&gt;"",BU$3&gt;=$J10,BU$3&lt;=$M10),1,"")</f>
        <v/>
      </c>
      <c r="BV10">
        <f>IF(AND($A10&lt;&gt;"",BV$3&gt;=$J10,BV$3&lt;=$M10),1,"")</f>
        <v/>
      </c>
    </row>
    <row r="11">
      <c r="A11">
        <f>IF(Job_Master_Ring!$A11="","",Job_Master_Ring!$A11)</f>
        <v/>
      </c>
      <c r="B11">
        <f>IF($A11="","",Job_Master_Ring!B11)</f>
        <v/>
      </c>
      <c r="C11">
        <f>IF($A11="","",Job_Master_Ring!C11)</f>
        <v/>
      </c>
      <c r="D11">
        <f>IF($A11="","",Job_Master_Ring!D11)</f>
        <v/>
      </c>
      <c r="E11">
        <f>IF($A11="","",IF($I11&lt;&gt;"",$I11,IFERROR(INDEX(Machine_List!$B$82:$B$86,MATCH(1,(Machine_List!$H$82:$H$86&lt;=IFERROR(VLOOKUP($B11,CHOOSE(MATCH($C11,Settings!$L$4:$L$10,0),OPR_BR1!$A$4:$K$18,OPR_BR2!$A$4:$K$18,OPR_CR2!$A$4:$K$18,OPR_CR3!$A$4:$K$18,OPR_CR4!$A$4:$K$18,OPR_RIM!$A$4:$K$18,OPR_BPR!$A$4:$K$18),10,0),0))*(Machine_List!$I$82:$I$86&gt;=IFERROR(VLOOKUP($B11,CHOOSE(MATCH($C11,Settings!$L$4:$L$10,0),OPR_BR1!$A$4:$K$18,OPR_BR2!$A$4:$K$18,OPR_CR2!$A$4:$K$18,OPR_CR3!$A$4:$K$18,OPR_CR4!$A$4:$K$18,OPR_RIM!$A$4:$K$18,OPR_BPR!$A$4:$K$18),11,0),9999)),0)),"NO COMPATIBLE MACHINE")))</f>
        <v/>
      </c>
      <c r="F11">
        <f>IF($E11="","",IFERROR(VLOOKUP($E11,Machine_List!$B:$G,6,0),""))</f>
        <v/>
      </c>
      <c r="G11" s="17">
        <f>IF($E11="","",IFERROR(VLOOKUP($E11,Machine_List!$B:$C,2,0),""))</f>
        <v/>
      </c>
      <c r="H11">
        <f>IF($E11="","",IFERROR(VLOOKUP($E11,Machine_List!$B:$D,3,0),""))</f>
        <v/>
      </c>
      <c r="J11" s="16">
        <f>IF($A11="","",IF($I11&lt;&gt;"",$I11,MAX(FID_Plan!$M11,IFERROR(LOOKUP(2,1/($E$3:INDIRECT("E"&amp;(ROW()-1))=$E11),$M$3:INDIRECT("M"&amp;(ROW()-1))),FID_Plan!$M11))))</f>
        <v/>
      </c>
      <c r="K11">
        <f>IF($A11="","",IFERROR(VLOOKUP(B11,CHOOSE(MATCH($C11,Settings!$L$4:$L$10,0),OPR_BR1!$A$4:$I$18,OPR_BR2!$A$4:$I$18,OPR_CR2!$A$4:$I$18,OPR_CR3!$A$4:$I$18,OPR_CR4!$A$4:$I$18,OPR_RIM!$A$4:$I$18,OPR_BPR!$A$4:$I$18),9,0),0))</f>
        <v/>
      </c>
      <c r="L11">
        <f>IF($A11="","",K11*D11)</f>
        <v/>
      </c>
      <c r="M11" s="16">
        <f>IF($A11=""," ",$J11+($L11/(IF(F11="Contract Workman",Settings!$K$5,Settings!$K$4))))</f>
        <v/>
      </c>
      <c r="N11">
        <f>IF($A11="","",IF(F11="Contract Workman",IF(AND(MOD(M11,1)&gt;=8/24,MOD(M11,1)&lt;20/24),"Shift S1","Shift S2"),IF(AND(MOD(M11,1)&gt;=7/24,MOD(M11,1)&lt;15/24),"Shift A",IF(AND(MOD(M11,1)&gt;=15/24,MOD(M11,1)&lt;23/24),"Shift B","Shift C"))))</f>
        <v/>
      </c>
      <c r="O11">
        <f>IF(B11="","",IF(IFERROR(ISNUMBER(SEARCH(TEXT(B11,"0"),VLOOKUP(E11,Machine_List!$B:$J,9,0))),FALSE),"✅ "&amp; E11,"❌ Sug: "&amp;IFERROR(INDEX(Machine_List!$B$82:$B$86,MATCH(1,(Machine_List!$H$82:$H$86&lt;=IFERROR(VLOOKUP($B11,OPR_BR1!$A$4:$K$18,10,0),0))*(Machine_List!$I$82:$I$86&gt;=IFERROR(VLOOKUP($B11,OPR_BR1!$A$4:$K$18,11,0),9999)),0)),"?")))</f>
        <v/>
      </c>
      <c r="P11">
        <f>IF(AND($A11&lt;&gt;"",P$3&gt;=$J11,P$3&lt;=$M11),1,"")</f>
        <v/>
      </c>
      <c r="Q11">
        <f>IF(AND($A11&lt;&gt;"",Q$3&gt;=$J11,Q$3&lt;=$M11),1,"")</f>
        <v/>
      </c>
      <c r="R11">
        <f>IF(AND($A11&lt;&gt;"",R$3&gt;=$J11,R$3&lt;=$M11),1,"")</f>
        <v/>
      </c>
      <c r="S11">
        <f>IF(AND($A11&lt;&gt;"",S$3&gt;=$J11,S$3&lt;=$M11),1,"")</f>
        <v/>
      </c>
      <c r="T11">
        <f>IF(AND($A11&lt;&gt;"",T$3&gt;=$J11,T$3&lt;=$M11),1,"")</f>
        <v/>
      </c>
      <c r="U11">
        <f>IF(AND($A11&lt;&gt;"",U$3&gt;=$J11,U$3&lt;=$M11),1,"")</f>
        <v/>
      </c>
      <c r="V11">
        <f>IF(AND($A11&lt;&gt;"",V$3&gt;=$J11,V$3&lt;=$M11),1,"")</f>
        <v/>
      </c>
      <c r="W11">
        <f>IF(AND($A11&lt;&gt;"",W$3&gt;=$J11,W$3&lt;=$M11),1,"")</f>
        <v/>
      </c>
      <c r="X11">
        <f>IF(AND($A11&lt;&gt;"",X$3&gt;=$J11,X$3&lt;=$M11),1,"")</f>
        <v/>
      </c>
      <c r="Y11">
        <f>IF(AND($A11&lt;&gt;"",Y$3&gt;=$J11,Y$3&lt;=$M11),1,"")</f>
        <v/>
      </c>
      <c r="Z11">
        <f>IF(AND($A11&lt;&gt;"",Z$3&gt;=$J11,Z$3&lt;=$M11),1,"")</f>
        <v/>
      </c>
      <c r="AA11">
        <f>IF(AND($A11&lt;&gt;"",AA$3&gt;=$J11,AA$3&lt;=$M11),1,"")</f>
        <v/>
      </c>
      <c r="AB11">
        <f>IF(AND($A11&lt;&gt;"",AB$3&gt;=$J11,AB$3&lt;=$M11),1,"")</f>
        <v/>
      </c>
      <c r="AC11">
        <f>IF(AND($A11&lt;&gt;"",AC$3&gt;=$J11,AC$3&lt;=$M11),1,"")</f>
        <v/>
      </c>
      <c r="AD11">
        <f>IF(AND($A11&lt;&gt;"",AD$3&gt;=$J11,AD$3&lt;=$M11),1,"")</f>
        <v/>
      </c>
      <c r="AE11">
        <f>IF(AND($A11&lt;&gt;"",AE$3&gt;=$J11,AE$3&lt;=$M11),1,"")</f>
        <v/>
      </c>
      <c r="AF11">
        <f>IF(AND($A11&lt;&gt;"",AF$3&gt;=$J11,AF$3&lt;=$M11),1,"")</f>
        <v/>
      </c>
      <c r="AG11">
        <f>IF(AND($A11&lt;&gt;"",AG$3&gt;=$J11,AG$3&lt;=$M11),1,"")</f>
        <v/>
      </c>
      <c r="AH11">
        <f>IF(AND($A11&lt;&gt;"",AH$3&gt;=$J11,AH$3&lt;=$M11),1,"")</f>
        <v/>
      </c>
      <c r="AI11">
        <f>IF(AND($A11&lt;&gt;"",AI$3&gt;=$J11,AI$3&lt;=$M11),1,"")</f>
        <v/>
      </c>
      <c r="AJ11">
        <f>IF(AND($A11&lt;&gt;"",AJ$3&gt;=$J11,AJ$3&lt;=$M11),1,"")</f>
        <v/>
      </c>
      <c r="AK11">
        <f>IF(AND($A11&lt;&gt;"",AK$3&gt;=$J11,AK$3&lt;=$M11),1,"")</f>
        <v/>
      </c>
      <c r="AL11">
        <f>IF(AND($A11&lt;&gt;"",AL$3&gt;=$J11,AL$3&lt;=$M11),1,"")</f>
        <v/>
      </c>
      <c r="AM11">
        <f>IF(AND($A11&lt;&gt;"",AM$3&gt;=$J11,AM$3&lt;=$M11),1,"")</f>
        <v/>
      </c>
      <c r="AN11">
        <f>IF(AND($A11&lt;&gt;"",AN$3&gt;=$J11,AN$3&lt;=$M11),1,"")</f>
        <v/>
      </c>
      <c r="AO11">
        <f>IF(AND($A11&lt;&gt;"",AO$3&gt;=$J11,AO$3&lt;=$M11),1,"")</f>
        <v/>
      </c>
      <c r="AP11">
        <f>IF(AND($A11&lt;&gt;"",AP$3&gt;=$J11,AP$3&lt;=$M11),1,"")</f>
        <v/>
      </c>
      <c r="AQ11">
        <f>IF(AND($A11&lt;&gt;"",AQ$3&gt;=$J11,AQ$3&lt;=$M11),1,"")</f>
        <v/>
      </c>
      <c r="AR11">
        <f>IF(AND($A11&lt;&gt;"",AR$3&gt;=$J11,AR$3&lt;=$M11),1,"")</f>
        <v/>
      </c>
      <c r="AS11">
        <f>IF(AND($A11&lt;&gt;"",AS$3&gt;=$J11,AS$3&lt;=$M11),1,"")</f>
        <v/>
      </c>
      <c r="AT11">
        <f>IF(AND($A11&lt;&gt;"",AT$3&gt;=$J11,AT$3&lt;=$M11),1,"")</f>
        <v/>
      </c>
      <c r="AU11">
        <f>IF(AND($A11&lt;&gt;"",AU$3&gt;=$J11,AU$3&lt;=$M11),1,"")</f>
        <v/>
      </c>
      <c r="AV11">
        <f>IF(AND($A11&lt;&gt;"",AV$3&gt;=$J11,AV$3&lt;=$M11),1,"")</f>
        <v/>
      </c>
      <c r="AW11">
        <f>IF(AND($A11&lt;&gt;"",AW$3&gt;=$J11,AW$3&lt;=$M11),1,"")</f>
        <v/>
      </c>
      <c r="AX11">
        <f>IF(AND($A11&lt;&gt;"",AX$3&gt;=$J11,AX$3&lt;=$M11),1,"")</f>
        <v/>
      </c>
      <c r="AY11">
        <f>IF(AND($A11&lt;&gt;"",AY$3&gt;=$J11,AY$3&lt;=$M11),1,"")</f>
        <v/>
      </c>
      <c r="AZ11">
        <f>IF(AND($A11&lt;&gt;"",AZ$3&gt;=$J11,AZ$3&lt;=$M11),1,"")</f>
        <v/>
      </c>
      <c r="BA11">
        <f>IF(AND($A11&lt;&gt;"",BA$3&gt;=$J11,BA$3&lt;=$M11),1,"")</f>
        <v/>
      </c>
      <c r="BB11">
        <f>IF(AND($A11&lt;&gt;"",BB$3&gt;=$J11,BB$3&lt;=$M11),1,"")</f>
        <v/>
      </c>
      <c r="BC11">
        <f>IF(AND($A11&lt;&gt;"",BC$3&gt;=$J11,BC$3&lt;=$M11),1,"")</f>
        <v/>
      </c>
      <c r="BD11">
        <f>IF(AND($A11&lt;&gt;"",BD$3&gt;=$J11,BD$3&lt;=$M11),1,"")</f>
        <v/>
      </c>
      <c r="BE11">
        <f>IF(AND($A11&lt;&gt;"",BE$3&gt;=$J11,BE$3&lt;=$M11),1,"")</f>
        <v/>
      </c>
      <c r="BF11">
        <f>IF(AND($A11&lt;&gt;"",BF$3&gt;=$J11,BF$3&lt;=$M11),1,"")</f>
        <v/>
      </c>
      <c r="BG11">
        <f>IF(AND($A11&lt;&gt;"",BG$3&gt;=$J11,BG$3&lt;=$M11),1,"")</f>
        <v/>
      </c>
      <c r="BH11">
        <f>IF(AND($A11&lt;&gt;"",BH$3&gt;=$J11,BH$3&lt;=$M11),1,"")</f>
        <v/>
      </c>
      <c r="BI11">
        <f>IF(AND($A11&lt;&gt;"",BI$3&gt;=$J11,BI$3&lt;=$M11),1,"")</f>
        <v/>
      </c>
      <c r="BJ11">
        <f>IF(AND($A11&lt;&gt;"",BJ$3&gt;=$J11,BJ$3&lt;=$M11),1,"")</f>
        <v/>
      </c>
      <c r="BK11">
        <f>IF(AND($A11&lt;&gt;"",BK$3&gt;=$J11,BK$3&lt;=$M11),1,"")</f>
        <v/>
      </c>
      <c r="BL11">
        <f>IF(AND($A11&lt;&gt;"",BL$3&gt;=$J11,BL$3&lt;=$M11),1,"")</f>
        <v/>
      </c>
      <c r="BM11">
        <f>IF(AND($A11&lt;&gt;"",BM$3&gt;=$J11,BM$3&lt;=$M11),1,"")</f>
        <v/>
      </c>
      <c r="BN11">
        <f>IF(AND($A11&lt;&gt;"",BN$3&gt;=$J11,BN$3&lt;=$M11),1,"")</f>
        <v/>
      </c>
      <c r="BO11">
        <f>IF(AND($A11&lt;&gt;"",BO$3&gt;=$J11,BO$3&lt;=$M11),1,"")</f>
        <v/>
      </c>
      <c r="BP11">
        <f>IF(AND($A11&lt;&gt;"",BP$3&gt;=$J11,BP$3&lt;=$M11),1,"")</f>
        <v/>
      </c>
      <c r="BQ11">
        <f>IF(AND($A11&lt;&gt;"",BQ$3&gt;=$J11,BQ$3&lt;=$M11),1,"")</f>
        <v/>
      </c>
      <c r="BR11">
        <f>IF(AND($A11&lt;&gt;"",BR$3&gt;=$J11,BR$3&lt;=$M11),1,"")</f>
        <v/>
      </c>
      <c r="BS11">
        <f>IF(AND($A11&lt;&gt;"",BS$3&gt;=$J11,BS$3&lt;=$M11),1,"")</f>
        <v/>
      </c>
      <c r="BT11">
        <f>IF(AND($A11&lt;&gt;"",BT$3&gt;=$J11,BT$3&lt;=$M11),1,"")</f>
        <v/>
      </c>
      <c r="BU11">
        <f>IF(AND($A11&lt;&gt;"",BU$3&gt;=$J11,BU$3&lt;=$M11),1,"")</f>
        <v/>
      </c>
      <c r="BV11">
        <f>IF(AND($A11&lt;&gt;"",BV$3&gt;=$J11,BV$3&lt;=$M11),1,"")</f>
        <v/>
      </c>
    </row>
    <row r="12">
      <c r="A12">
        <f>IF(Job_Master_Ring!$A12="","",Job_Master_Ring!$A12)</f>
        <v/>
      </c>
      <c r="B12">
        <f>IF($A12="","",Job_Master_Ring!B12)</f>
        <v/>
      </c>
      <c r="C12">
        <f>IF($A12="","",Job_Master_Ring!C12)</f>
        <v/>
      </c>
      <c r="D12">
        <f>IF($A12="","",Job_Master_Ring!D12)</f>
        <v/>
      </c>
      <c r="E12">
        <f>IF($A12="","",IF($I12&lt;&gt;"",$I12,IFERROR(INDEX(Machine_List!$B$82:$B$86,MATCH(1,(Machine_List!$H$82:$H$86&lt;=IFERROR(VLOOKUP($B12,CHOOSE(MATCH($C12,Settings!$L$4:$L$10,0),OPR_BR1!$A$4:$K$18,OPR_BR2!$A$4:$K$18,OPR_CR2!$A$4:$K$18,OPR_CR3!$A$4:$K$18,OPR_CR4!$A$4:$K$18,OPR_RIM!$A$4:$K$18,OPR_BPR!$A$4:$K$18),10,0),0))*(Machine_List!$I$82:$I$86&gt;=IFERROR(VLOOKUP($B12,CHOOSE(MATCH($C12,Settings!$L$4:$L$10,0),OPR_BR1!$A$4:$K$18,OPR_BR2!$A$4:$K$18,OPR_CR2!$A$4:$K$18,OPR_CR3!$A$4:$K$18,OPR_CR4!$A$4:$K$18,OPR_RIM!$A$4:$K$18,OPR_BPR!$A$4:$K$18),11,0),9999)),0)),"NO COMPATIBLE MACHINE")))</f>
        <v/>
      </c>
      <c r="F12">
        <f>IF($E12="","",IFERROR(VLOOKUP($E12,Machine_List!$B:$G,6,0),""))</f>
        <v/>
      </c>
      <c r="G12" s="17">
        <f>IF($E12="","",IFERROR(VLOOKUP($E12,Machine_List!$B:$C,2,0),""))</f>
        <v/>
      </c>
      <c r="H12">
        <f>IF($E12="","",IFERROR(VLOOKUP($E12,Machine_List!$B:$D,3,0),""))</f>
        <v/>
      </c>
      <c r="J12" s="16">
        <f>IF($A12="","",IF($I12&lt;&gt;"",$I12,MAX(FID_Plan!$M12,IFERROR(LOOKUP(2,1/($E$3:INDIRECT("E"&amp;(ROW()-1))=$E12),$M$3:INDIRECT("M"&amp;(ROW()-1))),FID_Plan!$M12))))</f>
        <v/>
      </c>
      <c r="K12">
        <f>IF($A12="","",IFERROR(VLOOKUP(B12,CHOOSE(MATCH($C12,Settings!$L$4:$L$10,0),OPR_BR1!$A$4:$I$18,OPR_BR2!$A$4:$I$18,OPR_CR2!$A$4:$I$18,OPR_CR3!$A$4:$I$18,OPR_CR4!$A$4:$I$18,OPR_RIM!$A$4:$I$18,OPR_BPR!$A$4:$I$18),9,0),0))</f>
        <v/>
      </c>
      <c r="L12">
        <f>IF($A12="","",K12*D12)</f>
        <v/>
      </c>
      <c r="M12" s="16">
        <f>IF($A12=""," ",$J12+($L12/(IF(F12="Contract Workman",Settings!$K$5,Settings!$K$4))))</f>
        <v/>
      </c>
      <c r="N12">
        <f>IF($A12="","",IF(F12="Contract Workman",IF(AND(MOD(M12,1)&gt;=8/24,MOD(M12,1)&lt;20/24),"Shift S1","Shift S2"),IF(AND(MOD(M12,1)&gt;=7/24,MOD(M12,1)&lt;15/24),"Shift A",IF(AND(MOD(M12,1)&gt;=15/24,MOD(M12,1)&lt;23/24),"Shift B","Shift C"))))</f>
        <v/>
      </c>
      <c r="O12">
        <f>IF(B12="","",IF(IFERROR(ISNUMBER(SEARCH(TEXT(B12,"0"),VLOOKUP(E12,Machine_List!$B:$J,9,0))),FALSE),"✅ "&amp; E12,"❌ Sug: "&amp;IFERROR(INDEX(Machine_List!$B$82:$B$86,MATCH(1,(Machine_List!$H$82:$H$86&lt;=IFERROR(VLOOKUP($B12,OPR_BR1!$A$4:$K$18,10,0),0))*(Machine_List!$I$82:$I$86&gt;=IFERROR(VLOOKUP($B12,OPR_BR1!$A$4:$K$18,11,0),9999)),0)),"?")))</f>
        <v/>
      </c>
      <c r="P12">
        <f>IF(AND($A12&lt;&gt;"",P$3&gt;=$J12,P$3&lt;=$M12),1,"")</f>
        <v/>
      </c>
      <c r="Q12">
        <f>IF(AND($A12&lt;&gt;"",Q$3&gt;=$J12,Q$3&lt;=$M12),1,"")</f>
        <v/>
      </c>
      <c r="R12">
        <f>IF(AND($A12&lt;&gt;"",R$3&gt;=$J12,R$3&lt;=$M12),1,"")</f>
        <v/>
      </c>
      <c r="S12">
        <f>IF(AND($A12&lt;&gt;"",S$3&gt;=$J12,S$3&lt;=$M12),1,"")</f>
        <v/>
      </c>
      <c r="T12">
        <f>IF(AND($A12&lt;&gt;"",T$3&gt;=$J12,T$3&lt;=$M12),1,"")</f>
        <v/>
      </c>
      <c r="U12">
        <f>IF(AND($A12&lt;&gt;"",U$3&gt;=$J12,U$3&lt;=$M12),1,"")</f>
        <v/>
      </c>
      <c r="V12">
        <f>IF(AND($A12&lt;&gt;"",V$3&gt;=$J12,V$3&lt;=$M12),1,"")</f>
        <v/>
      </c>
      <c r="W12">
        <f>IF(AND($A12&lt;&gt;"",W$3&gt;=$J12,W$3&lt;=$M12),1,"")</f>
        <v/>
      </c>
      <c r="X12">
        <f>IF(AND($A12&lt;&gt;"",X$3&gt;=$J12,X$3&lt;=$M12),1,"")</f>
        <v/>
      </c>
      <c r="Y12">
        <f>IF(AND($A12&lt;&gt;"",Y$3&gt;=$J12,Y$3&lt;=$M12),1,"")</f>
        <v/>
      </c>
      <c r="Z12">
        <f>IF(AND($A12&lt;&gt;"",Z$3&gt;=$J12,Z$3&lt;=$M12),1,"")</f>
        <v/>
      </c>
      <c r="AA12">
        <f>IF(AND($A12&lt;&gt;"",AA$3&gt;=$J12,AA$3&lt;=$M12),1,"")</f>
        <v/>
      </c>
      <c r="AB12">
        <f>IF(AND($A12&lt;&gt;"",AB$3&gt;=$J12,AB$3&lt;=$M12),1,"")</f>
        <v/>
      </c>
      <c r="AC12">
        <f>IF(AND($A12&lt;&gt;"",AC$3&gt;=$J12,AC$3&lt;=$M12),1,"")</f>
        <v/>
      </c>
      <c r="AD12">
        <f>IF(AND($A12&lt;&gt;"",AD$3&gt;=$J12,AD$3&lt;=$M12),1,"")</f>
        <v/>
      </c>
      <c r="AE12">
        <f>IF(AND($A12&lt;&gt;"",AE$3&gt;=$J12,AE$3&lt;=$M12),1,"")</f>
        <v/>
      </c>
      <c r="AF12">
        <f>IF(AND($A12&lt;&gt;"",AF$3&gt;=$J12,AF$3&lt;=$M12),1,"")</f>
        <v/>
      </c>
      <c r="AG12">
        <f>IF(AND($A12&lt;&gt;"",AG$3&gt;=$J12,AG$3&lt;=$M12),1,"")</f>
        <v/>
      </c>
      <c r="AH12">
        <f>IF(AND($A12&lt;&gt;"",AH$3&gt;=$J12,AH$3&lt;=$M12),1,"")</f>
        <v/>
      </c>
      <c r="AI12">
        <f>IF(AND($A12&lt;&gt;"",AI$3&gt;=$J12,AI$3&lt;=$M12),1,"")</f>
        <v/>
      </c>
      <c r="AJ12">
        <f>IF(AND($A12&lt;&gt;"",AJ$3&gt;=$J12,AJ$3&lt;=$M12),1,"")</f>
        <v/>
      </c>
      <c r="AK12">
        <f>IF(AND($A12&lt;&gt;"",AK$3&gt;=$J12,AK$3&lt;=$M12),1,"")</f>
        <v/>
      </c>
      <c r="AL12">
        <f>IF(AND($A12&lt;&gt;"",AL$3&gt;=$J12,AL$3&lt;=$M12),1,"")</f>
        <v/>
      </c>
      <c r="AM12">
        <f>IF(AND($A12&lt;&gt;"",AM$3&gt;=$J12,AM$3&lt;=$M12),1,"")</f>
        <v/>
      </c>
      <c r="AN12">
        <f>IF(AND($A12&lt;&gt;"",AN$3&gt;=$J12,AN$3&lt;=$M12),1,"")</f>
        <v/>
      </c>
      <c r="AO12">
        <f>IF(AND($A12&lt;&gt;"",AO$3&gt;=$J12,AO$3&lt;=$M12),1,"")</f>
        <v/>
      </c>
      <c r="AP12">
        <f>IF(AND($A12&lt;&gt;"",AP$3&gt;=$J12,AP$3&lt;=$M12),1,"")</f>
        <v/>
      </c>
      <c r="AQ12">
        <f>IF(AND($A12&lt;&gt;"",AQ$3&gt;=$J12,AQ$3&lt;=$M12),1,"")</f>
        <v/>
      </c>
      <c r="AR12">
        <f>IF(AND($A12&lt;&gt;"",AR$3&gt;=$J12,AR$3&lt;=$M12),1,"")</f>
        <v/>
      </c>
      <c r="AS12">
        <f>IF(AND($A12&lt;&gt;"",AS$3&gt;=$J12,AS$3&lt;=$M12),1,"")</f>
        <v/>
      </c>
      <c r="AT12">
        <f>IF(AND($A12&lt;&gt;"",AT$3&gt;=$J12,AT$3&lt;=$M12),1,"")</f>
        <v/>
      </c>
      <c r="AU12">
        <f>IF(AND($A12&lt;&gt;"",AU$3&gt;=$J12,AU$3&lt;=$M12),1,"")</f>
        <v/>
      </c>
      <c r="AV12">
        <f>IF(AND($A12&lt;&gt;"",AV$3&gt;=$J12,AV$3&lt;=$M12),1,"")</f>
        <v/>
      </c>
      <c r="AW12">
        <f>IF(AND($A12&lt;&gt;"",AW$3&gt;=$J12,AW$3&lt;=$M12),1,"")</f>
        <v/>
      </c>
      <c r="AX12">
        <f>IF(AND($A12&lt;&gt;"",AX$3&gt;=$J12,AX$3&lt;=$M12),1,"")</f>
        <v/>
      </c>
      <c r="AY12">
        <f>IF(AND($A12&lt;&gt;"",AY$3&gt;=$J12,AY$3&lt;=$M12),1,"")</f>
        <v/>
      </c>
      <c r="AZ12">
        <f>IF(AND($A12&lt;&gt;"",AZ$3&gt;=$J12,AZ$3&lt;=$M12),1,"")</f>
        <v/>
      </c>
      <c r="BA12">
        <f>IF(AND($A12&lt;&gt;"",BA$3&gt;=$J12,BA$3&lt;=$M12),1,"")</f>
        <v/>
      </c>
      <c r="BB12">
        <f>IF(AND($A12&lt;&gt;"",BB$3&gt;=$J12,BB$3&lt;=$M12),1,"")</f>
        <v/>
      </c>
      <c r="BC12">
        <f>IF(AND($A12&lt;&gt;"",BC$3&gt;=$J12,BC$3&lt;=$M12),1,"")</f>
        <v/>
      </c>
      <c r="BD12">
        <f>IF(AND($A12&lt;&gt;"",BD$3&gt;=$J12,BD$3&lt;=$M12),1,"")</f>
        <v/>
      </c>
      <c r="BE12">
        <f>IF(AND($A12&lt;&gt;"",BE$3&gt;=$J12,BE$3&lt;=$M12),1,"")</f>
        <v/>
      </c>
      <c r="BF12">
        <f>IF(AND($A12&lt;&gt;"",BF$3&gt;=$J12,BF$3&lt;=$M12),1,"")</f>
        <v/>
      </c>
      <c r="BG12">
        <f>IF(AND($A12&lt;&gt;"",BG$3&gt;=$J12,BG$3&lt;=$M12),1,"")</f>
        <v/>
      </c>
      <c r="BH12">
        <f>IF(AND($A12&lt;&gt;"",BH$3&gt;=$J12,BH$3&lt;=$M12),1,"")</f>
        <v/>
      </c>
      <c r="BI12">
        <f>IF(AND($A12&lt;&gt;"",BI$3&gt;=$J12,BI$3&lt;=$M12),1,"")</f>
        <v/>
      </c>
      <c r="BJ12">
        <f>IF(AND($A12&lt;&gt;"",BJ$3&gt;=$J12,BJ$3&lt;=$M12),1,"")</f>
        <v/>
      </c>
      <c r="BK12">
        <f>IF(AND($A12&lt;&gt;"",BK$3&gt;=$J12,BK$3&lt;=$M12),1,"")</f>
        <v/>
      </c>
      <c r="BL12">
        <f>IF(AND($A12&lt;&gt;"",BL$3&gt;=$J12,BL$3&lt;=$M12),1,"")</f>
        <v/>
      </c>
      <c r="BM12">
        <f>IF(AND($A12&lt;&gt;"",BM$3&gt;=$J12,BM$3&lt;=$M12),1,"")</f>
        <v/>
      </c>
      <c r="BN12">
        <f>IF(AND($A12&lt;&gt;"",BN$3&gt;=$J12,BN$3&lt;=$M12),1,"")</f>
        <v/>
      </c>
      <c r="BO12">
        <f>IF(AND($A12&lt;&gt;"",BO$3&gt;=$J12,BO$3&lt;=$M12),1,"")</f>
        <v/>
      </c>
      <c r="BP12">
        <f>IF(AND($A12&lt;&gt;"",BP$3&gt;=$J12,BP$3&lt;=$M12),1,"")</f>
        <v/>
      </c>
      <c r="BQ12">
        <f>IF(AND($A12&lt;&gt;"",BQ$3&gt;=$J12,BQ$3&lt;=$M12),1,"")</f>
        <v/>
      </c>
      <c r="BR12">
        <f>IF(AND($A12&lt;&gt;"",BR$3&gt;=$J12,BR$3&lt;=$M12),1,"")</f>
        <v/>
      </c>
      <c r="BS12">
        <f>IF(AND($A12&lt;&gt;"",BS$3&gt;=$J12,BS$3&lt;=$M12),1,"")</f>
        <v/>
      </c>
      <c r="BT12">
        <f>IF(AND($A12&lt;&gt;"",BT$3&gt;=$J12,BT$3&lt;=$M12),1,"")</f>
        <v/>
      </c>
      <c r="BU12">
        <f>IF(AND($A12&lt;&gt;"",BU$3&gt;=$J12,BU$3&lt;=$M12),1,"")</f>
        <v/>
      </c>
      <c r="BV12">
        <f>IF(AND($A12&lt;&gt;"",BV$3&gt;=$J12,BV$3&lt;=$M12),1,"")</f>
        <v/>
      </c>
    </row>
    <row r="13">
      <c r="A13">
        <f>IF(Job_Master_Ring!$A13="","",Job_Master_Ring!$A13)</f>
        <v/>
      </c>
      <c r="B13">
        <f>IF($A13="","",Job_Master_Ring!B13)</f>
        <v/>
      </c>
      <c r="C13">
        <f>IF($A13="","",Job_Master_Ring!C13)</f>
        <v/>
      </c>
      <c r="D13">
        <f>IF($A13="","",Job_Master_Ring!D13)</f>
        <v/>
      </c>
      <c r="E13">
        <f>IF($A13="","",IF($I13&lt;&gt;"",$I13,IFERROR(INDEX(Machine_List!$B$82:$B$86,MATCH(1,(Machine_List!$H$82:$H$86&lt;=IFERROR(VLOOKUP($B13,CHOOSE(MATCH($C13,Settings!$L$4:$L$10,0),OPR_BR1!$A$4:$K$18,OPR_BR2!$A$4:$K$18,OPR_CR2!$A$4:$K$18,OPR_CR3!$A$4:$K$18,OPR_CR4!$A$4:$K$18,OPR_RIM!$A$4:$K$18,OPR_BPR!$A$4:$K$18),10,0),0))*(Machine_List!$I$82:$I$86&gt;=IFERROR(VLOOKUP($B13,CHOOSE(MATCH($C13,Settings!$L$4:$L$10,0),OPR_BR1!$A$4:$K$18,OPR_BR2!$A$4:$K$18,OPR_CR2!$A$4:$K$18,OPR_CR3!$A$4:$K$18,OPR_CR4!$A$4:$K$18,OPR_RIM!$A$4:$K$18,OPR_BPR!$A$4:$K$18),11,0),9999)),0)),"NO COMPATIBLE MACHINE")))</f>
        <v/>
      </c>
      <c r="F13">
        <f>IF($E13="","",IFERROR(VLOOKUP($E13,Machine_List!$B:$G,6,0),""))</f>
        <v/>
      </c>
      <c r="G13" s="17">
        <f>IF($E13="","",IFERROR(VLOOKUP($E13,Machine_List!$B:$C,2,0),""))</f>
        <v/>
      </c>
      <c r="H13">
        <f>IF($E13="","",IFERROR(VLOOKUP($E13,Machine_List!$B:$D,3,0),""))</f>
        <v/>
      </c>
      <c r="J13" s="16">
        <f>IF($A13="","",IF($I13&lt;&gt;"",$I13,MAX(FID_Plan!$M13,IFERROR(LOOKUP(2,1/($E$3:INDIRECT("E"&amp;(ROW()-1))=$E13),$M$3:INDIRECT("M"&amp;(ROW()-1))),FID_Plan!$M13))))</f>
        <v/>
      </c>
      <c r="K13">
        <f>IF($A13="","",IFERROR(VLOOKUP(B13,CHOOSE(MATCH($C13,Settings!$L$4:$L$10,0),OPR_BR1!$A$4:$I$18,OPR_BR2!$A$4:$I$18,OPR_CR2!$A$4:$I$18,OPR_CR3!$A$4:$I$18,OPR_CR4!$A$4:$I$18,OPR_RIM!$A$4:$I$18,OPR_BPR!$A$4:$I$18),9,0),0))</f>
        <v/>
      </c>
      <c r="L13">
        <f>IF($A13="","",K13*D13)</f>
        <v/>
      </c>
      <c r="M13" s="16">
        <f>IF($A13=""," ",$J13+($L13/(IF(F13="Contract Workman",Settings!$K$5,Settings!$K$4))))</f>
        <v/>
      </c>
      <c r="N13">
        <f>IF($A13="","",IF(F13="Contract Workman",IF(AND(MOD(M13,1)&gt;=8/24,MOD(M13,1)&lt;20/24),"Shift S1","Shift S2"),IF(AND(MOD(M13,1)&gt;=7/24,MOD(M13,1)&lt;15/24),"Shift A",IF(AND(MOD(M13,1)&gt;=15/24,MOD(M13,1)&lt;23/24),"Shift B","Shift C"))))</f>
        <v/>
      </c>
      <c r="O13">
        <f>IF(B13="","",IF(IFERROR(ISNUMBER(SEARCH(TEXT(B13,"0"),VLOOKUP(E13,Machine_List!$B:$J,9,0))),FALSE),"✅ "&amp; E13,"❌ Sug: "&amp;IFERROR(INDEX(Machine_List!$B$82:$B$86,MATCH(1,(Machine_List!$H$82:$H$86&lt;=IFERROR(VLOOKUP($B13,OPR_BR1!$A$4:$K$18,10,0),0))*(Machine_List!$I$82:$I$86&gt;=IFERROR(VLOOKUP($B13,OPR_BR1!$A$4:$K$18,11,0),9999)),0)),"?")))</f>
        <v/>
      </c>
      <c r="P13">
        <f>IF(AND($A13&lt;&gt;"",P$3&gt;=$J13,P$3&lt;=$M13),1,"")</f>
        <v/>
      </c>
      <c r="Q13">
        <f>IF(AND($A13&lt;&gt;"",Q$3&gt;=$J13,Q$3&lt;=$M13),1,"")</f>
        <v/>
      </c>
      <c r="R13">
        <f>IF(AND($A13&lt;&gt;"",R$3&gt;=$J13,R$3&lt;=$M13),1,"")</f>
        <v/>
      </c>
      <c r="S13">
        <f>IF(AND($A13&lt;&gt;"",S$3&gt;=$J13,S$3&lt;=$M13),1,"")</f>
        <v/>
      </c>
      <c r="T13">
        <f>IF(AND($A13&lt;&gt;"",T$3&gt;=$J13,T$3&lt;=$M13),1,"")</f>
        <v/>
      </c>
      <c r="U13">
        <f>IF(AND($A13&lt;&gt;"",U$3&gt;=$J13,U$3&lt;=$M13),1,"")</f>
        <v/>
      </c>
      <c r="V13">
        <f>IF(AND($A13&lt;&gt;"",V$3&gt;=$J13,V$3&lt;=$M13),1,"")</f>
        <v/>
      </c>
      <c r="W13">
        <f>IF(AND($A13&lt;&gt;"",W$3&gt;=$J13,W$3&lt;=$M13),1,"")</f>
        <v/>
      </c>
      <c r="X13">
        <f>IF(AND($A13&lt;&gt;"",X$3&gt;=$J13,X$3&lt;=$M13),1,"")</f>
        <v/>
      </c>
      <c r="Y13">
        <f>IF(AND($A13&lt;&gt;"",Y$3&gt;=$J13,Y$3&lt;=$M13),1,"")</f>
        <v/>
      </c>
      <c r="Z13">
        <f>IF(AND($A13&lt;&gt;"",Z$3&gt;=$J13,Z$3&lt;=$M13),1,"")</f>
        <v/>
      </c>
      <c r="AA13">
        <f>IF(AND($A13&lt;&gt;"",AA$3&gt;=$J13,AA$3&lt;=$M13),1,"")</f>
        <v/>
      </c>
      <c r="AB13">
        <f>IF(AND($A13&lt;&gt;"",AB$3&gt;=$J13,AB$3&lt;=$M13),1,"")</f>
        <v/>
      </c>
      <c r="AC13">
        <f>IF(AND($A13&lt;&gt;"",AC$3&gt;=$J13,AC$3&lt;=$M13),1,"")</f>
        <v/>
      </c>
      <c r="AD13">
        <f>IF(AND($A13&lt;&gt;"",AD$3&gt;=$J13,AD$3&lt;=$M13),1,"")</f>
        <v/>
      </c>
      <c r="AE13">
        <f>IF(AND($A13&lt;&gt;"",AE$3&gt;=$J13,AE$3&lt;=$M13),1,"")</f>
        <v/>
      </c>
      <c r="AF13">
        <f>IF(AND($A13&lt;&gt;"",AF$3&gt;=$J13,AF$3&lt;=$M13),1,"")</f>
        <v/>
      </c>
      <c r="AG13">
        <f>IF(AND($A13&lt;&gt;"",AG$3&gt;=$J13,AG$3&lt;=$M13),1,"")</f>
        <v/>
      </c>
      <c r="AH13">
        <f>IF(AND($A13&lt;&gt;"",AH$3&gt;=$J13,AH$3&lt;=$M13),1,"")</f>
        <v/>
      </c>
      <c r="AI13">
        <f>IF(AND($A13&lt;&gt;"",AI$3&gt;=$J13,AI$3&lt;=$M13),1,"")</f>
        <v/>
      </c>
      <c r="AJ13">
        <f>IF(AND($A13&lt;&gt;"",AJ$3&gt;=$J13,AJ$3&lt;=$M13),1,"")</f>
        <v/>
      </c>
      <c r="AK13">
        <f>IF(AND($A13&lt;&gt;"",AK$3&gt;=$J13,AK$3&lt;=$M13),1,"")</f>
        <v/>
      </c>
      <c r="AL13">
        <f>IF(AND($A13&lt;&gt;"",AL$3&gt;=$J13,AL$3&lt;=$M13),1,"")</f>
        <v/>
      </c>
      <c r="AM13">
        <f>IF(AND($A13&lt;&gt;"",AM$3&gt;=$J13,AM$3&lt;=$M13),1,"")</f>
        <v/>
      </c>
      <c r="AN13">
        <f>IF(AND($A13&lt;&gt;"",AN$3&gt;=$J13,AN$3&lt;=$M13),1,"")</f>
        <v/>
      </c>
      <c r="AO13">
        <f>IF(AND($A13&lt;&gt;"",AO$3&gt;=$J13,AO$3&lt;=$M13),1,"")</f>
        <v/>
      </c>
      <c r="AP13">
        <f>IF(AND($A13&lt;&gt;"",AP$3&gt;=$J13,AP$3&lt;=$M13),1,"")</f>
        <v/>
      </c>
      <c r="AQ13">
        <f>IF(AND($A13&lt;&gt;"",AQ$3&gt;=$J13,AQ$3&lt;=$M13),1,"")</f>
        <v/>
      </c>
      <c r="AR13">
        <f>IF(AND($A13&lt;&gt;"",AR$3&gt;=$J13,AR$3&lt;=$M13),1,"")</f>
        <v/>
      </c>
      <c r="AS13">
        <f>IF(AND($A13&lt;&gt;"",AS$3&gt;=$J13,AS$3&lt;=$M13),1,"")</f>
        <v/>
      </c>
      <c r="AT13">
        <f>IF(AND($A13&lt;&gt;"",AT$3&gt;=$J13,AT$3&lt;=$M13),1,"")</f>
        <v/>
      </c>
      <c r="AU13">
        <f>IF(AND($A13&lt;&gt;"",AU$3&gt;=$J13,AU$3&lt;=$M13),1,"")</f>
        <v/>
      </c>
      <c r="AV13">
        <f>IF(AND($A13&lt;&gt;"",AV$3&gt;=$J13,AV$3&lt;=$M13),1,"")</f>
        <v/>
      </c>
      <c r="AW13">
        <f>IF(AND($A13&lt;&gt;"",AW$3&gt;=$J13,AW$3&lt;=$M13),1,"")</f>
        <v/>
      </c>
      <c r="AX13">
        <f>IF(AND($A13&lt;&gt;"",AX$3&gt;=$J13,AX$3&lt;=$M13),1,"")</f>
        <v/>
      </c>
      <c r="AY13">
        <f>IF(AND($A13&lt;&gt;"",AY$3&gt;=$J13,AY$3&lt;=$M13),1,"")</f>
        <v/>
      </c>
      <c r="AZ13">
        <f>IF(AND($A13&lt;&gt;"",AZ$3&gt;=$J13,AZ$3&lt;=$M13),1,"")</f>
        <v/>
      </c>
      <c r="BA13">
        <f>IF(AND($A13&lt;&gt;"",BA$3&gt;=$J13,BA$3&lt;=$M13),1,"")</f>
        <v/>
      </c>
      <c r="BB13">
        <f>IF(AND($A13&lt;&gt;"",BB$3&gt;=$J13,BB$3&lt;=$M13),1,"")</f>
        <v/>
      </c>
      <c r="BC13">
        <f>IF(AND($A13&lt;&gt;"",BC$3&gt;=$J13,BC$3&lt;=$M13),1,"")</f>
        <v/>
      </c>
      <c r="BD13">
        <f>IF(AND($A13&lt;&gt;"",BD$3&gt;=$J13,BD$3&lt;=$M13),1,"")</f>
        <v/>
      </c>
      <c r="BE13">
        <f>IF(AND($A13&lt;&gt;"",BE$3&gt;=$J13,BE$3&lt;=$M13),1,"")</f>
        <v/>
      </c>
      <c r="BF13">
        <f>IF(AND($A13&lt;&gt;"",BF$3&gt;=$J13,BF$3&lt;=$M13),1,"")</f>
        <v/>
      </c>
      <c r="BG13">
        <f>IF(AND($A13&lt;&gt;"",BG$3&gt;=$J13,BG$3&lt;=$M13),1,"")</f>
        <v/>
      </c>
      <c r="BH13">
        <f>IF(AND($A13&lt;&gt;"",BH$3&gt;=$J13,BH$3&lt;=$M13),1,"")</f>
        <v/>
      </c>
      <c r="BI13">
        <f>IF(AND($A13&lt;&gt;"",BI$3&gt;=$J13,BI$3&lt;=$M13),1,"")</f>
        <v/>
      </c>
      <c r="BJ13">
        <f>IF(AND($A13&lt;&gt;"",BJ$3&gt;=$J13,BJ$3&lt;=$M13),1,"")</f>
        <v/>
      </c>
      <c r="BK13">
        <f>IF(AND($A13&lt;&gt;"",BK$3&gt;=$J13,BK$3&lt;=$M13),1,"")</f>
        <v/>
      </c>
      <c r="BL13">
        <f>IF(AND($A13&lt;&gt;"",BL$3&gt;=$J13,BL$3&lt;=$M13),1,"")</f>
        <v/>
      </c>
      <c r="BM13">
        <f>IF(AND($A13&lt;&gt;"",BM$3&gt;=$J13,BM$3&lt;=$M13),1,"")</f>
        <v/>
      </c>
      <c r="BN13">
        <f>IF(AND($A13&lt;&gt;"",BN$3&gt;=$J13,BN$3&lt;=$M13),1,"")</f>
        <v/>
      </c>
      <c r="BO13">
        <f>IF(AND($A13&lt;&gt;"",BO$3&gt;=$J13,BO$3&lt;=$M13),1,"")</f>
        <v/>
      </c>
      <c r="BP13">
        <f>IF(AND($A13&lt;&gt;"",BP$3&gt;=$J13,BP$3&lt;=$M13),1,"")</f>
        <v/>
      </c>
      <c r="BQ13">
        <f>IF(AND($A13&lt;&gt;"",BQ$3&gt;=$J13,BQ$3&lt;=$M13),1,"")</f>
        <v/>
      </c>
      <c r="BR13">
        <f>IF(AND($A13&lt;&gt;"",BR$3&gt;=$J13,BR$3&lt;=$M13),1,"")</f>
        <v/>
      </c>
      <c r="BS13">
        <f>IF(AND($A13&lt;&gt;"",BS$3&gt;=$J13,BS$3&lt;=$M13),1,"")</f>
        <v/>
      </c>
      <c r="BT13">
        <f>IF(AND($A13&lt;&gt;"",BT$3&gt;=$J13,BT$3&lt;=$M13),1,"")</f>
        <v/>
      </c>
      <c r="BU13">
        <f>IF(AND($A13&lt;&gt;"",BU$3&gt;=$J13,BU$3&lt;=$M13),1,"")</f>
        <v/>
      </c>
      <c r="BV13">
        <f>IF(AND($A13&lt;&gt;"",BV$3&gt;=$J13,BV$3&lt;=$M13),1,"")</f>
        <v/>
      </c>
    </row>
    <row r="14">
      <c r="A14">
        <f>IF(Job_Master_Ring!$A14="","",Job_Master_Ring!$A14)</f>
        <v/>
      </c>
      <c r="B14">
        <f>IF($A14="","",Job_Master_Ring!B14)</f>
        <v/>
      </c>
      <c r="C14">
        <f>IF($A14="","",Job_Master_Ring!C14)</f>
        <v/>
      </c>
      <c r="D14">
        <f>IF($A14="","",Job_Master_Ring!D14)</f>
        <v/>
      </c>
      <c r="E14">
        <f>IF($A14="","",IF($I14&lt;&gt;"",$I14,IFERROR(INDEX(Machine_List!$B$82:$B$86,MATCH(1,(Machine_List!$H$82:$H$86&lt;=IFERROR(VLOOKUP($B14,CHOOSE(MATCH($C14,Settings!$L$4:$L$10,0),OPR_BR1!$A$4:$K$18,OPR_BR2!$A$4:$K$18,OPR_CR2!$A$4:$K$18,OPR_CR3!$A$4:$K$18,OPR_CR4!$A$4:$K$18,OPR_RIM!$A$4:$K$18,OPR_BPR!$A$4:$K$18),10,0),0))*(Machine_List!$I$82:$I$86&gt;=IFERROR(VLOOKUP($B14,CHOOSE(MATCH($C14,Settings!$L$4:$L$10,0),OPR_BR1!$A$4:$K$18,OPR_BR2!$A$4:$K$18,OPR_CR2!$A$4:$K$18,OPR_CR3!$A$4:$K$18,OPR_CR4!$A$4:$K$18,OPR_RIM!$A$4:$K$18,OPR_BPR!$A$4:$K$18),11,0),9999)),0)),"NO COMPATIBLE MACHINE")))</f>
        <v/>
      </c>
      <c r="F14">
        <f>IF($E14="","",IFERROR(VLOOKUP($E14,Machine_List!$B:$G,6,0),""))</f>
        <v/>
      </c>
      <c r="G14" s="17">
        <f>IF($E14="","",IFERROR(VLOOKUP($E14,Machine_List!$B:$C,2,0),""))</f>
        <v/>
      </c>
      <c r="H14">
        <f>IF($E14="","",IFERROR(VLOOKUP($E14,Machine_List!$B:$D,3,0),""))</f>
        <v/>
      </c>
      <c r="J14" s="16">
        <f>IF($A14="","",IF($I14&lt;&gt;"",$I14,MAX(FID_Plan!$M14,IFERROR(LOOKUP(2,1/($E$3:INDIRECT("E"&amp;(ROW()-1))=$E14),$M$3:INDIRECT("M"&amp;(ROW()-1))),FID_Plan!$M14))))</f>
        <v/>
      </c>
      <c r="K14">
        <f>IF($A14="","",IFERROR(VLOOKUP(B14,CHOOSE(MATCH($C14,Settings!$L$4:$L$10,0),OPR_BR1!$A$4:$I$18,OPR_BR2!$A$4:$I$18,OPR_CR2!$A$4:$I$18,OPR_CR3!$A$4:$I$18,OPR_CR4!$A$4:$I$18,OPR_RIM!$A$4:$I$18,OPR_BPR!$A$4:$I$18),9,0),0))</f>
        <v/>
      </c>
      <c r="L14">
        <f>IF($A14="","",K14*D14)</f>
        <v/>
      </c>
      <c r="M14" s="16">
        <f>IF($A14=""," ",$J14+($L14/(IF(F14="Contract Workman",Settings!$K$5,Settings!$K$4))))</f>
        <v/>
      </c>
      <c r="N14">
        <f>IF($A14="","",IF(F14="Contract Workman",IF(AND(MOD(M14,1)&gt;=8/24,MOD(M14,1)&lt;20/24),"Shift S1","Shift S2"),IF(AND(MOD(M14,1)&gt;=7/24,MOD(M14,1)&lt;15/24),"Shift A",IF(AND(MOD(M14,1)&gt;=15/24,MOD(M14,1)&lt;23/24),"Shift B","Shift C"))))</f>
        <v/>
      </c>
      <c r="O14">
        <f>IF(B14="","",IF(IFERROR(ISNUMBER(SEARCH(TEXT(B14,"0"),VLOOKUP(E14,Machine_List!$B:$J,9,0))),FALSE),"✅ "&amp; E14,"❌ Sug: "&amp;IFERROR(INDEX(Machine_List!$B$82:$B$86,MATCH(1,(Machine_List!$H$82:$H$86&lt;=IFERROR(VLOOKUP($B14,OPR_BR1!$A$4:$K$18,10,0),0))*(Machine_List!$I$82:$I$86&gt;=IFERROR(VLOOKUP($B14,OPR_BR1!$A$4:$K$18,11,0),9999)),0)),"?")))</f>
        <v/>
      </c>
      <c r="P14">
        <f>IF(AND($A14&lt;&gt;"",P$3&gt;=$J14,P$3&lt;=$M14),1,"")</f>
        <v/>
      </c>
      <c r="Q14">
        <f>IF(AND($A14&lt;&gt;"",Q$3&gt;=$J14,Q$3&lt;=$M14),1,"")</f>
        <v/>
      </c>
      <c r="R14">
        <f>IF(AND($A14&lt;&gt;"",R$3&gt;=$J14,R$3&lt;=$M14),1,"")</f>
        <v/>
      </c>
      <c r="S14">
        <f>IF(AND($A14&lt;&gt;"",S$3&gt;=$J14,S$3&lt;=$M14),1,"")</f>
        <v/>
      </c>
      <c r="T14">
        <f>IF(AND($A14&lt;&gt;"",T$3&gt;=$J14,T$3&lt;=$M14),1,"")</f>
        <v/>
      </c>
      <c r="U14">
        <f>IF(AND($A14&lt;&gt;"",U$3&gt;=$J14,U$3&lt;=$M14),1,"")</f>
        <v/>
      </c>
      <c r="V14">
        <f>IF(AND($A14&lt;&gt;"",V$3&gt;=$J14,V$3&lt;=$M14),1,"")</f>
        <v/>
      </c>
      <c r="W14">
        <f>IF(AND($A14&lt;&gt;"",W$3&gt;=$J14,W$3&lt;=$M14),1,"")</f>
        <v/>
      </c>
      <c r="X14">
        <f>IF(AND($A14&lt;&gt;"",X$3&gt;=$J14,X$3&lt;=$M14),1,"")</f>
        <v/>
      </c>
      <c r="Y14">
        <f>IF(AND($A14&lt;&gt;"",Y$3&gt;=$J14,Y$3&lt;=$M14),1,"")</f>
        <v/>
      </c>
      <c r="Z14">
        <f>IF(AND($A14&lt;&gt;"",Z$3&gt;=$J14,Z$3&lt;=$M14),1,"")</f>
        <v/>
      </c>
      <c r="AA14">
        <f>IF(AND($A14&lt;&gt;"",AA$3&gt;=$J14,AA$3&lt;=$M14),1,"")</f>
        <v/>
      </c>
      <c r="AB14">
        <f>IF(AND($A14&lt;&gt;"",AB$3&gt;=$J14,AB$3&lt;=$M14),1,"")</f>
        <v/>
      </c>
      <c r="AC14">
        <f>IF(AND($A14&lt;&gt;"",AC$3&gt;=$J14,AC$3&lt;=$M14),1,"")</f>
        <v/>
      </c>
      <c r="AD14">
        <f>IF(AND($A14&lt;&gt;"",AD$3&gt;=$J14,AD$3&lt;=$M14),1,"")</f>
        <v/>
      </c>
      <c r="AE14">
        <f>IF(AND($A14&lt;&gt;"",AE$3&gt;=$J14,AE$3&lt;=$M14),1,"")</f>
        <v/>
      </c>
      <c r="AF14">
        <f>IF(AND($A14&lt;&gt;"",AF$3&gt;=$J14,AF$3&lt;=$M14),1,"")</f>
        <v/>
      </c>
      <c r="AG14">
        <f>IF(AND($A14&lt;&gt;"",AG$3&gt;=$J14,AG$3&lt;=$M14),1,"")</f>
        <v/>
      </c>
      <c r="AH14">
        <f>IF(AND($A14&lt;&gt;"",AH$3&gt;=$J14,AH$3&lt;=$M14),1,"")</f>
        <v/>
      </c>
      <c r="AI14">
        <f>IF(AND($A14&lt;&gt;"",AI$3&gt;=$J14,AI$3&lt;=$M14),1,"")</f>
        <v/>
      </c>
      <c r="AJ14">
        <f>IF(AND($A14&lt;&gt;"",AJ$3&gt;=$J14,AJ$3&lt;=$M14),1,"")</f>
        <v/>
      </c>
      <c r="AK14">
        <f>IF(AND($A14&lt;&gt;"",AK$3&gt;=$J14,AK$3&lt;=$M14),1,"")</f>
        <v/>
      </c>
      <c r="AL14">
        <f>IF(AND($A14&lt;&gt;"",AL$3&gt;=$J14,AL$3&lt;=$M14),1,"")</f>
        <v/>
      </c>
      <c r="AM14">
        <f>IF(AND($A14&lt;&gt;"",AM$3&gt;=$J14,AM$3&lt;=$M14),1,"")</f>
        <v/>
      </c>
      <c r="AN14">
        <f>IF(AND($A14&lt;&gt;"",AN$3&gt;=$J14,AN$3&lt;=$M14),1,"")</f>
        <v/>
      </c>
      <c r="AO14">
        <f>IF(AND($A14&lt;&gt;"",AO$3&gt;=$J14,AO$3&lt;=$M14),1,"")</f>
        <v/>
      </c>
      <c r="AP14">
        <f>IF(AND($A14&lt;&gt;"",AP$3&gt;=$J14,AP$3&lt;=$M14),1,"")</f>
        <v/>
      </c>
      <c r="AQ14">
        <f>IF(AND($A14&lt;&gt;"",AQ$3&gt;=$J14,AQ$3&lt;=$M14),1,"")</f>
        <v/>
      </c>
      <c r="AR14">
        <f>IF(AND($A14&lt;&gt;"",AR$3&gt;=$J14,AR$3&lt;=$M14),1,"")</f>
        <v/>
      </c>
      <c r="AS14">
        <f>IF(AND($A14&lt;&gt;"",AS$3&gt;=$J14,AS$3&lt;=$M14),1,"")</f>
        <v/>
      </c>
      <c r="AT14">
        <f>IF(AND($A14&lt;&gt;"",AT$3&gt;=$J14,AT$3&lt;=$M14),1,"")</f>
        <v/>
      </c>
      <c r="AU14">
        <f>IF(AND($A14&lt;&gt;"",AU$3&gt;=$J14,AU$3&lt;=$M14),1,"")</f>
        <v/>
      </c>
      <c r="AV14">
        <f>IF(AND($A14&lt;&gt;"",AV$3&gt;=$J14,AV$3&lt;=$M14),1,"")</f>
        <v/>
      </c>
      <c r="AW14">
        <f>IF(AND($A14&lt;&gt;"",AW$3&gt;=$J14,AW$3&lt;=$M14),1,"")</f>
        <v/>
      </c>
      <c r="AX14">
        <f>IF(AND($A14&lt;&gt;"",AX$3&gt;=$J14,AX$3&lt;=$M14),1,"")</f>
        <v/>
      </c>
      <c r="AY14">
        <f>IF(AND($A14&lt;&gt;"",AY$3&gt;=$J14,AY$3&lt;=$M14),1,"")</f>
        <v/>
      </c>
      <c r="AZ14">
        <f>IF(AND($A14&lt;&gt;"",AZ$3&gt;=$J14,AZ$3&lt;=$M14),1,"")</f>
        <v/>
      </c>
      <c r="BA14">
        <f>IF(AND($A14&lt;&gt;"",BA$3&gt;=$J14,BA$3&lt;=$M14),1,"")</f>
        <v/>
      </c>
      <c r="BB14">
        <f>IF(AND($A14&lt;&gt;"",BB$3&gt;=$J14,BB$3&lt;=$M14),1,"")</f>
        <v/>
      </c>
      <c r="BC14">
        <f>IF(AND($A14&lt;&gt;"",BC$3&gt;=$J14,BC$3&lt;=$M14),1,"")</f>
        <v/>
      </c>
      <c r="BD14">
        <f>IF(AND($A14&lt;&gt;"",BD$3&gt;=$J14,BD$3&lt;=$M14),1,"")</f>
        <v/>
      </c>
      <c r="BE14">
        <f>IF(AND($A14&lt;&gt;"",BE$3&gt;=$J14,BE$3&lt;=$M14),1,"")</f>
        <v/>
      </c>
      <c r="BF14">
        <f>IF(AND($A14&lt;&gt;"",BF$3&gt;=$J14,BF$3&lt;=$M14),1,"")</f>
        <v/>
      </c>
      <c r="BG14">
        <f>IF(AND($A14&lt;&gt;"",BG$3&gt;=$J14,BG$3&lt;=$M14),1,"")</f>
        <v/>
      </c>
      <c r="BH14">
        <f>IF(AND($A14&lt;&gt;"",BH$3&gt;=$J14,BH$3&lt;=$M14),1,"")</f>
        <v/>
      </c>
      <c r="BI14">
        <f>IF(AND($A14&lt;&gt;"",BI$3&gt;=$J14,BI$3&lt;=$M14),1,"")</f>
        <v/>
      </c>
      <c r="BJ14">
        <f>IF(AND($A14&lt;&gt;"",BJ$3&gt;=$J14,BJ$3&lt;=$M14),1,"")</f>
        <v/>
      </c>
      <c r="BK14">
        <f>IF(AND($A14&lt;&gt;"",BK$3&gt;=$J14,BK$3&lt;=$M14),1,"")</f>
        <v/>
      </c>
      <c r="BL14">
        <f>IF(AND($A14&lt;&gt;"",BL$3&gt;=$J14,BL$3&lt;=$M14),1,"")</f>
        <v/>
      </c>
      <c r="BM14">
        <f>IF(AND($A14&lt;&gt;"",BM$3&gt;=$J14,BM$3&lt;=$M14),1,"")</f>
        <v/>
      </c>
      <c r="BN14">
        <f>IF(AND($A14&lt;&gt;"",BN$3&gt;=$J14,BN$3&lt;=$M14),1,"")</f>
        <v/>
      </c>
      <c r="BO14">
        <f>IF(AND($A14&lt;&gt;"",BO$3&gt;=$J14,BO$3&lt;=$M14),1,"")</f>
        <v/>
      </c>
      <c r="BP14">
        <f>IF(AND($A14&lt;&gt;"",BP$3&gt;=$J14,BP$3&lt;=$M14),1,"")</f>
        <v/>
      </c>
      <c r="BQ14">
        <f>IF(AND($A14&lt;&gt;"",BQ$3&gt;=$J14,BQ$3&lt;=$M14),1,"")</f>
        <v/>
      </c>
      <c r="BR14">
        <f>IF(AND($A14&lt;&gt;"",BR$3&gt;=$J14,BR$3&lt;=$M14),1,"")</f>
        <v/>
      </c>
      <c r="BS14">
        <f>IF(AND($A14&lt;&gt;"",BS$3&gt;=$J14,BS$3&lt;=$M14),1,"")</f>
        <v/>
      </c>
      <c r="BT14">
        <f>IF(AND($A14&lt;&gt;"",BT$3&gt;=$J14,BT$3&lt;=$M14),1,"")</f>
        <v/>
      </c>
      <c r="BU14">
        <f>IF(AND($A14&lt;&gt;"",BU$3&gt;=$J14,BU$3&lt;=$M14),1,"")</f>
        <v/>
      </c>
      <c r="BV14">
        <f>IF(AND($A14&lt;&gt;"",BV$3&gt;=$J14,BV$3&lt;=$M14),1,"")</f>
        <v/>
      </c>
    </row>
    <row r="15">
      <c r="A15">
        <f>IF(Job_Master_Ring!$A15="","",Job_Master_Ring!$A15)</f>
        <v/>
      </c>
      <c r="B15">
        <f>IF($A15="","",Job_Master_Ring!B15)</f>
        <v/>
      </c>
      <c r="C15">
        <f>IF($A15="","",Job_Master_Ring!C15)</f>
        <v/>
      </c>
      <c r="D15">
        <f>IF($A15="","",Job_Master_Ring!D15)</f>
        <v/>
      </c>
      <c r="E15">
        <f>IF($A15="","",IF($I15&lt;&gt;"",$I15,IFERROR(INDEX(Machine_List!$B$82:$B$86,MATCH(1,(Machine_List!$H$82:$H$86&lt;=IFERROR(VLOOKUP($B15,CHOOSE(MATCH($C15,Settings!$L$4:$L$10,0),OPR_BR1!$A$4:$K$18,OPR_BR2!$A$4:$K$18,OPR_CR2!$A$4:$K$18,OPR_CR3!$A$4:$K$18,OPR_CR4!$A$4:$K$18,OPR_RIM!$A$4:$K$18,OPR_BPR!$A$4:$K$18),10,0),0))*(Machine_List!$I$82:$I$86&gt;=IFERROR(VLOOKUP($B15,CHOOSE(MATCH($C15,Settings!$L$4:$L$10,0),OPR_BR1!$A$4:$K$18,OPR_BR2!$A$4:$K$18,OPR_CR2!$A$4:$K$18,OPR_CR3!$A$4:$K$18,OPR_CR4!$A$4:$K$18,OPR_RIM!$A$4:$K$18,OPR_BPR!$A$4:$K$18),11,0),9999)),0)),"NO COMPATIBLE MACHINE")))</f>
        <v/>
      </c>
      <c r="F15">
        <f>IF($E15="","",IFERROR(VLOOKUP($E15,Machine_List!$B:$G,6,0),""))</f>
        <v/>
      </c>
      <c r="G15" s="17">
        <f>IF($E15="","",IFERROR(VLOOKUP($E15,Machine_List!$B:$C,2,0),""))</f>
        <v/>
      </c>
      <c r="H15">
        <f>IF($E15="","",IFERROR(VLOOKUP($E15,Machine_List!$B:$D,3,0),""))</f>
        <v/>
      </c>
      <c r="J15" s="16">
        <f>IF($A15="","",IF($I15&lt;&gt;"",$I15,MAX(FID_Plan!$M15,IFERROR(LOOKUP(2,1/($E$3:INDIRECT("E"&amp;(ROW()-1))=$E15),$M$3:INDIRECT("M"&amp;(ROW()-1))),FID_Plan!$M15))))</f>
        <v/>
      </c>
      <c r="K15">
        <f>IF($A15="","",IFERROR(VLOOKUP(B15,CHOOSE(MATCH($C15,Settings!$L$4:$L$10,0),OPR_BR1!$A$4:$I$18,OPR_BR2!$A$4:$I$18,OPR_CR2!$A$4:$I$18,OPR_CR3!$A$4:$I$18,OPR_CR4!$A$4:$I$18,OPR_RIM!$A$4:$I$18,OPR_BPR!$A$4:$I$18),9,0),0))</f>
        <v/>
      </c>
      <c r="L15">
        <f>IF($A15="","",K15*D15)</f>
        <v/>
      </c>
      <c r="M15" s="16">
        <f>IF($A15=""," ",$J15+($L15/(IF(F15="Contract Workman",Settings!$K$5,Settings!$K$4))))</f>
        <v/>
      </c>
      <c r="N15">
        <f>IF($A15="","",IF(F15="Contract Workman",IF(AND(MOD(M15,1)&gt;=8/24,MOD(M15,1)&lt;20/24),"Shift S1","Shift S2"),IF(AND(MOD(M15,1)&gt;=7/24,MOD(M15,1)&lt;15/24),"Shift A",IF(AND(MOD(M15,1)&gt;=15/24,MOD(M15,1)&lt;23/24),"Shift B","Shift C"))))</f>
        <v/>
      </c>
      <c r="O15">
        <f>IF(B15="","",IF(IFERROR(ISNUMBER(SEARCH(TEXT(B15,"0"),VLOOKUP(E15,Machine_List!$B:$J,9,0))),FALSE),"✅ "&amp; E15,"❌ Sug: "&amp;IFERROR(INDEX(Machine_List!$B$82:$B$86,MATCH(1,(Machine_List!$H$82:$H$86&lt;=IFERROR(VLOOKUP($B15,OPR_BR1!$A$4:$K$18,10,0),0))*(Machine_List!$I$82:$I$86&gt;=IFERROR(VLOOKUP($B15,OPR_BR1!$A$4:$K$18,11,0),9999)),0)),"?")))</f>
        <v/>
      </c>
      <c r="P15">
        <f>IF(AND($A15&lt;&gt;"",P$3&gt;=$J15,P$3&lt;=$M15),1,"")</f>
        <v/>
      </c>
      <c r="Q15">
        <f>IF(AND($A15&lt;&gt;"",Q$3&gt;=$J15,Q$3&lt;=$M15),1,"")</f>
        <v/>
      </c>
      <c r="R15">
        <f>IF(AND($A15&lt;&gt;"",R$3&gt;=$J15,R$3&lt;=$M15),1,"")</f>
        <v/>
      </c>
      <c r="S15">
        <f>IF(AND($A15&lt;&gt;"",S$3&gt;=$J15,S$3&lt;=$M15),1,"")</f>
        <v/>
      </c>
      <c r="T15">
        <f>IF(AND($A15&lt;&gt;"",T$3&gt;=$J15,T$3&lt;=$M15),1,"")</f>
        <v/>
      </c>
      <c r="U15">
        <f>IF(AND($A15&lt;&gt;"",U$3&gt;=$J15,U$3&lt;=$M15),1,"")</f>
        <v/>
      </c>
      <c r="V15">
        <f>IF(AND($A15&lt;&gt;"",V$3&gt;=$J15,V$3&lt;=$M15),1,"")</f>
        <v/>
      </c>
      <c r="W15">
        <f>IF(AND($A15&lt;&gt;"",W$3&gt;=$J15,W$3&lt;=$M15),1,"")</f>
        <v/>
      </c>
      <c r="X15">
        <f>IF(AND($A15&lt;&gt;"",X$3&gt;=$J15,X$3&lt;=$M15),1,"")</f>
        <v/>
      </c>
      <c r="Y15">
        <f>IF(AND($A15&lt;&gt;"",Y$3&gt;=$J15,Y$3&lt;=$M15),1,"")</f>
        <v/>
      </c>
      <c r="Z15">
        <f>IF(AND($A15&lt;&gt;"",Z$3&gt;=$J15,Z$3&lt;=$M15),1,"")</f>
        <v/>
      </c>
      <c r="AA15">
        <f>IF(AND($A15&lt;&gt;"",AA$3&gt;=$J15,AA$3&lt;=$M15),1,"")</f>
        <v/>
      </c>
      <c r="AB15">
        <f>IF(AND($A15&lt;&gt;"",AB$3&gt;=$J15,AB$3&lt;=$M15),1,"")</f>
        <v/>
      </c>
      <c r="AC15">
        <f>IF(AND($A15&lt;&gt;"",AC$3&gt;=$J15,AC$3&lt;=$M15),1,"")</f>
        <v/>
      </c>
      <c r="AD15">
        <f>IF(AND($A15&lt;&gt;"",AD$3&gt;=$J15,AD$3&lt;=$M15),1,"")</f>
        <v/>
      </c>
      <c r="AE15">
        <f>IF(AND($A15&lt;&gt;"",AE$3&gt;=$J15,AE$3&lt;=$M15),1,"")</f>
        <v/>
      </c>
      <c r="AF15">
        <f>IF(AND($A15&lt;&gt;"",AF$3&gt;=$J15,AF$3&lt;=$M15),1,"")</f>
        <v/>
      </c>
      <c r="AG15">
        <f>IF(AND($A15&lt;&gt;"",AG$3&gt;=$J15,AG$3&lt;=$M15),1,"")</f>
        <v/>
      </c>
      <c r="AH15">
        <f>IF(AND($A15&lt;&gt;"",AH$3&gt;=$J15,AH$3&lt;=$M15),1,"")</f>
        <v/>
      </c>
      <c r="AI15">
        <f>IF(AND($A15&lt;&gt;"",AI$3&gt;=$J15,AI$3&lt;=$M15),1,"")</f>
        <v/>
      </c>
      <c r="AJ15">
        <f>IF(AND($A15&lt;&gt;"",AJ$3&gt;=$J15,AJ$3&lt;=$M15),1,"")</f>
        <v/>
      </c>
      <c r="AK15">
        <f>IF(AND($A15&lt;&gt;"",AK$3&gt;=$J15,AK$3&lt;=$M15),1,"")</f>
        <v/>
      </c>
      <c r="AL15">
        <f>IF(AND($A15&lt;&gt;"",AL$3&gt;=$J15,AL$3&lt;=$M15),1,"")</f>
        <v/>
      </c>
      <c r="AM15">
        <f>IF(AND($A15&lt;&gt;"",AM$3&gt;=$J15,AM$3&lt;=$M15),1,"")</f>
        <v/>
      </c>
      <c r="AN15">
        <f>IF(AND($A15&lt;&gt;"",AN$3&gt;=$J15,AN$3&lt;=$M15),1,"")</f>
        <v/>
      </c>
      <c r="AO15">
        <f>IF(AND($A15&lt;&gt;"",AO$3&gt;=$J15,AO$3&lt;=$M15),1,"")</f>
        <v/>
      </c>
      <c r="AP15">
        <f>IF(AND($A15&lt;&gt;"",AP$3&gt;=$J15,AP$3&lt;=$M15),1,"")</f>
        <v/>
      </c>
      <c r="AQ15">
        <f>IF(AND($A15&lt;&gt;"",AQ$3&gt;=$J15,AQ$3&lt;=$M15),1,"")</f>
        <v/>
      </c>
      <c r="AR15">
        <f>IF(AND($A15&lt;&gt;"",AR$3&gt;=$J15,AR$3&lt;=$M15),1,"")</f>
        <v/>
      </c>
      <c r="AS15">
        <f>IF(AND($A15&lt;&gt;"",AS$3&gt;=$J15,AS$3&lt;=$M15),1,"")</f>
        <v/>
      </c>
      <c r="AT15">
        <f>IF(AND($A15&lt;&gt;"",AT$3&gt;=$J15,AT$3&lt;=$M15),1,"")</f>
        <v/>
      </c>
      <c r="AU15">
        <f>IF(AND($A15&lt;&gt;"",AU$3&gt;=$J15,AU$3&lt;=$M15),1,"")</f>
        <v/>
      </c>
      <c r="AV15">
        <f>IF(AND($A15&lt;&gt;"",AV$3&gt;=$J15,AV$3&lt;=$M15),1,"")</f>
        <v/>
      </c>
      <c r="AW15">
        <f>IF(AND($A15&lt;&gt;"",AW$3&gt;=$J15,AW$3&lt;=$M15),1,"")</f>
        <v/>
      </c>
      <c r="AX15">
        <f>IF(AND($A15&lt;&gt;"",AX$3&gt;=$J15,AX$3&lt;=$M15),1,"")</f>
        <v/>
      </c>
      <c r="AY15">
        <f>IF(AND($A15&lt;&gt;"",AY$3&gt;=$J15,AY$3&lt;=$M15),1,"")</f>
        <v/>
      </c>
      <c r="AZ15">
        <f>IF(AND($A15&lt;&gt;"",AZ$3&gt;=$J15,AZ$3&lt;=$M15),1,"")</f>
        <v/>
      </c>
      <c r="BA15">
        <f>IF(AND($A15&lt;&gt;"",BA$3&gt;=$J15,BA$3&lt;=$M15),1,"")</f>
        <v/>
      </c>
      <c r="BB15">
        <f>IF(AND($A15&lt;&gt;"",BB$3&gt;=$J15,BB$3&lt;=$M15),1,"")</f>
        <v/>
      </c>
      <c r="BC15">
        <f>IF(AND($A15&lt;&gt;"",BC$3&gt;=$J15,BC$3&lt;=$M15),1,"")</f>
        <v/>
      </c>
      <c r="BD15">
        <f>IF(AND($A15&lt;&gt;"",BD$3&gt;=$J15,BD$3&lt;=$M15),1,"")</f>
        <v/>
      </c>
      <c r="BE15">
        <f>IF(AND($A15&lt;&gt;"",BE$3&gt;=$J15,BE$3&lt;=$M15),1,"")</f>
        <v/>
      </c>
      <c r="BF15">
        <f>IF(AND($A15&lt;&gt;"",BF$3&gt;=$J15,BF$3&lt;=$M15),1,"")</f>
        <v/>
      </c>
      <c r="BG15">
        <f>IF(AND($A15&lt;&gt;"",BG$3&gt;=$J15,BG$3&lt;=$M15),1,"")</f>
        <v/>
      </c>
      <c r="BH15">
        <f>IF(AND($A15&lt;&gt;"",BH$3&gt;=$J15,BH$3&lt;=$M15),1,"")</f>
        <v/>
      </c>
      <c r="BI15">
        <f>IF(AND($A15&lt;&gt;"",BI$3&gt;=$J15,BI$3&lt;=$M15),1,"")</f>
        <v/>
      </c>
      <c r="BJ15">
        <f>IF(AND($A15&lt;&gt;"",BJ$3&gt;=$J15,BJ$3&lt;=$M15),1,"")</f>
        <v/>
      </c>
      <c r="BK15">
        <f>IF(AND($A15&lt;&gt;"",BK$3&gt;=$J15,BK$3&lt;=$M15),1,"")</f>
        <v/>
      </c>
      <c r="BL15">
        <f>IF(AND($A15&lt;&gt;"",BL$3&gt;=$J15,BL$3&lt;=$M15),1,"")</f>
        <v/>
      </c>
      <c r="BM15">
        <f>IF(AND($A15&lt;&gt;"",BM$3&gt;=$J15,BM$3&lt;=$M15),1,"")</f>
        <v/>
      </c>
      <c r="BN15">
        <f>IF(AND($A15&lt;&gt;"",BN$3&gt;=$J15,BN$3&lt;=$M15),1,"")</f>
        <v/>
      </c>
      <c r="BO15">
        <f>IF(AND($A15&lt;&gt;"",BO$3&gt;=$J15,BO$3&lt;=$M15),1,"")</f>
        <v/>
      </c>
      <c r="BP15">
        <f>IF(AND($A15&lt;&gt;"",BP$3&gt;=$J15,BP$3&lt;=$M15),1,"")</f>
        <v/>
      </c>
      <c r="BQ15">
        <f>IF(AND($A15&lt;&gt;"",BQ$3&gt;=$J15,BQ$3&lt;=$M15),1,"")</f>
        <v/>
      </c>
      <c r="BR15">
        <f>IF(AND($A15&lt;&gt;"",BR$3&gt;=$J15,BR$3&lt;=$M15),1,"")</f>
        <v/>
      </c>
      <c r="BS15">
        <f>IF(AND($A15&lt;&gt;"",BS$3&gt;=$J15,BS$3&lt;=$M15),1,"")</f>
        <v/>
      </c>
      <c r="BT15">
        <f>IF(AND($A15&lt;&gt;"",BT$3&gt;=$J15,BT$3&lt;=$M15),1,"")</f>
        <v/>
      </c>
      <c r="BU15">
        <f>IF(AND($A15&lt;&gt;"",BU$3&gt;=$J15,BU$3&lt;=$M15),1,"")</f>
        <v/>
      </c>
      <c r="BV15">
        <f>IF(AND($A15&lt;&gt;"",BV$3&gt;=$J15,BV$3&lt;=$M15),1,"")</f>
        <v/>
      </c>
    </row>
    <row r="16">
      <c r="A16">
        <f>IF(Job_Master_Ring!$A16="","",Job_Master_Ring!$A16)</f>
        <v/>
      </c>
      <c r="B16">
        <f>IF($A16="","",Job_Master_Ring!B16)</f>
        <v/>
      </c>
      <c r="C16">
        <f>IF($A16="","",Job_Master_Ring!C16)</f>
        <v/>
      </c>
      <c r="D16">
        <f>IF($A16="","",Job_Master_Ring!D16)</f>
        <v/>
      </c>
      <c r="E16">
        <f>IF($A16="","",IF($I16&lt;&gt;"",$I16,IFERROR(INDEX(Machine_List!$B$82:$B$86,MATCH(1,(Machine_List!$H$82:$H$86&lt;=IFERROR(VLOOKUP($B16,CHOOSE(MATCH($C16,Settings!$L$4:$L$10,0),OPR_BR1!$A$4:$K$18,OPR_BR2!$A$4:$K$18,OPR_CR2!$A$4:$K$18,OPR_CR3!$A$4:$K$18,OPR_CR4!$A$4:$K$18,OPR_RIM!$A$4:$K$18,OPR_BPR!$A$4:$K$18),10,0),0))*(Machine_List!$I$82:$I$86&gt;=IFERROR(VLOOKUP($B16,CHOOSE(MATCH($C16,Settings!$L$4:$L$10,0),OPR_BR1!$A$4:$K$18,OPR_BR2!$A$4:$K$18,OPR_CR2!$A$4:$K$18,OPR_CR3!$A$4:$K$18,OPR_CR4!$A$4:$K$18,OPR_RIM!$A$4:$K$18,OPR_BPR!$A$4:$K$18),11,0),9999)),0)),"NO COMPATIBLE MACHINE")))</f>
        <v/>
      </c>
      <c r="F16">
        <f>IF($E16="","",IFERROR(VLOOKUP($E16,Machine_List!$B:$G,6,0),""))</f>
        <v/>
      </c>
      <c r="G16" s="17">
        <f>IF($E16="","",IFERROR(VLOOKUP($E16,Machine_List!$B:$C,2,0),""))</f>
        <v/>
      </c>
      <c r="H16">
        <f>IF($E16="","",IFERROR(VLOOKUP($E16,Machine_List!$B:$D,3,0),""))</f>
        <v/>
      </c>
      <c r="J16" s="16">
        <f>IF($A16="","",IF($I16&lt;&gt;"",$I16,MAX(FID_Plan!$M16,IFERROR(LOOKUP(2,1/($E$3:INDIRECT("E"&amp;(ROW()-1))=$E16),$M$3:INDIRECT("M"&amp;(ROW()-1))),FID_Plan!$M16))))</f>
        <v/>
      </c>
      <c r="K16">
        <f>IF($A16="","",IFERROR(VLOOKUP(B16,CHOOSE(MATCH($C16,Settings!$L$4:$L$10,0),OPR_BR1!$A$4:$I$18,OPR_BR2!$A$4:$I$18,OPR_CR2!$A$4:$I$18,OPR_CR3!$A$4:$I$18,OPR_CR4!$A$4:$I$18,OPR_RIM!$A$4:$I$18,OPR_BPR!$A$4:$I$18),9,0),0))</f>
        <v/>
      </c>
      <c r="L16">
        <f>IF($A16="","",K16*D16)</f>
        <v/>
      </c>
      <c r="M16" s="16">
        <f>IF($A16=""," ",$J16+($L16/(IF(F16="Contract Workman",Settings!$K$5,Settings!$K$4))))</f>
        <v/>
      </c>
      <c r="N16">
        <f>IF($A16="","",IF(F16="Contract Workman",IF(AND(MOD(M16,1)&gt;=8/24,MOD(M16,1)&lt;20/24),"Shift S1","Shift S2"),IF(AND(MOD(M16,1)&gt;=7/24,MOD(M16,1)&lt;15/24),"Shift A",IF(AND(MOD(M16,1)&gt;=15/24,MOD(M16,1)&lt;23/24),"Shift B","Shift C"))))</f>
        <v/>
      </c>
      <c r="O16">
        <f>IF(B16="","",IF(IFERROR(ISNUMBER(SEARCH(TEXT(B16,"0"),VLOOKUP(E16,Machine_List!$B:$J,9,0))),FALSE),"✅ "&amp; E16,"❌ Sug: "&amp;IFERROR(INDEX(Machine_List!$B$82:$B$86,MATCH(1,(Machine_List!$H$82:$H$86&lt;=IFERROR(VLOOKUP($B16,OPR_BR1!$A$4:$K$18,10,0),0))*(Machine_List!$I$82:$I$86&gt;=IFERROR(VLOOKUP($B16,OPR_BR1!$A$4:$K$18,11,0),9999)),0)),"?")))</f>
        <v/>
      </c>
      <c r="P16">
        <f>IF(AND($A16&lt;&gt;"",P$3&gt;=$J16,P$3&lt;=$M16),1,"")</f>
        <v/>
      </c>
      <c r="Q16">
        <f>IF(AND($A16&lt;&gt;"",Q$3&gt;=$J16,Q$3&lt;=$M16),1,"")</f>
        <v/>
      </c>
      <c r="R16">
        <f>IF(AND($A16&lt;&gt;"",R$3&gt;=$J16,R$3&lt;=$M16),1,"")</f>
        <v/>
      </c>
      <c r="S16">
        <f>IF(AND($A16&lt;&gt;"",S$3&gt;=$J16,S$3&lt;=$M16),1,"")</f>
        <v/>
      </c>
      <c r="T16">
        <f>IF(AND($A16&lt;&gt;"",T$3&gt;=$J16,T$3&lt;=$M16),1,"")</f>
        <v/>
      </c>
      <c r="U16">
        <f>IF(AND($A16&lt;&gt;"",U$3&gt;=$J16,U$3&lt;=$M16),1,"")</f>
        <v/>
      </c>
      <c r="V16">
        <f>IF(AND($A16&lt;&gt;"",V$3&gt;=$J16,V$3&lt;=$M16),1,"")</f>
        <v/>
      </c>
      <c r="W16">
        <f>IF(AND($A16&lt;&gt;"",W$3&gt;=$J16,W$3&lt;=$M16),1,"")</f>
        <v/>
      </c>
      <c r="X16">
        <f>IF(AND($A16&lt;&gt;"",X$3&gt;=$J16,X$3&lt;=$M16),1,"")</f>
        <v/>
      </c>
      <c r="Y16">
        <f>IF(AND($A16&lt;&gt;"",Y$3&gt;=$J16,Y$3&lt;=$M16),1,"")</f>
        <v/>
      </c>
      <c r="Z16">
        <f>IF(AND($A16&lt;&gt;"",Z$3&gt;=$J16,Z$3&lt;=$M16),1,"")</f>
        <v/>
      </c>
      <c r="AA16">
        <f>IF(AND($A16&lt;&gt;"",AA$3&gt;=$J16,AA$3&lt;=$M16),1,"")</f>
        <v/>
      </c>
      <c r="AB16">
        <f>IF(AND($A16&lt;&gt;"",AB$3&gt;=$J16,AB$3&lt;=$M16),1,"")</f>
        <v/>
      </c>
      <c r="AC16">
        <f>IF(AND($A16&lt;&gt;"",AC$3&gt;=$J16,AC$3&lt;=$M16),1,"")</f>
        <v/>
      </c>
      <c r="AD16">
        <f>IF(AND($A16&lt;&gt;"",AD$3&gt;=$J16,AD$3&lt;=$M16),1,"")</f>
        <v/>
      </c>
      <c r="AE16">
        <f>IF(AND($A16&lt;&gt;"",AE$3&gt;=$J16,AE$3&lt;=$M16),1,"")</f>
        <v/>
      </c>
      <c r="AF16">
        <f>IF(AND($A16&lt;&gt;"",AF$3&gt;=$J16,AF$3&lt;=$M16),1,"")</f>
        <v/>
      </c>
      <c r="AG16">
        <f>IF(AND($A16&lt;&gt;"",AG$3&gt;=$J16,AG$3&lt;=$M16),1,"")</f>
        <v/>
      </c>
      <c r="AH16">
        <f>IF(AND($A16&lt;&gt;"",AH$3&gt;=$J16,AH$3&lt;=$M16),1,"")</f>
        <v/>
      </c>
      <c r="AI16">
        <f>IF(AND($A16&lt;&gt;"",AI$3&gt;=$J16,AI$3&lt;=$M16),1,"")</f>
        <v/>
      </c>
      <c r="AJ16">
        <f>IF(AND($A16&lt;&gt;"",AJ$3&gt;=$J16,AJ$3&lt;=$M16),1,"")</f>
        <v/>
      </c>
      <c r="AK16">
        <f>IF(AND($A16&lt;&gt;"",AK$3&gt;=$J16,AK$3&lt;=$M16),1,"")</f>
        <v/>
      </c>
      <c r="AL16">
        <f>IF(AND($A16&lt;&gt;"",AL$3&gt;=$J16,AL$3&lt;=$M16),1,"")</f>
        <v/>
      </c>
      <c r="AM16">
        <f>IF(AND($A16&lt;&gt;"",AM$3&gt;=$J16,AM$3&lt;=$M16),1,"")</f>
        <v/>
      </c>
      <c r="AN16">
        <f>IF(AND($A16&lt;&gt;"",AN$3&gt;=$J16,AN$3&lt;=$M16),1,"")</f>
        <v/>
      </c>
      <c r="AO16">
        <f>IF(AND($A16&lt;&gt;"",AO$3&gt;=$J16,AO$3&lt;=$M16),1,"")</f>
        <v/>
      </c>
      <c r="AP16">
        <f>IF(AND($A16&lt;&gt;"",AP$3&gt;=$J16,AP$3&lt;=$M16),1,"")</f>
        <v/>
      </c>
      <c r="AQ16">
        <f>IF(AND($A16&lt;&gt;"",AQ$3&gt;=$J16,AQ$3&lt;=$M16),1,"")</f>
        <v/>
      </c>
      <c r="AR16">
        <f>IF(AND($A16&lt;&gt;"",AR$3&gt;=$J16,AR$3&lt;=$M16),1,"")</f>
        <v/>
      </c>
      <c r="AS16">
        <f>IF(AND($A16&lt;&gt;"",AS$3&gt;=$J16,AS$3&lt;=$M16),1,"")</f>
        <v/>
      </c>
      <c r="AT16">
        <f>IF(AND($A16&lt;&gt;"",AT$3&gt;=$J16,AT$3&lt;=$M16),1,"")</f>
        <v/>
      </c>
      <c r="AU16">
        <f>IF(AND($A16&lt;&gt;"",AU$3&gt;=$J16,AU$3&lt;=$M16),1,"")</f>
        <v/>
      </c>
      <c r="AV16">
        <f>IF(AND($A16&lt;&gt;"",AV$3&gt;=$J16,AV$3&lt;=$M16),1,"")</f>
        <v/>
      </c>
      <c r="AW16">
        <f>IF(AND($A16&lt;&gt;"",AW$3&gt;=$J16,AW$3&lt;=$M16),1,"")</f>
        <v/>
      </c>
      <c r="AX16">
        <f>IF(AND($A16&lt;&gt;"",AX$3&gt;=$J16,AX$3&lt;=$M16),1,"")</f>
        <v/>
      </c>
      <c r="AY16">
        <f>IF(AND($A16&lt;&gt;"",AY$3&gt;=$J16,AY$3&lt;=$M16),1,"")</f>
        <v/>
      </c>
      <c r="AZ16">
        <f>IF(AND($A16&lt;&gt;"",AZ$3&gt;=$J16,AZ$3&lt;=$M16),1,"")</f>
        <v/>
      </c>
      <c r="BA16">
        <f>IF(AND($A16&lt;&gt;"",BA$3&gt;=$J16,BA$3&lt;=$M16),1,"")</f>
        <v/>
      </c>
      <c r="BB16">
        <f>IF(AND($A16&lt;&gt;"",BB$3&gt;=$J16,BB$3&lt;=$M16),1,"")</f>
        <v/>
      </c>
      <c r="BC16">
        <f>IF(AND($A16&lt;&gt;"",BC$3&gt;=$J16,BC$3&lt;=$M16),1,"")</f>
        <v/>
      </c>
      <c r="BD16">
        <f>IF(AND($A16&lt;&gt;"",BD$3&gt;=$J16,BD$3&lt;=$M16),1,"")</f>
        <v/>
      </c>
      <c r="BE16">
        <f>IF(AND($A16&lt;&gt;"",BE$3&gt;=$J16,BE$3&lt;=$M16),1,"")</f>
        <v/>
      </c>
      <c r="BF16">
        <f>IF(AND($A16&lt;&gt;"",BF$3&gt;=$J16,BF$3&lt;=$M16),1,"")</f>
        <v/>
      </c>
      <c r="BG16">
        <f>IF(AND($A16&lt;&gt;"",BG$3&gt;=$J16,BG$3&lt;=$M16),1,"")</f>
        <v/>
      </c>
      <c r="BH16">
        <f>IF(AND($A16&lt;&gt;"",BH$3&gt;=$J16,BH$3&lt;=$M16),1,"")</f>
        <v/>
      </c>
      <c r="BI16">
        <f>IF(AND($A16&lt;&gt;"",BI$3&gt;=$J16,BI$3&lt;=$M16),1,"")</f>
        <v/>
      </c>
      <c r="BJ16">
        <f>IF(AND($A16&lt;&gt;"",BJ$3&gt;=$J16,BJ$3&lt;=$M16),1,"")</f>
        <v/>
      </c>
      <c r="BK16">
        <f>IF(AND($A16&lt;&gt;"",BK$3&gt;=$J16,BK$3&lt;=$M16),1,"")</f>
        <v/>
      </c>
      <c r="BL16">
        <f>IF(AND($A16&lt;&gt;"",BL$3&gt;=$J16,BL$3&lt;=$M16),1,"")</f>
        <v/>
      </c>
      <c r="BM16">
        <f>IF(AND($A16&lt;&gt;"",BM$3&gt;=$J16,BM$3&lt;=$M16),1,"")</f>
        <v/>
      </c>
      <c r="BN16">
        <f>IF(AND($A16&lt;&gt;"",BN$3&gt;=$J16,BN$3&lt;=$M16),1,"")</f>
        <v/>
      </c>
      <c r="BO16">
        <f>IF(AND($A16&lt;&gt;"",BO$3&gt;=$J16,BO$3&lt;=$M16),1,"")</f>
        <v/>
      </c>
      <c r="BP16">
        <f>IF(AND($A16&lt;&gt;"",BP$3&gt;=$J16,BP$3&lt;=$M16),1,"")</f>
        <v/>
      </c>
      <c r="BQ16">
        <f>IF(AND($A16&lt;&gt;"",BQ$3&gt;=$J16,BQ$3&lt;=$M16),1,"")</f>
        <v/>
      </c>
      <c r="BR16">
        <f>IF(AND($A16&lt;&gt;"",BR$3&gt;=$J16,BR$3&lt;=$M16),1,"")</f>
        <v/>
      </c>
      <c r="BS16">
        <f>IF(AND($A16&lt;&gt;"",BS$3&gt;=$J16,BS$3&lt;=$M16),1,"")</f>
        <v/>
      </c>
      <c r="BT16">
        <f>IF(AND($A16&lt;&gt;"",BT$3&gt;=$J16,BT$3&lt;=$M16),1,"")</f>
        <v/>
      </c>
      <c r="BU16">
        <f>IF(AND($A16&lt;&gt;"",BU$3&gt;=$J16,BU$3&lt;=$M16),1,"")</f>
        <v/>
      </c>
      <c r="BV16">
        <f>IF(AND($A16&lt;&gt;"",BV$3&gt;=$J16,BV$3&lt;=$M16),1,"")</f>
        <v/>
      </c>
    </row>
    <row r="17">
      <c r="A17">
        <f>IF(Job_Master_Ring!$A17="","",Job_Master_Ring!$A17)</f>
        <v/>
      </c>
      <c r="B17">
        <f>IF($A17="","",Job_Master_Ring!B17)</f>
        <v/>
      </c>
      <c r="C17">
        <f>IF($A17="","",Job_Master_Ring!C17)</f>
        <v/>
      </c>
      <c r="D17">
        <f>IF($A17="","",Job_Master_Ring!D17)</f>
        <v/>
      </c>
      <c r="E17">
        <f>IF($A17="","",IF($I17&lt;&gt;"",$I17,IFERROR(INDEX(Machine_List!$B$82:$B$86,MATCH(1,(Machine_List!$H$82:$H$86&lt;=IFERROR(VLOOKUP($B17,CHOOSE(MATCH($C17,Settings!$L$4:$L$10,0),OPR_BR1!$A$4:$K$18,OPR_BR2!$A$4:$K$18,OPR_CR2!$A$4:$K$18,OPR_CR3!$A$4:$K$18,OPR_CR4!$A$4:$K$18,OPR_RIM!$A$4:$K$18,OPR_BPR!$A$4:$K$18),10,0),0))*(Machine_List!$I$82:$I$86&gt;=IFERROR(VLOOKUP($B17,CHOOSE(MATCH($C17,Settings!$L$4:$L$10,0),OPR_BR1!$A$4:$K$18,OPR_BR2!$A$4:$K$18,OPR_CR2!$A$4:$K$18,OPR_CR3!$A$4:$K$18,OPR_CR4!$A$4:$K$18,OPR_RIM!$A$4:$K$18,OPR_BPR!$A$4:$K$18),11,0),9999)),0)),"NO COMPATIBLE MACHINE")))</f>
        <v/>
      </c>
      <c r="F17">
        <f>IF($E17="","",IFERROR(VLOOKUP($E17,Machine_List!$B:$G,6,0),""))</f>
        <v/>
      </c>
      <c r="G17" s="17">
        <f>IF($E17="","",IFERROR(VLOOKUP($E17,Machine_List!$B:$C,2,0),""))</f>
        <v/>
      </c>
      <c r="H17">
        <f>IF($E17="","",IFERROR(VLOOKUP($E17,Machine_List!$B:$D,3,0),""))</f>
        <v/>
      </c>
      <c r="J17" s="16">
        <f>IF($A17="","",IF($I17&lt;&gt;"",$I17,MAX(FID_Plan!$M17,IFERROR(LOOKUP(2,1/($E$3:INDIRECT("E"&amp;(ROW()-1))=$E17),$M$3:INDIRECT("M"&amp;(ROW()-1))),FID_Plan!$M17))))</f>
        <v/>
      </c>
      <c r="K17">
        <f>IF($A17="","",IFERROR(VLOOKUP(B17,CHOOSE(MATCH($C17,Settings!$L$4:$L$10,0),OPR_BR1!$A$4:$I$18,OPR_BR2!$A$4:$I$18,OPR_CR2!$A$4:$I$18,OPR_CR3!$A$4:$I$18,OPR_CR4!$A$4:$I$18,OPR_RIM!$A$4:$I$18,OPR_BPR!$A$4:$I$18),9,0),0))</f>
        <v/>
      </c>
      <c r="L17">
        <f>IF($A17="","",K17*D17)</f>
        <v/>
      </c>
      <c r="M17" s="16">
        <f>IF($A17=""," ",$J17+($L17/(IF(F17="Contract Workman",Settings!$K$5,Settings!$K$4))))</f>
        <v/>
      </c>
      <c r="N17">
        <f>IF($A17="","",IF(F17="Contract Workman",IF(AND(MOD(M17,1)&gt;=8/24,MOD(M17,1)&lt;20/24),"Shift S1","Shift S2"),IF(AND(MOD(M17,1)&gt;=7/24,MOD(M17,1)&lt;15/24),"Shift A",IF(AND(MOD(M17,1)&gt;=15/24,MOD(M17,1)&lt;23/24),"Shift B","Shift C"))))</f>
        <v/>
      </c>
      <c r="O17">
        <f>IF(B17="","",IF(IFERROR(ISNUMBER(SEARCH(TEXT(B17,"0"),VLOOKUP(E17,Machine_List!$B:$J,9,0))),FALSE),"✅ "&amp; E17,"❌ Sug: "&amp;IFERROR(INDEX(Machine_List!$B$82:$B$86,MATCH(1,(Machine_List!$H$82:$H$86&lt;=IFERROR(VLOOKUP($B17,OPR_BR1!$A$4:$K$18,10,0),0))*(Machine_List!$I$82:$I$86&gt;=IFERROR(VLOOKUP($B17,OPR_BR1!$A$4:$K$18,11,0),9999)),0)),"?")))</f>
        <v/>
      </c>
      <c r="P17">
        <f>IF(AND($A17&lt;&gt;"",P$3&gt;=$J17,P$3&lt;=$M17),1,"")</f>
        <v/>
      </c>
      <c r="Q17">
        <f>IF(AND($A17&lt;&gt;"",Q$3&gt;=$J17,Q$3&lt;=$M17),1,"")</f>
        <v/>
      </c>
      <c r="R17">
        <f>IF(AND($A17&lt;&gt;"",R$3&gt;=$J17,R$3&lt;=$M17),1,"")</f>
        <v/>
      </c>
      <c r="S17">
        <f>IF(AND($A17&lt;&gt;"",S$3&gt;=$J17,S$3&lt;=$M17),1,"")</f>
        <v/>
      </c>
      <c r="T17">
        <f>IF(AND($A17&lt;&gt;"",T$3&gt;=$J17,T$3&lt;=$M17),1,"")</f>
        <v/>
      </c>
      <c r="U17">
        <f>IF(AND($A17&lt;&gt;"",U$3&gt;=$J17,U$3&lt;=$M17),1,"")</f>
        <v/>
      </c>
      <c r="V17">
        <f>IF(AND($A17&lt;&gt;"",V$3&gt;=$J17,V$3&lt;=$M17),1,"")</f>
        <v/>
      </c>
      <c r="W17">
        <f>IF(AND($A17&lt;&gt;"",W$3&gt;=$J17,W$3&lt;=$M17),1,"")</f>
        <v/>
      </c>
      <c r="X17">
        <f>IF(AND($A17&lt;&gt;"",X$3&gt;=$J17,X$3&lt;=$M17),1,"")</f>
        <v/>
      </c>
      <c r="Y17">
        <f>IF(AND($A17&lt;&gt;"",Y$3&gt;=$J17,Y$3&lt;=$M17),1,"")</f>
        <v/>
      </c>
      <c r="Z17">
        <f>IF(AND($A17&lt;&gt;"",Z$3&gt;=$J17,Z$3&lt;=$M17),1,"")</f>
        <v/>
      </c>
      <c r="AA17">
        <f>IF(AND($A17&lt;&gt;"",AA$3&gt;=$J17,AA$3&lt;=$M17),1,"")</f>
        <v/>
      </c>
      <c r="AB17">
        <f>IF(AND($A17&lt;&gt;"",AB$3&gt;=$J17,AB$3&lt;=$M17),1,"")</f>
        <v/>
      </c>
      <c r="AC17">
        <f>IF(AND($A17&lt;&gt;"",AC$3&gt;=$J17,AC$3&lt;=$M17),1,"")</f>
        <v/>
      </c>
      <c r="AD17">
        <f>IF(AND($A17&lt;&gt;"",AD$3&gt;=$J17,AD$3&lt;=$M17),1,"")</f>
        <v/>
      </c>
      <c r="AE17">
        <f>IF(AND($A17&lt;&gt;"",AE$3&gt;=$J17,AE$3&lt;=$M17),1,"")</f>
        <v/>
      </c>
      <c r="AF17">
        <f>IF(AND($A17&lt;&gt;"",AF$3&gt;=$J17,AF$3&lt;=$M17),1,"")</f>
        <v/>
      </c>
      <c r="AG17">
        <f>IF(AND($A17&lt;&gt;"",AG$3&gt;=$J17,AG$3&lt;=$M17),1,"")</f>
        <v/>
      </c>
      <c r="AH17">
        <f>IF(AND($A17&lt;&gt;"",AH$3&gt;=$J17,AH$3&lt;=$M17),1,"")</f>
        <v/>
      </c>
      <c r="AI17">
        <f>IF(AND($A17&lt;&gt;"",AI$3&gt;=$J17,AI$3&lt;=$M17),1,"")</f>
        <v/>
      </c>
      <c r="AJ17">
        <f>IF(AND($A17&lt;&gt;"",AJ$3&gt;=$J17,AJ$3&lt;=$M17),1,"")</f>
        <v/>
      </c>
      <c r="AK17">
        <f>IF(AND($A17&lt;&gt;"",AK$3&gt;=$J17,AK$3&lt;=$M17),1,"")</f>
        <v/>
      </c>
      <c r="AL17">
        <f>IF(AND($A17&lt;&gt;"",AL$3&gt;=$J17,AL$3&lt;=$M17),1,"")</f>
        <v/>
      </c>
      <c r="AM17">
        <f>IF(AND($A17&lt;&gt;"",AM$3&gt;=$J17,AM$3&lt;=$M17),1,"")</f>
        <v/>
      </c>
      <c r="AN17">
        <f>IF(AND($A17&lt;&gt;"",AN$3&gt;=$J17,AN$3&lt;=$M17),1,"")</f>
        <v/>
      </c>
      <c r="AO17">
        <f>IF(AND($A17&lt;&gt;"",AO$3&gt;=$J17,AO$3&lt;=$M17),1,"")</f>
        <v/>
      </c>
      <c r="AP17">
        <f>IF(AND($A17&lt;&gt;"",AP$3&gt;=$J17,AP$3&lt;=$M17),1,"")</f>
        <v/>
      </c>
      <c r="AQ17">
        <f>IF(AND($A17&lt;&gt;"",AQ$3&gt;=$J17,AQ$3&lt;=$M17),1,"")</f>
        <v/>
      </c>
      <c r="AR17">
        <f>IF(AND($A17&lt;&gt;"",AR$3&gt;=$J17,AR$3&lt;=$M17),1,"")</f>
        <v/>
      </c>
      <c r="AS17">
        <f>IF(AND($A17&lt;&gt;"",AS$3&gt;=$J17,AS$3&lt;=$M17),1,"")</f>
        <v/>
      </c>
      <c r="AT17">
        <f>IF(AND($A17&lt;&gt;"",AT$3&gt;=$J17,AT$3&lt;=$M17),1,"")</f>
        <v/>
      </c>
      <c r="AU17">
        <f>IF(AND($A17&lt;&gt;"",AU$3&gt;=$J17,AU$3&lt;=$M17),1,"")</f>
        <v/>
      </c>
      <c r="AV17">
        <f>IF(AND($A17&lt;&gt;"",AV$3&gt;=$J17,AV$3&lt;=$M17),1,"")</f>
        <v/>
      </c>
      <c r="AW17">
        <f>IF(AND($A17&lt;&gt;"",AW$3&gt;=$J17,AW$3&lt;=$M17),1,"")</f>
        <v/>
      </c>
      <c r="AX17">
        <f>IF(AND($A17&lt;&gt;"",AX$3&gt;=$J17,AX$3&lt;=$M17),1,"")</f>
        <v/>
      </c>
      <c r="AY17">
        <f>IF(AND($A17&lt;&gt;"",AY$3&gt;=$J17,AY$3&lt;=$M17),1,"")</f>
        <v/>
      </c>
      <c r="AZ17">
        <f>IF(AND($A17&lt;&gt;"",AZ$3&gt;=$J17,AZ$3&lt;=$M17),1,"")</f>
        <v/>
      </c>
      <c r="BA17">
        <f>IF(AND($A17&lt;&gt;"",BA$3&gt;=$J17,BA$3&lt;=$M17),1,"")</f>
        <v/>
      </c>
      <c r="BB17">
        <f>IF(AND($A17&lt;&gt;"",BB$3&gt;=$J17,BB$3&lt;=$M17),1,"")</f>
        <v/>
      </c>
      <c r="BC17">
        <f>IF(AND($A17&lt;&gt;"",BC$3&gt;=$J17,BC$3&lt;=$M17),1,"")</f>
        <v/>
      </c>
      <c r="BD17">
        <f>IF(AND($A17&lt;&gt;"",BD$3&gt;=$J17,BD$3&lt;=$M17),1,"")</f>
        <v/>
      </c>
      <c r="BE17">
        <f>IF(AND($A17&lt;&gt;"",BE$3&gt;=$J17,BE$3&lt;=$M17),1,"")</f>
        <v/>
      </c>
      <c r="BF17">
        <f>IF(AND($A17&lt;&gt;"",BF$3&gt;=$J17,BF$3&lt;=$M17),1,"")</f>
        <v/>
      </c>
      <c r="BG17">
        <f>IF(AND($A17&lt;&gt;"",BG$3&gt;=$J17,BG$3&lt;=$M17),1,"")</f>
        <v/>
      </c>
      <c r="BH17">
        <f>IF(AND($A17&lt;&gt;"",BH$3&gt;=$J17,BH$3&lt;=$M17),1,"")</f>
        <v/>
      </c>
      <c r="BI17">
        <f>IF(AND($A17&lt;&gt;"",BI$3&gt;=$J17,BI$3&lt;=$M17),1,"")</f>
        <v/>
      </c>
      <c r="BJ17">
        <f>IF(AND($A17&lt;&gt;"",BJ$3&gt;=$J17,BJ$3&lt;=$M17),1,"")</f>
        <v/>
      </c>
      <c r="BK17">
        <f>IF(AND($A17&lt;&gt;"",BK$3&gt;=$J17,BK$3&lt;=$M17),1,"")</f>
        <v/>
      </c>
      <c r="BL17">
        <f>IF(AND($A17&lt;&gt;"",BL$3&gt;=$J17,BL$3&lt;=$M17),1,"")</f>
        <v/>
      </c>
      <c r="BM17">
        <f>IF(AND($A17&lt;&gt;"",BM$3&gt;=$J17,BM$3&lt;=$M17),1,"")</f>
        <v/>
      </c>
      <c r="BN17">
        <f>IF(AND($A17&lt;&gt;"",BN$3&gt;=$J17,BN$3&lt;=$M17),1,"")</f>
        <v/>
      </c>
      <c r="BO17">
        <f>IF(AND($A17&lt;&gt;"",BO$3&gt;=$J17,BO$3&lt;=$M17),1,"")</f>
        <v/>
      </c>
      <c r="BP17">
        <f>IF(AND($A17&lt;&gt;"",BP$3&gt;=$J17,BP$3&lt;=$M17),1,"")</f>
        <v/>
      </c>
      <c r="BQ17">
        <f>IF(AND($A17&lt;&gt;"",BQ$3&gt;=$J17,BQ$3&lt;=$M17),1,"")</f>
        <v/>
      </c>
      <c r="BR17">
        <f>IF(AND($A17&lt;&gt;"",BR$3&gt;=$J17,BR$3&lt;=$M17),1,"")</f>
        <v/>
      </c>
      <c r="BS17">
        <f>IF(AND($A17&lt;&gt;"",BS$3&gt;=$J17,BS$3&lt;=$M17),1,"")</f>
        <v/>
      </c>
      <c r="BT17">
        <f>IF(AND($A17&lt;&gt;"",BT$3&gt;=$J17,BT$3&lt;=$M17),1,"")</f>
        <v/>
      </c>
      <c r="BU17">
        <f>IF(AND($A17&lt;&gt;"",BU$3&gt;=$J17,BU$3&lt;=$M17),1,"")</f>
        <v/>
      </c>
      <c r="BV17">
        <f>IF(AND($A17&lt;&gt;"",BV$3&gt;=$J17,BV$3&lt;=$M17),1,"")</f>
        <v/>
      </c>
    </row>
    <row r="18">
      <c r="A18">
        <f>IF(Job_Master_Ring!$A18="","",Job_Master_Ring!$A18)</f>
        <v/>
      </c>
      <c r="B18">
        <f>IF($A18="","",Job_Master_Ring!B18)</f>
        <v/>
      </c>
      <c r="C18">
        <f>IF($A18="","",Job_Master_Ring!C18)</f>
        <v/>
      </c>
      <c r="D18">
        <f>IF($A18="","",Job_Master_Ring!D18)</f>
        <v/>
      </c>
      <c r="E18">
        <f>IF($A18="","",IF($I18&lt;&gt;"",$I18,IFERROR(INDEX(Machine_List!$B$82:$B$86,MATCH(1,(Machine_List!$H$82:$H$86&lt;=IFERROR(VLOOKUP($B18,CHOOSE(MATCH($C18,Settings!$L$4:$L$10,0),OPR_BR1!$A$4:$K$18,OPR_BR2!$A$4:$K$18,OPR_CR2!$A$4:$K$18,OPR_CR3!$A$4:$K$18,OPR_CR4!$A$4:$K$18,OPR_RIM!$A$4:$K$18,OPR_BPR!$A$4:$K$18),10,0),0))*(Machine_List!$I$82:$I$86&gt;=IFERROR(VLOOKUP($B18,CHOOSE(MATCH($C18,Settings!$L$4:$L$10,0),OPR_BR1!$A$4:$K$18,OPR_BR2!$A$4:$K$18,OPR_CR2!$A$4:$K$18,OPR_CR3!$A$4:$K$18,OPR_CR4!$A$4:$K$18,OPR_RIM!$A$4:$K$18,OPR_BPR!$A$4:$K$18),11,0),9999)),0)),"NO COMPATIBLE MACHINE")))</f>
        <v/>
      </c>
      <c r="F18">
        <f>IF($E18="","",IFERROR(VLOOKUP($E18,Machine_List!$B:$G,6,0),""))</f>
        <v/>
      </c>
      <c r="G18" s="17">
        <f>IF($E18="","",IFERROR(VLOOKUP($E18,Machine_List!$B:$C,2,0),""))</f>
        <v/>
      </c>
      <c r="H18">
        <f>IF($E18="","",IFERROR(VLOOKUP($E18,Machine_List!$B:$D,3,0),""))</f>
        <v/>
      </c>
      <c r="J18" s="16">
        <f>IF($A18="","",IF($I18&lt;&gt;"",$I18,MAX(FID_Plan!$M18,IFERROR(LOOKUP(2,1/($E$3:INDIRECT("E"&amp;(ROW()-1))=$E18),$M$3:INDIRECT("M"&amp;(ROW()-1))),FID_Plan!$M18))))</f>
        <v/>
      </c>
      <c r="K18">
        <f>IF($A18="","",IFERROR(VLOOKUP(B18,CHOOSE(MATCH($C18,Settings!$L$4:$L$10,0),OPR_BR1!$A$4:$I$18,OPR_BR2!$A$4:$I$18,OPR_CR2!$A$4:$I$18,OPR_CR3!$A$4:$I$18,OPR_CR4!$A$4:$I$18,OPR_RIM!$A$4:$I$18,OPR_BPR!$A$4:$I$18),9,0),0))</f>
        <v/>
      </c>
      <c r="L18">
        <f>IF($A18="","",K18*D18)</f>
        <v/>
      </c>
      <c r="M18" s="16">
        <f>IF($A18=""," ",$J18+($L18/(IF(F18="Contract Workman",Settings!$K$5,Settings!$K$4))))</f>
        <v/>
      </c>
      <c r="N18">
        <f>IF($A18="","",IF(F18="Contract Workman",IF(AND(MOD(M18,1)&gt;=8/24,MOD(M18,1)&lt;20/24),"Shift S1","Shift S2"),IF(AND(MOD(M18,1)&gt;=7/24,MOD(M18,1)&lt;15/24),"Shift A",IF(AND(MOD(M18,1)&gt;=15/24,MOD(M18,1)&lt;23/24),"Shift B","Shift C"))))</f>
        <v/>
      </c>
      <c r="O18">
        <f>IF(B18="","",IF(IFERROR(ISNUMBER(SEARCH(TEXT(B18,"0"),VLOOKUP(E18,Machine_List!$B:$J,9,0))),FALSE),"✅ "&amp; E18,"❌ Sug: "&amp;IFERROR(INDEX(Machine_List!$B$82:$B$86,MATCH(1,(Machine_List!$H$82:$H$86&lt;=IFERROR(VLOOKUP($B18,OPR_BR1!$A$4:$K$18,10,0),0))*(Machine_List!$I$82:$I$86&gt;=IFERROR(VLOOKUP($B18,OPR_BR1!$A$4:$K$18,11,0),9999)),0)),"?")))</f>
        <v/>
      </c>
      <c r="P18">
        <f>IF(AND($A18&lt;&gt;"",P$3&gt;=$J18,P$3&lt;=$M18),1,"")</f>
        <v/>
      </c>
      <c r="Q18">
        <f>IF(AND($A18&lt;&gt;"",Q$3&gt;=$J18,Q$3&lt;=$M18),1,"")</f>
        <v/>
      </c>
      <c r="R18">
        <f>IF(AND($A18&lt;&gt;"",R$3&gt;=$J18,R$3&lt;=$M18),1,"")</f>
        <v/>
      </c>
      <c r="S18">
        <f>IF(AND($A18&lt;&gt;"",S$3&gt;=$J18,S$3&lt;=$M18),1,"")</f>
        <v/>
      </c>
      <c r="T18">
        <f>IF(AND($A18&lt;&gt;"",T$3&gt;=$J18,T$3&lt;=$M18),1,"")</f>
        <v/>
      </c>
      <c r="U18">
        <f>IF(AND($A18&lt;&gt;"",U$3&gt;=$J18,U$3&lt;=$M18),1,"")</f>
        <v/>
      </c>
      <c r="V18">
        <f>IF(AND($A18&lt;&gt;"",V$3&gt;=$J18,V$3&lt;=$M18),1,"")</f>
        <v/>
      </c>
      <c r="W18">
        <f>IF(AND($A18&lt;&gt;"",W$3&gt;=$J18,W$3&lt;=$M18),1,"")</f>
        <v/>
      </c>
      <c r="X18">
        <f>IF(AND($A18&lt;&gt;"",X$3&gt;=$J18,X$3&lt;=$M18),1,"")</f>
        <v/>
      </c>
      <c r="Y18">
        <f>IF(AND($A18&lt;&gt;"",Y$3&gt;=$J18,Y$3&lt;=$M18),1,"")</f>
        <v/>
      </c>
      <c r="Z18">
        <f>IF(AND($A18&lt;&gt;"",Z$3&gt;=$J18,Z$3&lt;=$M18),1,"")</f>
        <v/>
      </c>
      <c r="AA18">
        <f>IF(AND($A18&lt;&gt;"",AA$3&gt;=$J18,AA$3&lt;=$M18),1,"")</f>
        <v/>
      </c>
      <c r="AB18">
        <f>IF(AND($A18&lt;&gt;"",AB$3&gt;=$J18,AB$3&lt;=$M18),1,"")</f>
        <v/>
      </c>
      <c r="AC18">
        <f>IF(AND($A18&lt;&gt;"",AC$3&gt;=$J18,AC$3&lt;=$M18),1,"")</f>
        <v/>
      </c>
      <c r="AD18">
        <f>IF(AND($A18&lt;&gt;"",AD$3&gt;=$J18,AD$3&lt;=$M18),1,"")</f>
        <v/>
      </c>
      <c r="AE18">
        <f>IF(AND($A18&lt;&gt;"",AE$3&gt;=$J18,AE$3&lt;=$M18),1,"")</f>
        <v/>
      </c>
      <c r="AF18">
        <f>IF(AND($A18&lt;&gt;"",AF$3&gt;=$J18,AF$3&lt;=$M18),1,"")</f>
        <v/>
      </c>
      <c r="AG18">
        <f>IF(AND($A18&lt;&gt;"",AG$3&gt;=$J18,AG$3&lt;=$M18),1,"")</f>
        <v/>
      </c>
      <c r="AH18">
        <f>IF(AND($A18&lt;&gt;"",AH$3&gt;=$J18,AH$3&lt;=$M18),1,"")</f>
        <v/>
      </c>
      <c r="AI18">
        <f>IF(AND($A18&lt;&gt;"",AI$3&gt;=$J18,AI$3&lt;=$M18),1,"")</f>
        <v/>
      </c>
      <c r="AJ18">
        <f>IF(AND($A18&lt;&gt;"",AJ$3&gt;=$J18,AJ$3&lt;=$M18),1,"")</f>
        <v/>
      </c>
      <c r="AK18">
        <f>IF(AND($A18&lt;&gt;"",AK$3&gt;=$J18,AK$3&lt;=$M18),1,"")</f>
        <v/>
      </c>
      <c r="AL18">
        <f>IF(AND($A18&lt;&gt;"",AL$3&gt;=$J18,AL$3&lt;=$M18),1,"")</f>
        <v/>
      </c>
      <c r="AM18">
        <f>IF(AND($A18&lt;&gt;"",AM$3&gt;=$J18,AM$3&lt;=$M18),1,"")</f>
        <v/>
      </c>
      <c r="AN18">
        <f>IF(AND($A18&lt;&gt;"",AN$3&gt;=$J18,AN$3&lt;=$M18),1,"")</f>
        <v/>
      </c>
      <c r="AO18">
        <f>IF(AND($A18&lt;&gt;"",AO$3&gt;=$J18,AO$3&lt;=$M18),1,"")</f>
        <v/>
      </c>
      <c r="AP18">
        <f>IF(AND($A18&lt;&gt;"",AP$3&gt;=$J18,AP$3&lt;=$M18),1,"")</f>
        <v/>
      </c>
      <c r="AQ18">
        <f>IF(AND($A18&lt;&gt;"",AQ$3&gt;=$J18,AQ$3&lt;=$M18),1,"")</f>
        <v/>
      </c>
      <c r="AR18">
        <f>IF(AND($A18&lt;&gt;"",AR$3&gt;=$J18,AR$3&lt;=$M18),1,"")</f>
        <v/>
      </c>
      <c r="AS18">
        <f>IF(AND($A18&lt;&gt;"",AS$3&gt;=$J18,AS$3&lt;=$M18),1,"")</f>
        <v/>
      </c>
      <c r="AT18">
        <f>IF(AND($A18&lt;&gt;"",AT$3&gt;=$J18,AT$3&lt;=$M18),1,"")</f>
        <v/>
      </c>
      <c r="AU18">
        <f>IF(AND($A18&lt;&gt;"",AU$3&gt;=$J18,AU$3&lt;=$M18),1,"")</f>
        <v/>
      </c>
      <c r="AV18">
        <f>IF(AND($A18&lt;&gt;"",AV$3&gt;=$J18,AV$3&lt;=$M18),1,"")</f>
        <v/>
      </c>
      <c r="AW18">
        <f>IF(AND($A18&lt;&gt;"",AW$3&gt;=$J18,AW$3&lt;=$M18),1,"")</f>
        <v/>
      </c>
      <c r="AX18">
        <f>IF(AND($A18&lt;&gt;"",AX$3&gt;=$J18,AX$3&lt;=$M18),1,"")</f>
        <v/>
      </c>
      <c r="AY18">
        <f>IF(AND($A18&lt;&gt;"",AY$3&gt;=$J18,AY$3&lt;=$M18),1,"")</f>
        <v/>
      </c>
      <c r="AZ18">
        <f>IF(AND($A18&lt;&gt;"",AZ$3&gt;=$J18,AZ$3&lt;=$M18),1,"")</f>
        <v/>
      </c>
      <c r="BA18">
        <f>IF(AND($A18&lt;&gt;"",BA$3&gt;=$J18,BA$3&lt;=$M18),1,"")</f>
        <v/>
      </c>
      <c r="BB18">
        <f>IF(AND($A18&lt;&gt;"",BB$3&gt;=$J18,BB$3&lt;=$M18),1,"")</f>
        <v/>
      </c>
      <c r="BC18">
        <f>IF(AND($A18&lt;&gt;"",BC$3&gt;=$J18,BC$3&lt;=$M18),1,"")</f>
        <v/>
      </c>
      <c r="BD18">
        <f>IF(AND($A18&lt;&gt;"",BD$3&gt;=$J18,BD$3&lt;=$M18),1,"")</f>
        <v/>
      </c>
      <c r="BE18">
        <f>IF(AND($A18&lt;&gt;"",BE$3&gt;=$J18,BE$3&lt;=$M18),1,"")</f>
        <v/>
      </c>
      <c r="BF18">
        <f>IF(AND($A18&lt;&gt;"",BF$3&gt;=$J18,BF$3&lt;=$M18),1,"")</f>
        <v/>
      </c>
      <c r="BG18">
        <f>IF(AND($A18&lt;&gt;"",BG$3&gt;=$J18,BG$3&lt;=$M18),1,"")</f>
        <v/>
      </c>
      <c r="BH18">
        <f>IF(AND($A18&lt;&gt;"",BH$3&gt;=$J18,BH$3&lt;=$M18),1,"")</f>
        <v/>
      </c>
      <c r="BI18">
        <f>IF(AND($A18&lt;&gt;"",BI$3&gt;=$J18,BI$3&lt;=$M18),1,"")</f>
        <v/>
      </c>
      <c r="BJ18">
        <f>IF(AND($A18&lt;&gt;"",BJ$3&gt;=$J18,BJ$3&lt;=$M18),1,"")</f>
        <v/>
      </c>
      <c r="BK18">
        <f>IF(AND($A18&lt;&gt;"",BK$3&gt;=$J18,BK$3&lt;=$M18),1,"")</f>
        <v/>
      </c>
      <c r="BL18">
        <f>IF(AND($A18&lt;&gt;"",BL$3&gt;=$J18,BL$3&lt;=$M18),1,"")</f>
        <v/>
      </c>
      <c r="BM18">
        <f>IF(AND($A18&lt;&gt;"",BM$3&gt;=$J18,BM$3&lt;=$M18),1,"")</f>
        <v/>
      </c>
      <c r="BN18">
        <f>IF(AND($A18&lt;&gt;"",BN$3&gt;=$J18,BN$3&lt;=$M18),1,"")</f>
        <v/>
      </c>
      <c r="BO18">
        <f>IF(AND($A18&lt;&gt;"",BO$3&gt;=$J18,BO$3&lt;=$M18),1,"")</f>
        <v/>
      </c>
      <c r="BP18">
        <f>IF(AND($A18&lt;&gt;"",BP$3&gt;=$J18,BP$3&lt;=$M18),1,"")</f>
        <v/>
      </c>
      <c r="BQ18">
        <f>IF(AND($A18&lt;&gt;"",BQ$3&gt;=$J18,BQ$3&lt;=$M18),1,"")</f>
        <v/>
      </c>
      <c r="BR18">
        <f>IF(AND($A18&lt;&gt;"",BR$3&gt;=$J18,BR$3&lt;=$M18),1,"")</f>
        <v/>
      </c>
      <c r="BS18">
        <f>IF(AND($A18&lt;&gt;"",BS$3&gt;=$J18,BS$3&lt;=$M18),1,"")</f>
        <v/>
      </c>
      <c r="BT18">
        <f>IF(AND($A18&lt;&gt;"",BT$3&gt;=$J18,BT$3&lt;=$M18),1,"")</f>
        <v/>
      </c>
      <c r="BU18">
        <f>IF(AND($A18&lt;&gt;"",BU$3&gt;=$J18,BU$3&lt;=$M18),1,"")</f>
        <v/>
      </c>
      <c r="BV18">
        <f>IF(AND($A18&lt;&gt;"",BV$3&gt;=$J18,BV$3&lt;=$M18),1,"")</f>
        <v/>
      </c>
    </row>
    <row r="19">
      <c r="A19">
        <f>IF(Job_Master_Ring!$A19="","",Job_Master_Ring!$A19)</f>
        <v/>
      </c>
      <c r="B19">
        <f>IF($A19="","",Job_Master_Ring!B19)</f>
        <v/>
      </c>
      <c r="C19">
        <f>IF($A19="","",Job_Master_Ring!C19)</f>
        <v/>
      </c>
      <c r="D19">
        <f>IF($A19="","",Job_Master_Ring!D19)</f>
        <v/>
      </c>
      <c r="E19">
        <f>IF($A19="","",IF($I19&lt;&gt;"",$I19,IFERROR(INDEX(Machine_List!$B$82:$B$86,MATCH(1,(Machine_List!$H$82:$H$86&lt;=IFERROR(VLOOKUP($B19,CHOOSE(MATCH($C19,Settings!$L$4:$L$10,0),OPR_BR1!$A$4:$K$18,OPR_BR2!$A$4:$K$18,OPR_CR2!$A$4:$K$18,OPR_CR3!$A$4:$K$18,OPR_CR4!$A$4:$K$18,OPR_RIM!$A$4:$K$18,OPR_BPR!$A$4:$K$18),10,0),0))*(Machine_List!$I$82:$I$86&gt;=IFERROR(VLOOKUP($B19,CHOOSE(MATCH($C19,Settings!$L$4:$L$10,0),OPR_BR1!$A$4:$K$18,OPR_BR2!$A$4:$K$18,OPR_CR2!$A$4:$K$18,OPR_CR3!$A$4:$K$18,OPR_CR4!$A$4:$K$18,OPR_RIM!$A$4:$K$18,OPR_BPR!$A$4:$K$18),11,0),9999)),0)),"NO COMPATIBLE MACHINE")))</f>
        <v/>
      </c>
      <c r="F19">
        <f>IF($E19="","",IFERROR(VLOOKUP($E19,Machine_List!$B:$G,6,0),""))</f>
        <v/>
      </c>
      <c r="G19" s="17">
        <f>IF($E19="","",IFERROR(VLOOKUP($E19,Machine_List!$B:$C,2,0),""))</f>
        <v/>
      </c>
      <c r="H19">
        <f>IF($E19="","",IFERROR(VLOOKUP($E19,Machine_List!$B:$D,3,0),""))</f>
        <v/>
      </c>
      <c r="J19" s="16">
        <f>IF($A19="","",IF($I19&lt;&gt;"",$I19,MAX(FID_Plan!$M19,IFERROR(LOOKUP(2,1/($E$3:INDIRECT("E"&amp;(ROW()-1))=$E19),$M$3:INDIRECT("M"&amp;(ROW()-1))),FID_Plan!$M19))))</f>
        <v/>
      </c>
      <c r="K19">
        <f>IF($A19="","",IFERROR(VLOOKUP(B19,CHOOSE(MATCH($C19,Settings!$L$4:$L$10,0),OPR_BR1!$A$4:$I$18,OPR_BR2!$A$4:$I$18,OPR_CR2!$A$4:$I$18,OPR_CR3!$A$4:$I$18,OPR_CR4!$A$4:$I$18,OPR_RIM!$A$4:$I$18,OPR_BPR!$A$4:$I$18),9,0),0))</f>
        <v/>
      </c>
      <c r="L19">
        <f>IF($A19="","",K19*D19)</f>
        <v/>
      </c>
      <c r="M19" s="16">
        <f>IF($A19=""," ",$J19+($L19/(IF(F19="Contract Workman",Settings!$K$5,Settings!$K$4))))</f>
        <v/>
      </c>
      <c r="N19">
        <f>IF($A19="","",IF(F19="Contract Workman",IF(AND(MOD(M19,1)&gt;=8/24,MOD(M19,1)&lt;20/24),"Shift S1","Shift S2"),IF(AND(MOD(M19,1)&gt;=7/24,MOD(M19,1)&lt;15/24),"Shift A",IF(AND(MOD(M19,1)&gt;=15/24,MOD(M19,1)&lt;23/24),"Shift B","Shift C"))))</f>
        <v/>
      </c>
      <c r="O19">
        <f>IF(B19="","",IF(IFERROR(ISNUMBER(SEARCH(TEXT(B19,"0"),VLOOKUP(E19,Machine_List!$B:$J,9,0))),FALSE),"✅ "&amp; E19,"❌ Sug: "&amp;IFERROR(INDEX(Machine_List!$B$82:$B$86,MATCH(1,(Machine_List!$H$82:$H$86&lt;=IFERROR(VLOOKUP($B19,OPR_BR1!$A$4:$K$18,10,0),0))*(Machine_List!$I$82:$I$86&gt;=IFERROR(VLOOKUP($B19,OPR_BR1!$A$4:$K$18,11,0),9999)),0)),"?")))</f>
        <v/>
      </c>
      <c r="P19">
        <f>IF(AND($A19&lt;&gt;"",P$3&gt;=$J19,P$3&lt;=$M19),1,"")</f>
        <v/>
      </c>
      <c r="Q19">
        <f>IF(AND($A19&lt;&gt;"",Q$3&gt;=$J19,Q$3&lt;=$M19),1,"")</f>
        <v/>
      </c>
      <c r="R19">
        <f>IF(AND($A19&lt;&gt;"",R$3&gt;=$J19,R$3&lt;=$M19),1,"")</f>
        <v/>
      </c>
      <c r="S19">
        <f>IF(AND($A19&lt;&gt;"",S$3&gt;=$J19,S$3&lt;=$M19),1,"")</f>
        <v/>
      </c>
      <c r="T19">
        <f>IF(AND($A19&lt;&gt;"",T$3&gt;=$J19,T$3&lt;=$M19),1,"")</f>
        <v/>
      </c>
      <c r="U19">
        <f>IF(AND($A19&lt;&gt;"",U$3&gt;=$J19,U$3&lt;=$M19),1,"")</f>
        <v/>
      </c>
      <c r="V19">
        <f>IF(AND($A19&lt;&gt;"",V$3&gt;=$J19,V$3&lt;=$M19),1,"")</f>
        <v/>
      </c>
      <c r="W19">
        <f>IF(AND($A19&lt;&gt;"",W$3&gt;=$J19,W$3&lt;=$M19),1,"")</f>
        <v/>
      </c>
      <c r="X19">
        <f>IF(AND($A19&lt;&gt;"",X$3&gt;=$J19,X$3&lt;=$M19),1,"")</f>
        <v/>
      </c>
      <c r="Y19">
        <f>IF(AND($A19&lt;&gt;"",Y$3&gt;=$J19,Y$3&lt;=$M19),1,"")</f>
        <v/>
      </c>
      <c r="Z19">
        <f>IF(AND($A19&lt;&gt;"",Z$3&gt;=$J19,Z$3&lt;=$M19),1,"")</f>
        <v/>
      </c>
      <c r="AA19">
        <f>IF(AND($A19&lt;&gt;"",AA$3&gt;=$J19,AA$3&lt;=$M19),1,"")</f>
        <v/>
      </c>
      <c r="AB19">
        <f>IF(AND($A19&lt;&gt;"",AB$3&gt;=$J19,AB$3&lt;=$M19),1,"")</f>
        <v/>
      </c>
      <c r="AC19">
        <f>IF(AND($A19&lt;&gt;"",AC$3&gt;=$J19,AC$3&lt;=$M19),1,"")</f>
        <v/>
      </c>
      <c r="AD19">
        <f>IF(AND($A19&lt;&gt;"",AD$3&gt;=$J19,AD$3&lt;=$M19),1,"")</f>
        <v/>
      </c>
      <c r="AE19">
        <f>IF(AND($A19&lt;&gt;"",AE$3&gt;=$J19,AE$3&lt;=$M19),1,"")</f>
        <v/>
      </c>
      <c r="AF19">
        <f>IF(AND($A19&lt;&gt;"",AF$3&gt;=$J19,AF$3&lt;=$M19),1,"")</f>
        <v/>
      </c>
      <c r="AG19">
        <f>IF(AND($A19&lt;&gt;"",AG$3&gt;=$J19,AG$3&lt;=$M19),1,"")</f>
        <v/>
      </c>
      <c r="AH19">
        <f>IF(AND($A19&lt;&gt;"",AH$3&gt;=$J19,AH$3&lt;=$M19),1,"")</f>
        <v/>
      </c>
      <c r="AI19">
        <f>IF(AND($A19&lt;&gt;"",AI$3&gt;=$J19,AI$3&lt;=$M19),1,"")</f>
        <v/>
      </c>
      <c r="AJ19">
        <f>IF(AND($A19&lt;&gt;"",AJ$3&gt;=$J19,AJ$3&lt;=$M19),1,"")</f>
        <v/>
      </c>
      <c r="AK19">
        <f>IF(AND($A19&lt;&gt;"",AK$3&gt;=$J19,AK$3&lt;=$M19),1,"")</f>
        <v/>
      </c>
      <c r="AL19">
        <f>IF(AND($A19&lt;&gt;"",AL$3&gt;=$J19,AL$3&lt;=$M19),1,"")</f>
        <v/>
      </c>
      <c r="AM19">
        <f>IF(AND($A19&lt;&gt;"",AM$3&gt;=$J19,AM$3&lt;=$M19),1,"")</f>
        <v/>
      </c>
      <c r="AN19">
        <f>IF(AND($A19&lt;&gt;"",AN$3&gt;=$J19,AN$3&lt;=$M19),1,"")</f>
        <v/>
      </c>
      <c r="AO19">
        <f>IF(AND($A19&lt;&gt;"",AO$3&gt;=$J19,AO$3&lt;=$M19),1,"")</f>
        <v/>
      </c>
      <c r="AP19">
        <f>IF(AND($A19&lt;&gt;"",AP$3&gt;=$J19,AP$3&lt;=$M19),1,"")</f>
        <v/>
      </c>
      <c r="AQ19">
        <f>IF(AND($A19&lt;&gt;"",AQ$3&gt;=$J19,AQ$3&lt;=$M19),1,"")</f>
        <v/>
      </c>
      <c r="AR19">
        <f>IF(AND($A19&lt;&gt;"",AR$3&gt;=$J19,AR$3&lt;=$M19),1,"")</f>
        <v/>
      </c>
      <c r="AS19">
        <f>IF(AND($A19&lt;&gt;"",AS$3&gt;=$J19,AS$3&lt;=$M19),1,"")</f>
        <v/>
      </c>
      <c r="AT19">
        <f>IF(AND($A19&lt;&gt;"",AT$3&gt;=$J19,AT$3&lt;=$M19),1,"")</f>
        <v/>
      </c>
      <c r="AU19">
        <f>IF(AND($A19&lt;&gt;"",AU$3&gt;=$J19,AU$3&lt;=$M19),1,"")</f>
        <v/>
      </c>
      <c r="AV19">
        <f>IF(AND($A19&lt;&gt;"",AV$3&gt;=$J19,AV$3&lt;=$M19),1,"")</f>
        <v/>
      </c>
      <c r="AW19">
        <f>IF(AND($A19&lt;&gt;"",AW$3&gt;=$J19,AW$3&lt;=$M19),1,"")</f>
        <v/>
      </c>
      <c r="AX19">
        <f>IF(AND($A19&lt;&gt;"",AX$3&gt;=$J19,AX$3&lt;=$M19),1,"")</f>
        <v/>
      </c>
      <c r="AY19">
        <f>IF(AND($A19&lt;&gt;"",AY$3&gt;=$J19,AY$3&lt;=$M19),1,"")</f>
        <v/>
      </c>
      <c r="AZ19">
        <f>IF(AND($A19&lt;&gt;"",AZ$3&gt;=$J19,AZ$3&lt;=$M19),1,"")</f>
        <v/>
      </c>
      <c r="BA19">
        <f>IF(AND($A19&lt;&gt;"",BA$3&gt;=$J19,BA$3&lt;=$M19),1,"")</f>
        <v/>
      </c>
      <c r="BB19">
        <f>IF(AND($A19&lt;&gt;"",BB$3&gt;=$J19,BB$3&lt;=$M19),1,"")</f>
        <v/>
      </c>
      <c r="BC19">
        <f>IF(AND($A19&lt;&gt;"",BC$3&gt;=$J19,BC$3&lt;=$M19),1,"")</f>
        <v/>
      </c>
      <c r="BD19">
        <f>IF(AND($A19&lt;&gt;"",BD$3&gt;=$J19,BD$3&lt;=$M19),1,"")</f>
        <v/>
      </c>
      <c r="BE19">
        <f>IF(AND($A19&lt;&gt;"",BE$3&gt;=$J19,BE$3&lt;=$M19),1,"")</f>
        <v/>
      </c>
      <c r="BF19">
        <f>IF(AND($A19&lt;&gt;"",BF$3&gt;=$J19,BF$3&lt;=$M19),1,"")</f>
        <v/>
      </c>
      <c r="BG19">
        <f>IF(AND($A19&lt;&gt;"",BG$3&gt;=$J19,BG$3&lt;=$M19),1,"")</f>
        <v/>
      </c>
      <c r="BH19">
        <f>IF(AND($A19&lt;&gt;"",BH$3&gt;=$J19,BH$3&lt;=$M19),1,"")</f>
        <v/>
      </c>
      <c r="BI19">
        <f>IF(AND($A19&lt;&gt;"",BI$3&gt;=$J19,BI$3&lt;=$M19),1,"")</f>
        <v/>
      </c>
      <c r="BJ19">
        <f>IF(AND($A19&lt;&gt;"",BJ$3&gt;=$J19,BJ$3&lt;=$M19),1,"")</f>
        <v/>
      </c>
      <c r="BK19">
        <f>IF(AND($A19&lt;&gt;"",BK$3&gt;=$J19,BK$3&lt;=$M19),1,"")</f>
        <v/>
      </c>
      <c r="BL19">
        <f>IF(AND($A19&lt;&gt;"",BL$3&gt;=$J19,BL$3&lt;=$M19),1,"")</f>
        <v/>
      </c>
      <c r="BM19">
        <f>IF(AND($A19&lt;&gt;"",BM$3&gt;=$J19,BM$3&lt;=$M19),1,"")</f>
        <v/>
      </c>
      <c r="BN19">
        <f>IF(AND($A19&lt;&gt;"",BN$3&gt;=$J19,BN$3&lt;=$M19),1,"")</f>
        <v/>
      </c>
      <c r="BO19">
        <f>IF(AND($A19&lt;&gt;"",BO$3&gt;=$J19,BO$3&lt;=$M19),1,"")</f>
        <v/>
      </c>
      <c r="BP19">
        <f>IF(AND($A19&lt;&gt;"",BP$3&gt;=$J19,BP$3&lt;=$M19),1,"")</f>
        <v/>
      </c>
      <c r="BQ19">
        <f>IF(AND($A19&lt;&gt;"",BQ$3&gt;=$J19,BQ$3&lt;=$M19),1,"")</f>
        <v/>
      </c>
      <c r="BR19">
        <f>IF(AND($A19&lt;&gt;"",BR$3&gt;=$J19,BR$3&lt;=$M19),1,"")</f>
        <v/>
      </c>
      <c r="BS19">
        <f>IF(AND($A19&lt;&gt;"",BS$3&gt;=$J19,BS$3&lt;=$M19),1,"")</f>
        <v/>
      </c>
      <c r="BT19">
        <f>IF(AND($A19&lt;&gt;"",BT$3&gt;=$J19,BT$3&lt;=$M19),1,"")</f>
        <v/>
      </c>
      <c r="BU19">
        <f>IF(AND($A19&lt;&gt;"",BU$3&gt;=$J19,BU$3&lt;=$M19),1,"")</f>
        <v/>
      </c>
      <c r="BV19">
        <f>IF(AND($A19&lt;&gt;"",BV$3&gt;=$J19,BV$3&lt;=$M19),1,"")</f>
        <v/>
      </c>
    </row>
    <row r="20">
      <c r="A20">
        <f>IF(Job_Master_Ring!$A20="","",Job_Master_Ring!$A20)</f>
        <v/>
      </c>
      <c r="B20">
        <f>IF($A20="","",Job_Master_Ring!B20)</f>
        <v/>
      </c>
      <c r="C20">
        <f>IF($A20="","",Job_Master_Ring!C20)</f>
        <v/>
      </c>
      <c r="D20">
        <f>IF($A20="","",Job_Master_Ring!D20)</f>
        <v/>
      </c>
      <c r="E20">
        <f>IF($A20="","",IF($I20&lt;&gt;"",$I20,IFERROR(INDEX(Machine_List!$B$82:$B$86,MATCH(1,(Machine_List!$H$82:$H$86&lt;=IFERROR(VLOOKUP($B20,CHOOSE(MATCH($C20,Settings!$L$4:$L$10,0),OPR_BR1!$A$4:$K$18,OPR_BR2!$A$4:$K$18,OPR_CR2!$A$4:$K$18,OPR_CR3!$A$4:$K$18,OPR_CR4!$A$4:$K$18,OPR_RIM!$A$4:$K$18,OPR_BPR!$A$4:$K$18),10,0),0))*(Machine_List!$I$82:$I$86&gt;=IFERROR(VLOOKUP($B20,CHOOSE(MATCH($C20,Settings!$L$4:$L$10,0),OPR_BR1!$A$4:$K$18,OPR_BR2!$A$4:$K$18,OPR_CR2!$A$4:$K$18,OPR_CR3!$A$4:$K$18,OPR_CR4!$A$4:$K$18,OPR_RIM!$A$4:$K$18,OPR_BPR!$A$4:$K$18),11,0),9999)),0)),"NO COMPATIBLE MACHINE")))</f>
        <v/>
      </c>
      <c r="F20">
        <f>IF($E20="","",IFERROR(VLOOKUP($E20,Machine_List!$B:$G,6,0),""))</f>
        <v/>
      </c>
      <c r="G20" s="17">
        <f>IF($E20="","",IFERROR(VLOOKUP($E20,Machine_List!$B:$C,2,0),""))</f>
        <v/>
      </c>
      <c r="H20">
        <f>IF($E20="","",IFERROR(VLOOKUP($E20,Machine_List!$B:$D,3,0),""))</f>
        <v/>
      </c>
      <c r="J20" s="16">
        <f>IF($A20="","",IF($I20&lt;&gt;"",$I20,MAX(FID_Plan!$M20,IFERROR(LOOKUP(2,1/($E$3:INDIRECT("E"&amp;(ROW()-1))=$E20),$M$3:INDIRECT("M"&amp;(ROW()-1))),FID_Plan!$M20))))</f>
        <v/>
      </c>
      <c r="K20">
        <f>IF($A20="","",IFERROR(VLOOKUP(B20,CHOOSE(MATCH($C20,Settings!$L$4:$L$10,0),OPR_BR1!$A$4:$I$18,OPR_BR2!$A$4:$I$18,OPR_CR2!$A$4:$I$18,OPR_CR3!$A$4:$I$18,OPR_CR4!$A$4:$I$18,OPR_RIM!$A$4:$I$18,OPR_BPR!$A$4:$I$18),9,0),0))</f>
        <v/>
      </c>
      <c r="L20">
        <f>IF($A20="","",K20*D20)</f>
        <v/>
      </c>
      <c r="M20" s="16">
        <f>IF($A20=""," ",$J20+($L20/(IF(F20="Contract Workman",Settings!$K$5,Settings!$K$4))))</f>
        <v/>
      </c>
      <c r="N20">
        <f>IF($A20="","",IF(F20="Contract Workman",IF(AND(MOD(M20,1)&gt;=8/24,MOD(M20,1)&lt;20/24),"Shift S1","Shift S2"),IF(AND(MOD(M20,1)&gt;=7/24,MOD(M20,1)&lt;15/24),"Shift A",IF(AND(MOD(M20,1)&gt;=15/24,MOD(M20,1)&lt;23/24),"Shift B","Shift C"))))</f>
        <v/>
      </c>
      <c r="O20">
        <f>IF(B20="","",IF(IFERROR(ISNUMBER(SEARCH(TEXT(B20,"0"),VLOOKUP(E20,Machine_List!$B:$J,9,0))),FALSE),"✅ "&amp; E20,"❌ Sug: "&amp;IFERROR(INDEX(Machine_List!$B$82:$B$86,MATCH(1,(Machine_List!$H$82:$H$86&lt;=IFERROR(VLOOKUP($B20,OPR_BR1!$A$4:$K$18,10,0),0))*(Machine_List!$I$82:$I$86&gt;=IFERROR(VLOOKUP($B20,OPR_BR1!$A$4:$K$18,11,0),9999)),0)),"?")))</f>
        <v/>
      </c>
      <c r="P20">
        <f>IF(AND($A20&lt;&gt;"",P$3&gt;=$J20,P$3&lt;=$M20),1,"")</f>
        <v/>
      </c>
      <c r="Q20">
        <f>IF(AND($A20&lt;&gt;"",Q$3&gt;=$J20,Q$3&lt;=$M20),1,"")</f>
        <v/>
      </c>
      <c r="R20">
        <f>IF(AND($A20&lt;&gt;"",R$3&gt;=$J20,R$3&lt;=$M20),1,"")</f>
        <v/>
      </c>
      <c r="S20">
        <f>IF(AND($A20&lt;&gt;"",S$3&gt;=$J20,S$3&lt;=$M20),1,"")</f>
        <v/>
      </c>
      <c r="T20">
        <f>IF(AND($A20&lt;&gt;"",T$3&gt;=$J20,T$3&lt;=$M20),1,"")</f>
        <v/>
      </c>
      <c r="U20">
        <f>IF(AND($A20&lt;&gt;"",U$3&gt;=$J20,U$3&lt;=$M20),1,"")</f>
        <v/>
      </c>
      <c r="V20">
        <f>IF(AND($A20&lt;&gt;"",V$3&gt;=$J20,V$3&lt;=$M20),1,"")</f>
        <v/>
      </c>
      <c r="W20">
        <f>IF(AND($A20&lt;&gt;"",W$3&gt;=$J20,W$3&lt;=$M20),1,"")</f>
        <v/>
      </c>
      <c r="X20">
        <f>IF(AND($A20&lt;&gt;"",X$3&gt;=$J20,X$3&lt;=$M20),1,"")</f>
        <v/>
      </c>
      <c r="Y20">
        <f>IF(AND($A20&lt;&gt;"",Y$3&gt;=$J20,Y$3&lt;=$M20),1,"")</f>
        <v/>
      </c>
      <c r="Z20">
        <f>IF(AND($A20&lt;&gt;"",Z$3&gt;=$J20,Z$3&lt;=$M20),1,"")</f>
        <v/>
      </c>
      <c r="AA20">
        <f>IF(AND($A20&lt;&gt;"",AA$3&gt;=$J20,AA$3&lt;=$M20),1,"")</f>
        <v/>
      </c>
      <c r="AB20">
        <f>IF(AND($A20&lt;&gt;"",AB$3&gt;=$J20,AB$3&lt;=$M20),1,"")</f>
        <v/>
      </c>
      <c r="AC20">
        <f>IF(AND($A20&lt;&gt;"",AC$3&gt;=$J20,AC$3&lt;=$M20),1,"")</f>
        <v/>
      </c>
      <c r="AD20">
        <f>IF(AND($A20&lt;&gt;"",AD$3&gt;=$J20,AD$3&lt;=$M20),1,"")</f>
        <v/>
      </c>
      <c r="AE20">
        <f>IF(AND($A20&lt;&gt;"",AE$3&gt;=$J20,AE$3&lt;=$M20),1,"")</f>
        <v/>
      </c>
      <c r="AF20">
        <f>IF(AND($A20&lt;&gt;"",AF$3&gt;=$J20,AF$3&lt;=$M20),1,"")</f>
        <v/>
      </c>
      <c r="AG20">
        <f>IF(AND($A20&lt;&gt;"",AG$3&gt;=$J20,AG$3&lt;=$M20),1,"")</f>
        <v/>
      </c>
      <c r="AH20">
        <f>IF(AND($A20&lt;&gt;"",AH$3&gt;=$J20,AH$3&lt;=$M20),1,"")</f>
        <v/>
      </c>
      <c r="AI20">
        <f>IF(AND($A20&lt;&gt;"",AI$3&gt;=$J20,AI$3&lt;=$M20),1,"")</f>
        <v/>
      </c>
      <c r="AJ20">
        <f>IF(AND($A20&lt;&gt;"",AJ$3&gt;=$J20,AJ$3&lt;=$M20),1,"")</f>
        <v/>
      </c>
      <c r="AK20">
        <f>IF(AND($A20&lt;&gt;"",AK$3&gt;=$J20,AK$3&lt;=$M20),1,"")</f>
        <v/>
      </c>
      <c r="AL20">
        <f>IF(AND($A20&lt;&gt;"",AL$3&gt;=$J20,AL$3&lt;=$M20),1,"")</f>
        <v/>
      </c>
      <c r="AM20">
        <f>IF(AND($A20&lt;&gt;"",AM$3&gt;=$J20,AM$3&lt;=$M20),1,"")</f>
        <v/>
      </c>
      <c r="AN20">
        <f>IF(AND($A20&lt;&gt;"",AN$3&gt;=$J20,AN$3&lt;=$M20),1,"")</f>
        <v/>
      </c>
      <c r="AO20">
        <f>IF(AND($A20&lt;&gt;"",AO$3&gt;=$J20,AO$3&lt;=$M20),1,"")</f>
        <v/>
      </c>
      <c r="AP20">
        <f>IF(AND($A20&lt;&gt;"",AP$3&gt;=$J20,AP$3&lt;=$M20),1,"")</f>
        <v/>
      </c>
      <c r="AQ20">
        <f>IF(AND($A20&lt;&gt;"",AQ$3&gt;=$J20,AQ$3&lt;=$M20),1,"")</f>
        <v/>
      </c>
      <c r="AR20">
        <f>IF(AND($A20&lt;&gt;"",AR$3&gt;=$J20,AR$3&lt;=$M20),1,"")</f>
        <v/>
      </c>
      <c r="AS20">
        <f>IF(AND($A20&lt;&gt;"",AS$3&gt;=$J20,AS$3&lt;=$M20),1,"")</f>
        <v/>
      </c>
      <c r="AT20">
        <f>IF(AND($A20&lt;&gt;"",AT$3&gt;=$J20,AT$3&lt;=$M20),1,"")</f>
        <v/>
      </c>
      <c r="AU20">
        <f>IF(AND($A20&lt;&gt;"",AU$3&gt;=$J20,AU$3&lt;=$M20),1,"")</f>
        <v/>
      </c>
      <c r="AV20">
        <f>IF(AND($A20&lt;&gt;"",AV$3&gt;=$J20,AV$3&lt;=$M20),1,"")</f>
        <v/>
      </c>
      <c r="AW20">
        <f>IF(AND($A20&lt;&gt;"",AW$3&gt;=$J20,AW$3&lt;=$M20),1,"")</f>
        <v/>
      </c>
      <c r="AX20">
        <f>IF(AND($A20&lt;&gt;"",AX$3&gt;=$J20,AX$3&lt;=$M20),1,"")</f>
        <v/>
      </c>
      <c r="AY20">
        <f>IF(AND($A20&lt;&gt;"",AY$3&gt;=$J20,AY$3&lt;=$M20),1,"")</f>
        <v/>
      </c>
      <c r="AZ20">
        <f>IF(AND($A20&lt;&gt;"",AZ$3&gt;=$J20,AZ$3&lt;=$M20),1,"")</f>
        <v/>
      </c>
      <c r="BA20">
        <f>IF(AND($A20&lt;&gt;"",BA$3&gt;=$J20,BA$3&lt;=$M20),1,"")</f>
        <v/>
      </c>
      <c r="BB20">
        <f>IF(AND($A20&lt;&gt;"",BB$3&gt;=$J20,BB$3&lt;=$M20),1,"")</f>
        <v/>
      </c>
      <c r="BC20">
        <f>IF(AND($A20&lt;&gt;"",BC$3&gt;=$J20,BC$3&lt;=$M20),1,"")</f>
        <v/>
      </c>
      <c r="BD20">
        <f>IF(AND($A20&lt;&gt;"",BD$3&gt;=$J20,BD$3&lt;=$M20),1,"")</f>
        <v/>
      </c>
      <c r="BE20">
        <f>IF(AND($A20&lt;&gt;"",BE$3&gt;=$J20,BE$3&lt;=$M20),1,"")</f>
        <v/>
      </c>
      <c r="BF20">
        <f>IF(AND($A20&lt;&gt;"",BF$3&gt;=$J20,BF$3&lt;=$M20),1,"")</f>
        <v/>
      </c>
      <c r="BG20">
        <f>IF(AND($A20&lt;&gt;"",BG$3&gt;=$J20,BG$3&lt;=$M20),1,"")</f>
        <v/>
      </c>
      <c r="BH20">
        <f>IF(AND($A20&lt;&gt;"",BH$3&gt;=$J20,BH$3&lt;=$M20),1,"")</f>
        <v/>
      </c>
      <c r="BI20">
        <f>IF(AND($A20&lt;&gt;"",BI$3&gt;=$J20,BI$3&lt;=$M20),1,"")</f>
        <v/>
      </c>
      <c r="BJ20">
        <f>IF(AND($A20&lt;&gt;"",BJ$3&gt;=$J20,BJ$3&lt;=$M20),1,"")</f>
        <v/>
      </c>
      <c r="BK20">
        <f>IF(AND($A20&lt;&gt;"",BK$3&gt;=$J20,BK$3&lt;=$M20),1,"")</f>
        <v/>
      </c>
      <c r="BL20">
        <f>IF(AND($A20&lt;&gt;"",BL$3&gt;=$J20,BL$3&lt;=$M20),1,"")</f>
        <v/>
      </c>
      <c r="BM20">
        <f>IF(AND($A20&lt;&gt;"",BM$3&gt;=$J20,BM$3&lt;=$M20),1,"")</f>
        <v/>
      </c>
      <c r="BN20">
        <f>IF(AND($A20&lt;&gt;"",BN$3&gt;=$J20,BN$3&lt;=$M20),1,"")</f>
        <v/>
      </c>
      <c r="BO20">
        <f>IF(AND($A20&lt;&gt;"",BO$3&gt;=$J20,BO$3&lt;=$M20),1,"")</f>
        <v/>
      </c>
      <c r="BP20">
        <f>IF(AND($A20&lt;&gt;"",BP$3&gt;=$J20,BP$3&lt;=$M20),1,"")</f>
        <v/>
      </c>
      <c r="BQ20">
        <f>IF(AND($A20&lt;&gt;"",BQ$3&gt;=$J20,BQ$3&lt;=$M20),1,"")</f>
        <v/>
      </c>
      <c r="BR20">
        <f>IF(AND($A20&lt;&gt;"",BR$3&gt;=$J20,BR$3&lt;=$M20),1,"")</f>
        <v/>
      </c>
      <c r="BS20">
        <f>IF(AND($A20&lt;&gt;"",BS$3&gt;=$J20,BS$3&lt;=$M20),1,"")</f>
        <v/>
      </c>
      <c r="BT20">
        <f>IF(AND($A20&lt;&gt;"",BT$3&gt;=$J20,BT$3&lt;=$M20),1,"")</f>
        <v/>
      </c>
      <c r="BU20">
        <f>IF(AND($A20&lt;&gt;"",BU$3&gt;=$J20,BU$3&lt;=$M20),1,"")</f>
        <v/>
      </c>
      <c r="BV20">
        <f>IF(AND($A20&lt;&gt;"",BV$3&gt;=$J20,BV$3&lt;=$M20),1,"")</f>
        <v/>
      </c>
    </row>
    <row r="21">
      <c r="A21">
        <f>IF(Job_Master_Ring!$A21="","",Job_Master_Ring!$A21)</f>
        <v/>
      </c>
      <c r="B21">
        <f>IF($A21="","",Job_Master_Ring!B21)</f>
        <v/>
      </c>
      <c r="C21">
        <f>IF($A21="","",Job_Master_Ring!C21)</f>
        <v/>
      </c>
      <c r="D21">
        <f>IF($A21="","",Job_Master_Ring!D21)</f>
        <v/>
      </c>
      <c r="E21">
        <f>IF($A21="","",IF($I21&lt;&gt;"",$I21,IFERROR(INDEX(Machine_List!$B$82:$B$86,MATCH(1,(Machine_List!$H$82:$H$86&lt;=IFERROR(VLOOKUP($B21,CHOOSE(MATCH($C21,Settings!$L$4:$L$10,0),OPR_BR1!$A$4:$K$18,OPR_BR2!$A$4:$K$18,OPR_CR2!$A$4:$K$18,OPR_CR3!$A$4:$K$18,OPR_CR4!$A$4:$K$18,OPR_RIM!$A$4:$K$18,OPR_BPR!$A$4:$K$18),10,0),0))*(Machine_List!$I$82:$I$86&gt;=IFERROR(VLOOKUP($B21,CHOOSE(MATCH($C21,Settings!$L$4:$L$10,0),OPR_BR1!$A$4:$K$18,OPR_BR2!$A$4:$K$18,OPR_CR2!$A$4:$K$18,OPR_CR3!$A$4:$K$18,OPR_CR4!$A$4:$K$18,OPR_RIM!$A$4:$K$18,OPR_BPR!$A$4:$K$18),11,0),9999)),0)),"NO COMPATIBLE MACHINE")))</f>
        <v/>
      </c>
      <c r="F21">
        <f>IF($E21="","",IFERROR(VLOOKUP($E21,Machine_List!$B:$G,6,0),""))</f>
        <v/>
      </c>
      <c r="G21" s="17">
        <f>IF($E21="","",IFERROR(VLOOKUP($E21,Machine_List!$B:$C,2,0),""))</f>
        <v/>
      </c>
      <c r="H21">
        <f>IF($E21="","",IFERROR(VLOOKUP($E21,Machine_List!$B:$D,3,0),""))</f>
        <v/>
      </c>
      <c r="J21" s="16">
        <f>IF($A21="","",IF($I21&lt;&gt;"",$I21,MAX(FID_Plan!$M21,IFERROR(LOOKUP(2,1/($E$3:INDIRECT("E"&amp;(ROW()-1))=$E21),$M$3:INDIRECT("M"&amp;(ROW()-1))),FID_Plan!$M21))))</f>
        <v/>
      </c>
      <c r="K21">
        <f>IF($A21="","",IFERROR(VLOOKUP(B21,CHOOSE(MATCH($C21,Settings!$L$4:$L$10,0),OPR_BR1!$A$4:$I$18,OPR_BR2!$A$4:$I$18,OPR_CR2!$A$4:$I$18,OPR_CR3!$A$4:$I$18,OPR_CR4!$A$4:$I$18,OPR_RIM!$A$4:$I$18,OPR_BPR!$A$4:$I$18),9,0),0))</f>
        <v/>
      </c>
      <c r="L21">
        <f>IF($A21="","",K21*D21)</f>
        <v/>
      </c>
      <c r="M21" s="16">
        <f>IF($A21=""," ",$J21+($L21/(IF(F21="Contract Workman",Settings!$K$5,Settings!$K$4))))</f>
        <v/>
      </c>
      <c r="N21">
        <f>IF($A21="","",IF(F21="Contract Workman",IF(AND(MOD(M21,1)&gt;=8/24,MOD(M21,1)&lt;20/24),"Shift S1","Shift S2"),IF(AND(MOD(M21,1)&gt;=7/24,MOD(M21,1)&lt;15/24),"Shift A",IF(AND(MOD(M21,1)&gt;=15/24,MOD(M21,1)&lt;23/24),"Shift B","Shift C"))))</f>
        <v/>
      </c>
      <c r="O21">
        <f>IF(B21="","",IF(IFERROR(ISNUMBER(SEARCH(TEXT(B21,"0"),VLOOKUP(E21,Machine_List!$B:$J,9,0))),FALSE),"✅ "&amp; E21,"❌ Sug: "&amp;IFERROR(INDEX(Machine_List!$B$82:$B$86,MATCH(1,(Machine_List!$H$82:$H$86&lt;=IFERROR(VLOOKUP($B21,OPR_BR1!$A$4:$K$18,10,0),0))*(Machine_List!$I$82:$I$86&gt;=IFERROR(VLOOKUP($B21,OPR_BR1!$A$4:$K$18,11,0),9999)),0)),"?")))</f>
        <v/>
      </c>
      <c r="P21">
        <f>IF(AND($A21&lt;&gt;"",P$3&gt;=$J21,P$3&lt;=$M21),1,"")</f>
        <v/>
      </c>
      <c r="Q21">
        <f>IF(AND($A21&lt;&gt;"",Q$3&gt;=$J21,Q$3&lt;=$M21),1,"")</f>
        <v/>
      </c>
      <c r="R21">
        <f>IF(AND($A21&lt;&gt;"",R$3&gt;=$J21,R$3&lt;=$M21),1,"")</f>
        <v/>
      </c>
      <c r="S21">
        <f>IF(AND($A21&lt;&gt;"",S$3&gt;=$J21,S$3&lt;=$M21),1,"")</f>
        <v/>
      </c>
      <c r="T21">
        <f>IF(AND($A21&lt;&gt;"",T$3&gt;=$J21,T$3&lt;=$M21),1,"")</f>
        <v/>
      </c>
      <c r="U21">
        <f>IF(AND($A21&lt;&gt;"",U$3&gt;=$J21,U$3&lt;=$M21),1,"")</f>
        <v/>
      </c>
      <c r="V21">
        <f>IF(AND($A21&lt;&gt;"",V$3&gt;=$J21,V$3&lt;=$M21),1,"")</f>
        <v/>
      </c>
      <c r="W21">
        <f>IF(AND($A21&lt;&gt;"",W$3&gt;=$J21,W$3&lt;=$M21),1,"")</f>
        <v/>
      </c>
      <c r="X21">
        <f>IF(AND($A21&lt;&gt;"",X$3&gt;=$J21,X$3&lt;=$M21),1,"")</f>
        <v/>
      </c>
      <c r="Y21">
        <f>IF(AND($A21&lt;&gt;"",Y$3&gt;=$J21,Y$3&lt;=$M21),1,"")</f>
        <v/>
      </c>
      <c r="Z21">
        <f>IF(AND($A21&lt;&gt;"",Z$3&gt;=$J21,Z$3&lt;=$M21),1,"")</f>
        <v/>
      </c>
      <c r="AA21">
        <f>IF(AND($A21&lt;&gt;"",AA$3&gt;=$J21,AA$3&lt;=$M21),1,"")</f>
        <v/>
      </c>
      <c r="AB21">
        <f>IF(AND($A21&lt;&gt;"",AB$3&gt;=$J21,AB$3&lt;=$M21),1,"")</f>
        <v/>
      </c>
      <c r="AC21">
        <f>IF(AND($A21&lt;&gt;"",AC$3&gt;=$J21,AC$3&lt;=$M21),1,"")</f>
        <v/>
      </c>
      <c r="AD21">
        <f>IF(AND($A21&lt;&gt;"",AD$3&gt;=$J21,AD$3&lt;=$M21),1,"")</f>
        <v/>
      </c>
      <c r="AE21">
        <f>IF(AND($A21&lt;&gt;"",AE$3&gt;=$J21,AE$3&lt;=$M21),1,"")</f>
        <v/>
      </c>
      <c r="AF21">
        <f>IF(AND($A21&lt;&gt;"",AF$3&gt;=$J21,AF$3&lt;=$M21),1,"")</f>
        <v/>
      </c>
      <c r="AG21">
        <f>IF(AND($A21&lt;&gt;"",AG$3&gt;=$J21,AG$3&lt;=$M21),1,"")</f>
        <v/>
      </c>
      <c r="AH21">
        <f>IF(AND($A21&lt;&gt;"",AH$3&gt;=$J21,AH$3&lt;=$M21),1,"")</f>
        <v/>
      </c>
      <c r="AI21">
        <f>IF(AND($A21&lt;&gt;"",AI$3&gt;=$J21,AI$3&lt;=$M21),1,"")</f>
        <v/>
      </c>
      <c r="AJ21">
        <f>IF(AND($A21&lt;&gt;"",AJ$3&gt;=$J21,AJ$3&lt;=$M21),1,"")</f>
        <v/>
      </c>
      <c r="AK21">
        <f>IF(AND($A21&lt;&gt;"",AK$3&gt;=$J21,AK$3&lt;=$M21),1,"")</f>
        <v/>
      </c>
      <c r="AL21">
        <f>IF(AND($A21&lt;&gt;"",AL$3&gt;=$J21,AL$3&lt;=$M21),1,"")</f>
        <v/>
      </c>
      <c r="AM21">
        <f>IF(AND($A21&lt;&gt;"",AM$3&gt;=$J21,AM$3&lt;=$M21),1,"")</f>
        <v/>
      </c>
      <c r="AN21">
        <f>IF(AND($A21&lt;&gt;"",AN$3&gt;=$J21,AN$3&lt;=$M21),1,"")</f>
        <v/>
      </c>
      <c r="AO21">
        <f>IF(AND($A21&lt;&gt;"",AO$3&gt;=$J21,AO$3&lt;=$M21),1,"")</f>
        <v/>
      </c>
      <c r="AP21">
        <f>IF(AND($A21&lt;&gt;"",AP$3&gt;=$J21,AP$3&lt;=$M21),1,"")</f>
        <v/>
      </c>
      <c r="AQ21">
        <f>IF(AND($A21&lt;&gt;"",AQ$3&gt;=$J21,AQ$3&lt;=$M21),1,"")</f>
        <v/>
      </c>
      <c r="AR21">
        <f>IF(AND($A21&lt;&gt;"",AR$3&gt;=$J21,AR$3&lt;=$M21),1,"")</f>
        <v/>
      </c>
      <c r="AS21">
        <f>IF(AND($A21&lt;&gt;"",AS$3&gt;=$J21,AS$3&lt;=$M21),1,"")</f>
        <v/>
      </c>
      <c r="AT21">
        <f>IF(AND($A21&lt;&gt;"",AT$3&gt;=$J21,AT$3&lt;=$M21),1,"")</f>
        <v/>
      </c>
      <c r="AU21">
        <f>IF(AND($A21&lt;&gt;"",AU$3&gt;=$J21,AU$3&lt;=$M21),1,"")</f>
        <v/>
      </c>
      <c r="AV21">
        <f>IF(AND($A21&lt;&gt;"",AV$3&gt;=$J21,AV$3&lt;=$M21),1,"")</f>
        <v/>
      </c>
      <c r="AW21">
        <f>IF(AND($A21&lt;&gt;"",AW$3&gt;=$J21,AW$3&lt;=$M21),1,"")</f>
        <v/>
      </c>
      <c r="AX21">
        <f>IF(AND($A21&lt;&gt;"",AX$3&gt;=$J21,AX$3&lt;=$M21),1,"")</f>
        <v/>
      </c>
      <c r="AY21">
        <f>IF(AND($A21&lt;&gt;"",AY$3&gt;=$J21,AY$3&lt;=$M21),1,"")</f>
        <v/>
      </c>
      <c r="AZ21">
        <f>IF(AND($A21&lt;&gt;"",AZ$3&gt;=$J21,AZ$3&lt;=$M21),1,"")</f>
        <v/>
      </c>
      <c r="BA21">
        <f>IF(AND($A21&lt;&gt;"",BA$3&gt;=$J21,BA$3&lt;=$M21),1,"")</f>
        <v/>
      </c>
      <c r="BB21">
        <f>IF(AND($A21&lt;&gt;"",BB$3&gt;=$J21,BB$3&lt;=$M21),1,"")</f>
        <v/>
      </c>
      <c r="BC21">
        <f>IF(AND($A21&lt;&gt;"",BC$3&gt;=$J21,BC$3&lt;=$M21),1,"")</f>
        <v/>
      </c>
      <c r="BD21">
        <f>IF(AND($A21&lt;&gt;"",BD$3&gt;=$J21,BD$3&lt;=$M21),1,"")</f>
        <v/>
      </c>
      <c r="BE21">
        <f>IF(AND($A21&lt;&gt;"",BE$3&gt;=$J21,BE$3&lt;=$M21),1,"")</f>
        <v/>
      </c>
      <c r="BF21">
        <f>IF(AND($A21&lt;&gt;"",BF$3&gt;=$J21,BF$3&lt;=$M21),1,"")</f>
        <v/>
      </c>
      <c r="BG21">
        <f>IF(AND($A21&lt;&gt;"",BG$3&gt;=$J21,BG$3&lt;=$M21),1,"")</f>
        <v/>
      </c>
      <c r="BH21">
        <f>IF(AND($A21&lt;&gt;"",BH$3&gt;=$J21,BH$3&lt;=$M21),1,"")</f>
        <v/>
      </c>
      <c r="BI21">
        <f>IF(AND($A21&lt;&gt;"",BI$3&gt;=$J21,BI$3&lt;=$M21),1,"")</f>
        <v/>
      </c>
      <c r="BJ21">
        <f>IF(AND($A21&lt;&gt;"",BJ$3&gt;=$J21,BJ$3&lt;=$M21),1,"")</f>
        <v/>
      </c>
      <c r="BK21">
        <f>IF(AND($A21&lt;&gt;"",BK$3&gt;=$J21,BK$3&lt;=$M21),1,"")</f>
        <v/>
      </c>
      <c r="BL21">
        <f>IF(AND($A21&lt;&gt;"",BL$3&gt;=$J21,BL$3&lt;=$M21),1,"")</f>
        <v/>
      </c>
      <c r="BM21">
        <f>IF(AND($A21&lt;&gt;"",BM$3&gt;=$J21,BM$3&lt;=$M21),1,"")</f>
        <v/>
      </c>
      <c r="BN21">
        <f>IF(AND($A21&lt;&gt;"",BN$3&gt;=$J21,BN$3&lt;=$M21),1,"")</f>
        <v/>
      </c>
      <c r="BO21">
        <f>IF(AND($A21&lt;&gt;"",BO$3&gt;=$J21,BO$3&lt;=$M21),1,"")</f>
        <v/>
      </c>
      <c r="BP21">
        <f>IF(AND($A21&lt;&gt;"",BP$3&gt;=$J21,BP$3&lt;=$M21),1,"")</f>
        <v/>
      </c>
      <c r="BQ21">
        <f>IF(AND($A21&lt;&gt;"",BQ$3&gt;=$J21,BQ$3&lt;=$M21),1,"")</f>
        <v/>
      </c>
      <c r="BR21">
        <f>IF(AND($A21&lt;&gt;"",BR$3&gt;=$J21,BR$3&lt;=$M21),1,"")</f>
        <v/>
      </c>
      <c r="BS21">
        <f>IF(AND($A21&lt;&gt;"",BS$3&gt;=$J21,BS$3&lt;=$M21),1,"")</f>
        <v/>
      </c>
      <c r="BT21">
        <f>IF(AND($A21&lt;&gt;"",BT$3&gt;=$J21,BT$3&lt;=$M21),1,"")</f>
        <v/>
      </c>
      <c r="BU21">
        <f>IF(AND($A21&lt;&gt;"",BU$3&gt;=$J21,BU$3&lt;=$M21),1,"")</f>
        <v/>
      </c>
      <c r="BV21">
        <f>IF(AND($A21&lt;&gt;"",BV$3&gt;=$J21,BV$3&lt;=$M21),1,"")</f>
        <v/>
      </c>
    </row>
    <row r="22">
      <c r="A22">
        <f>IF(Job_Master_Ring!$A22="","",Job_Master_Ring!$A22)</f>
        <v/>
      </c>
      <c r="B22">
        <f>IF($A22="","",Job_Master_Ring!B22)</f>
        <v/>
      </c>
      <c r="C22">
        <f>IF($A22="","",Job_Master_Ring!C22)</f>
        <v/>
      </c>
      <c r="D22">
        <f>IF($A22="","",Job_Master_Ring!D22)</f>
        <v/>
      </c>
      <c r="E22">
        <f>IF($A22="","",IF($I22&lt;&gt;"",$I22,IFERROR(INDEX(Machine_List!$B$82:$B$86,MATCH(1,(Machine_List!$H$82:$H$86&lt;=IFERROR(VLOOKUP($B22,CHOOSE(MATCH($C22,Settings!$L$4:$L$10,0),OPR_BR1!$A$4:$K$18,OPR_BR2!$A$4:$K$18,OPR_CR2!$A$4:$K$18,OPR_CR3!$A$4:$K$18,OPR_CR4!$A$4:$K$18,OPR_RIM!$A$4:$K$18,OPR_BPR!$A$4:$K$18),10,0),0))*(Machine_List!$I$82:$I$86&gt;=IFERROR(VLOOKUP($B22,CHOOSE(MATCH($C22,Settings!$L$4:$L$10,0),OPR_BR1!$A$4:$K$18,OPR_BR2!$A$4:$K$18,OPR_CR2!$A$4:$K$18,OPR_CR3!$A$4:$K$18,OPR_CR4!$A$4:$K$18,OPR_RIM!$A$4:$K$18,OPR_BPR!$A$4:$K$18),11,0),9999)),0)),"NO COMPATIBLE MACHINE")))</f>
        <v/>
      </c>
      <c r="F22">
        <f>IF($E22="","",IFERROR(VLOOKUP($E22,Machine_List!$B:$G,6,0),""))</f>
        <v/>
      </c>
      <c r="G22" s="17">
        <f>IF($E22="","",IFERROR(VLOOKUP($E22,Machine_List!$B:$C,2,0),""))</f>
        <v/>
      </c>
      <c r="H22">
        <f>IF($E22="","",IFERROR(VLOOKUP($E22,Machine_List!$B:$D,3,0),""))</f>
        <v/>
      </c>
      <c r="J22" s="16">
        <f>IF($A22="","",IF($I22&lt;&gt;"",$I22,MAX(FID_Plan!$M22,IFERROR(LOOKUP(2,1/($E$3:INDIRECT("E"&amp;(ROW()-1))=$E22),$M$3:INDIRECT("M"&amp;(ROW()-1))),FID_Plan!$M22))))</f>
        <v/>
      </c>
      <c r="K22">
        <f>IF($A22="","",IFERROR(VLOOKUP(B22,CHOOSE(MATCH($C22,Settings!$L$4:$L$10,0),OPR_BR1!$A$4:$I$18,OPR_BR2!$A$4:$I$18,OPR_CR2!$A$4:$I$18,OPR_CR3!$A$4:$I$18,OPR_CR4!$A$4:$I$18,OPR_RIM!$A$4:$I$18,OPR_BPR!$A$4:$I$18),9,0),0))</f>
        <v/>
      </c>
      <c r="L22">
        <f>IF($A22="","",K22*D22)</f>
        <v/>
      </c>
      <c r="M22" s="16">
        <f>IF($A22=""," ",$J22+($L22/(IF(F22="Contract Workman",Settings!$K$5,Settings!$K$4))))</f>
        <v/>
      </c>
      <c r="N22">
        <f>IF($A22="","",IF(F22="Contract Workman",IF(AND(MOD(M22,1)&gt;=8/24,MOD(M22,1)&lt;20/24),"Shift S1","Shift S2"),IF(AND(MOD(M22,1)&gt;=7/24,MOD(M22,1)&lt;15/24),"Shift A",IF(AND(MOD(M22,1)&gt;=15/24,MOD(M22,1)&lt;23/24),"Shift B","Shift C"))))</f>
        <v/>
      </c>
      <c r="O22">
        <f>IF(B22="","",IF(IFERROR(ISNUMBER(SEARCH(TEXT(B22,"0"),VLOOKUP(E22,Machine_List!$B:$J,9,0))),FALSE),"✅ "&amp; E22,"❌ Sug: "&amp;IFERROR(INDEX(Machine_List!$B$82:$B$86,MATCH(1,(Machine_List!$H$82:$H$86&lt;=IFERROR(VLOOKUP($B22,OPR_BR1!$A$4:$K$18,10,0),0))*(Machine_List!$I$82:$I$86&gt;=IFERROR(VLOOKUP($B22,OPR_BR1!$A$4:$K$18,11,0),9999)),0)),"?")))</f>
        <v/>
      </c>
      <c r="P22">
        <f>IF(AND($A22&lt;&gt;"",P$3&gt;=$J22,P$3&lt;=$M22),1,"")</f>
        <v/>
      </c>
      <c r="Q22">
        <f>IF(AND($A22&lt;&gt;"",Q$3&gt;=$J22,Q$3&lt;=$M22),1,"")</f>
        <v/>
      </c>
      <c r="R22">
        <f>IF(AND($A22&lt;&gt;"",R$3&gt;=$J22,R$3&lt;=$M22),1,"")</f>
        <v/>
      </c>
      <c r="S22">
        <f>IF(AND($A22&lt;&gt;"",S$3&gt;=$J22,S$3&lt;=$M22),1,"")</f>
        <v/>
      </c>
      <c r="T22">
        <f>IF(AND($A22&lt;&gt;"",T$3&gt;=$J22,T$3&lt;=$M22),1,"")</f>
        <v/>
      </c>
      <c r="U22">
        <f>IF(AND($A22&lt;&gt;"",U$3&gt;=$J22,U$3&lt;=$M22),1,"")</f>
        <v/>
      </c>
      <c r="V22">
        <f>IF(AND($A22&lt;&gt;"",V$3&gt;=$J22,V$3&lt;=$M22),1,"")</f>
        <v/>
      </c>
      <c r="W22">
        <f>IF(AND($A22&lt;&gt;"",W$3&gt;=$J22,W$3&lt;=$M22),1,"")</f>
        <v/>
      </c>
      <c r="X22">
        <f>IF(AND($A22&lt;&gt;"",X$3&gt;=$J22,X$3&lt;=$M22),1,"")</f>
        <v/>
      </c>
      <c r="Y22">
        <f>IF(AND($A22&lt;&gt;"",Y$3&gt;=$J22,Y$3&lt;=$M22),1,"")</f>
        <v/>
      </c>
      <c r="Z22">
        <f>IF(AND($A22&lt;&gt;"",Z$3&gt;=$J22,Z$3&lt;=$M22),1,"")</f>
        <v/>
      </c>
      <c r="AA22">
        <f>IF(AND($A22&lt;&gt;"",AA$3&gt;=$J22,AA$3&lt;=$M22),1,"")</f>
        <v/>
      </c>
      <c r="AB22">
        <f>IF(AND($A22&lt;&gt;"",AB$3&gt;=$J22,AB$3&lt;=$M22),1,"")</f>
        <v/>
      </c>
      <c r="AC22">
        <f>IF(AND($A22&lt;&gt;"",AC$3&gt;=$J22,AC$3&lt;=$M22),1,"")</f>
        <v/>
      </c>
      <c r="AD22">
        <f>IF(AND($A22&lt;&gt;"",AD$3&gt;=$J22,AD$3&lt;=$M22),1,"")</f>
        <v/>
      </c>
      <c r="AE22">
        <f>IF(AND($A22&lt;&gt;"",AE$3&gt;=$J22,AE$3&lt;=$M22),1,"")</f>
        <v/>
      </c>
      <c r="AF22">
        <f>IF(AND($A22&lt;&gt;"",AF$3&gt;=$J22,AF$3&lt;=$M22),1,"")</f>
        <v/>
      </c>
      <c r="AG22">
        <f>IF(AND($A22&lt;&gt;"",AG$3&gt;=$J22,AG$3&lt;=$M22),1,"")</f>
        <v/>
      </c>
      <c r="AH22">
        <f>IF(AND($A22&lt;&gt;"",AH$3&gt;=$J22,AH$3&lt;=$M22),1,"")</f>
        <v/>
      </c>
      <c r="AI22">
        <f>IF(AND($A22&lt;&gt;"",AI$3&gt;=$J22,AI$3&lt;=$M22),1,"")</f>
        <v/>
      </c>
      <c r="AJ22">
        <f>IF(AND($A22&lt;&gt;"",AJ$3&gt;=$J22,AJ$3&lt;=$M22),1,"")</f>
        <v/>
      </c>
      <c r="AK22">
        <f>IF(AND($A22&lt;&gt;"",AK$3&gt;=$J22,AK$3&lt;=$M22),1,"")</f>
        <v/>
      </c>
      <c r="AL22">
        <f>IF(AND($A22&lt;&gt;"",AL$3&gt;=$J22,AL$3&lt;=$M22),1,"")</f>
        <v/>
      </c>
      <c r="AM22">
        <f>IF(AND($A22&lt;&gt;"",AM$3&gt;=$J22,AM$3&lt;=$M22),1,"")</f>
        <v/>
      </c>
      <c r="AN22">
        <f>IF(AND($A22&lt;&gt;"",AN$3&gt;=$J22,AN$3&lt;=$M22),1,"")</f>
        <v/>
      </c>
      <c r="AO22">
        <f>IF(AND($A22&lt;&gt;"",AO$3&gt;=$J22,AO$3&lt;=$M22),1,"")</f>
        <v/>
      </c>
      <c r="AP22">
        <f>IF(AND($A22&lt;&gt;"",AP$3&gt;=$J22,AP$3&lt;=$M22),1,"")</f>
        <v/>
      </c>
      <c r="AQ22">
        <f>IF(AND($A22&lt;&gt;"",AQ$3&gt;=$J22,AQ$3&lt;=$M22),1,"")</f>
        <v/>
      </c>
      <c r="AR22">
        <f>IF(AND($A22&lt;&gt;"",AR$3&gt;=$J22,AR$3&lt;=$M22),1,"")</f>
        <v/>
      </c>
      <c r="AS22">
        <f>IF(AND($A22&lt;&gt;"",AS$3&gt;=$J22,AS$3&lt;=$M22),1,"")</f>
        <v/>
      </c>
      <c r="AT22">
        <f>IF(AND($A22&lt;&gt;"",AT$3&gt;=$J22,AT$3&lt;=$M22),1,"")</f>
        <v/>
      </c>
      <c r="AU22">
        <f>IF(AND($A22&lt;&gt;"",AU$3&gt;=$J22,AU$3&lt;=$M22),1,"")</f>
        <v/>
      </c>
      <c r="AV22">
        <f>IF(AND($A22&lt;&gt;"",AV$3&gt;=$J22,AV$3&lt;=$M22),1,"")</f>
        <v/>
      </c>
      <c r="AW22">
        <f>IF(AND($A22&lt;&gt;"",AW$3&gt;=$J22,AW$3&lt;=$M22),1,"")</f>
        <v/>
      </c>
      <c r="AX22">
        <f>IF(AND($A22&lt;&gt;"",AX$3&gt;=$J22,AX$3&lt;=$M22),1,"")</f>
        <v/>
      </c>
      <c r="AY22">
        <f>IF(AND($A22&lt;&gt;"",AY$3&gt;=$J22,AY$3&lt;=$M22),1,"")</f>
        <v/>
      </c>
      <c r="AZ22">
        <f>IF(AND($A22&lt;&gt;"",AZ$3&gt;=$J22,AZ$3&lt;=$M22),1,"")</f>
        <v/>
      </c>
      <c r="BA22">
        <f>IF(AND($A22&lt;&gt;"",BA$3&gt;=$J22,BA$3&lt;=$M22),1,"")</f>
        <v/>
      </c>
      <c r="BB22">
        <f>IF(AND($A22&lt;&gt;"",BB$3&gt;=$J22,BB$3&lt;=$M22),1,"")</f>
        <v/>
      </c>
      <c r="BC22">
        <f>IF(AND($A22&lt;&gt;"",BC$3&gt;=$J22,BC$3&lt;=$M22),1,"")</f>
        <v/>
      </c>
      <c r="BD22">
        <f>IF(AND($A22&lt;&gt;"",BD$3&gt;=$J22,BD$3&lt;=$M22),1,"")</f>
        <v/>
      </c>
      <c r="BE22">
        <f>IF(AND($A22&lt;&gt;"",BE$3&gt;=$J22,BE$3&lt;=$M22),1,"")</f>
        <v/>
      </c>
      <c r="BF22">
        <f>IF(AND($A22&lt;&gt;"",BF$3&gt;=$J22,BF$3&lt;=$M22),1,"")</f>
        <v/>
      </c>
      <c r="BG22">
        <f>IF(AND($A22&lt;&gt;"",BG$3&gt;=$J22,BG$3&lt;=$M22),1,"")</f>
        <v/>
      </c>
      <c r="BH22">
        <f>IF(AND($A22&lt;&gt;"",BH$3&gt;=$J22,BH$3&lt;=$M22),1,"")</f>
        <v/>
      </c>
      <c r="BI22">
        <f>IF(AND($A22&lt;&gt;"",BI$3&gt;=$J22,BI$3&lt;=$M22),1,"")</f>
        <v/>
      </c>
      <c r="BJ22">
        <f>IF(AND($A22&lt;&gt;"",BJ$3&gt;=$J22,BJ$3&lt;=$M22),1,"")</f>
        <v/>
      </c>
      <c r="BK22">
        <f>IF(AND($A22&lt;&gt;"",BK$3&gt;=$J22,BK$3&lt;=$M22),1,"")</f>
        <v/>
      </c>
      <c r="BL22">
        <f>IF(AND($A22&lt;&gt;"",BL$3&gt;=$J22,BL$3&lt;=$M22),1,"")</f>
        <v/>
      </c>
      <c r="BM22">
        <f>IF(AND($A22&lt;&gt;"",BM$3&gt;=$J22,BM$3&lt;=$M22),1,"")</f>
        <v/>
      </c>
      <c r="BN22">
        <f>IF(AND($A22&lt;&gt;"",BN$3&gt;=$J22,BN$3&lt;=$M22),1,"")</f>
        <v/>
      </c>
      <c r="BO22">
        <f>IF(AND($A22&lt;&gt;"",BO$3&gt;=$J22,BO$3&lt;=$M22),1,"")</f>
        <v/>
      </c>
      <c r="BP22">
        <f>IF(AND($A22&lt;&gt;"",BP$3&gt;=$J22,BP$3&lt;=$M22),1,"")</f>
        <v/>
      </c>
      <c r="BQ22">
        <f>IF(AND($A22&lt;&gt;"",BQ$3&gt;=$J22,BQ$3&lt;=$M22),1,"")</f>
        <v/>
      </c>
      <c r="BR22">
        <f>IF(AND($A22&lt;&gt;"",BR$3&gt;=$J22,BR$3&lt;=$M22),1,"")</f>
        <v/>
      </c>
      <c r="BS22">
        <f>IF(AND($A22&lt;&gt;"",BS$3&gt;=$J22,BS$3&lt;=$M22),1,"")</f>
        <v/>
      </c>
      <c r="BT22">
        <f>IF(AND($A22&lt;&gt;"",BT$3&gt;=$J22,BT$3&lt;=$M22),1,"")</f>
        <v/>
      </c>
      <c r="BU22">
        <f>IF(AND($A22&lt;&gt;"",BU$3&gt;=$J22,BU$3&lt;=$M22),1,"")</f>
        <v/>
      </c>
      <c r="BV22">
        <f>IF(AND($A22&lt;&gt;"",BV$3&gt;=$J22,BV$3&lt;=$M22),1,"")</f>
        <v/>
      </c>
    </row>
    <row r="23">
      <c r="A23">
        <f>IF(Job_Master_Ring!$A23="","",Job_Master_Ring!$A23)</f>
        <v/>
      </c>
      <c r="B23">
        <f>IF($A23="","",Job_Master_Ring!B23)</f>
        <v/>
      </c>
      <c r="C23">
        <f>IF($A23="","",Job_Master_Ring!C23)</f>
        <v/>
      </c>
      <c r="D23">
        <f>IF($A23="","",Job_Master_Ring!D23)</f>
        <v/>
      </c>
      <c r="E23">
        <f>IF($A23="","",IF($I23&lt;&gt;"",$I23,IFERROR(INDEX(Machine_List!$B$82:$B$86,MATCH(1,(Machine_List!$H$82:$H$86&lt;=IFERROR(VLOOKUP($B23,CHOOSE(MATCH($C23,Settings!$L$4:$L$10,0),OPR_BR1!$A$4:$K$18,OPR_BR2!$A$4:$K$18,OPR_CR2!$A$4:$K$18,OPR_CR3!$A$4:$K$18,OPR_CR4!$A$4:$K$18,OPR_RIM!$A$4:$K$18,OPR_BPR!$A$4:$K$18),10,0),0))*(Machine_List!$I$82:$I$86&gt;=IFERROR(VLOOKUP($B23,CHOOSE(MATCH($C23,Settings!$L$4:$L$10,0),OPR_BR1!$A$4:$K$18,OPR_BR2!$A$4:$K$18,OPR_CR2!$A$4:$K$18,OPR_CR3!$A$4:$K$18,OPR_CR4!$A$4:$K$18,OPR_RIM!$A$4:$K$18,OPR_BPR!$A$4:$K$18),11,0),9999)),0)),"NO COMPATIBLE MACHINE")))</f>
        <v/>
      </c>
      <c r="F23">
        <f>IF($E23="","",IFERROR(VLOOKUP($E23,Machine_List!$B:$G,6,0),""))</f>
        <v/>
      </c>
      <c r="G23" s="17">
        <f>IF($E23="","",IFERROR(VLOOKUP($E23,Machine_List!$B:$C,2,0),""))</f>
        <v/>
      </c>
      <c r="H23">
        <f>IF($E23="","",IFERROR(VLOOKUP($E23,Machine_List!$B:$D,3,0),""))</f>
        <v/>
      </c>
      <c r="J23" s="16">
        <f>IF($A23="","",IF($I23&lt;&gt;"",$I23,MAX(FID_Plan!$M23,IFERROR(LOOKUP(2,1/($E$3:INDIRECT("E"&amp;(ROW()-1))=$E23),$M$3:INDIRECT("M"&amp;(ROW()-1))),FID_Plan!$M23))))</f>
        <v/>
      </c>
      <c r="K23">
        <f>IF($A23="","",IFERROR(VLOOKUP(B23,CHOOSE(MATCH($C23,Settings!$L$4:$L$10,0),OPR_BR1!$A$4:$I$18,OPR_BR2!$A$4:$I$18,OPR_CR2!$A$4:$I$18,OPR_CR3!$A$4:$I$18,OPR_CR4!$A$4:$I$18,OPR_RIM!$A$4:$I$18,OPR_BPR!$A$4:$I$18),9,0),0))</f>
        <v/>
      </c>
      <c r="L23">
        <f>IF($A23="","",K23*D23)</f>
        <v/>
      </c>
      <c r="M23" s="16">
        <f>IF($A23=""," ",$J23+($L23/(IF(F23="Contract Workman",Settings!$K$5,Settings!$K$4))))</f>
        <v/>
      </c>
      <c r="N23">
        <f>IF($A23="","",IF(F23="Contract Workman",IF(AND(MOD(M23,1)&gt;=8/24,MOD(M23,1)&lt;20/24),"Shift S1","Shift S2"),IF(AND(MOD(M23,1)&gt;=7/24,MOD(M23,1)&lt;15/24),"Shift A",IF(AND(MOD(M23,1)&gt;=15/24,MOD(M23,1)&lt;23/24),"Shift B","Shift C"))))</f>
        <v/>
      </c>
      <c r="O23">
        <f>IF(B23="","",IF(IFERROR(ISNUMBER(SEARCH(TEXT(B23,"0"),VLOOKUP(E23,Machine_List!$B:$J,9,0))),FALSE),"✅ "&amp; E23,"❌ Sug: "&amp;IFERROR(INDEX(Machine_List!$B$82:$B$86,MATCH(1,(Machine_List!$H$82:$H$86&lt;=IFERROR(VLOOKUP($B23,OPR_BR1!$A$4:$K$18,10,0),0))*(Machine_List!$I$82:$I$86&gt;=IFERROR(VLOOKUP($B23,OPR_BR1!$A$4:$K$18,11,0),9999)),0)),"?")))</f>
        <v/>
      </c>
      <c r="P23">
        <f>IF(AND($A23&lt;&gt;"",P$3&gt;=$J23,P$3&lt;=$M23),1,"")</f>
        <v/>
      </c>
      <c r="Q23">
        <f>IF(AND($A23&lt;&gt;"",Q$3&gt;=$J23,Q$3&lt;=$M23),1,"")</f>
        <v/>
      </c>
      <c r="R23">
        <f>IF(AND($A23&lt;&gt;"",R$3&gt;=$J23,R$3&lt;=$M23),1,"")</f>
        <v/>
      </c>
      <c r="S23">
        <f>IF(AND($A23&lt;&gt;"",S$3&gt;=$J23,S$3&lt;=$M23),1,"")</f>
        <v/>
      </c>
      <c r="T23">
        <f>IF(AND($A23&lt;&gt;"",T$3&gt;=$J23,T$3&lt;=$M23),1,"")</f>
        <v/>
      </c>
      <c r="U23">
        <f>IF(AND($A23&lt;&gt;"",U$3&gt;=$J23,U$3&lt;=$M23),1,"")</f>
        <v/>
      </c>
      <c r="V23">
        <f>IF(AND($A23&lt;&gt;"",V$3&gt;=$J23,V$3&lt;=$M23),1,"")</f>
        <v/>
      </c>
      <c r="W23">
        <f>IF(AND($A23&lt;&gt;"",W$3&gt;=$J23,W$3&lt;=$M23),1,"")</f>
        <v/>
      </c>
      <c r="X23">
        <f>IF(AND($A23&lt;&gt;"",X$3&gt;=$J23,X$3&lt;=$M23),1,"")</f>
        <v/>
      </c>
      <c r="Y23">
        <f>IF(AND($A23&lt;&gt;"",Y$3&gt;=$J23,Y$3&lt;=$M23),1,"")</f>
        <v/>
      </c>
      <c r="Z23">
        <f>IF(AND($A23&lt;&gt;"",Z$3&gt;=$J23,Z$3&lt;=$M23),1,"")</f>
        <v/>
      </c>
      <c r="AA23">
        <f>IF(AND($A23&lt;&gt;"",AA$3&gt;=$J23,AA$3&lt;=$M23),1,"")</f>
        <v/>
      </c>
      <c r="AB23">
        <f>IF(AND($A23&lt;&gt;"",AB$3&gt;=$J23,AB$3&lt;=$M23),1,"")</f>
        <v/>
      </c>
      <c r="AC23">
        <f>IF(AND($A23&lt;&gt;"",AC$3&gt;=$J23,AC$3&lt;=$M23),1,"")</f>
        <v/>
      </c>
      <c r="AD23">
        <f>IF(AND($A23&lt;&gt;"",AD$3&gt;=$J23,AD$3&lt;=$M23),1,"")</f>
        <v/>
      </c>
      <c r="AE23">
        <f>IF(AND($A23&lt;&gt;"",AE$3&gt;=$J23,AE$3&lt;=$M23),1,"")</f>
        <v/>
      </c>
      <c r="AF23">
        <f>IF(AND($A23&lt;&gt;"",AF$3&gt;=$J23,AF$3&lt;=$M23),1,"")</f>
        <v/>
      </c>
      <c r="AG23">
        <f>IF(AND($A23&lt;&gt;"",AG$3&gt;=$J23,AG$3&lt;=$M23),1,"")</f>
        <v/>
      </c>
      <c r="AH23">
        <f>IF(AND($A23&lt;&gt;"",AH$3&gt;=$J23,AH$3&lt;=$M23),1,"")</f>
        <v/>
      </c>
      <c r="AI23">
        <f>IF(AND($A23&lt;&gt;"",AI$3&gt;=$J23,AI$3&lt;=$M23),1,"")</f>
        <v/>
      </c>
      <c r="AJ23">
        <f>IF(AND($A23&lt;&gt;"",AJ$3&gt;=$J23,AJ$3&lt;=$M23),1,"")</f>
        <v/>
      </c>
      <c r="AK23">
        <f>IF(AND($A23&lt;&gt;"",AK$3&gt;=$J23,AK$3&lt;=$M23),1,"")</f>
        <v/>
      </c>
      <c r="AL23">
        <f>IF(AND($A23&lt;&gt;"",AL$3&gt;=$J23,AL$3&lt;=$M23),1,"")</f>
        <v/>
      </c>
      <c r="AM23">
        <f>IF(AND($A23&lt;&gt;"",AM$3&gt;=$J23,AM$3&lt;=$M23),1,"")</f>
        <v/>
      </c>
      <c r="AN23">
        <f>IF(AND($A23&lt;&gt;"",AN$3&gt;=$J23,AN$3&lt;=$M23),1,"")</f>
        <v/>
      </c>
      <c r="AO23">
        <f>IF(AND($A23&lt;&gt;"",AO$3&gt;=$J23,AO$3&lt;=$M23),1,"")</f>
        <v/>
      </c>
      <c r="AP23">
        <f>IF(AND($A23&lt;&gt;"",AP$3&gt;=$J23,AP$3&lt;=$M23),1,"")</f>
        <v/>
      </c>
      <c r="AQ23">
        <f>IF(AND($A23&lt;&gt;"",AQ$3&gt;=$J23,AQ$3&lt;=$M23),1,"")</f>
        <v/>
      </c>
      <c r="AR23">
        <f>IF(AND($A23&lt;&gt;"",AR$3&gt;=$J23,AR$3&lt;=$M23),1,"")</f>
        <v/>
      </c>
      <c r="AS23">
        <f>IF(AND($A23&lt;&gt;"",AS$3&gt;=$J23,AS$3&lt;=$M23),1,"")</f>
        <v/>
      </c>
      <c r="AT23">
        <f>IF(AND($A23&lt;&gt;"",AT$3&gt;=$J23,AT$3&lt;=$M23),1,"")</f>
        <v/>
      </c>
      <c r="AU23">
        <f>IF(AND($A23&lt;&gt;"",AU$3&gt;=$J23,AU$3&lt;=$M23),1,"")</f>
        <v/>
      </c>
      <c r="AV23">
        <f>IF(AND($A23&lt;&gt;"",AV$3&gt;=$J23,AV$3&lt;=$M23),1,"")</f>
        <v/>
      </c>
      <c r="AW23">
        <f>IF(AND($A23&lt;&gt;"",AW$3&gt;=$J23,AW$3&lt;=$M23),1,"")</f>
        <v/>
      </c>
      <c r="AX23">
        <f>IF(AND($A23&lt;&gt;"",AX$3&gt;=$J23,AX$3&lt;=$M23),1,"")</f>
        <v/>
      </c>
      <c r="AY23">
        <f>IF(AND($A23&lt;&gt;"",AY$3&gt;=$J23,AY$3&lt;=$M23),1,"")</f>
        <v/>
      </c>
      <c r="AZ23">
        <f>IF(AND($A23&lt;&gt;"",AZ$3&gt;=$J23,AZ$3&lt;=$M23),1,"")</f>
        <v/>
      </c>
      <c r="BA23">
        <f>IF(AND($A23&lt;&gt;"",BA$3&gt;=$J23,BA$3&lt;=$M23),1,"")</f>
        <v/>
      </c>
      <c r="BB23">
        <f>IF(AND($A23&lt;&gt;"",BB$3&gt;=$J23,BB$3&lt;=$M23),1,"")</f>
        <v/>
      </c>
      <c r="BC23">
        <f>IF(AND($A23&lt;&gt;"",BC$3&gt;=$J23,BC$3&lt;=$M23),1,"")</f>
        <v/>
      </c>
      <c r="BD23">
        <f>IF(AND($A23&lt;&gt;"",BD$3&gt;=$J23,BD$3&lt;=$M23),1,"")</f>
        <v/>
      </c>
      <c r="BE23">
        <f>IF(AND($A23&lt;&gt;"",BE$3&gt;=$J23,BE$3&lt;=$M23),1,"")</f>
        <v/>
      </c>
      <c r="BF23">
        <f>IF(AND($A23&lt;&gt;"",BF$3&gt;=$J23,BF$3&lt;=$M23),1,"")</f>
        <v/>
      </c>
      <c r="BG23">
        <f>IF(AND($A23&lt;&gt;"",BG$3&gt;=$J23,BG$3&lt;=$M23),1,"")</f>
        <v/>
      </c>
      <c r="BH23">
        <f>IF(AND($A23&lt;&gt;"",BH$3&gt;=$J23,BH$3&lt;=$M23),1,"")</f>
        <v/>
      </c>
      <c r="BI23">
        <f>IF(AND($A23&lt;&gt;"",BI$3&gt;=$J23,BI$3&lt;=$M23),1,"")</f>
        <v/>
      </c>
      <c r="BJ23">
        <f>IF(AND($A23&lt;&gt;"",BJ$3&gt;=$J23,BJ$3&lt;=$M23),1,"")</f>
        <v/>
      </c>
      <c r="BK23">
        <f>IF(AND($A23&lt;&gt;"",BK$3&gt;=$J23,BK$3&lt;=$M23),1,"")</f>
        <v/>
      </c>
      <c r="BL23">
        <f>IF(AND($A23&lt;&gt;"",BL$3&gt;=$J23,BL$3&lt;=$M23),1,"")</f>
        <v/>
      </c>
      <c r="BM23">
        <f>IF(AND($A23&lt;&gt;"",BM$3&gt;=$J23,BM$3&lt;=$M23),1,"")</f>
        <v/>
      </c>
      <c r="BN23">
        <f>IF(AND($A23&lt;&gt;"",BN$3&gt;=$J23,BN$3&lt;=$M23),1,"")</f>
        <v/>
      </c>
      <c r="BO23">
        <f>IF(AND($A23&lt;&gt;"",BO$3&gt;=$J23,BO$3&lt;=$M23),1,"")</f>
        <v/>
      </c>
      <c r="BP23">
        <f>IF(AND($A23&lt;&gt;"",BP$3&gt;=$J23,BP$3&lt;=$M23),1,"")</f>
        <v/>
      </c>
      <c r="BQ23">
        <f>IF(AND($A23&lt;&gt;"",BQ$3&gt;=$J23,BQ$3&lt;=$M23),1,"")</f>
        <v/>
      </c>
      <c r="BR23">
        <f>IF(AND($A23&lt;&gt;"",BR$3&gt;=$J23,BR$3&lt;=$M23),1,"")</f>
        <v/>
      </c>
      <c r="BS23">
        <f>IF(AND($A23&lt;&gt;"",BS$3&gt;=$J23,BS$3&lt;=$M23),1,"")</f>
        <v/>
      </c>
      <c r="BT23">
        <f>IF(AND($A23&lt;&gt;"",BT$3&gt;=$J23,BT$3&lt;=$M23),1,"")</f>
        <v/>
      </c>
      <c r="BU23">
        <f>IF(AND($A23&lt;&gt;"",BU$3&gt;=$J23,BU$3&lt;=$M23),1,"")</f>
        <v/>
      </c>
      <c r="BV23">
        <f>IF(AND($A23&lt;&gt;"",BV$3&gt;=$J23,BV$3&lt;=$M23),1,"")</f>
        <v/>
      </c>
    </row>
    <row r="24">
      <c r="A24">
        <f>IF(Job_Master_Ring!$A24="","",Job_Master_Ring!$A24)</f>
        <v/>
      </c>
      <c r="B24">
        <f>IF($A24="","",Job_Master_Ring!B24)</f>
        <v/>
      </c>
      <c r="C24">
        <f>IF($A24="","",Job_Master_Ring!C24)</f>
        <v/>
      </c>
      <c r="D24">
        <f>IF($A24="","",Job_Master_Ring!D24)</f>
        <v/>
      </c>
      <c r="E24">
        <f>IF($A24="","",IF($I24&lt;&gt;"",$I24,IFERROR(INDEX(Machine_List!$B$82:$B$86,MATCH(1,(Machine_List!$H$82:$H$86&lt;=IFERROR(VLOOKUP($B24,CHOOSE(MATCH($C24,Settings!$L$4:$L$10,0),OPR_BR1!$A$4:$K$18,OPR_BR2!$A$4:$K$18,OPR_CR2!$A$4:$K$18,OPR_CR3!$A$4:$K$18,OPR_CR4!$A$4:$K$18,OPR_RIM!$A$4:$K$18,OPR_BPR!$A$4:$K$18),10,0),0))*(Machine_List!$I$82:$I$86&gt;=IFERROR(VLOOKUP($B24,CHOOSE(MATCH($C24,Settings!$L$4:$L$10,0),OPR_BR1!$A$4:$K$18,OPR_BR2!$A$4:$K$18,OPR_CR2!$A$4:$K$18,OPR_CR3!$A$4:$K$18,OPR_CR4!$A$4:$K$18,OPR_RIM!$A$4:$K$18,OPR_BPR!$A$4:$K$18),11,0),9999)),0)),"NO COMPATIBLE MACHINE")))</f>
        <v/>
      </c>
      <c r="F24">
        <f>IF($E24="","",IFERROR(VLOOKUP($E24,Machine_List!$B:$G,6,0),""))</f>
        <v/>
      </c>
      <c r="G24" s="17">
        <f>IF($E24="","",IFERROR(VLOOKUP($E24,Machine_List!$B:$C,2,0),""))</f>
        <v/>
      </c>
      <c r="H24">
        <f>IF($E24="","",IFERROR(VLOOKUP($E24,Machine_List!$B:$D,3,0),""))</f>
        <v/>
      </c>
      <c r="J24" s="16">
        <f>IF($A24="","",IF($I24&lt;&gt;"",$I24,MAX(FID_Plan!$M24,IFERROR(LOOKUP(2,1/($E$3:INDIRECT("E"&amp;(ROW()-1))=$E24),$M$3:INDIRECT("M"&amp;(ROW()-1))),FID_Plan!$M24))))</f>
        <v/>
      </c>
      <c r="K24">
        <f>IF($A24="","",IFERROR(VLOOKUP(B24,CHOOSE(MATCH($C24,Settings!$L$4:$L$10,0),OPR_BR1!$A$4:$I$18,OPR_BR2!$A$4:$I$18,OPR_CR2!$A$4:$I$18,OPR_CR3!$A$4:$I$18,OPR_CR4!$A$4:$I$18,OPR_RIM!$A$4:$I$18,OPR_BPR!$A$4:$I$18),9,0),0))</f>
        <v/>
      </c>
      <c r="L24">
        <f>IF($A24="","",K24*D24)</f>
        <v/>
      </c>
      <c r="M24" s="16">
        <f>IF($A24=""," ",$J24+($L24/(IF(F24="Contract Workman",Settings!$K$5,Settings!$K$4))))</f>
        <v/>
      </c>
      <c r="N24">
        <f>IF($A24="","",IF(F24="Contract Workman",IF(AND(MOD(M24,1)&gt;=8/24,MOD(M24,1)&lt;20/24),"Shift S1","Shift S2"),IF(AND(MOD(M24,1)&gt;=7/24,MOD(M24,1)&lt;15/24),"Shift A",IF(AND(MOD(M24,1)&gt;=15/24,MOD(M24,1)&lt;23/24),"Shift B","Shift C"))))</f>
        <v/>
      </c>
      <c r="O24">
        <f>IF(B24="","",IF(IFERROR(ISNUMBER(SEARCH(TEXT(B24,"0"),VLOOKUP(E24,Machine_List!$B:$J,9,0))),FALSE),"✅ "&amp; E24,"❌ Sug: "&amp;IFERROR(INDEX(Machine_List!$B$82:$B$86,MATCH(1,(Machine_List!$H$82:$H$86&lt;=IFERROR(VLOOKUP($B24,OPR_BR1!$A$4:$K$18,10,0),0))*(Machine_List!$I$82:$I$86&gt;=IFERROR(VLOOKUP($B24,OPR_BR1!$A$4:$K$18,11,0),9999)),0)),"?")))</f>
        <v/>
      </c>
      <c r="P24">
        <f>IF(AND($A24&lt;&gt;"",P$3&gt;=$J24,P$3&lt;=$M24),1,"")</f>
        <v/>
      </c>
      <c r="Q24">
        <f>IF(AND($A24&lt;&gt;"",Q$3&gt;=$J24,Q$3&lt;=$M24),1,"")</f>
        <v/>
      </c>
      <c r="R24">
        <f>IF(AND($A24&lt;&gt;"",R$3&gt;=$J24,R$3&lt;=$M24),1,"")</f>
        <v/>
      </c>
      <c r="S24">
        <f>IF(AND($A24&lt;&gt;"",S$3&gt;=$J24,S$3&lt;=$M24),1,"")</f>
        <v/>
      </c>
      <c r="T24">
        <f>IF(AND($A24&lt;&gt;"",T$3&gt;=$J24,T$3&lt;=$M24),1,"")</f>
        <v/>
      </c>
      <c r="U24">
        <f>IF(AND($A24&lt;&gt;"",U$3&gt;=$J24,U$3&lt;=$M24),1,"")</f>
        <v/>
      </c>
      <c r="V24">
        <f>IF(AND($A24&lt;&gt;"",V$3&gt;=$J24,V$3&lt;=$M24),1,"")</f>
        <v/>
      </c>
      <c r="W24">
        <f>IF(AND($A24&lt;&gt;"",W$3&gt;=$J24,W$3&lt;=$M24),1,"")</f>
        <v/>
      </c>
      <c r="X24">
        <f>IF(AND($A24&lt;&gt;"",X$3&gt;=$J24,X$3&lt;=$M24),1,"")</f>
        <v/>
      </c>
      <c r="Y24">
        <f>IF(AND($A24&lt;&gt;"",Y$3&gt;=$J24,Y$3&lt;=$M24),1,"")</f>
        <v/>
      </c>
      <c r="Z24">
        <f>IF(AND($A24&lt;&gt;"",Z$3&gt;=$J24,Z$3&lt;=$M24),1,"")</f>
        <v/>
      </c>
      <c r="AA24">
        <f>IF(AND($A24&lt;&gt;"",AA$3&gt;=$J24,AA$3&lt;=$M24),1,"")</f>
        <v/>
      </c>
      <c r="AB24">
        <f>IF(AND($A24&lt;&gt;"",AB$3&gt;=$J24,AB$3&lt;=$M24),1,"")</f>
        <v/>
      </c>
      <c r="AC24">
        <f>IF(AND($A24&lt;&gt;"",AC$3&gt;=$J24,AC$3&lt;=$M24),1,"")</f>
        <v/>
      </c>
      <c r="AD24">
        <f>IF(AND($A24&lt;&gt;"",AD$3&gt;=$J24,AD$3&lt;=$M24),1,"")</f>
        <v/>
      </c>
      <c r="AE24">
        <f>IF(AND($A24&lt;&gt;"",AE$3&gt;=$J24,AE$3&lt;=$M24),1,"")</f>
        <v/>
      </c>
      <c r="AF24">
        <f>IF(AND($A24&lt;&gt;"",AF$3&gt;=$J24,AF$3&lt;=$M24),1,"")</f>
        <v/>
      </c>
      <c r="AG24">
        <f>IF(AND($A24&lt;&gt;"",AG$3&gt;=$J24,AG$3&lt;=$M24),1,"")</f>
        <v/>
      </c>
      <c r="AH24">
        <f>IF(AND($A24&lt;&gt;"",AH$3&gt;=$J24,AH$3&lt;=$M24),1,"")</f>
        <v/>
      </c>
      <c r="AI24">
        <f>IF(AND($A24&lt;&gt;"",AI$3&gt;=$J24,AI$3&lt;=$M24),1,"")</f>
        <v/>
      </c>
      <c r="AJ24">
        <f>IF(AND($A24&lt;&gt;"",AJ$3&gt;=$J24,AJ$3&lt;=$M24),1,"")</f>
        <v/>
      </c>
      <c r="AK24">
        <f>IF(AND($A24&lt;&gt;"",AK$3&gt;=$J24,AK$3&lt;=$M24),1,"")</f>
        <v/>
      </c>
      <c r="AL24">
        <f>IF(AND($A24&lt;&gt;"",AL$3&gt;=$J24,AL$3&lt;=$M24),1,"")</f>
        <v/>
      </c>
      <c r="AM24">
        <f>IF(AND($A24&lt;&gt;"",AM$3&gt;=$J24,AM$3&lt;=$M24),1,"")</f>
        <v/>
      </c>
      <c r="AN24">
        <f>IF(AND($A24&lt;&gt;"",AN$3&gt;=$J24,AN$3&lt;=$M24),1,"")</f>
        <v/>
      </c>
      <c r="AO24">
        <f>IF(AND($A24&lt;&gt;"",AO$3&gt;=$J24,AO$3&lt;=$M24),1,"")</f>
        <v/>
      </c>
      <c r="AP24">
        <f>IF(AND($A24&lt;&gt;"",AP$3&gt;=$J24,AP$3&lt;=$M24),1,"")</f>
        <v/>
      </c>
      <c r="AQ24">
        <f>IF(AND($A24&lt;&gt;"",AQ$3&gt;=$J24,AQ$3&lt;=$M24),1,"")</f>
        <v/>
      </c>
      <c r="AR24">
        <f>IF(AND($A24&lt;&gt;"",AR$3&gt;=$J24,AR$3&lt;=$M24),1,"")</f>
        <v/>
      </c>
      <c r="AS24">
        <f>IF(AND($A24&lt;&gt;"",AS$3&gt;=$J24,AS$3&lt;=$M24),1,"")</f>
        <v/>
      </c>
      <c r="AT24">
        <f>IF(AND($A24&lt;&gt;"",AT$3&gt;=$J24,AT$3&lt;=$M24),1,"")</f>
        <v/>
      </c>
      <c r="AU24">
        <f>IF(AND($A24&lt;&gt;"",AU$3&gt;=$J24,AU$3&lt;=$M24),1,"")</f>
        <v/>
      </c>
      <c r="AV24">
        <f>IF(AND($A24&lt;&gt;"",AV$3&gt;=$J24,AV$3&lt;=$M24),1,"")</f>
        <v/>
      </c>
      <c r="AW24">
        <f>IF(AND($A24&lt;&gt;"",AW$3&gt;=$J24,AW$3&lt;=$M24),1,"")</f>
        <v/>
      </c>
      <c r="AX24">
        <f>IF(AND($A24&lt;&gt;"",AX$3&gt;=$J24,AX$3&lt;=$M24),1,"")</f>
        <v/>
      </c>
      <c r="AY24">
        <f>IF(AND($A24&lt;&gt;"",AY$3&gt;=$J24,AY$3&lt;=$M24),1,"")</f>
        <v/>
      </c>
      <c r="AZ24">
        <f>IF(AND($A24&lt;&gt;"",AZ$3&gt;=$J24,AZ$3&lt;=$M24),1,"")</f>
        <v/>
      </c>
      <c r="BA24">
        <f>IF(AND($A24&lt;&gt;"",BA$3&gt;=$J24,BA$3&lt;=$M24),1,"")</f>
        <v/>
      </c>
      <c r="BB24">
        <f>IF(AND($A24&lt;&gt;"",BB$3&gt;=$J24,BB$3&lt;=$M24),1,"")</f>
        <v/>
      </c>
      <c r="BC24">
        <f>IF(AND($A24&lt;&gt;"",BC$3&gt;=$J24,BC$3&lt;=$M24),1,"")</f>
        <v/>
      </c>
      <c r="BD24">
        <f>IF(AND($A24&lt;&gt;"",BD$3&gt;=$J24,BD$3&lt;=$M24),1,"")</f>
        <v/>
      </c>
      <c r="BE24">
        <f>IF(AND($A24&lt;&gt;"",BE$3&gt;=$J24,BE$3&lt;=$M24),1,"")</f>
        <v/>
      </c>
      <c r="BF24">
        <f>IF(AND($A24&lt;&gt;"",BF$3&gt;=$J24,BF$3&lt;=$M24),1,"")</f>
        <v/>
      </c>
      <c r="BG24">
        <f>IF(AND($A24&lt;&gt;"",BG$3&gt;=$J24,BG$3&lt;=$M24),1,"")</f>
        <v/>
      </c>
      <c r="BH24">
        <f>IF(AND($A24&lt;&gt;"",BH$3&gt;=$J24,BH$3&lt;=$M24),1,"")</f>
        <v/>
      </c>
      <c r="BI24">
        <f>IF(AND($A24&lt;&gt;"",BI$3&gt;=$J24,BI$3&lt;=$M24),1,"")</f>
        <v/>
      </c>
      <c r="BJ24">
        <f>IF(AND($A24&lt;&gt;"",BJ$3&gt;=$J24,BJ$3&lt;=$M24),1,"")</f>
        <v/>
      </c>
      <c r="BK24">
        <f>IF(AND($A24&lt;&gt;"",BK$3&gt;=$J24,BK$3&lt;=$M24),1,"")</f>
        <v/>
      </c>
      <c r="BL24">
        <f>IF(AND($A24&lt;&gt;"",BL$3&gt;=$J24,BL$3&lt;=$M24),1,"")</f>
        <v/>
      </c>
      <c r="BM24">
        <f>IF(AND($A24&lt;&gt;"",BM$3&gt;=$J24,BM$3&lt;=$M24),1,"")</f>
        <v/>
      </c>
      <c r="BN24">
        <f>IF(AND($A24&lt;&gt;"",BN$3&gt;=$J24,BN$3&lt;=$M24),1,"")</f>
        <v/>
      </c>
      <c r="BO24">
        <f>IF(AND($A24&lt;&gt;"",BO$3&gt;=$J24,BO$3&lt;=$M24),1,"")</f>
        <v/>
      </c>
      <c r="BP24">
        <f>IF(AND($A24&lt;&gt;"",BP$3&gt;=$J24,BP$3&lt;=$M24),1,"")</f>
        <v/>
      </c>
      <c r="BQ24">
        <f>IF(AND($A24&lt;&gt;"",BQ$3&gt;=$J24,BQ$3&lt;=$M24),1,"")</f>
        <v/>
      </c>
      <c r="BR24">
        <f>IF(AND($A24&lt;&gt;"",BR$3&gt;=$J24,BR$3&lt;=$M24),1,"")</f>
        <v/>
      </c>
      <c r="BS24">
        <f>IF(AND($A24&lt;&gt;"",BS$3&gt;=$J24,BS$3&lt;=$M24),1,"")</f>
        <v/>
      </c>
      <c r="BT24">
        <f>IF(AND($A24&lt;&gt;"",BT$3&gt;=$J24,BT$3&lt;=$M24),1,"")</f>
        <v/>
      </c>
      <c r="BU24">
        <f>IF(AND($A24&lt;&gt;"",BU$3&gt;=$J24,BU$3&lt;=$M24),1,"")</f>
        <v/>
      </c>
      <c r="BV24">
        <f>IF(AND($A24&lt;&gt;"",BV$3&gt;=$J24,BV$3&lt;=$M24),1,"")</f>
        <v/>
      </c>
    </row>
    <row r="25">
      <c r="A25">
        <f>IF(Job_Master_Ring!$A25="","",Job_Master_Ring!$A25)</f>
        <v/>
      </c>
      <c r="B25">
        <f>IF($A25="","",Job_Master_Ring!B25)</f>
        <v/>
      </c>
      <c r="C25">
        <f>IF($A25="","",Job_Master_Ring!C25)</f>
        <v/>
      </c>
      <c r="D25">
        <f>IF($A25="","",Job_Master_Ring!D25)</f>
        <v/>
      </c>
      <c r="E25">
        <f>IF($A25="","",IF($I25&lt;&gt;"",$I25,IFERROR(INDEX(Machine_List!$B$82:$B$86,MATCH(1,(Machine_List!$H$82:$H$86&lt;=IFERROR(VLOOKUP($B25,CHOOSE(MATCH($C25,Settings!$L$4:$L$10,0),OPR_BR1!$A$4:$K$18,OPR_BR2!$A$4:$K$18,OPR_CR2!$A$4:$K$18,OPR_CR3!$A$4:$K$18,OPR_CR4!$A$4:$K$18,OPR_RIM!$A$4:$K$18,OPR_BPR!$A$4:$K$18),10,0),0))*(Machine_List!$I$82:$I$86&gt;=IFERROR(VLOOKUP($B25,CHOOSE(MATCH($C25,Settings!$L$4:$L$10,0),OPR_BR1!$A$4:$K$18,OPR_BR2!$A$4:$K$18,OPR_CR2!$A$4:$K$18,OPR_CR3!$A$4:$K$18,OPR_CR4!$A$4:$K$18,OPR_RIM!$A$4:$K$18,OPR_BPR!$A$4:$K$18),11,0),9999)),0)),"NO COMPATIBLE MACHINE")))</f>
        <v/>
      </c>
      <c r="F25">
        <f>IF($E25="","",IFERROR(VLOOKUP($E25,Machine_List!$B:$G,6,0),""))</f>
        <v/>
      </c>
      <c r="G25" s="17">
        <f>IF($E25="","",IFERROR(VLOOKUP($E25,Machine_List!$B:$C,2,0),""))</f>
        <v/>
      </c>
      <c r="H25">
        <f>IF($E25="","",IFERROR(VLOOKUP($E25,Machine_List!$B:$D,3,0),""))</f>
        <v/>
      </c>
      <c r="J25" s="16">
        <f>IF($A25="","",IF($I25&lt;&gt;"",$I25,MAX(FID_Plan!$M25,IFERROR(LOOKUP(2,1/($E$3:INDIRECT("E"&amp;(ROW()-1))=$E25),$M$3:INDIRECT("M"&amp;(ROW()-1))),FID_Plan!$M25))))</f>
        <v/>
      </c>
      <c r="K25">
        <f>IF($A25="","",IFERROR(VLOOKUP(B25,CHOOSE(MATCH($C25,Settings!$L$4:$L$10,0),OPR_BR1!$A$4:$I$18,OPR_BR2!$A$4:$I$18,OPR_CR2!$A$4:$I$18,OPR_CR3!$A$4:$I$18,OPR_CR4!$A$4:$I$18,OPR_RIM!$A$4:$I$18,OPR_BPR!$A$4:$I$18),9,0),0))</f>
        <v/>
      </c>
      <c r="L25">
        <f>IF($A25="","",K25*D25)</f>
        <v/>
      </c>
      <c r="M25" s="16">
        <f>IF($A25=""," ",$J25+($L25/(IF(F25="Contract Workman",Settings!$K$5,Settings!$K$4))))</f>
        <v/>
      </c>
      <c r="N25">
        <f>IF($A25="","",IF(F25="Contract Workman",IF(AND(MOD(M25,1)&gt;=8/24,MOD(M25,1)&lt;20/24),"Shift S1","Shift S2"),IF(AND(MOD(M25,1)&gt;=7/24,MOD(M25,1)&lt;15/24),"Shift A",IF(AND(MOD(M25,1)&gt;=15/24,MOD(M25,1)&lt;23/24),"Shift B","Shift C"))))</f>
        <v/>
      </c>
      <c r="O25">
        <f>IF(B25="","",IF(IFERROR(ISNUMBER(SEARCH(TEXT(B25,"0"),VLOOKUP(E25,Machine_List!$B:$J,9,0))),FALSE),"✅ "&amp; E25,"❌ Sug: "&amp;IFERROR(INDEX(Machine_List!$B$82:$B$86,MATCH(1,(Machine_List!$H$82:$H$86&lt;=IFERROR(VLOOKUP($B25,OPR_BR1!$A$4:$K$18,10,0),0))*(Machine_List!$I$82:$I$86&gt;=IFERROR(VLOOKUP($B25,OPR_BR1!$A$4:$K$18,11,0),9999)),0)),"?")))</f>
        <v/>
      </c>
      <c r="P25">
        <f>IF(AND($A25&lt;&gt;"",P$3&gt;=$J25,P$3&lt;=$M25),1,"")</f>
        <v/>
      </c>
      <c r="Q25">
        <f>IF(AND($A25&lt;&gt;"",Q$3&gt;=$J25,Q$3&lt;=$M25),1,"")</f>
        <v/>
      </c>
      <c r="R25">
        <f>IF(AND($A25&lt;&gt;"",R$3&gt;=$J25,R$3&lt;=$M25),1,"")</f>
        <v/>
      </c>
      <c r="S25">
        <f>IF(AND($A25&lt;&gt;"",S$3&gt;=$J25,S$3&lt;=$M25),1,"")</f>
        <v/>
      </c>
      <c r="T25">
        <f>IF(AND($A25&lt;&gt;"",T$3&gt;=$J25,T$3&lt;=$M25),1,"")</f>
        <v/>
      </c>
      <c r="U25">
        <f>IF(AND($A25&lt;&gt;"",U$3&gt;=$J25,U$3&lt;=$M25),1,"")</f>
        <v/>
      </c>
      <c r="V25">
        <f>IF(AND($A25&lt;&gt;"",V$3&gt;=$J25,V$3&lt;=$M25),1,"")</f>
        <v/>
      </c>
      <c r="W25">
        <f>IF(AND($A25&lt;&gt;"",W$3&gt;=$J25,W$3&lt;=$M25),1,"")</f>
        <v/>
      </c>
      <c r="X25">
        <f>IF(AND($A25&lt;&gt;"",X$3&gt;=$J25,X$3&lt;=$M25),1,"")</f>
        <v/>
      </c>
      <c r="Y25">
        <f>IF(AND($A25&lt;&gt;"",Y$3&gt;=$J25,Y$3&lt;=$M25),1,"")</f>
        <v/>
      </c>
      <c r="Z25">
        <f>IF(AND($A25&lt;&gt;"",Z$3&gt;=$J25,Z$3&lt;=$M25),1,"")</f>
        <v/>
      </c>
      <c r="AA25">
        <f>IF(AND($A25&lt;&gt;"",AA$3&gt;=$J25,AA$3&lt;=$M25),1,"")</f>
        <v/>
      </c>
      <c r="AB25">
        <f>IF(AND($A25&lt;&gt;"",AB$3&gt;=$J25,AB$3&lt;=$M25),1,"")</f>
        <v/>
      </c>
      <c r="AC25">
        <f>IF(AND($A25&lt;&gt;"",AC$3&gt;=$J25,AC$3&lt;=$M25),1,"")</f>
        <v/>
      </c>
      <c r="AD25">
        <f>IF(AND($A25&lt;&gt;"",AD$3&gt;=$J25,AD$3&lt;=$M25),1,"")</f>
        <v/>
      </c>
      <c r="AE25">
        <f>IF(AND($A25&lt;&gt;"",AE$3&gt;=$J25,AE$3&lt;=$M25),1,"")</f>
        <v/>
      </c>
      <c r="AF25">
        <f>IF(AND($A25&lt;&gt;"",AF$3&gt;=$J25,AF$3&lt;=$M25),1,"")</f>
        <v/>
      </c>
      <c r="AG25">
        <f>IF(AND($A25&lt;&gt;"",AG$3&gt;=$J25,AG$3&lt;=$M25),1,"")</f>
        <v/>
      </c>
      <c r="AH25">
        <f>IF(AND($A25&lt;&gt;"",AH$3&gt;=$J25,AH$3&lt;=$M25),1,"")</f>
        <v/>
      </c>
      <c r="AI25">
        <f>IF(AND($A25&lt;&gt;"",AI$3&gt;=$J25,AI$3&lt;=$M25),1,"")</f>
        <v/>
      </c>
      <c r="AJ25">
        <f>IF(AND($A25&lt;&gt;"",AJ$3&gt;=$J25,AJ$3&lt;=$M25),1,"")</f>
        <v/>
      </c>
      <c r="AK25">
        <f>IF(AND($A25&lt;&gt;"",AK$3&gt;=$J25,AK$3&lt;=$M25),1,"")</f>
        <v/>
      </c>
      <c r="AL25">
        <f>IF(AND($A25&lt;&gt;"",AL$3&gt;=$J25,AL$3&lt;=$M25),1,"")</f>
        <v/>
      </c>
      <c r="AM25">
        <f>IF(AND($A25&lt;&gt;"",AM$3&gt;=$J25,AM$3&lt;=$M25),1,"")</f>
        <v/>
      </c>
      <c r="AN25">
        <f>IF(AND($A25&lt;&gt;"",AN$3&gt;=$J25,AN$3&lt;=$M25),1,"")</f>
        <v/>
      </c>
      <c r="AO25">
        <f>IF(AND($A25&lt;&gt;"",AO$3&gt;=$J25,AO$3&lt;=$M25),1,"")</f>
        <v/>
      </c>
      <c r="AP25">
        <f>IF(AND($A25&lt;&gt;"",AP$3&gt;=$J25,AP$3&lt;=$M25),1,"")</f>
        <v/>
      </c>
      <c r="AQ25">
        <f>IF(AND($A25&lt;&gt;"",AQ$3&gt;=$J25,AQ$3&lt;=$M25),1,"")</f>
        <v/>
      </c>
      <c r="AR25">
        <f>IF(AND($A25&lt;&gt;"",AR$3&gt;=$J25,AR$3&lt;=$M25),1,"")</f>
        <v/>
      </c>
      <c r="AS25">
        <f>IF(AND($A25&lt;&gt;"",AS$3&gt;=$J25,AS$3&lt;=$M25),1,"")</f>
        <v/>
      </c>
      <c r="AT25">
        <f>IF(AND($A25&lt;&gt;"",AT$3&gt;=$J25,AT$3&lt;=$M25),1,"")</f>
        <v/>
      </c>
      <c r="AU25">
        <f>IF(AND($A25&lt;&gt;"",AU$3&gt;=$J25,AU$3&lt;=$M25),1,"")</f>
        <v/>
      </c>
      <c r="AV25">
        <f>IF(AND($A25&lt;&gt;"",AV$3&gt;=$J25,AV$3&lt;=$M25),1,"")</f>
        <v/>
      </c>
      <c r="AW25">
        <f>IF(AND($A25&lt;&gt;"",AW$3&gt;=$J25,AW$3&lt;=$M25),1,"")</f>
        <v/>
      </c>
      <c r="AX25">
        <f>IF(AND($A25&lt;&gt;"",AX$3&gt;=$J25,AX$3&lt;=$M25),1,"")</f>
        <v/>
      </c>
      <c r="AY25">
        <f>IF(AND($A25&lt;&gt;"",AY$3&gt;=$J25,AY$3&lt;=$M25),1,"")</f>
        <v/>
      </c>
      <c r="AZ25">
        <f>IF(AND($A25&lt;&gt;"",AZ$3&gt;=$J25,AZ$3&lt;=$M25),1,"")</f>
        <v/>
      </c>
      <c r="BA25">
        <f>IF(AND($A25&lt;&gt;"",BA$3&gt;=$J25,BA$3&lt;=$M25),1,"")</f>
        <v/>
      </c>
      <c r="BB25">
        <f>IF(AND($A25&lt;&gt;"",BB$3&gt;=$J25,BB$3&lt;=$M25),1,"")</f>
        <v/>
      </c>
      <c r="BC25">
        <f>IF(AND($A25&lt;&gt;"",BC$3&gt;=$J25,BC$3&lt;=$M25),1,"")</f>
        <v/>
      </c>
      <c r="BD25">
        <f>IF(AND($A25&lt;&gt;"",BD$3&gt;=$J25,BD$3&lt;=$M25),1,"")</f>
        <v/>
      </c>
      <c r="BE25">
        <f>IF(AND($A25&lt;&gt;"",BE$3&gt;=$J25,BE$3&lt;=$M25),1,"")</f>
        <v/>
      </c>
      <c r="BF25">
        <f>IF(AND($A25&lt;&gt;"",BF$3&gt;=$J25,BF$3&lt;=$M25),1,"")</f>
        <v/>
      </c>
      <c r="BG25">
        <f>IF(AND($A25&lt;&gt;"",BG$3&gt;=$J25,BG$3&lt;=$M25),1,"")</f>
        <v/>
      </c>
      <c r="BH25">
        <f>IF(AND($A25&lt;&gt;"",BH$3&gt;=$J25,BH$3&lt;=$M25),1,"")</f>
        <v/>
      </c>
      <c r="BI25">
        <f>IF(AND($A25&lt;&gt;"",BI$3&gt;=$J25,BI$3&lt;=$M25),1,"")</f>
        <v/>
      </c>
      <c r="BJ25">
        <f>IF(AND($A25&lt;&gt;"",BJ$3&gt;=$J25,BJ$3&lt;=$M25),1,"")</f>
        <v/>
      </c>
      <c r="BK25">
        <f>IF(AND($A25&lt;&gt;"",BK$3&gt;=$J25,BK$3&lt;=$M25),1,"")</f>
        <v/>
      </c>
      <c r="BL25">
        <f>IF(AND($A25&lt;&gt;"",BL$3&gt;=$J25,BL$3&lt;=$M25),1,"")</f>
        <v/>
      </c>
      <c r="BM25">
        <f>IF(AND($A25&lt;&gt;"",BM$3&gt;=$J25,BM$3&lt;=$M25),1,"")</f>
        <v/>
      </c>
      <c r="BN25">
        <f>IF(AND($A25&lt;&gt;"",BN$3&gt;=$J25,BN$3&lt;=$M25),1,"")</f>
        <v/>
      </c>
      <c r="BO25">
        <f>IF(AND($A25&lt;&gt;"",BO$3&gt;=$J25,BO$3&lt;=$M25),1,"")</f>
        <v/>
      </c>
      <c r="BP25">
        <f>IF(AND($A25&lt;&gt;"",BP$3&gt;=$J25,BP$3&lt;=$M25),1,"")</f>
        <v/>
      </c>
      <c r="BQ25">
        <f>IF(AND($A25&lt;&gt;"",BQ$3&gt;=$J25,BQ$3&lt;=$M25),1,"")</f>
        <v/>
      </c>
      <c r="BR25">
        <f>IF(AND($A25&lt;&gt;"",BR$3&gt;=$J25,BR$3&lt;=$M25),1,"")</f>
        <v/>
      </c>
      <c r="BS25">
        <f>IF(AND($A25&lt;&gt;"",BS$3&gt;=$J25,BS$3&lt;=$M25),1,"")</f>
        <v/>
      </c>
      <c r="BT25">
        <f>IF(AND($A25&lt;&gt;"",BT$3&gt;=$J25,BT$3&lt;=$M25),1,"")</f>
        <v/>
      </c>
      <c r="BU25">
        <f>IF(AND($A25&lt;&gt;"",BU$3&gt;=$J25,BU$3&lt;=$M25),1,"")</f>
        <v/>
      </c>
      <c r="BV25">
        <f>IF(AND($A25&lt;&gt;"",BV$3&gt;=$J25,BV$3&lt;=$M25),1,"")</f>
        <v/>
      </c>
    </row>
    <row r="26">
      <c r="A26">
        <f>IF(Job_Master_Ring!$A26="","",Job_Master_Ring!$A26)</f>
        <v/>
      </c>
      <c r="B26">
        <f>IF($A26="","",Job_Master_Ring!B26)</f>
        <v/>
      </c>
      <c r="C26">
        <f>IF($A26="","",Job_Master_Ring!C26)</f>
        <v/>
      </c>
      <c r="D26">
        <f>IF($A26="","",Job_Master_Ring!D26)</f>
        <v/>
      </c>
      <c r="E26">
        <f>IF($A26="","",IF($I26&lt;&gt;"",$I26,IFERROR(INDEX(Machine_List!$B$82:$B$86,MATCH(1,(Machine_List!$H$82:$H$86&lt;=IFERROR(VLOOKUP($B26,CHOOSE(MATCH($C26,Settings!$L$4:$L$10,0),OPR_BR1!$A$4:$K$18,OPR_BR2!$A$4:$K$18,OPR_CR2!$A$4:$K$18,OPR_CR3!$A$4:$K$18,OPR_CR4!$A$4:$K$18,OPR_RIM!$A$4:$K$18,OPR_BPR!$A$4:$K$18),10,0),0))*(Machine_List!$I$82:$I$86&gt;=IFERROR(VLOOKUP($B26,CHOOSE(MATCH($C26,Settings!$L$4:$L$10,0),OPR_BR1!$A$4:$K$18,OPR_BR2!$A$4:$K$18,OPR_CR2!$A$4:$K$18,OPR_CR3!$A$4:$K$18,OPR_CR4!$A$4:$K$18,OPR_RIM!$A$4:$K$18,OPR_BPR!$A$4:$K$18),11,0),9999)),0)),"NO COMPATIBLE MACHINE")))</f>
        <v/>
      </c>
      <c r="F26">
        <f>IF($E26="","",IFERROR(VLOOKUP($E26,Machine_List!$B:$G,6,0),""))</f>
        <v/>
      </c>
      <c r="G26" s="17">
        <f>IF($E26="","",IFERROR(VLOOKUP($E26,Machine_List!$B:$C,2,0),""))</f>
        <v/>
      </c>
      <c r="H26">
        <f>IF($E26="","",IFERROR(VLOOKUP($E26,Machine_List!$B:$D,3,0),""))</f>
        <v/>
      </c>
      <c r="J26" s="16">
        <f>IF($A26="","",IF($I26&lt;&gt;"",$I26,MAX(FID_Plan!$M26,IFERROR(LOOKUP(2,1/($E$3:INDIRECT("E"&amp;(ROW()-1))=$E26),$M$3:INDIRECT("M"&amp;(ROW()-1))),FID_Plan!$M26))))</f>
        <v/>
      </c>
      <c r="K26">
        <f>IF($A26="","",IFERROR(VLOOKUP(B26,CHOOSE(MATCH($C26,Settings!$L$4:$L$10,0),OPR_BR1!$A$4:$I$18,OPR_BR2!$A$4:$I$18,OPR_CR2!$A$4:$I$18,OPR_CR3!$A$4:$I$18,OPR_CR4!$A$4:$I$18,OPR_RIM!$A$4:$I$18,OPR_BPR!$A$4:$I$18),9,0),0))</f>
        <v/>
      </c>
      <c r="L26">
        <f>IF($A26="","",K26*D26)</f>
        <v/>
      </c>
      <c r="M26" s="16">
        <f>IF($A26=""," ",$J26+($L26/(IF(F26="Contract Workman",Settings!$K$5,Settings!$K$4))))</f>
        <v/>
      </c>
      <c r="N26">
        <f>IF($A26="","",IF(F26="Contract Workman",IF(AND(MOD(M26,1)&gt;=8/24,MOD(M26,1)&lt;20/24),"Shift S1","Shift S2"),IF(AND(MOD(M26,1)&gt;=7/24,MOD(M26,1)&lt;15/24),"Shift A",IF(AND(MOD(M26,1)&gt;=15/24,MOD(M26,1)&lt;23/24),"Shift B","Shift C"))))</f>
        <v/>
      </c>
      <c r="O26">
        <f>IF(B26="","",IF(IFERROR(ISNUMBER(SEARCH(TEXT(B26,"0"),VLOOKUP(E26,Machine_List!$B:$J,9,0))),FALSE),"✅ "&amp; E26,"❌ Sug: "&amp;IFERROR(INDEX(Machine_List!$B$82:$B$86,MATCH(1,(Machine_List!$H$82:$H$86&lt;=IFERROR(VLOOKUP($B26,OPR_BR1!$A$4:$K$18,10,0),0))*(Machine_List!$I$82:$I$86&gt;=IFERROR(VLOOKUP($B26,OPR_BR1!$A$4:$K$18,11,0),9999)),0)),"?")))</f>
        <v/>
      </c>
      <c r="P26">
        <f>IF(AND($A26&lt;&gt;"",P$3&gt;=$J26,P$3&lt;=$M26),1,"")</f>
        <v/>
      </c>
      <c r="Q26">
        <f>IF(AND($A26&lt;&gt;"",Q$3&gt;=$J26,Q$3&lt;=$M26),1,"")</f>
        <v/>
      </c>
      <c r="R26">
        <f>IF(AND($A26&lt;&gt;"",R$3&gt;=$J26,R$3&lt;=$M26),1,"")</f>
        <v/>
      </c>
      <c r="S26">
        <f>IF(AND($A26&lt;&gt;"",S$3&gt;=$J26,S$3&lt;=$M26),1,"")</f>
        <v/>
      </c>
      <c r="T26">
        <f>IF(AND($A26&lt;&gt;"",T$3&gt;=$J26,T$3&lt;=$M26),1,"")</f>
        <v/>
      </c>
      <c r="U26">
        <f>IF(AND($A26&lt;&gt;"",U$3&gt;=$J26,U$3&lt;=$M26),1,"")</f>
        <v/>
      </c>
      <c r="V26">
        <f>IF(AND($A26&lt;&gt;"",V$3&gt;=$J26,V$3&lt;=$M26),1,"")</f>
        <v/>
      </c>
      <c r="W26">
        <f>IF(AND($A26&lt;&gt;"",W$3&gt;=$J26,W$3&lt;=$M26),1,"")</f>
        <v/>
      </c>
      <c r="X26">
        <f>IF(AND($A26&lt;&gt;"",X$3&gt;=$J26,X$3&lt;=$M26),1,"")</f>
        <v/>
      </c>
      <c r="Y26">
        <f>IF(AND($A26&lt;&gt;"",Y$3&gt;=$J26,Y$3&lt;=$M26),1,"")</f>
        <v/>
      </c>
      <c r="Z26">
        <f>IF(AND($A26&lt;&gt;"",Z$3&gt;=$J26,Z$3&lt;=$M26),1,"")</f>
        <v/>
      </c>
      <c r="AA26">
        <f>IF(AND($A26&lt;&gt;"",AA$3&gt;=$J26,AA$3&lt;=$M26),1,"")</f>
        <v/>
      </c>
      <c r="AB26">
        <f>IF(AND($A26&lt;&gt;"",AB$3&gt;=$J26,AB$3&lt;=$M26),1,"")</f>
        <v/>
      </c>
      <c r="AC26">
        <f>IF(AND($A26&lt;&gt;"",AC$3&gt;=$J26,AC$3&lt;=$M26),1,"")</f>
        <v/>
      </c>
      <c r="AD26">
        <f>IF(AND($A26&lt;&gt;"",AD$3&gt;=$J26,AD$3&lt;=$M26),1,"")</f>
        <v/>
      </c>
      <c r="AE26">
        <f>IF(AND($A26&lt;&gt;"",AE$3&gt;=$J26,AE$3&lt;=$M26),1,"")</f>
        <v/>
      </c>
      <c r="AF26">
        <f>IF(AND($A26&lt;&gt;"",AF$3&gt;=$J26,AF$3&lt;=$M26),1,"")</f>
        <v/>
      </c>
      <c r="AG26">
        <f>IF(AND($A26&lt;&gt;"",AG$3&gt;=$J26,AG$3&lt;=$M26),1,"")</f>
        <v/>
      </c>
      <c r="AH26">
        <f>IF(AND($A26&lt;&gt;"",AH$3&gt;=$J26,AH$3&lt;=$M26),1,"")</f>
        <v/>
      </c>
      <c r="AI26">
        <f>IF(AND($A26&lt;&gt;"",AI$3&gt;=$J26,AI$3&lt;=$M26),1,"")</f>
        <v/>
      </c>
      <c r="AJ26">
        <f>IF(AND($A26&lt;&gt;"",AJ$3&gt;=$J26,AJ$3&lt;=$M26),1,"")</f>
        <v/>
      </c>
      <c r="AK26">
        <f>IF(AND($A26&lt;&gt;"",AK$3&gt;=$J26,AK$3&lt;=$M26),1,"")</f>
        <v/>
      </c>
      <c r="AL26">
        <f>IF(AND($A26&lt;&gt;"",AL$3&gt;=$J26,AL$3&lt;=$M26),1,"")</f>
        <v/>
      </c>
      <c r="AM26">
        <f>IF(AND($A26&lt;&gt;"",AM$3&gt;=$J26,AM$3&lt;=$M26),1,"")</f>
        <v/>
      </c>
      <c r="AN26">
        <f>IF(AND($A26&lt;&gt;"",AN$3&gt;=$J26,AN$3&lt;=$M26),1,"")</f>
        <v/>
      </c>
      <c r="AO26">
        <f>IF(AND($A26&lt;&gt;"",AO$3&gt;=$J26,AO$3&lt;=$M26),1,"")</f>
        <v/>
      </c>
      <c r="AP26">
        <f>IF(AND($A26&lt;&gt;"",AP$3&gt;=$J26,AP$3&lt;=$M26),1,"")</f>
        <v/>
      </c>
      <c r="AQ26">
        <f>IF(AND($A26&lt;&gt;"",AQ$3&gt;=$J26,AQ$3&lt;=$M26),1,"")</f>
        <v/>
      </c>
      <c r="AR26">
        <f>IF(AND($A26&lt;&gt;"",AR$3&gt;=$J26,AR$3&lt;=$M26),1,"")</f>
        <v/>
      </c>
      <c r="AS26">
        <f>IF(AND($A26&lt;&gt;"",AS$3&gt;=$J26,AS$3&lt;=$M26),1,"")</f>
        <v/>
      </c>
      <c r="AT26">
        <f>IF(AND($A26&lt;&gt;"",AT$3&gt;=$J26,AT$3&lt;=$M26),1,"")</f>
        <v/>
      </c>
      <c r="AU26">
        <f>IF(AND($A26&lt;&gt;"",AU$3&gt;=$J26,AU$3&lt;=$M26),1,"")</f>
        <v/>
      </c>
      <c r="AV26">
        <f>IF(AND($A26&lt;&gt;"",AV$3&gt;=$J26,AV$3&lt;=$M26),1,"")</f>
        <v/>
      </c>
      <c r="AW26">
        <f>IF(AND($A26&lt;&gt;"",AW$3&gt;=$J26,AW$3&lt;=$M26),1,"")</f>
        <v/>
      </c>
      <c r="AX26">
        <f>IF(AND($A26&lt;&gt;"",AX$3&gt;=$J26,AX$3&lt;=$M26),1,"")</f>
        <v/>
      </c>
      <c r="AY26">
        <f>IF(AND($A26&lt;&gt;"",AY$3&gt;=$J26,AY$3&lt;=$M26),1,"")</f>
        <v/>
      </c>
      <c r="AZ26">
        <f>IF(AND($A26&lt;&gt;"",AZ$3&gt;=$J26,AZ$3&lt;=$M26),1,"")</f>
        <v/>
      </c>
      <c r="BA26">
        <f>IF(AND($A26&lt;&gt;"",BA$3&gt;=$J26,BA$3&lt;=$M26),1,"")</f>
        <v/>
      </c>
      <c r="BB26">
        <f>IF(AND($A26&lt;&gt;"",BB$3&gt;=$J26,BB$3&lt;=$M26),1,"")</f>
        <v/>
      </c>
      <c r="BC26">
        <f>IF(AND($A26&lt;&gt;"",BC$3&gt;=$J26,BC$3&lt;=$M26),1,"")</f>
        <v/>
      </c>
      <c r="BD26">
        <f>IF(AND($A26&lt;&gt;"",BD$3&gt;=$J26,BD$3&lt;=$M26),1,"")</f>
        <v/>
      </c>
      <c r="BE26">
        <f>IF(AND($A26&lt;&gt;"",BE$3&gt;=$J26,BE$3&lt;=$M26),1,"")</f>
        <v/>
      </c>
      <c r="BF26">
        <f>IF(AND($A26&lt;&gt;"",BF$3&gt;=$J26,BF$3&lt;=$M26),1,"")</f>
        <v/>
      </c>
      <c r="BG26">
        <f>IF(AND($A26&lt;&gt;"",BG$3&gt;=$J26,BG$3&lt;=$M26),1,"")</f>
        <v/>
      </c>
      <c r="BH26">
        <f>IF(AND($A26&lt;&gt;"",BH$3&gt;=$J26,BH$3&lt;=$M26),1,"")</f>
        <v/>
      </c>
      <c r="BI26">
        <f>IF(AND($A26&lt;&gt;"",BI$3&gt;=$J26,BI$3&lt;=$M26),1,"")</f>
        <v/>
      </c>
      <c r="BJ26">
        <f>IF(AND($A26&lt;&gt;"",BJ$3&gt;=$J26,BJ$3&lt;=$M26),1,"")</f>
        <v/>
      </c>
      <c r="BK26">
        <f>IF(AND($A26&lt;&gt;"",BK$3&gt;=$J26,BK$3&lt;=$M26),1,"")</f>
        <v/>
      </c>
      <c r="BL26">
        <f>IF(AND($A26&lt;&gt;"",BL$3&gt;=$J26,BL$3&lt;=$M26),1,"")</f>
        <v/>
      </c>
      <c r="BM26">
        <f>IF(AND($A26&lt;&gt;"",BM$3&gt;=$J26,BM$3&lt;=$M26),1,"")</f>
        <v/>
      </c>
      <c r="BN26">
        <f>IF(AND($A26&lt;&gt;"",BN$3&gt;=$J26,BN$3&lt;=$M26),1,"")</f>
        <v/>
      </c>
      <c r="BO26">
        <f>IF(AND($A26&lt;&gt;"",BO$3&gt;=$J26,BO$3&lt;=$M26),1,"")</f>
        <v/>
      </c>
      <c r="BP26">
        <f>IF(AND($A26&lt;&gt;"",BP$3&gt;=$J26,BP$3&lt;=$M26),1,"")</f>
        <v/>
      </c>
      <c r="BQ26">
        <f>IF(AND($A26&lt;&gt;"",BQ$3&gt;=$J26,BQ$3&lt;=$M26),1,"")</f>
        <v/>
      </c>
      <c r="BR26">
        <f>IF(AND($A26&lt;&gt;"",BR$3&gt;=$J26,BR$3&lt;=$M26),1,"")</f>
        <v/>
      </c>
      <c r="BS26">
        <f>IF(AND($A26&lt;&gt;"",BS$3&gt;=$J26,BS$3&lt;=$M26),1,"")</f>
        <v/>
      </c>
      <c r="BT26">
        <f>IF(AND($A26&lt;&gt;"",BT$3&gt;=$J26,BT$3&lt;=$M26),1,"")</f>
        <v/>
      </c>
      <c r="BU26">
        <f>IF(AND($A26&lt;&gt;"",BU$3&gt;=$J26,BU$3&lt;=$M26),1,"")</f>
        <v/>
      </c>
      <c r="BV26">
        <f>IF(AND($A26&lt;&gt;"",BV$3&gt;=$J26,BV$3&lt;=$M26),1,"")</f>
        <v/>
      </c>
    </row>
    <row r="27">
      <c r="A27">
        <f>IF(Job_Master_Ring!$A27="","",Job_Master_Ring!$A27)</f>
        <v/>
      </c>
      <c r="B27">
        <f>IF($A27="","",Job_Master_Ring!B27)</f>
        <v/>
      </c>
      <c r="C27">
        <f>IF($A27="","",Job_Master_Ring!C27)</f>
        <v/>
      </c>
      <c r="D27">
        <f>IF($A27="","",Job_Master_Ring!D27)</f>
        <v/>
      </c>
      <c r="E27">
        <f>IF($A27="","",IF($I27&lt;&gt;"",$I27,IFERROR(INDEX(Machine_List!$B$82:$B$86,MATCH(1,(Machine_List!$H$82:$H$86&lt;=IFERROR(VLOOKUP($B27,CHOOSE(MATCH($C27,Settings!$L$4:$L$10,0),OPR_BR1!$A$4:$K$18,OPR_BR2!$A$4:$K$18,OPR_CR2!$A$4:$K$18,OPR_CR3!$A$4:$K$18,OPR_CR4!$A$4:$K$18,OPR_RIM!$A$4:$K$18,OPR_BPR!$A$4:$K$18),10,0),0))*(Machine_List!$I$82:$I$86&gt;=IFERROR(VLOOKUP($B27,CHOOSE(MATCH($C27,Settings!$L$4:$L$10,0),OPR_BR1!$A$4:$K$18,OPR_BR2!$A$4:$K$18,OPR_CR2!$A$4:$K$18,OPR_CR3!$A$4:$K$18,OPR_CR4!$A$4:$K$18,OPR_RIM!$A$4:$K$18,OPR_BPR!$A$4:$K$18),11,0),9999)),0)),"NO COMPATIBLE MACHINE")))</f>
        <v/>
      </c>
      <c r="F27">
        <f>IF($E27="","",IFERROR(VLOOKUP($E27,Machine_List!$B:$G,6,0),""))</f>
        <v/>
      </c>
      <c r="G27" s="17">
        <f>IF($E27="","",IFERROR(VLOOKUP($E27,Machine_List!$B:$C,2,0),""))</f>
        <v/>
      </c>
      <c r="H27">
        <f>IF($E27="","",IFERROR(VLOOKUP($E27,Machine_List!$B:$D,3,0),""))</f>
        <v/>
      </c>
      <c r="J27" s="16">
        <f>IF($A27="","",IF($I27&lt;&gt;"",$I27,MAX(FID_Plan!$M27,IFERROR(LOOKUP(2,1/($E$3:INDIRECT("E"&amp;(ROW()-1))=$E27),$M$3:INDIRECT("M"&amp;(ROW()-1))),FID_Plan!$M27))))</f>
        <v/>
      </c>
      <c r="K27">
        <f>IF($A27="","",IFERROR(VLOOKUP(B27,CHOOSE(MATCH($C27,Settings!$L$4:$L$10,0),OPR_BR1!$A$4:$I$18,OPR_BR2!$A$4:$I$18,OPR_CR2!$A$4:$I$18,OPR_CR3!$A$4:$I$18,OPR_CR4!$A$4:$I$18,OPR_RIM!$A$4:$I$18,OPR_BPR!$A$4:$I$18),9,0),0))</f>
        <v/>
      </c>
      <c r="L27">
        <f>IF($A27="","",K27*D27)</f>
        <v/>
      </c>
      <c r="M27" s="16">
        <f>IF($A27=""," ",$J27+($L27/(IF(F27="Contract Workman",Settings!$K$5,Settings!$K$4))))</f>
        <v/>
      </c>
      <c r="N27">
        <f>IF($A27="","",IF(F27="Contract Workman",IF(AND(MOD(M27,1)&gt;=8/24,MOD(M27,1)&lt;20/24),"Shift S1","Shift S2"),IF(AND(MOD(M27,1)&gt;=7/24,MOD(M27,1)&lt;15/24),"Shift A",IF(AND(MOD(M27,1)&gt;=15/24,MOD(M27,1)&lt;23/24),"Shift B","Shift C"))))</f>
        <v/>
      </c>
      <c r="O27">
        <f>IF(B27="","",IF(IFERROR(ISNUMBER(SEARCH(TEXT(B27,"0"),VLOOKUP(E27,Machine_List!$B:$J,9,0))),FALSE),"✅ "&amp; E27,"❌ Sug: "&amp;IFERROR(INDEX(Machine_List!$B$82:$B$86,MATCH(1,(Machine_List!$H$82:$H$86&lt;=IFERROR(VLOOKUP($B27,OPR_BR1!$A$4:$K$18,10,0),0))*(Machine_List!$I$82:$I$86&gt;=IFERROR(VLOOKUP($B27,OPR_BR1!$A$4:$K$18,11,0),9999)),0)),"?")))</f>
        <v/>
      </c>
      <c r="P27">
        <f>IF(AND($A27&lt;&gt;"",P$3&gt;=$J27,P$3&lt;=$M27),1,"")</f>
        <v/>
      </c>
      <c r="Q27">
        <f>IF(AND($A27&lt;&gt;"",Q$3&gt;=$J27,Q$3&lt;=$M27),1,"")</f>
        <v/>
      </c>
      <c r="R27">
        <f>IF(AND($A27&lt;&gt;"",R$3&gt;=$J27,R$3&lt;=$M27),1,"")</f>
        <v/>
      </c>
      <c r="S27">
        <f>IF(AND($A27&lt;&gt;"",S$3&gt;=$J27,S$3&lt;=$M27),1,"")</f>
        <v/>
      </c>
      <c r="T27">
        <f>IF(AND($A27&lt;&gt;"",T$3&gt;=$J27,T$3&lt;=$M27),1,"")</f>
        <v/>
      </c>
      <c r="U27">
        <f>IF(AND($A27&lt;&gt;"",U$3&gt;=$J27,U$3&lt;=$M27),1,"")</f>
        <v/>
      </c>
      <c r="V27">
        <f>IF(AND($A27&lt;&gt;"",V$3&gt;=$J27,V$3&lt;=$M27),1,"")</f>
        <v/>
      </c>
      <c r="W27">
        <f>IF(AND($A27&lt;&gt;"",W$3&gt;=$J27,W$3&lt;=$M27),1,"")</f>
        <v/>
      </c>
      <c r="X27">
        <f>IF(AND($A27&lt;&gt;"",X$3&gt;=$J27,X$3&lt;=$M27),1,"")</f>
        <v/>
      </c>
      <c r="Y27">
        <f>IF(AND($A27&lt;&gt;"",Y$3&gt;=$J27,Y$3&lt;=$M27),1,"")</f>
        <v/>
      </c>
      <c r="Z27">
        <f>IF(AND($A27&lt;&gt;"",Z$3&gt;=$J27,Z$3&lt;=$M27),1,"")</f>
        <v/>
      </c>
      <c r="AA27">
        <f>IF(AND($A27&lt;&gt;"",AA$3&gt;=$J27,AA$3&lt;=$M27),1,"")</f>
        <v/>
      </c>
      <c r="AB27">
        <f>IF(AND($A27&lt;&gt;"",AB$3&gt;=$J27,AB$3&lt;=$M27),1,"")</f>
        <v/>
      </c>
      <c r="AC27">
        <f>IF(AND($A27&lt;&gt;"",AC$3&gt;=$J27,AC$3&lt;=$M27),1,"")</f>
        <v/>
      </c>
      <c r="AD27">
        <f>IF(AND($A27&lt;&gt;"",AD$3&gt;=$J27,AD$3&lt;=$M27),1,"")</f>
        <v/>
      </c>
      <c r="AE27">
        <f>IF(AND($A27&lt;&gt;"",AE$3&gt;=$J27,AE$3&lt;=$M27),1,"")</f>
        <v/>
      </c>
      <c r="AF27">
        <f>IF(AND($A27&lt;&gt;"",AF$3&gt;=$J27,AF$3&lt;=$M27),1,"")</f>
        <v/>
      </c>
      <c r="AG27">
        <f>IF(AND($A27&lt;&gt;"",AG$3&gt;=$J27,AG$3&lt;=$M27),1,"")</f>
        <v/>
      </c>
      <c r="AH27">
        <f>IF(AND($A27&lt;&gt;"",AH$3&gt;=$J27,AH$3&lt;=$M27),1,"")</f>
        <v/>
      </c>
      <c r="AI27">
        <f>IF(AND($A27&lt;&gt;"",AI$3&gt;=$J27,AI$3&lt;=$M27),1,"")</f>
        <v/>
      </c>
      <c r="AJ27">
        <f>IF(AND($A27&lt;&gt;"",AJ$3&gt;=$J27,AJ$3&lt;=$M27),1,"")</f>
        <v/>
      </c>
      <c r="AK27">
        <f>IF(AND($A27&lt;&gt;"",AK$3&gt;=$J27,AK$3&lt;=$M27),1,"")</f>
        <v/>
      </c>
      <c r="AL27">
        <f>IF(AND($A27&lt;&gt;"",AL$3&gt;=$J27,AL$3&lt;=$M27),1,"")</f>
        <v/>
      </c>
      <c r="AM27">
        <f>IF(AND($A27&lt;&gt;"",AM$3&gt;=$J27,AM$3&lt;=$M27),1,"")</f>
        <v/>
      </c>
      <c r="AN27">
        <f>IF(AND($A27&lt;&gt;"",AN$3&gt;=$J27,AN$3&lt;=$M27),1,"")</f>
        <v/>
      </c>
      <c r="AO27">
        <f>IF(AND($A27&lt;&gt;"",AO$3&gt;=$J27,AO$3&lt;=$M27),1,"")</f>
        <v/>
      </c>
      <c r="AP27">
        <f>IF(AND($A27&lt;&gt;"",AP$3&gt;=$J27,AP$3&lt;=$M27),1,"")</f>
        <v/>
      </c>
      <c r="AQ27">
        <f>IF(AND($A27&lt;&gt;"",AQ$3&gt;=$J27,AQ$3&lt;=$M27),1,"")</f>
        <v/>
      </c>
      <c r="AR27">
        <f>IF(AND($A27&lt;&gt;"",AR$3&gt;=$J27,AR$3&lt;=$M27),1,"")</f>
        <v/>
      </c>
      <c r="AS27">
        <f>IF(AND($A27&lt;&gt;"",AS$3&gt;=$J27,AS$3&lt;=$M27),1,"")</f>
        <v/>
      </c>
      <c r="AT27">
        <f>IF(AND($A27&lt;&gt;"",AT$3&gt;=$J27,AT$3&lt;=$M27),1,"")</f>
        <v/>
      </c>
      <c r="AU27">
        <f>IF(AND($A27&lt;&gt;"",AU$3&gt;=$J27,AU$3&lt;=$M27),1,"")</f>
        <v/>
      </c>
      <c r="AV27">
        <f>IF(AND($A27&lt;&gt;"",AV$3&gt;=$J27,AV$3&lt;=$M27),1,"")</f>
        <v/>
      </c>
      <c r="AW27">
        <f>IF(AND($A27&lt;&gt;"",AW$3&gt;=$J27,AW$3&lt;=$M27),1,"")</f>
        <v/>
      </c>
      <c r="AX27">
        <f>IF(AND($A27&lt;&gt;"",AX$3&gt;=$J27,AX$3&lt;=$M27),1,"")</f>
        <v/>
      </c>
      <c r="AY27">
        <f>IF(AND($A27&lt;&gt;"",AY$3&gt;=$J27,AY$3&lt;=$M27),1,"")</f>
        <v/>
      </c>
      <c r="AZ27">
        <f>IF(AND($A27&lt;&gt;"",AZ$3&gt;=$J27,AZ$3&lt;=$M27),1,"")</f>
        <v/>
      </c>
      <c r="BA27">
        <f>IF(AND($A27&lt;&gt;"",BA$3&gt;=$J27,BA$3&lt;=$M27),1,"")</f>
        <v/>
      </c>
      <c r="BB27">
        <f>IF(AND($A27&lt;&gt;"",BB$3&gt;=$J27,BB$3&lt;=$M27),1,"")</f>
        <v/>
      </c>
      <c r="BC27">
        <f>IF(AND($A27&lt;&gt;"",BC$3&gt;=$J27,BC$3&lt;=$M27),1,"")</f>
        <v/>
      </c>
      <c r="BD27">
        <f>IF(AND($A27&lt;&gt;"",BD$3&gt;=$J27,BD$3&lt;=$M27),1,"")</f>
        <v/>
      </c>
      <c r="BE27">
        <f>IF(AND($A27&lt;&gt;"",BE$3&gt;=$J27,BE$3&lt;=$M27),1,"")</f>
        <v/>
      </c>
      <c r="BF27">
        <f>IF(AND($A27&lt;&gt;"",BF$3&gt;=$J27,BF$3&lt;=$M27),1,"")</f>
        <v/>
      </c>
      <c r="BG27">
        <f>IF(AND($A27&lt;&gt;"",BG$3&gt;=$J27,BG$3&lt;=$M27),1,"")</f>
        <v/>
      </c>
      <c r="BH27">
        <f>IF(AND($A27&lt;&gt;"",BH$3&gt;=$J27,BH$3&lt;=$M27),1,"")</f>
        <v/>
      </c>
      <c r="BI27">
        <f>IF(AND($A27&lt;&gt;"",BI$3&gt;=$J27,BI$3&lt;=$M27),1,"")</f>
        <v/>
      </c>
      <c r="BJ27">
        <f>IF(AND($A27&lt;&gt;"",BJ$3&gt;=$J27,BJ$3&lt;=$M27),1,"")</f>
        <v/>
      </c>
      <c r="BK27">
        <f>IF(AND($A27&lt;&gt;"",BK$3&gt;=$J27,BK$3&lt;=$M27),1,"")</f>
        <v/>
      </c>
      <c r="BL27">
        <f>IF(AND($A27&lt;&gt;"",BL$3&gt;=$J27,BL$3&lt;=$M27),1,"")</f>
        <v/>
      </c>
      <c r="BM27">
        <f>IF(AND($A27&lt;&gt;"",BM$3&gt;=$J27,BM$3&lt;=$M27),1,"")</f>
        <v/>
      </c>
      <c r="BN27">
        <f>IF(AND($A27&lt;&gt;"",BN$3&gt;=$J27,BN$3&lt;=$M27),1,"")</f>
        <v/>
      </c>
      <c r="BO27">
        <f>IF(AND($A27&lt;&gt;"",BO$3&gt;=$J27,BO$3&lt;=$M27),1,"")</f>
        <v/>
      </c>
      <c r="BP27">
        <f>IF(AND($A27&lt;&gt;"",BP$3&gt;=$J27,BP$3&lt;=$M27),1,"")</f>
        <v/>
      </c>
      <c r="BQ27">
        <f>IF(AND($A27&lt;&gt;"",BQ$3&gt;=$J27,BQ$3&lt;=$M27),1,"")</f>
        <v/>
      </c>
      <c r="BR27">
        <f>IF(AND($A27&lt;&gt;"",BR$3&gt;=$J27,BR$3&lt;=$M27),1,"")</f>
        <v/>
      </c>
      <c r="BS27">
        <f>IF(AND($A27&lt;&gt;"",BS$3&gt;=$J27,BS$3&lt;=$M27),1,"")</f>
        <v/>
      </c>
      <c r="BT27">
        <f>IF(AND($A27&lt;&gt;"",BT$3&gt;=$J27,BT$3&lt;=$M27),1,"")</f>
        <v/>
      </c>
      <c r="BU27">
        <f>IF(AND($A27&lt;&gt;"",BU$3&gt;=$J27,BU$3&lt;=$M27),1,"")</f>
        <v/>
      </c>
      <c r="BV27">
        <f>IF(AND($A27&lt;&gt;"",BV$3&gt;=$J27,BV$3&lt;=$M27),1,"")</f>
        <v/>
      </c>
    </row>
    <row r="28">
      <c r="A28">
        <f>IF(Job_Master_Ring!$A28="","",Job_Master_Ring!$A28)</f>
        <v/>
      </c>
      <c r="B28">
        <f>IF($A28="","",Job_Master_Ring!B28)</f>
        <v/>
      </c>
      <c r="C28">
        <f>IF($A28="","",Job_Master_Ring!C28)</f>
        <v/>
      </c>
      <c r="D28">
        <f>IF($A28="","",Job_Master_Ring!D28)</f>
        <v/>
      </c>
      <c r="E28">
        <f>IF($A28="","",IF($I28&lt;&gt;"",$I28,IFERROR(INDEX(Machine_List!$B$82:$B$86,MATCH(1,(Machine_List!$H$82:$H$86&lt;=IFERROR(VLOOKUP($B28,CHOOSE(MATCH($C28,Settings!$L$4:$L$10,0),OPR_BR1!$A$4:$K$18,OPR_BR2!$A$4:$K$18,OPR_CR2!$A$4:$K$18,OPR_CR3!$A$4:$K$18,OPR_CR4!$A$4:$K$18,OPR_RIM!$A$4:$K$18,OPR_BPR!$A$4:$K$18),10,0),0))*(Machine_List!$I$82:$I$86&gt;=IFERROR(VLOOKUP($B28,CHOOSE(MATCH($C28,Settings!$L$4:$L$10,0),OPR_BR1!$A$4:$K$18,OPR_BR2!$A$4:$K$18,OPR_CR2!$A$4:$K$18,OPR_CR3!$A$4:$K$18,OPR_CR4!$A$4:$K$18,OPR_RIM!$A$4:$K$18,OPR_BPR!$A$4:$K$18),11,0),9999)),0)),"NO COMPATIBLE MACHINE")))</f>
        <v/>
      </c>
      <c r="F28">
        <f>IF($E28="","",IFERROR(VLOOKUP($E28,Machine_List!$B:$G,6,0),""))</f>
        <v/>
      </c>
      <c r="G28" s="17">
        <f>IF($E28="","",IFERROR(VLOOKUP($E28,Machine_List!$B:$C,2,0),""))</f>
        <v/>
      </c>
      <c r="H28">
        <f>IF($E28="","",IFERROR(VLOOKUP($E28,Machine_List!$B:$D,3,0),""))</f>
        <v/>
      </c>
      <c r="J28" s="16">
        <f>IF($A28="","",IF($I28&lt;&gt;"",$I28,MAX(FID_Plan!$M28,IFERROR(LOOKUP(2,1/($E$3:INDIRECT("E"&amp;(ROW()-1))=$E28),$M$3:INDIRECT("M"&amp;(ROW()-1))),FID_Plan!$M28))))</f>
        <v/>
      </c>
      <c r="K28">
        <f>IF($A28="","",IFERROR(VLOOKUP(B28,CHOOSE(MATCH($C28,Settings!$L$4:$L$10,0),OPR_BR1!$A$4:$I$18,OPR_BR2!$A$4:$I$18,OPR_CR2!$A$4:$I$18,OPR_CR3!$A$4:$I$18,OPR_CR4!$A$4:$I$18,OPR_RIM!$A$4:$I$18,OPR_BPR!$A$4:$I$18),9,0),0))</f>
        <v/>
      </c>
      <c r="L28">
        <f>IF($A28="","",K28*D28)</f>
        <v/>
      </c>
      <c r="M28" s="16">
        <f>IF($A28=""," ",$J28+($L28/(IF(F28="Contract Workman",Settings!$K$5,Settings!$K$4))))</f>
        <v/>
      </c>
      <c r="N28">
        <f>IF($A28="","",IF(F28="Contract Workman",IF(AND(MOD(M28,1)&gt;=8/24,MOD(M28,1)&lt;20/24),"Shift S1","Shift S2"),IF(AND(MOD(M28,1)&gt;=7/24,MOD(M28,1)&lt;15/24),"Shift A",IF(AND(MOD(M28,1)&gt;=15/24,MOD(M28,1)&lt;23/24),"Shift B","Shift C"))))</f>
        <v/>
      </c>
      <c r="O28">
        <f>IF(B28="","",IF(IFERROR(ISNUMBER(SEARCH(TEXT(B28,"0"),VLOOKUP(E28,Machine_List!$B:$J,9,0))),FALSE),"✅ "&amp; E28,"❌ Sug: "&amp;IFERROR(INDEX(Machine_List!$B$82:$B$86,MATCH(1,(Machine_List!$H$82:$H$86&lt;=IFERROR(VLOOKUP($B28,OPR_BR1!$A$4:$K$18,10,0),0))*(Machine_List!$I$82:$I$86&gt;=IFERROR(VLOOKUP($B28,OPR_BR1!$A$4:$K$18,11,0),9999)),0)),"?")))</f>
        <v/>
      </c>
      <c r="P28">
        <f>IF(AND($A28&lt;&gt;"",P$3&gt;=$J28,P$3&lt;=$M28),1,"")</f>
        <v/>
      </c>
      <c r="Q28">
        <f>IF(AND($A28&lt;&gt;"",Q$3&gt;=$J28,Q$3&lt;=$M28),1,"")</f>
        <v/>
      </c>
      <c r="R28">
        <f>IF(AND($A28&lt;&gt;"",R$3&gt;=$J28,R$3&lt;=$M28),1,"")</f>
        <v/>
      </c>
      <c r="S28">
        <f>IF(AND($A28&lt;&gt;"",S$3&gt;=$J28,S$3&lt;=$M28),1,"")</f>
        <v/>
      </c>
      <c r="T28">
        <f>IF(AND($A28&lt;&gt;"",T$3&gt;=$J28,T$3&lt;=$M28),1,"")</f>
        <v/>
      </c>
      <c r="U28">
        <f>IF(AND($A28&lt;&gt;"",U$3&gt;=$J28,U$3&lt;=$M28),1,"")</f>
        <v/>
      </c>
      <c r="V28">
        <f>IF(AND($A28&lt;&gt;"",V$3&gt;=$J28,V$3&lt;=$M28),1,"")</f>
        <v/>
      </c>
      <c r="W28">
        <f>IF(AND($A28&lt;&gt;"",W$3&gt;=$J28,W$3&lt;=$M28),1,"")</f>
        <v/>
      </c>
      <c r="X28">
        <f>IF(AND($A28&lt;&gt;"",X$3&gt;=$J28,X$3&lt;=$M28),1,"")</f>
        <v/>
      </c>
      <c r="Y28">
        <f>IF(AND($A28&lt;&gt;"",Y$3&gt;=$J28,Y$3&lt;=$M28),1,"")</f>
        <v/>
      </c>
      <c r="Z28">
        <f>IF(AND($A28&lt;&gt;"",Z$3&gt;=$J28,Z$3&lt;=$M28),1,"")</f>
        <v/>
      </c>
      <c r="AA28">
        <f>IF(AND($A28&lt;&gt;"",AA$3&gt;=$J28,AA$3&lt;=$M28),1,"")</f>
        <v/>
      </c>
      <c r="AB28">
        <f>IF(AND($A28&lt;&gt;"",AB$3&gt;=$J28,AB$3&lt;=$M28),1,"")</f>
        <v/>
      </c>
      <c r="AC28">
        <f>IF(AND($A28&lt;&gt;"",AC$3&gt;=$J28,AC$3&lt;=$M28),1,"")</f>
        <v/>
      </c>
      <c r="AD28">
        <f>IF(AND($A28&lt;&gt;"",AD$3&gt;=$J28,AD$3&lt;=$M28),1,"")</f>
        <v/>
      </c>
      <c r="AE28">
        <f>IF(AND($A28&lt;&gt;"",AE$3&gt;=$J28,AE$3&lt;=$M28),1,"")</f>
        <v/>
      </c>
      <c r="AF28">
        <f>IF(AND($A28&lt;&gt;"",AF$3&gt;=$J28,AF$3&lt;=$M28),1,"")</f>
        <v/>
      </c>
      <c r="AG28">
        <f>IF(AND($A28&lt;&gt;"",AG$3&gt;=$J28,AG$3&lt;=$M28),1,"")</f>
        <v/>
      </c>
      <c r="AH28">
        <f>IF(AND($A28&lt;&gt;"",AH$3&gt;=$J28,AH$3&lt;=$M28),1,"")</f>
        <v/>
      </c>
      <c r="AI28">
        <f>IF(AND($A28&lt;&gt;"",AI$3&gt;=$J28,AI$3&lt;=$M28),1,"")</f>
        <v/>
      </c>
      <c r="AJ28">
        <f>IF(AND($A28&lt;&gt;"",AJ$3&gt;=$J28,AJ$3&lt;=$M28),1,"")</f>
        <v/>
      </c>
      <c r="AK28">
        <f>IF(AND($A28&lt;&gt;"",AK$3&gt;=$J28,AK$3&lt;=$M28),1,"")</f>
        <v/>
      </c>
      <c r="AL28">
        <f>IF(AND($A28&lt;&gt;"",AL$3&gt;=$J28,AL$3&lt;=$M28),1,"")</f>
        <v/>
      </c>
      <c r="AM28">
        <f>IF(AND($A28&lt;&gt;"",AM$3&gt;=$J28,AM$3&lt;=$M28),1,"")</f>
        <v/>
      </c>
      <c r="AN28">
        <f>IF(AND($A28&lt;&gt;"",AN$3&gt;=$J28,AN$3&lt;=$M28),1,"")</f>
        <v/>
      </c>
      <c r="AO28">
        <f>IF(AND($A28&lt;&gt;"",AO$3&gt;=$J28,AO$3&lt;=$M28),1,"")</f>
        <v/>
      </c>
      <c r="AP28">
        <f>IF(AND($A28&lt;&gt;"",AP$3&gt;=$J28,AP$3&lt;=$M28),1,"")</f>
        <v/>
      </c>
      <c r="AQ28">
        <f>IF(AND($A28&lt;&gt;"",AQ$3&gt;=$J28,AQ$3&lt;=$M28),1,"")</f>
        <v/>
      </c>
      <c r="AR28">
        <f>IF(AND($A28&lt;&gt;"",AR$3&gt;=$J28,AR$3&lt;=$M28),1,"")</f>
        <v/>
      </c>
      <c r="AS28">
        <f>IF(AND($A28&lt;&gt;"",AS$3&gt;=$J28,AS$3&lt;=$M28),1,"")</f>
        <v/>
      </c>
      <c r="AT28">
        <f>IF(AND($A28&lt;&gt;"",AT$3&gt;=$J28,AT$3&lt;=$M28),1,"")</f>
        <v/>
      </c>
      <c r="AU28">
        <f>IF(AND($A28&lt;&gt;"",AU$3&gt;=$J28,AU$3&lt;=$M28),1,"")</f>
        <v/>
      </c>
      <c r="AV28">
        <f>IF(AND($A28&lt;&gt;"",AV$3&gt;=$J28,AV$3&lt;=$M28),1,"")</f>
        <v/>
      </c>
      <c r="AW28">
        <f>IF(AND($A28&lt;&gt;"",AW$3&gt;=$J28,AW$3&lt;=$M28),1,"")</f>
        <v/>
      </c>
      <c r="AX28">
        <f>IF(AND($A28&lt;&gt;"",AX$3&gt;=$J28,AX$3&lt;=$M28),1,"")</f>
        <v/>
      </c>
      <c r="AY28">
        <f>IF(AND($A28&lt;&gt;"",AY$3&gt;=$J28,AY$3&lt;=$M28),1,"")</f>
        <v/>
      </c>
      <c r="AZ28">
        <f>IF(AND($A28&lt;&gt;"",AZ$3&gt;=$J28,AZ$3&lt;=$M28),1,"")</f>
        <v/>
      </c>
      <c r="BA28">
        <f>IF(AND($A28&lt;&gt;"",BA$3&gt;=$J28,BA$3&lt;=$M28),1,"")</f>
        <v/>
      </c>
      <c r="BB28">
        <f>IF(AND($A28&lt;&gt;"",BB$3&gt;=$J28,BB$3&lt;=$M28),1,"")</f>
        <v/>
      </c>
      <c r="BC28">
        <f>IF(AND($A28&lt;&gt;"",BC$3&gt;=$J28,BC$3&lt;=$M28),1,"")</f>
        <v/>
      </c>
      <c r="BD28">
        <f>IF(AND($A28&lt;&gt;"",BD$3&gt;=$J28,BD$3&lt;=$M28),1,"")</f>
        <v/>
      </c>
      <c r="BE28">
        <f>IF(AND($A28&lt;&gt;"",BE$3&gt;=$J28,BE$3&lt;=$M28),1,"")</f>
        <v/>
      </c>
      <c r="BF28">
        <f>IF(AND($A28&lt;&gt;"",BF$3&gt;=$J28,BF$3&lt;=$M28),1,"")</f>
        <v/>
      </c>
      <c r="BG28">
        <f>IF(AND($A28&lt;&gt;"",BG$3&gt;=$J28,BG$3&lt;=$M28),1,"")</f>
        <v/>
      </c>
      <c r="BH28">
        <f>IF(AND($A28&lt;&gt;"",BH$3&gt;=$J28,BH$3&lt;=$M28),1,"")</f>
        <v/>
      </c>
      <c r="BI28">
        <f>IF(AND($A28&lt;&gt;"",BI$3&gt;=$J28,BI$3&lt;=$M28),1,"")</f>
        <v/>
      </c>
      <c r="BJ28">
        <f>IF(AND($A28&lt;&gt;"",BJ$3&gt;=$J28,BJ$3&lt;=$M28),1,"")</f>
        <v/>
      </c>
      <c r="BK28">
        <f>IF(AND($A28&lt;&gt;"",BK$3&gt;=$J28,BK$3&lt;=$M28),1,"")</f>
        <v/>
      </c>
      <c r="BL28">
        <f>IF(AND($A28&lt;&gt;"",BL$3&gt;=$J28,BL$3&lt;=$M28),1,"")</f>
        <v/>
      </c>
      <c r="BM28">
        <f>IF(AND($A28&lt;&gt;"",BM$3&gt;=$J28,BM$3&lt;=$M28),1,"")</f>
        <v/>
      </c>
      <c r="BN28">
        <f>IF(AND($A28&lt;&gt;"",BN$3&gt;=$J28,BN$3&lt;=$M28),1,"")</f>
        <v/>
      </c>
      <c r="BO28">
        <f>IF(AND($A28&lt;&gt;"",BO$3&gt;=$J28,BO$3&lt;=$M28),1,"")</f>
        <v/>
      </c>
      <c r="BP28">
        <f>IF(AND($A28&lt;&gt;"",BP$3&gt;=$J28,BP$3&lt;=$M28),1,"")</f>
        <v/>
      </c>
      <c r="BQ28">
        <f>IF(AND($A28&lt;&gt;"",BQ$3&gt;=$J28,BQ$3&lt;=$M28),1,"")</f>
        <v/>
      </c>
      <c r="BR28">
        <f>IF(AND($A28&lt;&gt;"",BR$3&gt;=$J28,BR$3&lt;=$M28),1,"")</f>
        <v/>
      </c>
      <c r="BS28">
        <f>IF(AND($A28&lt;&gt;"",BS$3&gt;=$J28,BS$3&lt;=$M28),1,"")</f>
        <v/>
      </c>
      <c r="BT28">
        <f>IF(AND($A28&lt;&gt;"",BT$3&gt;=$J28,BT$3&lt;=$M28),1,"")</f>
        <v/>
      </c>
      <c r="BU28">
        <f>IF(AND($A28&lt;&gt;"",BU$3&gt;=$J28,BU$3&lt;=$M28),1,"")</f>
        <v/>
      </c>
      <c r="BV28">
        <f>IF(AND($A28&lt;&gt;"",BV$3&gt;=$J28,BV$3&lt;=$M28),1,"")</f>
        <v/>
      </c>
    </row>
    <row r="29">
      <c r="A29">
        <f>IF(Job_Master_Ring!$A29="","",Job_Master_Ring!$A29)</f>
        <v/>
      </c>
      <c r="B29">
        <f>IF($A29="","",Job_Master_Ring!B29)</f>
        <v/>
      </c>
      <c r="C29">
        <f>IF($A29="","",Job_Master_Ring!C29)</f>
        <v/>
      </c>
      <c r="D29">
        <f>IF($A29="","",Job_Master_Ring!D29)</f>
        <v/>
      </c>
      <c r="E29">
        <f>IF($A29="","",IF($I29&lt;&gt;"",$I29,IFERROR(INDEX(Machine_List!$B$82:$B$86,MATCH(1,(Machine_List!$H$82:$H$86&lt;=IFERROR(VLOOKUP($B29,CHOOSE(MATCH($C29,Settings!$L$4:$L$10,0),OPR_BR1!$A$4:$K$18,OPR_BR2!$A$4:$K$18,OPR_CR2!$A$4:$K$18,OPR_CR3!$A$4:$K$18,OPR_CR4!$A$4:$K$18,OPR_RIM!$A$4:$K$18,OPR_BPR!$A$4:$K$18),10,0),0))*(Machine_List!$I$82:$I$86&gt;=IFERROR(VLOOKUP($B29,CHOOSE(MATCH($C29,Settings!$L$4:$L$10,0),OPR_BR1!$A$4:$K$18,OPR_BR2!$A$4:$K$18,OPR_CR2!$A$4:$K$18,OPR_CR3!$A$4:$K$18,OPR_CR4!$A$4:$K$18,OPR_RIM!$A$4:$K$18,OPR_BPR!$A$4:$K$18),11,0),9999)),0)),"NO COMPATIBLE MACHINE")))</f>
        <v/>
      </c>
      <c r="F29">
        <f>IF($E29="","",IFERROR(VLOOKUP($E29,Machine_List!$B:$G,6,0),""))</f>
        <v/>
      </c>
      <c r="G29" s="17">
        <f>IF($E29="","",IFERROR(VLOOKUP($E29,Machine_List!$B:$C,2,0),""))</f>
        <v/>
      </c>
      <c r="H29">
        <f>IF($E29="","",IFERROR(VLOOKUP($E29,Machine_List!$B:$D,3,0),""))</f>
        <v/>
      </c>
      <c r="J29" s="16">
        <f>IF($A29="","",IF($I29&lt;&gt;"",$I29,MAX(FID_Plan!$M29,IFERROR(LOOKUP(2,1/($E$3:INDIRECT("E"&amp;(ROW()-1))=$E29),$M$3:INDIRECT("M"&amp;(ROW()-1))),FID_Plan!$M29))))</f>
        <v/>
      </c>
      <c r="K29">
        <f>IF($A29="","",IFERROR(VLOOKUP(B29,CHOOSE(MATCH($C29,Settings!$L$4:$L$10,0),OPR_BR1!$A$4:$I$18,OPR_BR2!$A$4:$I$18,OPR_CR2!$A$4:$I$18,OPR_CR3!$A$4:$I$18,OPR_CR4!$A$4:$I$18,OPR_RIM!$A$4:$I$18,OPR_BPR!$A$4:$I$18),9,0),0))</f>
        <v/>
      </c>
      <c r="L29">
        <f>IF($A29="","",K29*D29)</f>
        <v/>
      </c>
      <c r="M29" s="16">
        <f>IF($A29=""," ",$J29+($L29/(IF(F29="Contract Workman",Settings!$K$5,Settings!$K$4))))</f>
        <v/>
      </c>
      <c r="N29">
        <f>IF($A29="","",IF(F29="Contract Workman",IF(AND(MOD(M29,1)&gt;=8/24,MOD(M29,1)&lt;20/24),"Shift S1","Shift S2"),IF(AND(MOD(M29,1)&gt;=7/24,MOD(M29,1)&lt;15/24),"Shift A",IF(AND(MOD(M29,1)&gt;=15/24,MOD(M29,1)&lt;23/24),"Shift B","Shift C"))))</f>
        <v/>
      </c>
      <c r="O29">
        <f>IF(B29="","",IF(IFERROR(ISNUMBER(SEARCH(TEXT(B29,"0"),VLOOKUP(E29,Machine_List!$B:$J,9,0))),FALSE),"✅ "&amp; E29,"❌ Sug: "&amp;IFERROR(INDEX(Machine_List!$B$82:$B$86,MATCH(1,(Machine_List!$H$82:$H$86&lt;=IFERROR(VLOOKUP($B29,OPR_BR1!$A$4:$K$18,10,0),0))*(Machine_List!$I$82:$I$86&gt;=IFERROR(VLOOKUP($B29,OPR_BR1!$A$4:$K$18,11,0),9999)),0)),"?")))</f>
        <v/>
      </c>
      <c r="P29">
        <f>IF(AND($A29&lt;&gt;"",P$3&gt;=$J29,P$3&lt;=$M29),1,"")</f>
        <v/>
      </c>
      <c r="Q29">
        <f>IF(AND($A29&lt;&gt;"",Q$3&gt;=$J29,Q$3&lt;=$M29),1,"")</f>
        <v/>
      </c>
      <c r="R29">
        <f>IF(AND($A29&lt;&gt;"",R$3&gt;=$J29,R$3&lt;=$M29),1,"")</f>
        <v/>
      </c>
      <c r="S29">
        <f>IF(AND($A29&lt;&gt;"",S$3&gt;=$J29,S$3&lt;=$M29),1,"")</f>
        <v/>
      </c>
      <c r="T29">
        <f>IF(AND($A29&lt;&gt;"",T$3&gt;=$J29,T$3&lt;=$M29),1,"")</f>
        <v/>
      </c>
      <c r="U29">
        <f>IF(AND($A29&lt;&gt;"",U$3&gt;=$J29,U$3&lt;=$M29),1,"")</f>
        <v/>
      </c>
      <c r="V29">
        <f>IF(AND($A29&lt;&gt;"",V$3&gt;=$J29,V$3&lt;=$M29),1,"")</f>
        <v/>
      </c>
      <c r="W29">
        <f>IF(AND($A29&lt;&gt;"",W$3&gt;=$J29,W$3&lt;=$M29),1,"")</f>
        <v/>
      </c>
      <c r="X29">
        <f>IF(AND($A29&lt;&gt;"",X$3&gt;=$J29,X$3&lt;=$M29),1,"")</f>
        <v/>
      </c>
      <c r="Y29">
        <f>IF(AND($A29&lt;&gt;"",Y$3&gt;=$J29,Y$3&lt;=$M29),1,"")</f>
        <v/>
      </c>
      <c r="Z29">
        <f>IF(AND($A29&lt;&gt;"",Z$3&gt;=$J29,Z$3&lt;=$M29),1,"")</f>
        <v/>
      </c>
      <c r="AA29">
        <f>IF(AND($A29&lt;&gt;"",AA$3&gt;=$J29,AA$3&lt;=$M29),1,"")</f>
        <v/>
      </c>
      <c r="AB29">
        <f>IF(AND($A29&lt;&gt;"",AB$3&gt;=$J29,AB$3&lt;=$M29),1,"")</f>
        <v/>
      </c>
      <c r="AC29">
        <f>IF(AND($A29&lt;&gt;"",AC$3&gt;=$J29,AC$3&lt;=$M29),1,"")</f>
        <v/>
      </c>
      <c r="AD29">
        <f>IF(AND($A29&lt;&gt;"",AD$3&gt;=$J29,AD$3&lt;=$M29),1,"")</f>
        <v/>
      </c>
      <c r="AE29">
        <f>IF(AND($A29&lt;&gt;"",AE$3&gt;=$J29,AE$3&lt;=$M29),1,"")</f>
        <v/>
      </c>
      <c r="AF29">
        <f>IF(AND($A29&lt;&gt;"",AF$3&gt;=$J29,AF$3&lt;=$M29),1,"")</f>
        <v/>
      </c>
      <c r="AG29">
        <f>IF(AND($A29&lt;&gt;"",AG$3&gt;=$J29,AG$3&lt;=$M29),1,"")</f>
        <v/>
      </c>
      <c r="AH29">
        <f>IF(AND($A29&lt;&gt;"",AH$3&gt;=$J29,AH$3&lt;=$M29),1,"")</f>
        <v/>
      </c>
      <c r="AI29">
        <f>IF(AND($A29&lt;&gt;"",AI$3&gt;=$J29,AI$3&lt;=$M29),1,"")</f>
        <v/>
      </c>
      <c r="AJ29">
        <f>IF(AND($A29&lt;&gt;"",AJ$3&gt;=$J29,AJ$3&lt;=$M29),1,"")</f>
        <v/>
      </c>
      <c r="AK29">
        <f>IF(AND($A29&lt;&gt;"",AK$3&gt;=$J29,AK$3&lt;=$M29),1,"")</f>
        <v/>
      </c>
      <c r="AL29">
        <f>IF(AND($A29&lt;&gt;"",AL$3&gt;=$J29,AL$3&lt;=$M29),1,"")</f>
        <v/>
      </c>
      <c r="AM29">
        <f>IF(AND($A29&lt;&gt;"",AM$3&gt;=$J29,AM$3&lt;=$M29),1,"")</f>
        <v/>
      </c>
      <c r="AN29">
        <f>IF(AND($A29&lt;&gt;"",AN$3&gt;=$J29,AN$3&lt;=$M29),1,"")</f>
        <v/>
      </c>
      <c r="AO29">
        <f>IF(AND($A29&lt;&gt;"",AO$3&gt;=$J29,AO$3&lt;=$M29),1,"")</f>
        <v/>
      </c>
      <c r="AP29">
        <f>IF(AND($A29&lt;&gt;"",AP$3&gt;=$J29,AP$3&lt;=$M29),1,"")</f>
        <v/>
      </c>
      <c r="AQ29">
        <f>IF(AND($A29&lt;&gt;"",AQ$3&gt;=$J29,AQ$3&lt;=$M29),1,"")</f>
        <v/>
      </c>
      <c r="AR29">
        <f>IF(AND($A29&lt;&gt;"",AR$3&gt;=$J29,AR$3&lt;=$M29),1,"")</f>
        <v/>
      </c>
      <c r="AS29">
        <f>IF(AND($A29&lt;&gt;"",AS$3&gt;=$J29,AS$3&lt;=$M29),1,"")</f>
        <v/>
      </c>
      <c r="AT29">
        <f>IF(AND($A29&lt;&gt;"",AT$3&gt;=$J29,AT$3&lt;=$M29),1,"")</f>
        <v/>
      </c>
      <c r="AU29">
        <f>IF(AND($A29&lt;&gt;"",AU$3&gt;=$J29,AU$3&lt;=$M29),1,"")</f>
        <v/>
      </c>
      <c r="AV29">
        <f>IF(AND($A29&lt;&gt;"",AV$3&gt;=$J29,AV$3&lt;=$M29),1,"")</f>
        <v/>
      </c>
      <c r="AW29">
        <f>IF(AND($A29&lt;&gt;"",AW$3&gt;=$J29,AW$3&lt;=$M29),1,"")</f>
        <v/>
      </c>
      <c r="AX29">
        <f>IF(AND($A29&lt;&gt;"",AX$3&gt;=$J29,AX$3&lt;=$M29),1,"")</f>
        <v/>
      </c>
      <c r="AY29">
        <f>IF(AND($A29&lt;&gt;"",AY$3&gt;=$J29,AY$3&lt;=$M29),1,"")</f>
        <v/>
      </c>
      <c r="AZ29">
        <f>IF(AND($A29&lt;&gt;"",AZ$3&gt;=$J29,AZ$3&lt;=$M29),1,"")</f>
        <v/>
      </c>
      <c r="BA29">
        <f>IF(AND($A29&lt;&gt;"",BA$3&gt;=$J29,BA$3&lt;=$M29),1,"")</f>
        <v/>
      </c>
      <c r="BB29">
        <f>IF(AND($A29&lt;&gt;"",BB$3&gt;=$J29,BB$3&lt;=$M29),1,"")</f>
        <v/>
      </c>
      <c r="BC29">
        <f>IF(AND($A29&lt;&gt;"",BC$3&gt;=$J29,BC$3&lt;=$M29),1,"")</f>
        <v/>
      </c>
      <c r="BD29">
        <f>IF(AND($A29&lt;&gt;"",BD$3&gt;=$J29,BD$3&lt;=$M29),1,"")</f>
        <v/>
      </c>
      <c r="BE29">
        <f>IF(AND($A29&lt;&gt;"",BE$3&gt;=$J29,BE$3&lt;=$M29),1,"")</f>
        <v/>
      </c>
      <c r="BF29">
        <f>IF(AND($A29&lt;&gt;"",BF$3&gt;=$J29,BF$3&lt;=$M29),1,"")</f>
        <v/>
      </c>
      <c r="BG29">
        <f>IF(AND($A29&lt;&gt;"",BG$3&gt;=$J29,BG$3&lt;=$M29),1,"")</f>
        <v/>
      </c>
      <c r="BH29">
        <f>IF(AND($A29&lt;&gt;"",BH$3&gt;=$J29,BH$3&lt;=$M29),1,"")</f>
        <v/>
      </c>
      <c r="BI29">
        <f>IF(AND($A29&lt;&gt;"",BI$3&gt;=$J29,BI$3&lt;=$M29),1,"")</f>
        <v/>
      </c>
      <c r="BJ29">
        <f>IF(AND($A29&lt;&gt;"",BJ$3&gt;=$J29,BJ$3&lt;=$M29),1,"")</f>
        <v/>
      </c>
      <c r="BK29">
        <f>IF(AND($A29&lt;&gt;"",BK$3&gt;=$J29,BK$3&lt;=$M29),1,"")</f>
        <v/>
      </c>
      <c r="BL29">
        <f>IF(AND($A29&lt;&gt;"",BL$3&gt;=$J29,BL$3&lt;=$M29),1,"")</f>
        <v/>
      </c>
      <c r="BM29">
        <f>IF(AND($A29&lt;&gt;"",BM$3&gt;=$J29,BM$3&lt;=$M29),1,"")</f>
        <v/>
      </c>
      <c r="BN29">
        <f>IF(AND($A29&lt;&gt;"",BN$3&gt;=$J29,BN$3&lt;=$M29),1,"")</f>
        <v/>
      </c>
      <c r="BO29">
        <f>IF(AND($A29&lt;&gt;"",BO$3&gt;=$J29,BO$3&lt;=$M29),1,"")</f>
        <v/>
      </c>
      <c r="BP29">
        <f>IF(AND($A29&lt;&gt;"",BP$3&gt;=$J29,BP$3&lt;=$M29),1,"")</f>
        <v/>
      </c>
      <c r="BQ29">
        <f>IF(AND($A29&lt;&gt;"",BQ$3&gt;=$J29,BQ$3&lt;=$M29),1,"")</f>
        <v/>
      </c>
      <c r="BR29">
        <f>IF(AND($A29&lt;&gt;"",BR$3&gt;=$J29,BR$3&lt;=$M29),1,"")</f>
        <v/>
      </c>
      <c r="BS29">
        <f>IF(AND($A29&lt;&gt;"",BS$3&gt;=$J29,BS$3&lt;=$M29),1,"")</f>
        <v/>
      </c>
      <c r="BT29">
        <f>IF(AND($A29&lt;&gt;"",BT$3&gt;=$J29,BT$3&lt;=$M29),1,"")</f>
        <v/>
      </c>
      <c r="BU29">
        <f>IF(AND($A29&lt;&gt;"",BU$3&gt;=$J29,BU$3&lt;=$M29),1,"")</f>
        <v/>
      </c>
      <c r="BV29">
        <f>IF(AND($A29&lt;&gt;"",BV$3&gt;=$J29,BV$3&lt;=$M29),1,"")</f>
        <v/>
      </c>
    </row>
    <row r="30">
      <c r="A30">
        <f>IF(Job_Master_Ring!$A30="","",Job_Master_Ring!$A30)</f>
        <v/>
      </c>
      <c r="B30">
        <f>IF($A30="","",Job_Master_Ring!B30)</f>
        <v/>
      </c>
      <c r="C30">
        <f>IF($A30="","",Job_Master_Ring!C30)</f>
        <v/>
      </c>
      <c r="D30">
        <f>IF($A30="","",Job_Master_Ring!D30)</f>
        <v/>
      </c>
      <c r="E30">
        <f>IF($A30="","",IF($I30&lt;&gt;"",$I30,IFERROR(INDEX(Machine_List!$B$82:$B$86,MATCH(1,(Machine_List!$H$82:$H$86&lt;=IFERROR(VLOOKUP($B30,CHOOSE(MATCH($C30,Settings!$L$4:$L$10,0),OPR_BR1!$A$4:$K$18,OPR_BR2!$A$4:$K$18,OPR_CR2!$A$4:$K$18,OPR_CR3!$A$4:$K$18,OPR_CR4!$A$4:$K$18,OPR_RIM!$A$4:$K$18,OPR_BPR!$A$4:$K$18),10,0),0))*(Machine_List!$I$82:$I$86&gt;=IFERROR(VLOOKUP($B30,CHOOSE(MATCH($C30,Settings!$L$4:$L$10,0),OPR_BR1!$A$4:$K$18,OPR_BR2!$A$4:$K$18,OPR_CR2!$A$4:$K$18,OPR_CR3!$A$4:$K$18,OPR_CR4!$A$4:$K$18,OPR_RIM!$A$4:$K$18,OPR_BPR!$A$4:$K$18),11,0),9999)),0)),"NO COMPATIBLE MACHINE")))</f>
        <v/>
      </c>
      <c r="F30">
        <f>IF($E30="","",IFERROR(VLOOKUP($E30,Machine_List!$B:$G,6,0),""))</f>
        <v/>
      </c>
      <c r="G30" s="17">
        <f>IF($E30="","",IFERROR(VLOOKUP($E30,Machine_List!$B:$C,2,0),""))</f>
        <v/>
      </c>
      <c r="H30">
        <f>IF($E30="","",IFERROR(VLOOKUP($E30,Machine_List!$B:$D,3,0),""))</f>
        <v/>
      </c>
      <c r="J30" s="16">
        <f>IF($A30="","",IF($I30&lt;&gt;"",$I30,MAX(FID_Plan!$M30,IFERROR(LOOKUP(2,1/($E$3:INDIRECT("E"&amp;(ROW()-1))=$E30),$M$3:INDIRECT("M"&amp;(ROW()-1))),FID_Plan!$M30))))</f>
        <v/>
      </c>
      <c r="K30">
        <f>IF($A30="","",IFERROR(VLOOKUP(B30,CHOOSE(MATCH($C30,Settings!$L$4:$L$10,0),OPR_BR1!$A$4:$I$18,OPR_BR2!$A$4:$I$18,OPR_CR2!$A$4:$I$18,OPR_CR3!$A$4:$I$18,OPR_CR4!$A$4:$I$18,OPR_RIM!$A$4:$I$18,OPR_BPR!$A$4:$I$18),9,0),0))</f>
        <v/>
      </c>
      <c r="L30">
        <f>IF($A30="","",K30*D30)</f>
        <v/>
      </c>
      <c r="M30" s="16">
        <f>IF($A30=""," ",$J30+($L30/(IF(F30="Contract Workman",Settings!$K$5,Settings!$K$4))))</f>
        <v/>
      </c>
      <c r="N30">
        <f>IF($A30="","",IF(F30="Contract Workman",IF(AND(MOD(M30,1)&gt;=8/24,MOD(M30,1)&lt;20/24),"Shift S1","Shift S2"),IF(AND(MOD(M30,1)&gt;=7/24,MOD(M30,1)&lt;15/24),"Shift A",IF(AND(MOD(M30,1)&gt;=15/24,MOD(M30,1)&lt;23/24),"Shift B","Shift C"))))</f>
        <v/>
      </c>
      <c r="O30">
        <f>IF(B30="","",IF(IFERROR(ISNUMBER(SEARCH(TEXT(B30,"0"),VLOOKUP(E30,Machine_List!$B:$J,9,0))),FALSE),"✅ "&amp; E30,"❌ Sug: "&amp;IFERROR(INDEX(Machine_List!$B$82:$B$86,MATCH(1,(Machine_List!$H$82:$H$86&lt;=IFERROR(VLOOKUP($B30,OPR_BR1!$A$4:$K$18,10,0),0))*(Machine_List!$I$82:$I$86&gt;=IFERROR(VLOOKUP($B30,OPR_BR1!$A$4:$K$18,11,0),9999)),0)),"?")))</f>
        <v/>
      </c>
      <c r="P30">
        <f>IF(AND($A30&lt;&gt;"",P$3&gt;=$J30,P$3&lt;=$M30),1,"")</f>
        <v/>
      </c>
      <c r="Q30">
        <f>IF(AND($A30&lt;&gt;"",Q$3&gt;=$J30,Q$3&lt;=$M30),1,"")</f>
        <v/>
      </c>
      <c r="R30">
        <f>IF(AND($A30&lt;&gt;"",R$3&gt;=$J30,R$3&lt;=$M30),1,"")</f>
        <v/>
      </c>
      <c r="S30">
        <f>IF(AND($A30&lt;&gt;"",S$3&gt;=$J30,S$3&lt;=$M30),1,"")</f>
        <v/>
      </c>
      <c r="T30">
        <f>IF(AND($A30&lt;&gt;"",T$3&gt;=$J30,T$3&lt;=$M30),1,"")</f>
        <v/>
      </c>
      <c r="U30">
        <f>IF(AND($A30&lt;&gt;"",U$3&gt;=$J30,U$3&lt;=$M30),1,"")</f>
        <v/>
      </c>
      <c r="V30">
        <f>IF(AND($A30&lt;&gt;"",V$3&gt;=$J30,V$3&lt;=$M30),1,"")</f>
        <v/>
      </c>
      <c r="W30">
        <f>IF(AND($A30&lt;&gt;"",W$3&gt;=$J30,W$3&lt;=$M30),1,"")</f>
        <v/>
      </c>
      <c r="X30">
        <f>IF(AND($A30&lt;&gt;"",X$3&gt;=$J30,X$3&lt;=$M30),1,"")</f>
        <v/>
      </c>
      <c r="Y30">
        <f>IF(AND($A30&lt;&gt;"",Y$3&gt;=$J30,Y$3&lt;=$M30),1,"")</f>
        <v/>
      </c>
      <c r="Z30">
        <f>IF(AND($A30&lt;&gt;"",Z$3&gt;=$J30,Z$3&lt;=$M30),1,"")</f>
        <v/>
      </c>
      <c r="AA30">
        <f>IF(AND($A30&lt;&gt;"",AA$3&gt;=$J30,AA$3&lt;=$M30),1,"")</f>
        <v/>
      </c>
      <c r="AB30">
        <f>IF(AND($A30&lt;&gt;"",AB$3&gt;=$J30,AB$3&lt;=$M30),1,"")</f>
        <v/>
      </c>
      <c r="AC30">
        <f>IF(AND($A30&lt;&gt;"",AC$3&gt;=$J30,AC$3&lt;=$M30),1,"")</f>
        <v/>
      </c>
      <c r="AD30">
        <f>IF(AND($A30&lt;&gt;"",AD$3&gt;=$J30,AD$3&lt;=$M30),1,"")</f>
        <v/>
      </c>
      <c r="AE30">
        <f>IF(AND($A30&lt;&gt;"",AE$3&gt;=$J30,AE$3&lt;=$M30),1,"")</f>
        <v/>
      </c>
      <c r="AF30">
        <f>IF(AND($A30&lt;&gt;"",AF$3&gt;=$J30,AF$3&lt;=$M30),1,"")</f>
        <v/>
      </c>
      <c r="AG30">
        <f>IF(AND($A30&lt;&gt;"",AG$3&gt;=$J30,AG$3&lt;=$M30),1,"")</f>
        <v/>
      </c>
      <c r="AH30">
        <f>IF(AND($A30&lt;&gt;"",AH$3&gt;=$J30,AH$3&lt;=$M30),1,"")</f>
        <v/>
      </c>
      <c r="AI30">
        <f>IF(AND($A30&lt;&gt;"",AI$3&gt;=$J30,AI$3&lt;=$M30),1,"")</f>
        <v/>
      </c>
      <c r="AJ30">
        <f>IF(AND($A30&lt;&gt;"",AJ$3&gt;=$J30,AJ$3&lt;=$M30),1,"")</f>
        <v/>
      </c>
      <c r="AK30">
        <f>IF(AND($A30&lt;&gt;"",AK$3&gt;=$J30,AK$3&lt;=$M30),1,"")</f>
        <v/>
      </c>
      <c r="AL30">
        <f>IF(AND($A30&lt;&gt;"",AL$3&gt;=$J30,AL$3&lt;=$M30),1,"")</f>
        <v/>
      </c>
      <c r="AM30">
        <f>IF(AND($A30&lt;&gt;"",AM$3&gt;=$J30,AM$3&lt;=$M30),1,"")</f>
        <v/>
      </c>
      <c r="AN30">
        <f>IF(AND($A30&lt;&gt;"",AN$3&gt;=$J30,AN$3&lt;=$M30),1,"")</f>
        <v/>
      </c>
      <c r="AO30">
        <f>IF(AND($A30&lt;&gt;"",AO$3&gt;=$J30,AO$3&lt;=$M30),1,"")</f>
        <v/>
      </c>
      <c r="AP30">
        <f>IF(AND($A30&lt;&gt;"",AP$3&gt;=$J30,AP$3&lt;=$M30),1,"")</f>
        <v/>
      </c>
      <c r="AQ30">
        <f>IF(AND($A30&lt;&gt;"",AQ$3&gt;=$J30,AQ$3&lt;=$M30),1,"")</f>
        <v/>
      </c>
      <c r="AR30">
        <f>IF(AND($A30&lt;&gt;"",AR$3&gt;=$J30,AR$3&lt;=$M30),1,"")</f>
        <v/>
      </c>
      <c r="AS30">
        <f>IF(AND($A30&lt;&gt;"",AS$3&gt;=$J30,AS$3&lt;=$M30),1,"")</f>
        <v/>
      </c>
      <c r="AT30">
        <f>IF(AND($A30&lt;&gt;"",AT$3&gt;=$J30,AT$3&lt;=$M30),1,"")</f>
        <v/>
      </c>
      <c r="AU30">
        <f>IF(AND($A30&lt;&gt;"",AU$3&gt;=$J30,AU$3&lt;=$M30),1,"")</f>
        <v/>
      </c>
      <c r="AV30">
        <f>IF(AND($A30&lt;&gt;"",AV$3&gt;=$J30,AV$3&lt;=$M30),1,"")</f>
        <v/>
      </c>
      <c r="AW30">
        <f>IF(AND($A30&lt;&gt;"",AW$3&gt;=$J30,AW$3&lt;=$M30),1,"")</f>
        <v/>
      </c>
      <c r="AX30">
        <f>IF(AND($A30&lt;&gt;"",AX$3&gt;=$J30,AX$3&lt;=$M30),1,"")</f>
        <v/>
      </c>
      <c r="AY30">
        <f>IF(AND($A30&lt;&gt;"",AY$3&gt;=$J30,AY$3&lt;=$M30),1,"")</f>
        <v/>
      </c>
      <c r="AZ30">
        <f>IF(AND($A30&lt;&gt;"",AZ$3&gt;=$J30,AZ$3&lt;=$M30),1,"")</f>
        <v/>
      </c>
      <c r="BA30">
        <f>IF(AND($A30&lt;&gt;"",BA$3&gt;=$J30,BA$3&lt;=$M30),1,"")</f>
        <v/>
      </c>
      <c r="BB30">
        <f>IF(AND($A30&lt;&gt;"",BB$3&gt;=$J30,BB$3&lt;=$M30),1,"")</f>
        <v/>
      </c>
      <c r="BC30">
        <f>IF(AND($A30&lt;&gt;"",BC$3&gt;=$J30,BC$3&lt;=$M30),1,"")</f>
        <v/>
      </c>
      <c r="BD30">
        <f>IF(AND($A30&lt;&gt;"",BD$3&gt;=$J30,BD$3&lt;=$M30),1,"")</f>
        <v/>
      </c>
      <c r="BE30">
        <f>IF(AND($A30&lt;&gt;"",BE$3&gt;=$J30,BE$3&lt;=$M30),1,"")</f>
        <v/>
      </c>
      <c r="BF30">
        <f>IF(AND($A30&lt;&gt;"",BF$3&gt;=$J30,BF$3&lt;=$M30),1,"")</f>
        <v/>
      </c>
      <c r="BG30">
        <f>IF(AND($A30&lt;&gt;"",BG$3&gt;=$J30,BG$3&lt;=$M30),1,"")</f>
        <v/>
      </c>
      <c r="BH30">
        <f>IF(AND($A30&lt;&gt;"",BH$3&gt;=$J30,BH$3&lt;=$M30),1,"")</f>
        <v/>
      </c>
      <c r="BI30">
        <f>IF(AND($A30&lt;&gt;"",BI$3&gt;=$J30,BI$3&lt;=$M30),1,"")</f>
        <v/>
      </c>
      <c r="BJ30">
        <f>IF(AND($A30&lt;&gt;"",BJ$3&gt;=$J30,BJ$3&lt;=$M30),1,"")</f>
        <v/>
      </c>
      <c r="BK30">
        <f>IF(AND($A30&lt;&gt;"",BK$3&gt;=$J30,BK$3&lt;=$M30),1,"")</f>
        <v/>
      </c>
      <c r="BL30">
        <f>IF(AND($A30&lt;&gt;"",BL$3&gt;=$J30,BL$3&lt;=$M30),1,"")</f>
        <v/>
      </c>
      <c r="BM30">
        <f>IF(AND($A30&lt;&gt;"",BM$3&gt;=$J30,BM$3&lt;=$M30),1,"")</f>
        <v/>
      </c>
      <c r="BN30">
        <f>IF(AND($A30&lt;&gt;"",BN$3&gt;=$J30,BN$3&lt;=$M30),1,"")</f>
        <v/>
      </c>
      <c r="BO30">
        <f>IF(AND($A30&lt;&gt;"",BO$3&gt;=$J30,BO$3&lt;=$M30),1,"")</f>
        <v/>
      </c>
      <c r="BP30">
        <f>IF(AND($A30&lt;&gt;"",BP$3&gt;=$J30,BP$3&lt;=$M30),1,"")</f>
        <v/>
      </c>
      <c r="BQ30">
        <f>IF(AND($A30&lt;&gt;"",BQ$3&gt;=$J30,BQ$3&lt;=$M30),1,"")</f>
        <v/>
      </c>
      <c r="BR30">
        <f>IF(AND($A30&lt;&gt;"",BR$3&gt;=$J30,BR$3&lt;=$M30),1,"")</f>
        <v/>
      </c>
      <c r="BS30">
        <f>IF(AND($A30&lt;&gt;"",BS$3&gt;=$J30,BS$3&lt;=$M30),1,"")</f>
        <v/>
      </c>
      <c r="BT30">
        <f>IF(AND($A30&lt;&gt;"",BT$3&gt;=$J30,BT$3&lt;=$M30),1,"")</f>
        <v/>
      </c>
      <c r="BU30">
        <f>IF(AND($A30&lt;&gt;"",BU$3&gt;=$J30,BU$3&lt;=$M30),1,"")</f>
        <v/>
      </c>
      <c r="BV30">
        <f>IF(AND($A30&lt;&gt;"",BV$3&gt;=$J30,BV$3&lt;=$M30),1,"")</f>
        <v/>
      </c>
    </row>
    <row r="31">
      <c r="A31">
        <f>IF(Job_Master_Ring!$A31="","",Job_Master_Ring!$A31)</f>
        <v/>
      </c>
      <c r="B31">
        <f>IF($A31="","",Job_Master_Ring!B31)</f>
        <v/>
      </c>
      <c r="C31">
        <f>IF($A31="","",Job_Master_Ring!C31)</f>
        <v/>
      </c>
      <c r="D31">
        <f>IF($A31="","",Job_Master_Ring!D31)</f>
        <v/>
      </c>
      <c r="E31">
        <f>IF($A31="","",IF($I31&lt;&gt;"",$I31,IFERROR(INDEX(Machine_List!$B$82:$B$86,MATCH(1,(Machine_List!$H$82:$H$86&lt;=IFERROR(VLOOKUP($B31,CHOOSE(MATCH($C31,Settings!$L$4:$L$10,0),OPR_BR1!$A$4:$K$18,OPR_BR2!$A$4:$K$18,OPR_CR2!$A$4:$K$18,OPR_CR3!$A$4:$K$18,OPR_CR4!$A$4:$K$18,OPR_RIM!$A$4:$K$18,OPR_BPR!$A$4:$K$18),10,0),0))*(Machine_List!$I$82:$I$86&gt;=IFERROR(VLOOKUP($B31,CHOOSE(MATCH($C31,Settings!$L$4:$L$10,0),OPR_BR1!$A$4:$K$18,OPR_BR2!$A$4:$K$18,OPR_CR2!$A$4:$K$18,OPR_CR3!$A$4:$K$18,OPR_CR4!$A$4:$K$18,OPR_RIM!$A$4:$K$18,OPR_BPR!$A$4:$K$18),11,0),9999)),0)),"NO COMPATIBLE MACHINE")))</f>
        <v/>
      </c>
      <c r="F31">
        <f>IF($E31="","",IFERROR(VLOOKUP($E31,Machine_List!$B:$G,6,0),""))</f>
        <v/>
      </c>
      <c r="G31" s="17">
        <f>IF($E31="","",IFERROR(VLOOKUP($E31,Machine_List!$B:$C,2,0),""))</f>
        <v/>
      </c>
      <c r="H31">
        <f>IF($E31="","",IFERROR(VLOOKUP($E31,Machine_List!$B:$D,3,0),""))</f>
        <v/>
      </c>
      <c r="J31" s="16">
        <f>IF($A31="","",IF($I31&lt;&gt;"",$I31,MAX(FID_Plan!$M31,IFERROR(LOOKUP(2,1/($E$3:INDIRECT("E"&amp;(ROW()-1))=$E31),$M$3:INDIRECT("M"&amp;(ROW()-1))),FID_Plan!$M31))))</f>
        <v/>
      </c>
      <c r="K31">
        <f>IF($A31="","",IFERROR(VLOOKUP(B31,CHOOSE(MATCH($C31,Settings!$L$4:$L$10,0),OPR_BR1!$A$4:$I$18,OPR_BR2!$A$4:$I$18,OPR_CR2!$A$4:$I$18,OPR_CR3!$A$4:$I$18,OPR_CR4!$A$4:$I$18,OPR_RIM!$A$4:$I$18,OPR_BPR!$A$4:$I$18),9,0),0))</f>
        <v/>
      </c>
      <c r="L31">
        <f>IF($A31="","",K31*D31)</f>
        <v/>
      </c>
      <c r="M31" s="16">
        <f>IF($A31=""," ",$J31+($L31/(IF(F31="Contract Workman",Settings!$K$5,Settings!$K$4))))</f>
        <v/>
      </c>
      <c r="N31">
        <f>IF($A31="","",IF(F31="Contract Workman",IF(AND(MOD(M31,1)&gt;=8/24,MOD(M31,1)&lt;20/24),"Shift S1","Shift S2"),IF(AND(MOD(M31,1)&gt;=7/24,MOD(M31,1)&lt;15/24),"Shift A",IF(AND(MOD(M31,1)&gt;=15/24,MOD(M31,1)&lt;23/24),"Shift B","Shift C"))))</f>
        <v/>
      </c>
      <c r="O31">
        <f>IF(B31="","",IF(IFERROR(ISNUMBER(SEARCH(TEXT(B31,"0"),VLOOKUP(E31,Machine_List!$B:$J,9,0))),FALSE),"✅ "&amp; E31,"❌ Sug: "&amp;IFERROR(INDEX(Machine_List!$B$82:$B$86,MATCH(1,(Machine_List!$H$82:$H$86&lt;=IFERROR(VLOOKUP($B31,OPR_BR1!$A$4:$K$18,10,0),0))*(Machine_List!$I$82:$I$86&gt;=IFERROR(VLOOKUP($B31,OPR_BR1!$A$4:$K$18,11,0),9999)),0)),"?")))</f>
        <v/>
      </c>
      <c r="P31">
        <f>IF(AND($A31&lt;&gt;"",P$3&gt;=$J31,P$3&lt;=$M31),1,"")</f>
        <v/>
      </c>
      <c r="Q31">
        <f>IF(AND($A31&lt;&gt;"",Q$3&gt;=$J31,Q$3&lt;=$M31),1,"")</f>
        <v/>
      </c>
      <c r="R31">
        <f>IF(AND($A31&lt;&gt;"",R$3&gt;=$J31,R$3&lt;=$M31),1,"")</f>
        <v/>
      </c>
      <c r="S31">
        <f>IF(AND($A31&lt;&gt;"",S$3&gt;=$J31,S$3&lt;=$M31),1,"")</f>
        <v/>
      </c>
      <c r="T31">
        <f>IF(AND($A31&lt;&gt;"",T$3&gt;=$J31,T$3&lt;=$M31),1,"")</f>
        <v/>
      </c>
      <c r="U31">
        <f>IF(AND($A31&lt;&gt;"",U$3&gt;=$J31,U$3&lt;=$M31),1,"")</f>
        <v/>
      </c>
      <c r="V31">
        <f>IF(AND($A31&lt;&gt;"",V$3&gt;=$J31,V$3&lt;=$M31),1,"")</f>
        <v/>
      </c>
      <c r="W31">
        <f>IF(AND($A31&lt;&gt;"",W$3&gt;=$J31,W$3&lt;=$M31),1,"")</f>
        <v/>
      </c>
      <c r="X31">
        <f>IF(AND($A31&lt;&gt;"",X$3&gt;=$J31,X$3&lt;=$M31),1,"")</f>
        <v/>
      </c>
      <c r="Y31">
        <f>IF(AND($A31&lt;&gt;"",Y$3&gt;=$J31,Y$3&lt;=$M31),1,"")</f>
        <v/>
      </c>
      <c r="Z31">
        <f>IF(AND($A31&lt;&gt;"",Z$3&gt;=$J31,Z$3&lt;=$M31),1,"")</f>
        <v/>
      </c>
      <c r="AA31">
        <f>IF(AND($A31&lt;&gt;"",AA$3&gt;=$J31,AA$3&lt;=$M31),1,"")</f>
        <v/>
      </c>
      <c r="AB31">
        <f>IF(AND($A31&lt;&gt;"",AB$3&gt;=$J31,AB$3&lt;=$M31),1,"")</f>
        <v/>
      </c>
      <c r="AC31">
        <f>IF(AND($A31&lt;&gt;"",AC$3&gt;=$J31,AC$3&lt;=$M31),1,"")</f>
        <v/>
      </c>
      <c r="AD31">
        <f>IF(AND($A31&lt;&gt;"",AD$3&gt;=$J31,AD$3&lt;=$M31),1,"")</f>
        <v/>
      </c>
      <c r="AE31">
        <f>IF(AND($A31&lt;&gt;"",AE$3&gt;=$J31,AE$3&lt;=$M31),1,"")</f>
        <v/>
      </c>
      <c r="AF31">
        <f>IF(AND($A31&lt;&gt;"",AF$3&gt;=$J31,AF$3&lt;=$M31),1,"")</f>
        <v/>
      </c>
      <c r="AG31">
        <f>IF(AND($A31&lt;&gt;"",AG$3&gt;=$J31,AG$3&lt;=$M31),1,"")</f>
        <v/>
      </c>
      <c r="AH31">
        <f>IF(AND($A31&lt;&gt;"",AH$3&gt;=$J31,AH$3&lt;=$M31),1,"")</f>
        <v/>
      </c>
      <c r="AI31">
        <f>IF(AND($A31&lt;&gt;"",AI$3&gt;=$J31,AI$3&lt;=$M31),1,"")</f>
        <v/>
      </c>
      <c r="AJ31">
        <f>IF(AND($A31&lt;&gt;"",AJ$3&gt;=$J31,AJ$3&lt;=$M31),1,"")</f>
        <v/>
      </c>
      <c r="AK31">
        <f>IF(AND($A31&lt;&gt;"",AK$3&gt;=$J31,AK$3&lt;=$M31),1,"")</f>
        <v/>
      </c>
      <c r="AL31">
        <f>IF(AND($A31&lt;&gt;"",AL$3&gt;=$J31,AL$3&lt;=$M31),1,"")</f>
        <v/>
      </c>
      <c r="AM31">
        <f>IF(AND($A31&lt;&gt;"",AM$3&gt;=$J31,AM$3&lt;=$M31),1,"")</f>
        <v/>
      </c>
      <c r="AN31">
        <f>IF(AND($A31&lt;&gt;"",AN$3&gt;=$J31,AN$3&lt;=$M31),1,"")</f>
        <v/>
      </c>
      <c r="AO31">
        <f>IF(AND($A31&lt;&gt;"",AO$3&gt;=$J31,AO$3&lt;=$M31),1,"")</f>
        <v/>
      </c>
      <c r="AP31">
        <f>IF(AND($A31&lt;&gt;"",AP$3&gt;=$J31,AP$3&lt;=$M31),1,"")</f>
        <v/>
      </c>
      <c r="AQ31">
        <f>IF(AND($A31&lt;&gt;"",AQ$3&gt;=$J31,AQ$3&lt;=$M31),1,"")</f>
        <v/>
      </c>
      <c r="AR31">
        <f>IF(AND($A31&lt;&gt;"",AR$3&gt;=$J31,AR$3&lt;=$M31),1,"")</f>
        <v/>
      </c>
      <c r="AS31">
        <f>IF(AND($A31&lt;&gt;"",AS$3&gt;=$J31,AS$3&lt;=$M31),1,"")</f>
        <v/>
      </c>
      <c r="AT31">
        <f>IF(AND($A31&lt;&gt;"",AT$3&gt;=$J31,AT$3&lt;=$M31),1,"")</f>
        <v/>
      </c>
      <c r="AU31">
        <f>IF(AND($A31&lt;&gt;"",AU$3&gt;=$J31,AU$3&lt;=$M31),1,"")</f>
        <v/>
      </c>
      <c r="AV31">
        <f>IF(AND($A31&lt;&gt;"",AV$3&gt;=$J31,AV$3&lt;=$M31),1,"")</f>
        <v/>
      </c>
      <c r="AW31">
        <f>IF(AND($A31&lt;&gt;"",AW$3&gt;=$J31,AW$3&lt;=$M31),1,"")</f>
        <v/>
      </c>
      <c r="AX31">
        <f>IF(AND($A31&lt;&gt;"",AX$3&gt;=$J31,AX$3&lt;=$M31),1,"")</f>
        <v/>
      </c>
      <c r="AY31">
        <f>IF(AND($A31&lt;&gt;"",AY$3&gt;=$J31,AY$3&lt;=$M31),1,"")</f>
        <v/>
      </c>
      <c r="AZ31">
        <f>IF(AND($A31&lt;&gt;"",AZ$3&gt;=$J31,AZ$3&lt;=$M31),1,"")</f>
        <v/>
      </c>
      <c r="BA31">
        <f>IF(AND($A31&lt;&gt;"",BA$3&gt;=$J31,BA$3&lt;=$M31),1,"")</f>
        <v/>
      </c>
      <c r="BB31">
        <f>IF(AND($A31&lt;&gt;"",BB$3&gt;=$J31,BB$3&lt;=$M31),1,"")</f>
        <v/>
      </c>
      <c r="BC31">
        <f>IF(AND($A31&lt;&gt;"",BC$3&gt;=$J31,BC$3&lt;=$M31),1,"")</f>
        <v/>
      </c>
      <c r="BD31">
        <f>IF(AND($A31&lt;&gt;"",BD$3&gt;=$J31,BD$3&lt;=$M31),1,"")</f>
        <v/>
      </c>
      <c r="BE31">
        <f>IF(AND($A31&lt;&gt;"",BE$3&gt;=$J31,BE$3&lt;=$M31),1,"")</f>
        <v/>
      </c>
      <c r="BF31">
        <f>IF(AND($A31&lt;&gt;"",BF$3&gt;=$J31,BF$3&lt;=$M31),1,"")</f>
        <v/>
      </c>
      <c r="BG31">
        <f>IF(AND($A31&lt;&gt;"",BG$3&gt;=$J31,BG$3&lt;=$M31),1,"")</f>
        <v/>
      </c>
      <c r="BH31">
        <f>IF(AND($A31&lt;&gt;"",BH$3&gt;=$J31,BH$3&lt;=$M31),1,"")</f>
        <v/>
      </c>
      <c r="BI31">
        <f>IF(AND($A31&lt;&gt;"",BI$3&gt;=$J31,BI$3&lt;=$M31),1,"")</f>
        <v/>
      </c>
      <c r="BJ31">
        <f>IF(AND($A31&lt;&gt;"",BJ$3&gt;=$J31,BJ$3&lt;=$M31),1,"")</f>
        <v/>
      </c>
      <c r="BK31">
        <f>IF(AND($A31&lt;&gt;"",BK$3&gt;=$J31,BK$3&lt;=$M31),1,"")</f>
        <v/>
      </c>
      <c r="BL31">
        <f>IF(AND($A31&lt;&gt;"",BL$3&gt;=$J31,BL$3&lt;=$M31),1,"")</f>
        <v/>
      </c>
      <c r="BM31">
        <f>IF(AND($A31&lt;&gt;"",BM$3&gt;=$J31,BM$3&lt;=$M31),1,"")</f>
        <v/>
      </c>
      <c r="BN31">
        <f>IF(AND($A31&lt;&gt;"",BN$3&gt;=$J31,BN$3&lt;=$M31),1,"")</f>
        <v/>
      </c>
      <c r="BO31">
        <f>IF(AND($A31&lt;&gt;"",BO$3&gt;=$J31,BO$3&lt;=$M31),1,"")</f>
        <v/>
      </c>
      <c r="BP31">
        <f>IF(AND($A31&lt;&gt;"",BP$3&gt;=$J31,BP$3&lt;=$M31),1,"")</f>
        <v/>
      </c>
      <c r="BQ31">
        <f>IF(AND($A31&lt;&gt;"",BQ$3&gt;=$J31,BQ$3&lt;=$M31),1,"")</f>
        <v/>
      </c>
      <c r="BR31">
        <f>IF(AND($A31&lt;&gt;"",BR$3&gt;=$J31,BR$3&lt;=$M31),1,"")</f>
        <v/>
      </c>
      <c r="BS31">
        <f>IF(AND($A31&lt;&gt;"",BS$3&gt;=$J31,BS$3&lt;=$M31),1,"")</f>
        <v/>
      </c>
      <c r="BT31">
        <f>IF(AND($A31&lt;&gt;"",BT$3&gt;=$J31,BT$3&lt;=$M31),1,"")</f>
        <v/>
      </c>
      <c r="BU31">
        <f>IF(AND($A31&lt;&gt;"",BU$3&gt;=$J31,BU$3&lt;=$M31),1,"")</f>
        <v/>
      </c>
      <c r="BV31">
        <f>IF(AND($A31&lt;&gt;"",BV$3&gt;=$J31,BV$3&lt;=$M31),1,"")</f>
        <v/>
      </c>
    </row>
    <row r="32">
      <c r="A32">
        <f>IF(Job_Master_Ring!$A32="","",Job_Master_Ring!$A32)</f>
        <v/>
      </c>
      <c r="B32">
        <f>IF($A32="","",Job_Master_Ring!B32)</f>
        <v/>
      </c>
      <c r="C32">
        <f>IF($A32="","",Job_Master_Ring!C32)</f>
        <v/>
      </c>
      <c r="D32">
        <f>IF($A32="","",Job_Master_Ring!D32)</f>
        <v/>
      </c>
      <c r="E32">
        <f>IF($A32="","",IF($I32&lt;&gt;"",$I32,IFERROR(INDEX(Machine_List!$B$82:$B$86,MATCH(1,(Machine_List!$H$82:$H$86&lt;=IFERROR(VLOOKUP($B32,CHOOSE(MATCH($C32,Settings!$L$4:$L$10,0),OPR_BR1!$A$4:$K$18,OPR_BR2!$A$4:$K$18,OPR_CR2!$A$4:$K$18,OPR_CR3!$A$4:$K$18,OPR_CR4!$A$4:$K$18,OPR_RIM!$A$4:$K$18,OPR_BPR!$A$4:$K$18),10,0),0))*(Machine_List!$I$82:$I$86&gt;=IFERROR(VLOOKUP($B32,CHOOSE(MATCH($C32,Settings!$L$4:$L$10,0),OPR_BR1!$A$4:$K$18,OPR_BR2!$A$4:$K$18,OPR_CR2!$A$4:$K$18,OPR_CR3!$A$4:$K$18,OPR_CR4!$A$4:$K$18,OPR_RIM!$A$4:$K$18,OPR_BPR!$A$4:$K$18),11,0),9999)),0)),"NO COMPATIBLE MACHINE")))</f>
        <v/>
      </c>
      <c r="F32">
        <f>IF($E32="","",IFERROR(VLOOKUP($E32,Machine_List!$B:$G,6,0),""))</f>
        <v/>
      </c>
      <c r="G32" s="17">
        <f>IF($E32="","",IFERROR(VLOOKUP($E32,Machine_List!$B:$C,2,0),""))</f>
        <v/>
      </c>
      <c r="H32">
        <f>IF($E32="","",IFERROR(VLOOKUP($E32,Machine_List!$B:$D,3,0),""))</f>
        <v/>
      </c>
      <c r="J32" s="16">
        <f>IF($A32="","",IF($I32&lt;&gt;"",$I32,MAX(FID_Plan!$M32,IFERROR(LOOKUP(2,1/($E$3:INDIRECT("E"&amp;(ROW()-1))=$E32),$M$3:INDIRECT("M"&amp;(ROW()-1))),FID_Plan!$M32))))</f>
        <v/>
      </c>
      <c r="K32">
        <f>IF($A32="","",IFERROR(VLOOKUP(B32,CHOOSE(MATCH($C32,Settings!$L$4:$L$10,0),OPR_BR1!$A$4:$I$18,OPR_BR2!$A$4:$I$18,OPR_CR2!$A$4:$I$18,OPR_CR3!$A$4:$I$18,OPR_CR4!$A$4:$I$18,OPR_RIM!$A$4:$I$18,OPR_BPR!$A$4:$I$18),9,0),0))</f>
        <v/>
      </c>
      <c r="L32">
        <f>IF($A32="","",K32*D32)</f>
        <v/>
      </c>
      <c r="M32" s="16">
        <f>IF($A32=""," ",$J32+($L32/(IF(F32="Contract Workman",Settings!$K$5,Settings!$K$4))))</f>
        <v/>
      </c>
      <c r="N32">
        <f>IF($A32="","",IF(F32="Contract Workman",IF(AND(MOD(M32,1)&gt;=8/24,MOD(M32,1)&lt;20/24),"Shift S1","Shift S2"),IF(AND(MOD(M32,1)&gt;=7/24,MOD(M32,1)&lt;15/24),"Shift A",IF(AND(MOD(M32,1)&gt;=15/24,MOD(M32,1)&lt;23/24),"Shift B","Shift C"))))</f>
        <v/>
      </c>
      <c r="O32">
        <f>IF(B32="","",IF(IFERROR(ISNUMBER(SEARCH(TEXT(B32,"0"),VLOOKUP(E32,Machine_List!$B:$J,9,0))),FALSE),"✅ "&amp; E32,"❌ Sug: "&amp;IFERROR(INDEX(Machine_List!$B$82:$B$86,MATCH(1,(Machine_List!$H$82:$H$86&lt;=IFERROR(VLOOKUP($B32,OPR_BR1!$A$4:$K$18,10,0),0))*(Machine_List!$I$82:$I$86&gt;=IFERROR(VLOOKUP($B32,OPR_BR1!$A$4:$K$18,11,0),9999)),0)),"?")))</f>
        <v/>
      </c>
      <c r="P32">
        <f>IF(AND($A32&lt;&gt;"",P$3&gt;=$J32,P$3&lt;=$M32),1,"")</f>
        <v/>
      </c>
      <c r="Q32">
        <f>IF(AND($A32&lt;&gt;"",Q$3&gt;=$J32,Q$3&lt;=$M32),1,"")</f>
        <v/>
      </c>
      <c r="R32">
        <f>IF(AND($A32&lt;&gt;"",R$3&gt;=$J32,R$3&lt;=$M32),1,"")</f>
        <v/>
      </c>
      <c r="S32">
        <f>IF(AND($A32&lt;&gt;"",S$3&gt;=$J32,S$3&lt;=$M32),1,"")</f>
        <v/>
      </c>
      <c r="T32">
        <f>IF(AND($A32&lt;&gt;"",T$3&gt;=$J32,T$3&lt;=$M32),1,"")</f>
        <v/>
      </c>
      <c r="U32">
        <f>IF(AND($A32&lt;&gt;"",U$3&gt;=$J32,U$3&lt;=$M32),1,"")</f>
        <v/>
      </c>
      <c r="V32">
        <f>IF(AND($A32&lt;&gt;"",V$3&gt;=$J32,V$3&lt;=$M32),1,"")</f>
        <v/>
      </c>
      <c r="W32">
        <f>IF(AND($A32&lt;&gt;"",W$3&gt;=$J32,W$3&lt;=$M32),1,"")</f>
        <v/>
      </c>
      <c r="X32">
        <f>IF(AND($A32&lt;&gt;"",X$3&gt;=$J32,X$3&lt;=$M32),1,"")</f>
        <v/>
      </c>
      <c r="Y32">
        <f>IF(AND($A32&lt;&gt;"",Y$3&gt;=$J32,Y$3&lt;=$M32),1,"")</f>
        <v/>
      </c>
      <c r="Z32">
        <f>IF(AND($A32&lt;&gt;"",Z$3&gt;=$J32,Z$3&lt;=$M32),1,"")</f>
        <v/>
      </c>
      <c r="AA32">
        <f>IF(AND($A32&lt;&gt;"",AA$3&gt;=$J32,AA$3&lt;=$M32),1,"")</f>
        <v/>
      </c>
      <c r="AB32">
        <f>IF(AND($A32&lt;&gt;"",AB$3&gt;=$J32,AB$3&lt;=$M32),1,"")</f>
        <v/>
      </c>
      <c r="AC32">
        <f>IF(AND($A32&lt;&gt;"",AC$3&gt;=$J32,AC$3&lt;=$M32),1,"")</f>
        <v/>
      </c>
      <c r="AD32">
        <f>IF(AND($A32&lt;&gt;"",AD$3&gt;=$J32,AD$3&lt;=$M32),1,"")</f>
        <v/>
      </c>
      <c r="AE32">
        <f>IF(AND($A32&lt;&gt;"",AE$3&gt;=$J32,AE$3&lt;=$M32),1,"")</f>
        <v/>
      </c>
      <c r="AF32">
        <f>IF(AND($A32&lt;&gt;"",AF$3&gt;=$J32,AF$3&lt;=$M32),1,"")</f>
        <v/>
      </c>
      <c r="AG32">
        <f>IF(AND($A32&lt;&gt;"",AG$3&gt;=$J32,AG$3&lt;=$M32),1,"")</f>
        <v/>
      </c>
      <c r="AH32">
        <f>IF(AND($A32&lt;&gt;"",AH$3&gt;=$J32,AH$3&lt;=$M32),1,"")</f>
        <v/>
      </c>
      <c r="AI32">
        <f>IF(AND($A32&lt;&gt;"",AI$3&gt;=$J32,AI$3&lt;=$M32),1,"")</f>
        <v/>
      </c>
      <c r="AJ32">
        <f>IF(AND($A32&lt;&gt;"",AJ$3&gt;=$J32,AJ$3&lt;=$M32),1,"")</f>
        <v/>
      </c>
      <c r="AK32">
        <f>IF(AND($A32&lt;&gt;"",AK$3&gt;=$J32,AK$3&lt;=$M32),1,"")</f>
        <v/>
      </c>
      <c r="AL32">
        <f>IF(AND($A32&lt;&gt;"",AL$3&gt;=$J32,AL$3&lt;=$M32),1,"")</f>
        <v/>
      </c>
      <c r="AM32">
        <f>IF(AND($A32&lt;&gt;"",AM$3&gt;=$J32,AM$3&lt;=$M32),1,"")</f>
        <v/>
      </c>
      <c r="AN32">
        <f>IF(AND($A32&lt;&gt;"",AN$3&gt;=$J32,AN$3&lt;=$M32),1,"")</f>
        <v/>
      </c>
      <c r="AO32">
        <f>IF(AND($A32&lt;&gt;"",AO$3&gt;=$J32,AO$3&lt;=$M32),1,"")</f>
        <v/>
      </c>
      <c r="AP32">
        <f>IF(AND($A32&lt;&gt;"",AP$3&gt;=$J32,AP$3&lt;=$M32),1,"")</f>
        <v/>
      </c>
      <c r="AQ32">
        <f>IF(AND($A32&lt;&gt;"",AQ$3&gt;=$J32,AQ$3&lt;=$M32),1,"")</f>
        <v/>
      </c>
      <c r="AR32">
        <f>IF(AND($A32&lt;&gt;"",AR$3&gt;=$J32,AR$3&lt;=$M32),1,"")</f>
        <v/>
      </c>
      <c r="AS32">
        <f>IF(AND($A32&lt;&gt;"",AS$3&gt;=$J32,AS$3&lt;=$M32),1,"")</f>
        <v/>
      </c>
      <c r="AT32">
        <f>IF(AND($A32&lt;&gt;"",AT$3&gt;=$J32,AT$3&lt;=$M32),1,"")</f>
        <v/>
      </c>
      <c r="AU32">
        <f>IF(AND($A32&lt;&gt;"",AU$3&gt;=$J32,AU$3&lt;=$M32),1,"")</f>
        <v/>
      </c>
      <c r="AV32">
        <f>IF(AND($A32&lt;&gt;"",AV$3&gt;=$J32,AV$3&lt;=$M32),1,"")</f>
        <v/>
      </c>
      <c r="AW32">
        <f>IF(AND($A32&lt;&gt;"",AW$3&gt;=$J32,AW$3&lt;=$M32),1,"")</f>
        <v/>
      </c>
      <c r="AX32">
        <f>IF(AND($A32&lt;&gt;"",AX$3&gt;=$J32,AX$3&lt;=$M32),1,"")</f>
        <v/>
      </c>
      <c r="AY32">
        <f>IF(AND($A32&lt;&gt;"",AY$3&gt;=$J32,AY$3&lt;=$M32),1,"")</f>
        <v/>
      </c>
      <c r="AZ32">
        <f>IF(AND($A32&lt;&gt;"",AZ$3&gt;=$J32,AZ$3&lt;=$M32),1,"")</f>
        <v/>
      </c>
      <c r="BA32">
        <f>IF(AND($A32&lt;&gt;"",BA$3&gt;=$J32,BA$3&lt;=$M32),1,"")</f>
        <v/>
      </c>
      <c r="BB32">
        <f>IF(AND($A32&lt;&gt;"",BB$3&gt;=$J32,BB$3&lt;=$M32),1,"")</f>
        <v/>
      </c>
      <c r="BC32">
        <f>IF(AND($A32&lt;&gt;"",BC$3&gt;=$J32,BC$3&lt;=$M32),1,"")</f>
        <v/>
      </c>
      <c r="BD32">
        <f>IF(AND($A32&lt;&gt;"",BD$3&gt;=$J32,BD$3&lt;=$M32),1,"")</f>
        <v/>
      </c>
      <c r="BE32">
        <f>IF(AND($A32&lt;&gt;"",BE$3&gt;=$J32,BE$3&lt;=$M32),1,"")</f>
        <v/>
      </c>
      <c r="BF32">
        <f>IF(AND($A32&lt;&gt;"",BF$3&gt;=$J32,BF$3&lt;=$M32),1,"")</f>
        <v/>
      </c>
      <c r="BG32">
        <f>IF(AND($A32&lt;&gt;"",BG$3&gt;=$J32,BG$3&lt;=$M32),1,"")</f>
        <v/>
      </c>
      <c r="BH32">
        <f>IF(AND($A32&lt;&gt;"",BH$3&gt;=$J32,BH$3&lt;=$M32),1,"")</f>
        <v/>
      </c>
      <c r="BI32">
        <f>IF(AND($A32&lt;&gt;"",BI$3&gt;=$J32,BI$3&lt;=$M32),1,"")</f>
        <v/>
      </c>
      <c r="BJ32">
        <f>IF(AND($A32&lt;&gt;"",BJ$3&gt;=$J32,BJ$3&lt;=$M32),1,"")</f>
        <v/>
      </c>
      <c r="BK32">
        <f>IF(AND($A32&lt;&gt;"",BK$3&gt;=$J32,BK$3&lt;=$M32),1,"")</f>
        <v/>
      </c>
      <c r="BL32">
        <f>IF(AND($A32&lt;&gt;"",BL$3&gt;=$J32,BL$3&lt;=$M32),1,"")</f>
        <v/>
      </c>
      <c r="BM32">
        <f>IF(AND($A32&lt;&gt;"",BM$3&gt;=$J32,BM$3&lt;=$M32),1,"")</f>
        <v/>
      </c>
      <c r="BN32">
        <f>IF(AND($A32&lt;&gt;"",BN$3&gt;=$J32,BN$3&lt;=$M32),1,"")</f>
        <v/>
      </c>
      <c r="BO32">
        <f>IF(AND($A32&lt;&gt;"",BO$3&gt;=$J32,BO$3&lt;=$M32),1,"")</f>
        <v/>
      </c>
      <c r="BP32">
        <f>IF(AND($A32&lt;&gt;"",BP$3&gt;=$J32,BP$3&lt;=$M32),1,"")</f>
        <v/>
      </c>
      <c r="BQ32">
        <f>IF(AND($A32&lt;&gt;"",BQ$3&gt;=$J32,BQ$3&lt;=$M32),1,"")</f>
        <v/>
      </c>
      <c r="BR32">
        <f>IF(AND($A32&lt;&gt;"",BR$3&gt;=$J32,BR$3&lt;=$M32),1,"")</f>
        <v/>
      </c>
      <c r="BS32">
        <f>IF(AND($A32&lt;&gt;"",BS$3&gt;=$J32,BS$3&lt;=$M32),1,"")</f>
        <v/>
      </c>
      <c r="BT32">
        <f>IF(AND($A32&lt;&gt;"",BT$3&gt;=$J32,BT$3&lt;=$M32),1,"")</f>
        <v/>
      </c>
      <c r="BU32">
        <f>IF(AND($A32&lt;&gt;"",BU$3&gt;=$J32,BU$3&lt;=$M32),1,"")</f>
        <v/>
      </c>
      <c r="BV32">
        <f>IF(AND($A32&lt;&gt;"",BV$3&gt;=$J32,BV$3&lt;=$M32),1,"")</f>
        <v/>
      </c>
    </row>
    <row r="33">
      <c r="A33">
        <f>IF(Job_Master_Ring!$A33="","",Job_Master_Ring!$A33)</f>
        <v/>
      </c>
      <c r="B33">
        <f>IF($A33="","",Job_Master_Ring!B33)</f>
        <v/>
      </c>
      <c r="C33">
        <f>IF($A33="","",Job_Master_Ring!C33)</f>
        <v/>
      </c>
      <c r="D33">
        <f>IF($A33="","",Job_Master_Ring!D33)</f>
        <v/>
      </c>
      <c r="E33">
        <f>IF($A33="","",IF($I33&lt;&gt;"",$I33,IFERROR(INDEX(Machine_List!$B$82:$B$86,MATCH(1,(Machine_List!$H$82:$H$86&lt;=IFERROR(VLOOKUP($B33,CHOOSE(MATCH($C33,Settings!$L$4:$L$10,0),OPR_BR1!$A$4:$K$18,OPR_BR2!$A$4:$K$18,OPR_CR2!$A$4:$K$18,OPR_CR3!$A$4:$K$18,OPR_CR4!$A$4:$K$18,OPR_RIM!$A$4:$K$18,OPR_BPR!$A$4:$K$18),10,0),0))*(Machine_List!$I$82:$I$86&gt;=IFERROR(VLOOKUP($B33,CHOOSE(MATCH($C33,Settings!$L$4:$L$10,0),OPR_BR1!$A$4:$K$18,OPR_BR2!$A$4:$K$18,OPR_CR2!$A$4:$K$18,OPR_CR3!$A$4:$K$18,OPR_CR4!$A$4:$K$18,OPR_RIM!$A$4:$K$18,OPR_BPR!$A$4:$K$18),11,0),9999)),0)),"NO COMPATIBLE MACHINE")))</f>
        <v/>
      </c>
      <c r="F33">
        <f>IF($E33="","",IFERROR(VLOOKUP($E33,Machine_List!$B:$G,6,0),""))</f>
        <v/>
      </c>
      <c r="G33" s="17">
        <f>IF($E33="","",IFERROR(VLOOKUP($E33,Machine_List!$B:$C,2,0),""))</f>
        <v/>
      </c>
      <c r="H33">
        <f>IF($E33="","",IFERROR(VLOOKUP($E33,Machine_List!$B:$D,3,0),""))</f>
        <v/>
      </c>
      <c r="J33" s="16">
        <f>IF($A33="","",IF($I33&lt;&gt;"",$I33,MAX(FID_Plan!$M33,IFERROR(LOOKUP(2,1/($E$3:INDIRECT("E"&amp;(ROW()-1))=$E33),$M$3:INDIRECT("M"&amp;(ROW()-1))),FID_Plan!$M33))))</f>
        <v/>
      </c>
      <c r="K33">
        <f>IF($A33="","",IFERROR(VLOOKUP(B33,CHOOSE(MATCH($C33,Settings!$L$4:$L$10,0),OPR_BR1!$A$4:$I$18,OPR_BR2!$A$4:$I$18,OPR_CR2!$A$4:$I$18,OPR_CR3!$A$4:$I$18,OPR_CR4!$A$4:$I$18,OPR_RIM!$A$4:$I$18,OPR_BPR!$A$4:$I$18),9,0),0))</f>
        <v/>
      </c>
      <c r="L33">
        <f>IF($A33="","",K33*D33)</f>
        <v/>
      </c>
      <c r="M33" s="16">
        <f>IF($A33=""," ",$J33+($L33/(IF(F33="Contract Workman",Settings!$K$5,Settings!$K$4))))</f>
        <v/>
      </c>
      <c r="N33">
        <f>IF($A33="","",IF(F33="Contract Workman",IF(AND(MOD(M33,1)&gt;=8/24,MOD(M33,1)&lt;20/24),"Shift S1","Shift S2"),IF(AND(MOD(M33,1)&gt;=7/24,MOD(M33,1)&lt;15/24),"Shift A",IF(AND(MOD(M33,1)&gt;=15/24,MOD(M33,1)&lt;23/24),"Shift B","Shift C"))))</f>
        <v/>
      </c>
      <c r="O33">
        <f>IF(B33="","",IF(IFERROR(ISNUMBER(SEARCH(TEXT(B33,"0"),VLOOKUP(E33,Machine_List!$B:$J,9,0))),FALSE),"✅ "&amp; E33,"❌ Sug: "&amp;IFERROR(INDEX(Machine_List!$B$82:$B$86,MATCH(1,(Machine_List!$H$82:$H$86&lt;=IFERROR(VLOOKUP($B33,OPR_BR1!$A$4:$K$18,10,0),0))*(Machine_List!$I$82:$I$86&gt;=IFERROR(VLOOKUP($B33,OPR_BR1!$A$4:$K$18,11,0),9999)),0)),"?")))</f>
        <v/>
      </c>
      <c r="P33">
        <f>IF(AND($A33&lt;&gt;"",P$3&gt;=$J33,P$3&lt;=$M33),1,"")</f>
        <v/>
      </c>
      <c r="Q33">
        <f>IF(AND($A33&lt;&gt;"",Q$3&gt;=$J33,Q$3&lt;=$M33),1,"")</f>
        <v/>
      </c>
      <c r="R33">
        <f>IF(AND($A33&lt;&gt;"",R$3&gt;=$J33,R$3&lt;=$M33),1,"")</f>
        <v/>
      </c>
      <c r="S33">
        <f>IF(AND($A33&lt;&gt;"",S$3&gt;=$J33,S$3&lt;=$M33),1,"")</f>
        <v/>
      </c>
      <c r="T33">
        <f>IF(AND($A33&lt;&gt;"",T$3&gt;=$J33,T$3&lt;=$M33),1,"")</f>
        <v/>
      </c>
      <c r="U33">
        <f>IF(AND($A33&lt;&gt;"",U$3&gt;=$J33,U$3&lt;=$M33),1,"")</f>
        <v/>
      </c>
      <c r="V33">
        <f>IF(AND($A33&lt;&gt;"",V$3&gt;=$J33,V$3&lt;=$M33),1,"")</f>
        <v/>
      </c>
      <c r="W33">
        <f>IF(AND($A33&lt;&gt;"",W$3&gt;=$J33,W$3&lt;=$M33),1,"")</f>
        <v/>
      </c>
      <c r="X33">
        <f>IF(AND($A33&lt;&gt;"",X$3&gt;=$J33,X$3&lt;=$M33),1,"")</f>
        <v/>
      </c>
      <c r="Y33">
        <f>IF(AND($A33&lt;&gt;"",Y$3&gt;=$J33,Y$3&lt;=$M33),1,"")</f>
        <v/>
      </c>
      <c r="Z33">
        <f>IF(AND($A33&lt;&gt;"",Z$3&gt;=$J33,Z$3&lt;=$M33),1,"")</f>
        <v/>
      </c>
      <c r="AA33">
        <f>IF(AND($A33&lt;&gt;"",AA$3&gt;=$J33,AA$3&lt;=$M33),1,"")</f>
        <v/>
      </c>
      <c r="AB33">
        <f>IF(AND($A33&lt;&gt;"",AB$3&gt;=$J33,AB$3&lt;=$M33),1,"")</f>
        <v/>
      </c>
      <c r="AC33">
        <f>IF(AND($A33&lt;&gt;"",AC$3&gt;=$J33,AC$3&lt;=$M33),1,"")</f>
        <v/>
      </c>
      <c r="AD33">
        <f>IF(AND($A33&lt;&gt;"",AD$3&gt;=$J33,AD$3&lt;=$M33),1,"")</f>
        <v/>
      </c>
      <c r="AE33">
        <f>IF(AND($A33&lt;&gt;"",AE$3&gt;=$J33,AE$3&lt;=$M33),1,"")</f>
        <v/>
      </c>
      <c r="AF33">
        <f>IF(AND($A33&lt;&gt;"",AF$3&gt;=$J33,AF$3&lt;=$M33),1,"")</f>
        <v/>
      </c>
      <c r="AG33">
        <f>IF(AND($A33&lt;&gt;"",AG$3&gt;=$J33,AG$3&lt;=$M33),1,"")</f>
        <v/>
      </c>
      <c r="AH33">
        <f>IF(AND($A33&lt;&gt;"",AH$3&gt;=$J33,AH$3&lt;=$M33),1,"")</f>
        <v/>
      </c>
      <c r="AI33">
        <f>IF(AND($A33&lt;&gt;"",AI$3&gt;=$J33,AI$3&lt;=$M33),1,"")</f>
        <v/>
      </c>
      <c r="AJ33">
        <f>IF(AND($A33&lt;&gt;"",AJ$3&gt;=$J33,AJ$3&lt;=$M33),1,"")</f>
        <v/>
      </c>
      <c r="AK33">
        <f>IF(AND($A33&lt;&gt;"",AK$3&gt;=$J33,AK$3&lt;=$M33),1,"")</f>
        <v/>
      </c>
      <c r="AL33">
        <f>IF(AND($A33&lt;&gt;"",AL$3&gt;=$J33,AL$3&lt;=$M33),1,"")</f>
        <v/>
      </c>
      <c r="AM33">
        <f>IF(AND($A33&lt;&gt;"",AM$3&gt;=$J33,AM$3&lt;=$M33),1,"")</f>
        <v/>
      </c>
      <c r="AN33">
        <f>IF(AND($A33&lt;&gt;"",AN$3&gt;=$J33,AN$3&lt;=$M33),1,"")</f>
        <v/>
      </c>
      <c r="AO33">
        <f>IF(AND($A33&lt;&gt;"",AO$3&gt;=$J33,AO$3&lt;=$M33),1,"")</f>
        <v/>
      </c>
      <c r="AP33">
        <f>IF(AND($A33&lt;&gt;"",AP$3&gt;=$J33,AP$3&lt;=$M33),1,"")</f>
        <v/>
      </c>
      <c r="AQ33">
        <f>IF(AND($A33&lt;&gt;"",AQ$3&gt;=$J33,AQ$3&lt;=$M33),1,"")</f>
        <v/>
      </c>
      <c r="AR33">
        <f>IF(AND($A33&lt;&gt;"",AR$3&gt;=$J33,AR$3&lt;=$M33),1,"")</f>
        <v/>
      </c>
      <c r="AS33">
        <f>IF(AND($A33&lt;&gt;"",AS$3&gt;=$J33,AS$3&lt;=$M33),1,"")</f>
        <v/>
      </c>
      <c r="AT33">
        <f>IF(AND($A33&lt;&gt;"",AT$3&gt;=$J33,AT$3&lt;=$M33),1,"")</f>
        <v/>
      </c>
      <c r="AU33">
        <f>IF(AND($A33&lt;&gt;"",AU$3&gt;=$J33,AU$3&lt;=$M33),1,"")</f>
        <v/>
      </c>
      <c r="AV33">
        <f>IF(AND($A33&lt;&gt;"",AV$3&gt;=$J33,AV$3&lt;=$M33),1,"")</f>
        <v/>
      </c>
      <c r="AW33">
        <f>IF(AND($A33&lt;&gt;"",AW$3&gt;=$J33,AW$3&lt;=$M33),1,"")</f>
        <v/>
      </c>
      <c r="AX33">
        <f>IF(AND($A33&lt;&gt;"",AX$3&gt;=$J33,AX$3&lt;=$M33),1,"")</f>
        <v/>
      </c>
      <c r="AY33">
        <f>IF(AND($A33&lt;&gt;"",AY$3&gt;=$J33,AY$3&lt;=$M33),1,"")</f>
        <v/>
      </c>
      <c r="AZ33">
        <f>IF(AND($A33&lt;&gt;"",AZ$3&gt;=$J33,AZ$3&lt;=$M33),1,"")</f>
        <v/>
      </c>
      <c r="BA33">
        <f>IF(AND($A33&lt;&gt;"",BA$3&gt;=$J33,BA$3&lt;=$M33),1,"")</f>
        <v/>
      </c>
      <c r="BB33">
        <f>IF(AND($A33&lt;&gt;"",BB$3&gt;=$J33,BB$3&lt;=$M33),1,"")</f>
        <v/>
      </c>
      <c r="BC33">
        <f>IF(AND($A33&lt;&gt;"",BC$3&gt;=$J33,BC$3&lt;=$M33),1,"")</f>
        <v/>
      </c>
      <c r="BD33">
        <f>IF(AND($A33&lt;&gt;"",BD$3&gt;=$J33,BD$3&lt;=$M33),1,"")</f>
        <v/>
      </c>
      <c r="BE33">
        <f>IF(AND($A33&lt;&gt;"",BE$3&gt;=$J33,BE$3&lt;=$M33),1,"")</f>
        <v/>
      </c>
      <c r="BF33">
        <f>IF(AND($A33&lt;&gt;"",BF$3&gt;=$J33,BF$3&lt;=$M33),1,"")</f>
        <v/>
      </c>
      <c r="BG33">
        <f>IF(AND($A33&lt;&gt;"",BG$3&gt;=$J33,BG$3&lt;=$M33),1,"")</f>
        <v/>
      </c>
      <c r="BH33">
        <f>IF(AND($A33&lt;&gt;"",BH$3&gt;=$J33,BH$3&lt;=$M33),1,"")</f>
        <v/>
      </c>
      <c r="BI33">
        <f>IF(AND($A33&lt;&gt;"",BI$3&gt;=$J33,BI$3&lt;=$M33),1,"")</f>
        <v/>
      </c>
      <c r="BJ33">
        <f>IF(AND($A33&lt;&gt;"",BJ$3&gt;=$J33,BJ$3&lt;=$M33),1,"")</f>
        <v/>
      </c>
      <c r="BK33">
        <f>IF(AND($A33&lt;&gt;"",BK$3&gt;=$J33,BK$3&lt;=$M33),1,"")</f>
        <v/>
      </c>
      <c r="BL33">
        <f>IF(AND($A33&lt;&gt;"",BL$3&gt;=$J33,BL$3&lt;=$M33),1,"")</f>
        <v/>
      </c>
      <c r="BM33">
        <f>IF(AND($A33&lt;&gt;"",BM$3&gt;=$J33,BM$3&lt;=$M33),1,"")</f>
        <v/>
      </c>
      <c r="BN33">
        <f>IF(AND($A33&lt;&gt;"",BN$3&gt;=$J33,BN$3&lt;=$M33),1,"")</f>
        <v/>
      </c>
      <c r="BO33">
        <f>IF(AND($A33&lt;&gt;"",BO$3&gt;=$J33,BO$3&lt;=$M33),1,"")</f>
        <v/>
      </c>
      <c r="BP33">
        <f>IF(AND($A33&lt;&gt;"",BP$3&gt;=$J33,BP$3&lt;=$M33),1,"")</f>
        <v/>
      </c>
      <c r="BQ33">
        <f>IF(AND($A33&lt;&gt;"",BQ$3&gt;=$J33,BQ$3&lt;=$M33),1,"")</f>
        <v/>
      </c>
      <c r="BR33">
        <f>IF(AND($A33&lt;&gt;"",BR$3&gt;=$J33,BR$3&lt;=$M33),1,"")</f>
        <v/>
      </c>
      <c r="BS33">
        <f>IF(AND($A33&lt;&gt;"",BS$3&gt;=$J33,BS$3&lt;=$M33),1,"")</f>
        <v/>
      </c>
      <c r="BT33">
        <f>IF(AND($A33&lt;&gt;"",BT$3&gt;=$J33,BT$3&lt;=$M33),1,"")</f>
        <v/>
      </c>
      <c r="BU33">
        <f>IF(AND($A33&lt;&gt;"",BU$3&gt;=$J33,BU$3&lt;=$M33),1,"")</f>
        <v/>
      </c>
      <c r="BV33">
        <f>IF(AND($A33&lt;&gt;"",BV$3&gt;=$J33,BV$3&lt;=$M33),1,"")</f>
        <v/>
      </c>
    </row>
    <row r="34">
      <c r="A34">
        <f>IF(Job_Master_Ring!$A34="","",Job_Master_Ring!$A34)</f>
        <v/>
      </c>
      <c r="B34">
        <f>IF($A34="","",Job_Master_Ring!B34)</f>
        <v/>
      </c>
      <c r="C34">
        <f>IF($A34="","",Job_Master_Ring!C34)</f>
        <v/>
      </c>
      <c r="D34">
        <f>IF($A34="","",Job_Master_Ring!D34)</f>
        <v/>
      </c>
      <c r="E34">
        <f>IF($A34="","",IF($I34&lt;&gt;"",$I34,IFERROR(INDEX(Machine_List!$B$82:$B$86,MATCH(1,(Machine_List!$H$82:$H$86&lt;=IFERROR(VLOOKUP($B34,CHOOSE(MATCH($C34,Settings!$L$4:$L$10,0),OPR_BR1!$A$4:$K$18,OPR_BR2!$A$4:$K$18,OPR_CR2!$A$4:$K$18,OPR_CR3!$A$4:$K$18,OPR_CR4!$A$4:$K$18,OPR_RIM!$A$4:$K$18,OPR_BPR!$A$4:$K$18),10,0),0))*(Machine_List!$I$82:$I$86&gt;=IFERROR(VLOOKUP($B34,CHOOSE(MATCH($C34,Settings!$L$4:$L$10,0),OPR_BR1!$A$4:$K$18,OPR_BR2!$A$4:$K$18,OPR_CR2!$A$4:$K$18,OPR_CR3!$A$4:$K$18,OPR_CR4!$A$4:$K$18,OPR_RIM!$A$4:$K$18,OPR_BPR!$A$4:$K$18),11,0),9999)),0)),"NO COMPATIBLE MACHINE")))</f>
        <v/>
      </c>
      <c r="F34">
        <f>IF($E34="","",IFERROR(VLOOKUP($E34,Machine_List!$B:$G,6,0),""))</f>
        <v/>
      </c>
      <c r="G34" s="17">
        <f>IF($E34="","",IFERROR(VLOOKUP($E34,Machine_List!$B:$C,2,0),""))</f>
        <v/>
      </c>
      <c r="H34">
        <f>IF($E34="","",IFERROR(VLOOKUP($E34,Machine_List!$B:$D,3,0),""))</f>
        <v/>
      </c>
      <c r="J34" s="16">
        <f>IF($A34="","",IF($I34&lt;&gt;"",$I34,MAX(FID_Plan!$M34,IFERROR(LOOKUP(2,1/($E$3:INDIRECT("E"&amp;(ROW()-1))=$E34),$M$3:INDIRECT("M"&amp;(ROW()-1))),FID_Plan!$M34))))</f>
        <v/>
      </c>
      <c r="K34">
        <f>IF($A34="","",IFERROR(VLOOKUP(B34,CHOOSE(MATCH($C34,Settings!$L$4:$L$10,0),OPR_BR1!$A$4:$I$18,OPR_BR2!$A$4:$I$18,OPR_CR2!$A$4:$I$18,OPR_CR3!$A$4:$I$18,OPR_CR4!$A$4:$I$18,OPR_RIM!$A$4:$I$18,OPR_BPR!$A$4:$I$18),9,0),0))</f>
        <v/>
      </c>
      <c r="L34">
        <f>IF($A34="","",K34*D34)</f>
        <v/>
      </c>
      <c r="M34" s="16">
        <f>IF($A34=""," ",$J34+($L34/(IF(F34="Contract Workman",Settings!$K$5,Settings!$K$4))))</f>
        <v/>
      </c>
      <c r="N34">
        <f>IF($A34="","",IF(F34="Contract Workman",IF(AND(MOD(M34,1)&gt;=8/24,MOD(M34,1)&lt;20/24),"Shift S1","Shift S2"),IF(AND(MOD(M34,1)&gt;=7/24,MOD(M34,1)&lt;15/24),"Shift A",IF(AND(MOD(M34,1)&gt;=15/24,MOD(M34,1)&lt;23/24),"Shift B","Shift C"))))</f>
        <v/>
      </c>
      <c r="O34">
        <f>IF(B34="","",IF(IFERROR(ISNUMBER(SEARCH(TEXT(B34,"0"),VLOOKUP(E34,Machine_List!$B:$J,9,0))),FALSE),"✅ "&amp; E34,"❌ Sug: "&amp;IFERROR(INDEX(Machine_List!$B$82:$B$86,MATCH(1,(Machine_List!$H$82:$H$86&lt;=IFERROR(VLOOKUP($B34,OPR_BR1!$A$4:$K$18,10,0),0))*(Machine_List!$I$82:$I$86&gt;=IFERROR(VLOOKUP($B34,OPR_BR1!$A$4:$K$18,11,0),9999)),0)),"?")))</f>
        <v/>
      </c>
      <c r="P34">
        <f>IF(AND($A34&lt;&gt;"",P$3&gt;=$J34,P$3&lt;=$M34),1,"")</f>
        <v/>
      </c>
      <c r="Q34">
        <f>IF(AND($A34&lt;&gt;"",Q$3&gt;=$J34,Q$3&lt;=$M34),1,"")</f>
        <v/>
      </c>
      <c r="R34">
        <f>IF(AND($A34&lt;&gt;"",R$3&gt;=$J34,R$3&lt;=$M34),1,"")</f>
        <v/>
      </c>
      <c r="S34">
        <f>IF(AND($A34&lt;&gt;"",S$3&gt;=$J34,S$3&lt;=$M34),1,"")</f>
        <v/>
      </c>
      <c r="T34">
        <f>IF(AND($A34&lt;&gt;"",T$3&gt;=$J34,T$3&lt;=$M34),1,"")</f>
        <v/>
      </c>
      <c r="U34">
        <f>IF(AND($A34&lt;&gt;"",U$3&gt;=$J34,U$3&lt;=$M34),1,"")</f>
        <v/>
      </c>
      <c r="V34">
        <f>IF(AND($A34&lt;&gt;"",V$3&gt;=$J34,V$3&lt;=$M34),1,"")</f>
        <v/>
      </c>
      <c r="W34">
        <f>IF(AND($A34&lt;&gt;"",W$3&gt;=$J34,W$3&lt;=$M34),1,"")</f>
        <v/>
      </c>
      <c r="X34">
        <f>IF(AND($A34&lt;&gt;"",X$3&gt;=$J34,X$3&lt;=$M34),1,"")</f>
        <v/>
      </c>
      <c r="Y34">
        <f>IF(AND($A34&lt;&gt;"",Y$3&gt;=$J34,Y$3&lt;=$M34),1,"")</f>
        <v/>
      </c>
      <c r="Z34">
        <f>IF(AND($A34&lt;&gt;"",Z$3&gt;=$J34,Z$3&lt;=$M34),1,"")</f>
        <v/>
      </c>
      <c r="AA34">
        <f>IF(AND($A34&lt;&gt;"",AA$3&gt;=$J34,AA$3&lt;=$M34),1,"")</f>
        <v/>
      </c>
      <c r="AB34">
        <f>IF(AND($A34&lt;&gt;"",AB$3&gt;=$J34,AB$3&lt;=$M34),1,"")</f>
        <v/>
      </c>
      <c r="AC34">
        <f>IF(AND($A34&lt;&gt;"",AC$3&gt;=$J34,AC$3&lt;=$M34),1,"")</f>
        <v/>
      </c>
      <c r="AD34">
        <f>IF(AND($A34&lt;&gt;"",AD$3&gt;=$J34,AD$3&lt;=$M34),1,"")</f>
        <v/>
      </c>
      <c r="AE34">
        <f>IF(AND($A34&lt;&gt;"",AE$3&gt;=$J34,AE$3&lt;=$M34),1,"")</f>
        <v/>
      </c>
      <c r="AF34">
        <f>IF(AND($A34&lt;&gt;"",AF$3&gt;=$J34,AF$3&lt;=$M34),1,"")</f>
        <v/>
      </c>
      <c r="AG34">
        <f>IF(AND($A34&lt;&gt;"",AG$3&gt;=$J34,AG$3&lt;=$M34),1,"")</f>
        <v/>
      </c>
      <c r="AH34">
        <f>IF(AND($A34&lt;&gt;"",AH$3&gt;=$J34,AH$3&lt;=$M34),1,"")</f>
        <v/>
      </c>
      <c r="AI34">
        <f>IF(AND($A34&lt;&gt;"",AI$3&gt;=$J34,AI$3&lt;=$M34),1,"")</f>
        <v/>
      </c>
      <c r="AJ34">
        <f>IF(AND($A34&lt;&gt;"",AJ$3&gt;=$J34,AJ$3&lt;=$M34),1,"")</f>
        <v/>
      </c>
      <c r="AK34">
        <f>IF(AND($A34&lt;&gt;"",AK$3&gt;=$J34,AK$3&lt;=$M34),1,"")</f>
        <v/>
      </c>
      <c r="AL34">
        <f>IF(AND($A34&lt;&gt;"",AL$3&gt;=$J34,AL$3&lt;=$M34),1,"")</f>
        <v/>
      </c>
      <c r="AM34">
        <f>IF(AND($A34&lt;&gt;"",AM$3&gt;=$J34,AM$3&lt;=$M34),1,"")</f>
        <v/>
      </c>
      <c r="AN34">
        <f>IF(AND($A34&lt;&gt;"",AN$3&gt;=$J34,AN$3&lt;=$M34),1,"")</f>
        <v/>
      </c>
      <c r="AO34">
        <f>IF(AND($A34&lt;&gt;"",AO$3&gt;=$J34,AO$3&lt;=$M34),1,"")</f>
        <v/>
      </c>
      <c r="AP34">
        <f>IF(AND($A34&lt;&gt;"",AP$3&gt;=$J34,AP$3&lt;=$M34),1,"")</f>
        <v/>
      </c>
      <c r="AQ34">
        <f>IF(AND($A34&lt;&gt;"",AQ$3&gt;=$J34,AQ$3&lt;=$M34),1,"")</f>
        <v/>
      </c>
      <c r="AR34">
        <f>IF(AND($A34&lt;&gt;"",AR$3&gt;=$J34,AR$3&lt;=$M34),1,"")</f>
        <v/>
      </c>
      <c r="AS34">
        <f>IF(AND($A34&lt;&gt;"",AS$3&gt;=$J34,AS$3&lt;=$M34),1,"")</f>
        <v/>
      </c>
      <c r="AT34">
        <f>IF(AND($A34&lt;&gt;"",AT$3&gt;=$J34,AT$3&lt;=$M34),1,"")</f>
        <v/>
      </c>
      <c r="AU34">
        <f>IF(AND($A34&lt;&gt;"",AU$3&gt;=$J34,AU$3&lt;=$M34),1,"")</f>
        <v/>
      </c>
      <c r="AV34">
        <f>IF(AND($A34&lt;&gt;"",AV$3&gt;=$J34,AV$3&lt;=$M34),1,"")</f>
        <v/>
      </c>
      <c r="AW34">
        <f>IF(AND($A34&lt;&gt;"",AW$3&gt;=$J34,AW$3&lt;=$M34),1,"")</f>
        <v/>
      </c>
      <c r="AX34">
        <f>IF(AND($A34&lt;&gt;"",AX$3&gt;=$J34,AX$3&lt;=$M34),1,"")</f>
        <v/>
      </c>
      <c r="AY34">
        <f>IF(AND($A34&lt;&gt;"",AY$3&gt;=$J34,AY$3&lt;=$M34),1,"")</f>
        <v/>
      </c>
      <c r="AZ34">
        <f>IF(AND($A34&lt;&gt;"",AZ$3&gt;=$J34,AZ$3&lt;=$M34),1,"")</f>
        <v/>
      </c>
      <c r="BA34">
        <f>IF(AND($A34&lt;&gt;"",BA$3&gt;=$J34,BA$3&lt;=$M34),1,"")</f>
        <v/>
      </c>
      <c r="BB34">
        <f>IF(AND($A34&lt;&gt;"",BB$3&gt;=$J34,BB$3&lt;=$M34),1,"")</f>
        <v/>
      </c>
      <c r="BC34">
        <f>IF(AND($A34&lt;&gt;"",BC$3&gt;=$J34,BC$3&lt;=$M34),1,"")</f>
        <v/>
      </c>
      <c r="BD34">
        <f>IF(AND($A34&lt;&gt;"",BD$3&gt;=$J34,BD$3&lt;=$M34),1,"")</f>
        <v/>
      </c>
      <c r="BE34">
        <f>IF(AND($A34&lt;&gt;"",BE$3&gt;=$J34,BE$3&lt;=$M34),1,"")</f>
        <v/>
      </c>
      <c r="BF34">
        <f>IF(AND($A34&lt;&gt;"",BF$3&gt;=$J34,BF$3&lt;=$M34),1,"")</f>
        <v/>
      </c>
      <c r="BG34">
        <f>IF(AND($A34&lt;&gt;"",BG$3&gt;=$J34,BG$3&lt;=$M34),1,"")</f>
        <v/>
      </c>
      <c r="BH34">
        <f>IF(AND($A34&lt;&gt;"",BH$3&gt;=$J34,BH$3&lt;=$M34),1,"")</f>
        <v/>
      </c>
      <c r="BI34">
        <f>IF(AND($A34&lt;&gt;"",BI$3&gt;=$J34,BI$3&lt;=$M34),1,"")</f>
        <v/>
      </c>
      <c r="BJ34">
        <f>IF(AND($A34&lt;&gt;"",BJ$3&gt;=$J34,BJ$3&lt;=$M34),1,"")</f>
        <v/>
      </c>
      <c r="BK34">
        <f>IF(AND($A34&lt;&gt;"",BK$3&gt;=$J34,BK$3&lt;=$M34),1,"")</f>
        <v/>
      </c>
      <c r="BL34">
        <f>IF(AND($A34&lt;&gt;"",BL$3&gt;=$J34,BL$3&lt;=$M34),1,"")</f>
        <v/>
      </c>
      <c r="BM34">
        <f>IF(AND($A34&lt;&gt;"",BM$3&gt;=$J34,BM$3&lt;=$M34),1,"")</f>
        <v/>
      </c>
      <c r="BN34">
        <f>IF(AND($A34&lt;&gt;"",BN$3&gt;=$J34,BN$3&lt;=$M34),1,"")</f>
        <v/>
      </c>
      <c r="BO34">
        <f>IF(AND($A34&lt;&gt;"",BO$3&gt;=$J34,BO$3&lt;=$M34),1,"")</f>
        <v/>
      </c>
      <c r="BP34">
        <f>IF(AND($A34&lt;&gt;"",BP$3&gt;=$J34,BP$3&lt;=$M34),1,"")</f>
        <v/>
      </c>
      <c r="BQ34">
        <f>IF(AND($A34&lt;&gt;"",BQ$3&gt;=$J34,BQ$3&lt;=$M34),1,"")</f>
        <v/>
      </c>
      <c r="BR34">
        <f>IF(AND($A34&lt;&gt;"",BR$3&gt;=$J34,BR$3&lt;=$M34),1,"")</f>
        <v/>
      </c>
      <c r="BS34">
        <f>IF(AND($A34&lt;&gt;"",BS$3&gt;=$J34,BS$3&lt;=$M34),1,"")</f>
        <v/>
      </c>
      <c r="BT34">
        <f>IF(AND($A34&lt;&gt;"",BT$3&gt;=$J34,BT$3&lt;=$M34),1,"")</f>
        <v/>
      </c>
      <c r="BU34">
        <f>IF(AND($A34&lt;&gt;"",BU$3&gt;=$J34,BU$3&lt;=$M34),1,"")</f>
        <v/>
      </c>
      <c r="BV34">
        <f>IF(AND($A34&lt;&gt;"",BV$3&gt;=$J34,BV$3&lt;=$M34),1,"")</f>
        <v/>
      </c>
    </row>
    <row r="35">
      <c r="A35">
        <f>IF(Job_Master_Ring!$A35="","",Job_Master_Ring!$A35)</f>
        <v/>
      </c>
      <c r="B35">
        <f>IF($A35="","",Job_Master_Ring!B35)</f>
        <v/>
      </c>
      <c r="C35">
        <f>IF($A35="","",Job_Master_Ring!C35)</f>
        <v/>
      </c>
      <c r="D35">
        <f>IF($A35="","",Job_Master_Ring!D35)</f>
        <v/>
      </c>
      <c r="E35">
        <f>IF($A35="","",IF($I35&lt;&gt;"",$I35,IFERROR(INDEX(Machine_List!$B$82:$B$86,MATCH(1,(Machine_List!$H$82:$H$86&lt;=IFERROR(VLOOKUP($B35,CHOOSE(MATCH($C35,Settings!$L$4:$L$10,0),OPR_BR1!$A$4:$K$18,OPR_BR2!$A$4:$K$18,OPR_CR2!$A$4:$K$18,OPR_CR3!$A$4:$K$18,OPR_CR4!$A$4:$K$18,OPR_RIM!$A$4:$K$18,OPR_BPR!$A$4:$K$18),10,0),0))*(Machine_List!$I$82:$I$86&gt;=IFERROR(VLOOKUP($B35,CHOOSE(MATCH($C35,Settings!$L$4:$L$10,0),OPR_BR1!$A$4:$K$18,OPR_BR2!$A$4:$K$18,OPR_CR2!$A$4:$K$18,OPR_CR3!$A$4:$K$18,OPR_CR4!$A$4:$K$18,OPR_RIM!$A$4:$K$18,OPR_BPR!$A$4:$K$18),11,0),9999)),0)),"NO COMPATIBLE MACHINE")))</f>
        <v/>
      </c>
      <c r="F35">
        <f>IF($E35="","",IFERROR(VLOOKUP($E35,Machine_List!$B:$G,6,0),""))</f>
        <v/>
      </c>
      <c r="G35" s="17">
        <f>IF($E35="","",IFERROR(VLOOKUP($E35,Machine_List!$B:$C,2,0),""))</f>
        <v/>
      </c>
      <c r="H35">
        <f>IF($E35="","",IFERROR(VLOOKUP($E35,Machine_List!$B:$D,3,0),""))</f>
        <v/>
      </c>
      <c r="J35" s="16">
        <f>IF($A35="","",IF($I35&lt;&gt;"",$I35,MAX(FID_Plan!$M35,IFERROR(LOOKUP(2,1/($E$3:INDIRECT("E"&amp;(ROW()-1))=$E35),$M$3:INDIRECT("M"&amp;(ROW()-1))),FID_Plan!$M35))))</f>
        <v/>
      </c>
      <c r="K35">
        <f>IF($A35="","",IFERROR(VLOOKUP(B35,CHOOSE(MATCH($C35,Settings!$L$4:$L$10,0),OPR_BR1!$A$4:$I$18,OPR_BR2!$A$4:$I$18,OPR_CR2!$A$4:$I$18,OPR_CR3!$A$4:$I$18,OPR_CR4!$A$4:$I$18,OPR_RIM!$A$4:$I$18,OPR_BPR!$A$4:$I$18),9,0),0))</f>
        <v/>
      </c>
      <c r="L35">
        <f>IF($A35="","",K35*D35)</f>
        <v/>
      </c>
      <c r="M35" s="16">
        <f>IF($A35=""," ",$J35+($L35/(IF(F35="Contract Workman",Settings!$K$5,Settings!$K$4))))</f>
        <v/>
      </c>
      <c r="N35">
        <f>IF($A35="","",IF(F35="Contract Workman",IF(AND(MOD(M35,1)&gt;=8/24,MOD(M35,1)&lt;20/24),"Shift S1","Shift S2"),IF(AND(MOD(M35,1)&gt;=7/24,MOD(M35,1)&lt;15/24),"Shift A",IF(AND(MOD(M35,1)&gt;=15/24,MOD(M35,1)&lt;23/24),"Shift B","Shift C"))))</f>
        <v/>
      </c>
      <c r="O35">
        <f>IF(B35="","",IF(IFERROR(ISNUMBER(SEARCH(TEXT(B35,"0"),VLOOKUP(E35,Machine_List!$B:$J,9,0))),FALSE),"✅ "&amp; E35,"❌ Sug: "&amp;IFERROR(INDEX(Machine_List!$B$82:$B$86,MATCH(1,(Machine_List!$H$82:$H$86&lt;=IFERROR(VLOOKUP($B35,OPR_BR1!$A$4:$K$18,10,0),0))*(Machine_List!$I$82:$I$86&gt;=IFERROR(VLOOKUP($B35,OPR_BR1!$A$4:$K$18,11,0),9999)),0)),"?")))</f>
        <v/>
      </c>
      <c r="P35">
        <f>IF(AND($A35&lt;&gt;"",P$3&gt;=$J35,P$3&lt;=$M35),1,"")</f>
        <v/>
      </c>
      <c r="Q35">
        <f>IF(AND($A35&lt;&gt;"",Q$3&gt;=$J35,Q$3&lt;=$M35),1,"")</f>
        <v/>
      </c>
      <c r="R35">
        <f>IF(AND($A35&lt;&gt;"",R$3&gt;=$J35,R$3&lt;=$M35),1,"")</f>
        <v/>
      </c>
      <c r="S35">
        <f>IF(AND($A35&lt;&gt;"",S$3&gt;=$J35,S$3&lt;=$M35),1,"")</f>
        <v/>
      </c>
      <c r="T35">
        <f>IF(AND($A35&lt;&gt;"",T$3&gt;=$J35,T$3&lt;=$M35),1,"")</f>
        <v/>
      </c>
      <c r="U35">
        <f>IF(AND($A35&lt;&gt;"",U$3&gt;=$J35,U$3&lt;=$M35),1,"")</f>
        <v/>
      </c>
      <c r="V35">
        <f>IF(AND($A35&lt;&gt;"",V$3&gt;=$J35,V$3&lt;=$M35),1,"")</f>
        <v/>
      </c>
      <c r="W35">
        <f>IF(AND($A35&lt;&gt;"",W$3&gt;=$J35,W$3&lt;=$M35),1,"")</f>
        <v/>
      </c>
      <c r="X35">
        <f>IF(AND($A35&lt;&gt;"",X$3&gt;=$J35,X$3&lt;=$M35),1,"")</f>
        <v/>
      </c>
      <c r="Y35">
        <f>IF(AND($A35&lt;&gt;"",Y$3&gt;=$J35,Y$3&lt;=$M35),1,"")</f>
        <v/>
      </c>
      <c r="Z35">
        <f>IF(AND($A35&lt;&gt;"",Z$3&gt;=$J35,Z$3&lt;=$M35),1,"")</f>
        <v/>
      </c>
      <c r="AA35">
        <f>IF(AND($A35&lt;&gt;"",AA$3&gt;=$J35,AA$3&lt;=$M35),1,"")</f>
        <v/>
      </c>
      <c r="AB35">
        <f>IF(AND($A35&lt;&gt;"",AB$3&gt;=$J35,AB$3&lt;=$M35),1,"")</f>
        <v/>
      </c>
      <c r="AC35">
        <f>IF(AND($A35&lt;&gt;"",AC$3&gt;=$J35,AC$3&lt;=$M35),1,"")</f>
        <v/>
      </c>
      <c r="AD35">
        <f>IF(AND($A35&lt;&gt;"",AD$3&gt;=$J35,AD$3&lt;=$M35),1,"")</f>
        <v/>
      </c>
      <c r="AE35">
        <f>IF(AND($A35&lt;&gt;"",AE$3&gt;=$J35,AE$3&lt;=$M35),1,"")</f>
        <v/>
      </c>
      <c r="AF35">
        <f>IF(AND($A35&lt;&gt;"",AF$3&gt;=$J35,AF$3&lt;=$M35),1,"")</f>
        <v/>
      </c>
      <c r="AG35">
        <f>IF(AND($A35&lt;&gt;"",AG$3&gt;=$J35,AG$3&lt;=$M35),1,"")</f>
        <v/>
      </c>
      <c r="AH35">
        <f>IF(AND($A35&lt;&gt;"",AH$3&gt;=$J35,AH$3&lt;=$M35),1,"")</f>
        <v/>
      </c>
      <c r="AI35">
        <f>IF(AND($A35&lt;&gt;"",AI$3&gt;=$J35,AI$3&lt;=$M35),1,"")</f>
        <v/>
      </c>
      <c r="AJ35">
        <f>IF(AND($A35&lt;&gt;"",AJ$3&gt;=$J35,AJ$3&lt;=$M35),1,"")</f>
        <v/>
      </c>
      <c r="AK35">
        <f>IF(AND($A35&lt;&gt;"",AK$3&gt;=$J35,AK$3&lt;=$M35),1,"")</f>
        <v/>
      </c>
      <c r="AL35">
        <f>IF(AND($A35&lt;&gt;"",AL$3&gt;=$J35,AL$3&lt;=$M35),1,"")</f>
        <v/>
      </c>
      <c r="AM35">
        <f>IF(AND($A35&lt;&gt;"",AM$3&gt;=$J35,AM$3&lt;=$M35),1,"")</f>
        <v/>
      </c>
      <c r="AN35">
        <f>IF(AND($A35&lt;&gt;"",AN$3&gt;=$J35,AN$3&lt;=$M35),1,"")</f>
        <v/>
      </c>
      <c r="AO35">
        <f>IF(AND($A35&lt;&gt;"",AO$3&gt;=$J35,AO$3&lt;=$M35),1,"")</f>
        <v/>
      </c>
      <c r="AP35">
        <f>IF(AND($A35&lt;&gt;"",AP$3&gt;=$J35,AP$3&lt;=$M35),1,"")</f>
        <v/>
      </c>
      <c r="AQ35">
        <f>IF(AND($A35&lt;&gt;"",AQ$3&gt;=$J35,AQ$3&lt;=$M35),1,"")</f>
        <v/>
      </c>
      <c r="AR35">
        <f>IF(AND($A35&lt;&gt;"",AR$3&gt;=$J35,AR$3&lt;=$M35),1,"")</f>
        <v/>
      </c>
      <c r="AS35">
        <f>IF(AND($A35&lt;&gt;"",AS$3&gt;=$J35,AS$3&lt;=$M35),1,"")</f>
        <v/>
      </c>
      <c r="AT35">
        <f>IF(AND($A35&lt;&gt;"",AT$3&gt;=$J35,AT$3&lt;=$M35),1,"")</f>
        <v/>
      </c>
      <c r="AU35">
        <f>IF(AND($A35&lt;&gt;"",AU$3&gt;=$J35,AU$3&lt;=$M35),1,"")</f>
        <v/>
      </c>
      <c r="AV35">
        <f>IF(AND($A35&lt;&gt;"",AV$3&gt;=$J35,AV$3&lt;=$M35),1,"")</f>
        <v/>
      </c>
      <c r="AW35">
        <f>IF(AND($A35&lt;&gt;"",AW$3&gt;=$J35,AW$3&lt;=$M35),1,"")</f>
        <v/>
      </c>
      <c r="AX35">
        <f>IF(AND($A35&lt;&gt;"",AX$3&gt;=$J35,AX$3&lt;=$M35),1,"")</f>
        <v/>
      </c>
      <c r="AY35">
        <f>IF(AND($A35&lt;&gt;"",AY$3&gt;=$J35,AY$3&lt;=$M35),1,"")</f>
        <v/>
      </c>
      <c r="AZ35">
        <f>IF(AND($A35&lt;&gt;"",AZ$3&gt;=$J35,AZ$3&lt;=$M35),1,"")</f>
        <v/>
      </c>
      <c r="BA35">
        <f>IF(AND($A35&lt;&gt;"",BA$3&gt;=$J35,BA$3&lt;=$M35),1,"")</f>
        <v/>
      </c>
      <c r="BB35">
        <f>IF(AND($A35&lt;&gt;"",BB$3&gt;=$J35,BB$3&lt;=$M35),1,"")</f>
        <v/>
      </c>
      <c r="BC35">
        <f>IF(AND($A35&lt;&gt;"",BC$3&gt;=$J35,BC$3&lt;=$M35),1,"")</f>
        <v/>
      </c>
      <c r="BD35">
        <f>IF(AND($A35&lt;&gt;"",BD$3&gt;=$J35,BD$3&lt;=$M35),1,"")</f>
        <v/>
      </c>
      <c r="BE35">
        <f>IF(AND($A35&lt;&gt;"",BE$3&gt;=$J35,BE$3&lt;=$M35),1,"")</f>
        <v/>
      </c>
      <c r="BF35">
        <f>IF(AND($A35&lt;&gt;"",BF$3&gt;=$J35,BF$3&lt;=$M35),1,"")</f>
        <v/>
      </c>
      <c r="BG35">
        <f>IF(AND($A35&lt;&gt;"",BG$3&gt;=$J35,BG$3&lt;=$M35),1,"")</f>
        <v/>
      </c>
      <c r="BH35">
        <f>IF(AND($A35&lt;&gt;"",BH$3&gt;=$J35,BH$3&lt;=$M35),1,"")</f>
        <v/>
      </c>
      <c r="BI35">
        <f>IF(AND($A35&lt;&gt;"",BI$3&gt;=$J35,BI$3&lt;=$M35),1,"")</f>
        <v/>
      </c>
      <c r="BJ35">
        <f>IF(AND($A35&lt;&gt;"",BJ$3&gt;=$J35,BJ$3&lt;=$M35),1,"")</f>
        <v/>
      </c>
      <c r="BK35">
        <f>IF(AND($A35&lt;&gt;"",BK$3&gt;=$J35,BK$3&lt;=$M35),1,"")</f>
        <v/>
      </c>
      <c r="BL35">
        <f>IF(AND($A35&lt;&gt;"",BL$3&gt;=$J35,BL$3&lt;=$M35),1,"")</f>
        <v/>
      </c>
      <c r="BM35">
        <f>IF(AND($A35&lt;&gt;"",BM$3&gt;=$J35,BM$3&lt;=$M35),1,"")</f>
        <v/>
      </c>
      <c r="BN35">
        <f>IF(AND($A35&lt;&gt;"",BN$3&gt;=$J35,BN$3&lt;=$M35),1,"")</f>
        <v/>
      </c>
      <c r="BO35">
        <f>IF(AND($A35&lt;&gt;"",BO$3&gt;=$J35,BO$3&lt;=$M35),1,"")</f>
        <v/>
      </c>
      <c r="BP35">
        <f>IF(AND($A35&lt;&gt;"",BP$3&gt;=$J35,BP$3&lt;=$M35),1,"")</f>
        <v/>
      </c>
      <c r="BQ35">
        <f>IF(AND($A35&lt;&gt;"",BQ$3&gt;=$J35,BQ$3&lt;=$M35),1,"")</f>
        <v/>
      </c>
      <c r="BR35">
        <f>IF(AND($A35&lt;&gt;"",BR$3&gt;=$J35,BR$3&lt;=$M35),1,"")</f>
        <v/>
      </c>
      <c r="BS35">
        <f>IF(AND($A35&lt;&gt;"",BS$3&gt;=$J35,BS$3&lt;=$M35),1,"")</f>
        <v/>
      </c>
      <c r="BT35">
        <f>IF(AND($A35&lt;&gt;"",BT$3&gt;=$J35,BT$3&lt;=$M35),1,"")</f>
        <v/>
      </c>
      <c r="BU35">
        <f>IF(AND($A35&lt;&gt;"",BU$3&gt;=$J35,BU$3&lt;=$M35),1,"")</f>
        <v/>
      </c>
      <c r="BV35">
        <f>IF(AND($A35&lt;&gt;"",BV$3&gt;=$J35,BV$3&lt;=$M35),1,"")</f>
        <v/>
      </c>
    </row>
    <row r="36">
      <c r="A36">
        <f>IF(Job_Master_Ring!$A36="","",Job_Master_Ring!$A36)</f>
        <v/>
      </c>
      <c r="B36">
        <f>IF($A36="","",Job_Master_Ring!B36)</f>
        <v/>
      </c>
      <c r="C36">
        <f>IF($A36="","",Job_Master_Ring!C36)</f>
        <v/>
      </c>
      <c r="D36">
        <f>IF($A36="","",Job_Master_Ring!D36)</f>
        <v/>
      </c>
      <c r="E36">
        <f>IF($A36="","",IF($I36&lt;&gt;"",$I36,IFERROR(INDEX(Machine_List!$B$82:$B$86,MATCH(1,(Machine_List!$H$82:$H$86&lt;=IFERROR(VLOOKUP($B36,CHOOSE(MATCH($C36,Settings!$L$4:$L$10,0),OPR_BR1!$A$4:$K$18,OPR_BR2!$A$4:$K$18,OPR_CR2!$A$4:$K$18,OPR_CR3!$A$4:$K$18,OPR_CR4!$A$4:$K$18,OPR_RIM!$A$4:$K$18,OPR_BPR!$A$4:$K$18),10,0),0))*(Machine_List!$I$82:$I$86&gt;=IFERROR(VLOOKUP($B36,CHOOSE(MATCH($C36,Settings!$L$4:$L$10,0),OPR_BR1!$A$4:$K$18,OPR_BR2!$A$4:$K$18,OPR_CR2!$A$4:$K$18,OPR_CR3!$A$4:$K$18,OPR_CR4!$A$4:$K$18,OPR_RIM!$A$4:$K$18,OPR_BPR!$A$4:$K$18),11,0),9999)),0)),"NO COMPATIBLE MACHINE")))</f>
        <v/>
      </c>
      <c r="F36">
        <f>IF($E36="","",IFERROR(VLOOKUP($E36,Machine_List!$B:$G,6,0),""))</f>
        <v/>
      </c>
      <c r="G36" s="17">
        <f>IF($E36="","",IFERROR(VLOOKUP($E36,Machine_List!$B:$C,2,0),""))</f>
        <v/>
      </c>
      <c r="H36">
        <f>IF($E36="","",IFERROR(VLOOKUP($E36,Machine_List!$B:$D,3,0),""))</f>
        <v/>
      </c>
      <c r="J36" s="16">
        <f>IF($A36="","",IF($I36&lt;&gt;"",$I36,MAX(FID_Plan!$M36,IFERROR(LOOKUP(2,1/($E$3:INDIRECT("E"&amp;(ROW()-1))=$E36),$M$3:INDIRECT("M"&amp;(ROW()-1))),FID_Plan!$M36))))</f>
        <v/>
      </c>
      <c r="K36">
        <f>IF($A36="","",IFERROR(VLOOKUP(B36,CHOOSE(MATCH($C36,Settings!$L$4:$L$10,0),OPR_BR1!$A$4:$I$18,OPR_BR2!$A$4:$I$18,OPR_CR2!$A$4:$I$18,OPR_CR3!$A$4:$I$18,OPR_CR4!$A$4:$I$18,OPR_RIM!$A$4:$I$18,OPR_BPR!$A$4:$I$18),9,0),0))</f>
        <v/>
      </c>
      <c r="L36">
        <f>IF($A36="","",K36*D36)</f>
        <v/>
      </c>
      <c r="M36" s="16">
        <f>IF($A36=""," ",$J36+($L36/(IF(F36="Contract Workman",Settings!$K$5,Settings!$K$4))))</f>
        <v/>
      </c>
      <c r="N36">
        <f>IF($A36="","",IF(F36="Contract Workman",IF(AND(MOD(M36,1)&gt;=8/24,MOD(M36,1)&lt;20/24),"Shift S1","Shift S2"),IF(AND(MOD(M36,1)&gt;=7/24,MOD(M36,1)&lt;15/24),"Shift A",IF(AND(MOD(M36,1)&gt;=15/24,MOD(M36,1)&lt;23/24),"Shift B","Shift C"))))</f>
        <v/>
      </c>
      <c r="O36">
        <f>IF(B36="","",IF(IFERROR(ISNUMBER(SEARCH(TEXT(B36,"0"),VLOOKUP(E36,Machine_List!$B:$J,9,0))),FALSE),"✅ "&amp; E36,"❌ Sug: "&amp;IFERROR(INDEX(Machine_List!$B$82:$B$86,MATCH(1,(Machine_List!$H$82:$H$86&lt;=IFERROR(VLOOKUP($B36,OPR_BR1!$A$4:$K$18,10,0),0))*(Machine_List!$I$82:$I$86&gt;=IFERROR(VLOOKUP($B36,OPR_BR1!$A$4:$K$18,11,0),9999)),0)),"?")))</f>
        <v/>
      </c>
      <c r="P36">
        <f>IF(AND($A36&lt;&gt;"",P$3&gt;=$J36,P$3&lt;=$M36),1,"")</f>
        <v/>
      </c>
      <c r="Q36">
        <f>IF(AND($A36&lt;&gt;"",Q$3&gt;=$J36,Q$3&lt;=$M36),1,"")</f>
        <v/>
      </c>
      <c r="R36">
        <f>IF(AND($A36&lt;&gt;"",R$3&gt;=$J36,R$3&lt;=$M36),1,"")</f>
        <v/>
      </c>
      <c r="S36">
        <f>IF(AND($A36&lt;&gt;"",S$3&gt;=$J36,S$3&lt;=$M36),1,"")</f>
        <v/>
      </c>
      <c r="T36">
        <f>IF(AND($A36&lt;&gt;"",T$3&gt;=$J36,T$3&lt;=$M36),1,"")</f>
        <v/>
      </c>
      <c r="U36">
        <f>IF(AND($A36&lt;&gt;"",U$3&gt;=$J36,U$3&lt;=$M36),1,"")</f>
        <v/>
      </c>
      <c r="V36">
        <f>IF(AND($A36&lt;&gt;"",V$3&gt;=$J36,V$3&lt;=$M36),1,"")</f>
        <v/>
      </c>
      <c r="W36">
        <f>IF(AND($A36&lt;&gt;"",W$3&gt;=$J36,W$3&lt;=$M36),1,"")</f>
        <v/>
      </c>
      <c r="X36">
        <f>IF(AND($A36&lt;&gt;"",X$3&gt;=$J36,X$3&lt;=$M36),1,"")</f>
        <v/>
      </c>
      <c r="Y36">
        <f>IF(AND($A36&lt;&gt;"",Y$3&gt;=$J36,Y$3&lt;=$M36),1,"")</f>
        <v/>
      </c>
      <c r="Z36">
        <f>IF(AND($A36&lt;&gt;"",Z$3&gt;=$J36,Z$3&lt;=$M36),1,"")</f>
        <v/>
      </c>
      <c r="AA36">
        <f>IF(AND($A36&lt;&gt;"",AA$3&gt;=$J36,AA$3&lt;=$M36),1,"")</f>
        <v/>
      </c>
      <c r="AB36">
        <f>IF(AND($A36&lt;&gt;"",AB$3&gt;=$J36,AB$3&lt;=$M36),1,"")</f>
        <v/>
      </c>
      <c r="AC36">
        <f>IF(AND($A36&lt;&gt;"",AC$3&gt;=$J36,AC$3&lt;=$M36),1,"")</f>
        <v/>
      </c>
      <c r="AD36">
        <f>IF(AND($A36&lt;&gt;"",AD$3&gt;=$J36,AD$3&lt;=$M36),1,"")</f>
        <v/>
      </c>
      <c r="AE36">
        <f>IF(AND($A36&lt;&gt;"",AE$3&gt;=$J36,AE$3&lt;=$M36),1,"")</f>
        <v/>
      </c>
      <c r="AF36">
        <f>IF(AND($A36&lt;&gt;"",AF$3&gt;=$J36,AF$3&lt;=$M36),1,"")</f>
        <v/>
      </c>
      <c r="AG36">
        <f>IF(AND($A36&lt;&gt;"",AG$3&gt;=$J36,AG$3&lt;=$M36),1,"")</f>
        <v/>
      </c>
      <c r="AH36">
        <f>IF(AND($A36&lt;&gt;"",AH$3&gt;=$J36,AH$3&lt;=$M36),1,"")</f>
        <v/>
      </c>
      <c r="AI36">
        <f>IF(AND($A36&lt;&gt;"",AI$3&gt;=$J36,AI$3&lt;=$M36),1,"")</f>
        <v/>
      </c>
      <c r="AJ36">
        <f>IF(AND($A36&lt;&gt;"",AJ$3&gt;=$J36,AJ$3&lt;=$M36),1,"")</f>
        <v/>
      </c>
      <c r="AK36">
        <f>IF(AND($A36&lt;&gt;"",AK$3&gt;=$J36,AK$3&lt;=$M36),1,"")</f>
        <v/>
      </c>
      <c r="AL36">
        <f>IF(AND($A36&lt;&gt;"",AL$3&gt;=$J36,AL$3&lt;=$M36),1,"")</f>
        <v/>
      </c>
      <c r="AM36">
        <f>IF(AND($A36&lt;&gt;"",AM$3&gt;=$J36,AM$3&lt;=$M36),1,"")</f>
        <v/>
      </c>
      <c r="AN36">
        <f>IF(AND($A36&lt;&gt;"",AN$3&gt;=$J36,AN$3&lt;=$M36),1,"")</f>
        <v/>
      </c>
      <c r="AO36">
        <f>IF(AND($A36&lt;&gt;"",AO$3&gt;=$J36,AO$3&lt;=$M36),1,"")</f>
        <v/>
      </c>
      <c r="AP36">
        <f>IF(AND($A36&lt;&gt;"",AP$3&gt;=$J36,AP$3&lt;=$M36),1,"")</f>
        <v/>
      </c>
      <c r="AQ36">
        <f>IF(AND($A36&lt;&gt;"",AQ$3&gt;=$J36,AQ$3&lt;=$M36),1,"")</f>
        <v/>
      </c>
      <c r="AR36">
        <f>IF(AND($A36&lt;&gt;"",AR$3&gt;=$J36,AR$3&lt;=$M36),1,"")</f>
        <v/>
      </c>
      <c r="AS36">
        <f>IF(AND($A36&lt;&gt;"",AS$3&gt;=$J36,AS$3&lt;=$M36),1,"")</f>
        <v/>
      </c>
      <c r="AT36">
        <f>IF(AND($A36&lt;&gt;"",AT$3&gt;=$J36,AT$3&lt;=$M36),1,"")</f>
        <v/>
      </c>
      <c r="AU36">
        <f>IF(AND($A36&lt;&gt;"",AU$3&gt;=$J36,AU$3&lt;=$M36),1,"")</f>
        <v/>
      </c>
      <c r="AV36">
        <f>IF(AND($A36&lt;&gt;"",AV$3&gt;=$J36,AV$3&lt;=$M36),1,"")</f>
        <v/>
      </c>
      <c r="AW36">
        <f>IF(AND($A36&lt;&gt;"",AW$3&gt;=$J36,AW$3&lt;=$M36),1,"")</f>
        <v/>
      </c>
      <c r="AX36">
        <f>IF(AND($A36&lt;&gt;"",AX$3&gt;=$J36,AX$3&lt;=$M36),1,"")</f>
        <v/>
      </c>
      <c r="AY36">
        <f>IF(AND($A36&lt;&gt;"",AY$3&gt;=$J36,AY$3&lt;=$M36),1,"")</f>
        <v/>
      </c>
      <c r="AZ36">
        <f>IF(AND($A36&lt;&gt;"",AZ$3&gt;=$J36,AZ$3&lt;=$M36),1,"")</f>
        <v/>
      </c>
      <c r="BA36">
        <f>IF(AND($A36&lt;&gt;"",BA$3&gt;=$J36,BA$3&lt;=$M36),1,"")</f>
        <v/>
      </c>
      <c r="BB36">
        <f>IF(AND($A36&lt;&gt;"",BB$3&gt;=$J36,BB$3&lt;=$M36),1,"")</f>
        <v/>
      </c>
      <c r="BC36">
        <f>IF(AND($A36&lt;&gt;"",BC$3&gt;=$J36,BC$3&lt;=$M36),1,"")</f>
        <v/>
      </c>
      <c r="BD36">
        <f>IF(AND($A36&lt;&gt;"",BD$3&gt;=$J36,BD$3&lt;=$M36),1,"")</f>
        <v/>
      </c>
      <c r="BE36">
        <f>IF(AND($A36&lt;&gt;"",BE$3&gt;=$J36,BE$3&lt;=$M36),1,"")</f>
        <v/>
      </c>
      <c r="BF36">
        <f>IF(AND($A36&lt;&gt;"",BF$3&gt;=$J36,BF$3&lt;=$M36),1,"")</f>
        <v/>
      </c>
      <c r="BG36">
        <f>IF(AND($A36&lt;&gt;"",BG$3&gt;=$J36,BG$3&lt;=$M36),1,"")</f>
        <v/>
      </c>
      <c r="BH36">
        <f>IF(AND($A36&lt;&gt;"",BH$3&gt;=$J36,BH$3&lt;=$M36),1,"")</f>
        <v/>
      </c>
      <c r="BI36">
        <f>IF(AND($A36&lt;&gt;"",BI$3&gt;=$J36,BI$3&lt;=$M36),1,"")</f>
        <v/>
      </c>
      <c r="BJ36">
        <f>IF(AND($A36&lt;&gt;"",BJ$3&gt;=$J36,BJ$3&lt;=$M36),1,"")</f>
        <v/>
      </c>
      <c r="BK36">
        <f>IF(AND($A36&lt;&gt;"",BK$3&gt;=$J36,BK$3&lt;=$M36),1,"")</f>
        <v/>
      </c>
      <c r="BL36">
        <f>IF(AND($A36&lt;&gt;"",BL$3&gt;=$J36,BL$3&lt;=$M36),1,"")</f>
        <v/>
      </c>
      <c r="BM36">
        <f>IF(AND($A36&lt;&gt;"",BM$3&gt;=$J36,BM$3&lt;=$M36),1,"")</f>
        <v/>
      </c>
      <c r="BN36">
        <f>IF(AND($A36&lt;&gt;"",BN$3&gt;=$J36,BN$3&lt;=$M36),1,"")</f>
        <v/>
      </c>
      <c r="BO36">
        <f>IF(AND($A36&lt;&gt;"",BO$3&gt;=$J36,BO$3&lt;=$M36),1,"")</f>
        <v/>
      </c>
      <c r="BP36">
        <f>IF(AND($A36&lt;&gt;"",BP$3&gt;=$J36,BP$3&lt;=$M36),1,"")</f>
        <v/>
      </c>
      <c r="BQ36">
        <f>IF(AND($A36&lt;&gt;"",BQ$3&gt;=$J36,BQ$3&lt;=$M36),1,"")</f>
        <v/>
      </c>
      <c r="BR36">
        <f>IF(AND($A36&lt;&gt;"",BR$3&gt;=$J36,BR$3&lt;=$M36),1,"")</f>
        <v/>
      </c>
      <c r="BS36">
        <f>IF(AND($A36&lt;&gt;"",BS$3&gt;=$J36,BS$3&lt;=$M36),1,"")</f>
        <v/>
      </c>
      <c r="BT36">
        <f>IF(AND($A36&lt;&gt;"",BT$3&gt;=$J36,BT$3&lt;=$M36),1,"")</f>
        <v/>
      </c>
      <c r="BU36">
        <f>IF(AND($A36&lt;&gt;"",BU$3&gt;=$J36,BU$3&lt;=$M36),1,"")</f>
        <v/>
      </c>
      <c r="BV36">
        <f>IF(AND($A36&lt;&gt;"",BV$3&gt;=$J36,BV$3&lt;=$M36),1,"")</f>
        <v/>
      </c>
    </row>
    <row r="37">
      <c r="A37">
        <f>IF(Job_Master_Ring!$A37="","",Job_Master_Ring!$A37)</f>
        <v/>
      </c>
      <c r="B37">
        <f>IF($A37="","",Job_Master_Ring!B37)</f>
        <v/>
      </c>
      <c r="C37">
        <f>IF($A37="","",Job_Master_Ring!C37)</f>
        <v/>
      </c>
      <c r="D37">
        <f>IF($A37="","",Job_Master_Ring!D37)</f>
        <v/>
      </c>
      <c r="E37">
        <f>IF($A37="","",IF($I37&lt;&gt;"",$I37,IFERROR(INDEX(Machine_List!$B$82:$B$86,MATCH(1,(Machine_List!$H$82:$H$86&lt;=IFERROR(VLOOKUP($B37,CHOOSE(MATCH($C37,Settings!$L$4:$L$10,0),OPR_BR1!$A$4:$K$18,OPR_BR2!$A$4:$K$18,OPR_CR2!$A$4:$K$18,OPR_CR3!$A$4:$K$18,OPR_CR4!$A$4:$K$18,OPR_RIM!$A$4:$K$18,OPR_BPR!$A$4:$K$18),10,0),0))*(Machine_List!$I$82:$I$86&gt;=IFERROR(VLOOKUP($B37,CHOOSE(MATCH($C37,Settings!$L$4:$L$10,0),OPR_BR1!$A$4:$K$18,OPR_BR2!$A$4:$K$18,OPR_CR2!$A$4:$K$18,OPR_CR3!$A$4:$K$18,OPR_CR4!$A$4:$K$18,OPR_RIM!$A$4:$K$18,OPR_BPR!$A$4:$K$18),11,0),9999)),0)),"NO COMPATIBLE MACHINE")))</f>
        <v/>
      </c>
      <c r="F37">
        <f>IF($E37="","",IFERROR(VLOOKUP($E37,Machine_List!$B:$G,6,0),""))</f>
        <v/>
      </c>
      <c r="G37" s="17">
        <f>IF($E37="","",IFERROR(VLOOKUP($E37,Machine_List!$B:$C,2,0),""))</f>
        <v/>
      </c>
      <c r="H37">
        <f>IF($E37="","",IFERROR(VLOOKUP($E37,Machine_List!$B:$D,3,0),""))</f>
        <v/>
      </c>
      <c r="J37" s="16">
        <f>IF($A37="","",IF($I37&lt;&gt;"",$I37,MAX(FID_Plan!$M37,IFERROR(LOOKUP(2,1/($E$3:INDIRECT("E"&amp;(ROW()-1))=$E37),$M$3:INDIRECT("M"&amp;(ROW()-1))),FID_Plan!$M37))))</f>
        <v/>
      </c>
      <c r="K37">
        <f>IF($A37="","",IFERROR(VLOOKUP(B37,CHOOSE(MATCH($C37,Settings!$L$4:$L$10,0),OPR_BR1!$A$4:$I$18,OPR_BR2!$A$4:$I$18,OPR_CR2!$A$4:$I$18,OPR_CR3!$A$4:$I$18,OPR_CR4!$A$4:$I$18,OPR_RIM!$A$4:$I$18,OPR_BPR!$A$4:$I$18),9,0),0))</f>
        <v/>
      </c>
      <c r="L37">
        <f>IF($A37="","",K37*D37)</f>
        <v/>
      </c>
      <c r="M37" s="16">
        <f>IF($A37=""," ",$J37+($L37/(IF(F37="Contract Workman",Settings!$K$5,Settings!$K$4))))</f>
        <v/>
      </c>
      <c r="N37">
        <f>IF($A37="","",IF(F37="Contract Workman",IF(AND(MOD(M37,1)&gt;=8/24,MOD(M37,1)&lt;20/24),"Shift S1","Shift S2"),IF(AND(MOD(M37,1)&gt;=7/24,MOD(M37,1)&lt;15/24),"Shift A",IF(AND(MOD(M37,1)&gt;=15/24,MOD(M37,1)&lt;23/24),"Shift B","Shift C"))))</f>
        <v/>
      </c>
      <c r="O37">
        <f>IF(B37="","",IF(IFERROR(ISNUMBER(SEARCH(TEXT(B37,"0"),VLOOKUP(E37,Machine_List!$B:$J,9,0))),FALSE),"✅ "&amp; E37,"❌ Sug: "&amp;IFERROR(INDEX(Machine_List!$B$82:$B$86,MATCH(1,(Machine_List!$H$82:$H$86&lt;=IFERROR(VLOOKUP($B37,OPR_BR1!$A$4:$K$18,10,0),0))*(Machine_List!$I$82:$I$86&gt;=IFERROR(VLOOKUP($B37,OPR_BR1!$A$4:$K$18,11,0),9999)),0)),"?")))</f>
        <v/>
      </c>
      <c r="P37">
        <f>IF(AND($A37&lt;&gt;"",P$3&gt;=$J37,P$3&lt;=$M37),1,"")</f>
        <v/>
      </c>
      <c r="Q37">
        <f>IF(AND($A37&lt;&gt;"",Q$3&gt;=$J37,Q$3&lt;=$M37),1,"")</f>
        <v/>
      </c>
      <c r="R37">
        <f>IF(AND($A37&lt;&gt;"",R$3&gt;=$J37,R$3&lt;=$M37),1,"")</f>
        <v/>
      </c>
      <c r="S37">
        <f>IF(AND($A37&lt;&gt;"",S$3&gt;=$J37,S$3&lt;=$M37),1,"")</f>
        <v/>
      </c>
      <c r="T37">
        <f>IF(AND($A37&lt;&gt;"",T$3&gt;=$J37,T$3&lt;=$M37),1,"")</f>
        <v/>
      </c>
      <c r="U37">
        <f>IF(AND($A37&lt;&gt;"",U$3&gt;=$J37,U$3&lt;=$M37),1,"")</f>
        <v/>
      </c>
      <c r="V37">
        <f>IF(AND($A37&lt;&gt;"",V$3&gt;=$J37,V$3&lt;=$M37),1,"")</f>
        <v/>
      </c>
      <c r="W37">
        <f>IF(AND($A37&lt;&gt;"",W$3&gt;=$J37,W$3&lt;=$M37),1,"")</f>
        <v/>
      </c>
      <c r="X37">
        <f>IF(AND($A37&lt;&gt;"",X$3&gt;=$J37,X$3&lt;=$M37),1,"")</f>
        <v/>
      </c>
      <c r="Y37">
        <f>IF(AND($A37&lt;&gt;"",Y$3&gt;=$J37,Y$3&lt;=$M37),1,"")</f>
        <v/>
      </c>
      <c r="Z37">
        <f>IF(AND($A37&lt;&gt;"",Z$3&gt;=$J37,Z$3&lt;=$M37),1,"")</f>
        <v/>
      </c>
      <c r="AA37">
        <f>IF(AND($A37&lt;&gt;"",AA$3&gt;=$J37,AA$3&lt;=$M37),1,"")</f>
        <v/>
      </c>
      <c r="AB37">
        <f>IF(AND($A37&lt;&gt;"",AB$3&gt;=$J37,AB$3&lt;=$M37),1,"")</f>
        <v/>
      </c>
      <c r="AC37">
        <f>IF(AND($A37&lt;&gt;"",AC$3&gt;=$J37,AC$3&lt;=$M37),1,"")</f>
        <v/>
      </c>
      <c r="AD37">
        <f>IF(AND($A37&lt;&gt;"",AD$3&gt;=$J37,AD$3&lt;=$M37),1,"")</f>
        <v/>
      </c>
      <c r="AE37">
        <f>IF(AND($A37&lt;&gt;"",AE$3&gt;=$J37,AE$3&lt;=$M37),1,"")</f>
        <v/>
      </c>
      <c r="AF37">
        <f>IF(AND($A37&lt;&gt;"",AF$3&gt;=$J37,AF$3&lt;=$M37),1,"")</f>
        <v/>
      </c>
      <c r="AG37">
        <f>IF(AND($A37&lt;&gt;"",AG$3&gt;=$J37,AG$3&lt;=$M37),1,"")</f>
        <v/>
      </c>
      <c r="AH37">
        <f>IF(AND($A37&lt;&gt;"",AH$3&gt;=$J37,AH$3&lt;=$M37),1,"")</f>
        <v/>
      </c>
      <c r="AI37">
        <f>IF(AND($A37&lt;&gt;"",AI$3&gt;=$J37,AI$3&lt;=$M37),1,"")</f>
        <v/>
      </c>
      <c r="AJ37">
        <f>IF(AND($A37&lt;&gt;"",AJ$3&gt;=$J37,AJ$3&lt;=$M37),1,"")</f>
        <v/>
      </c>
      <c r="AK37">
        <f>IF(AND($A37&lt;&gt;"",AK$3&gt;=$J37,AK$3&lt;=$M37),1,"")</f>
        <v/>
      </c>
      <c r="AL37">
        <f>IF(AND($A37&lt;&gt;"",AL$3&gt;=$J37,AL$3&lt;=$M37),1,"")</f>
        <v/>
      </c>
      <c r="AM37">
        <f>IF(AND($A37&lt;&gt;"",AM$3&gt;=$J37,AM$3&lt;=$M37),1,"")</f>
        <v/>
      </c>
      <c r="AN37">
        <f>IF(AND($A37&lt;&gt;"",AN$3&gt;=$J37,AN$3&lt;=$M37),1,"")</f>
        <v/>
      </c>
      <c r="AO37">
        <f>IF(AND($A37&lt;&gt;"",AO$3&gt;=$J37,AO$3&lt;=$M37),1,"")</f>
        <v/>
      </c>
      <c r="AP37">
        <f>IF(AND($A37&lt;&gt;"",AP$3&gt;=$J37,AP$3&lt;=$M37),1,"")</f>
        <v/>
      </c>
      <c r="AQ37">
        <f>IF(AND($A37&lt;&gt;"",AQ$3&gt;=$J37,AQ$3&lt;=$M37),1,"")</f>
        <v/>
      </c>
      <c r="AR37">
        <f>IF(AND($A37&lt;&gt;"",AR$3&gt;=$J37,AR$3&lt;=$M37),1,"")</f>
        <v/>
      </c>
      <c r="AS37">
        <f>IF(AND($A37&lt;&gt;"",AS$3&gt;=$J37,AS$3&lt;=$M37),1,"")</f>
        <v/>
      </c>
      <c r="AT37">
        <f>IF(AND($A37&lt;&gt;"",AT$3&gt;=$J37,AT$3&lt;=$M37),1,"")</f>
        <v/>
      </c>
      <c r="AU37">
        <f>IF(AND($A37&lt;&gt;"",AU$3&gt;=$J37,AU$3&lt;=$M37),1,"")</f>
        <v/>
      </c>
      <c r="AV37">
        <f>IF(AND($A37&lt;&gt;"",AV$3&gt;=$J37,AV$3&lt;=$M37),1,"")</f>
        <v/>
      </c>
      <c r="AW37">
        <f>IF(AND($A37&lt;&gt;"",AW$3&gt;=$J37,AW$3&lt;=$M37),1,"")</f>
        <v/>
      </c>
      <c r="AX37">
        <f>IF(AND($A37&lt;&gt;"",AX$3&gt;=$J37,AX$3&lt;=$M37),1,"")</f>
        <v/>
      </c>
      <c r="AY37">
        <f>IF(AND($A37&lt;&gt;"",AY$3&gt;=$J37,AY$3&lt;=$M37),1,"")</f>
        <v/>
      </c>
      <c r="AZ37">
        <f>IF(AND($A37&lt;&gt;"",AZ$3&gt;=$J37,AZ$3&lt;=$M37),1,"")</f>
        <v/>
      </c>
      <c r="BA37">
        <f>IF(AND($A37&lt;&gt;"",BA$3&gt;=$J37,BA$3&lt;=$M37),1,"")</f>
        <v/>
      </c>
      <c r="BB37">
        <f>IF(AND($A37&lt;&gt;"",BB$3&gt;=$J37,BB$3&lt;=$M37),1,"")</f>
        <v/>
      </c>
      <c r="BC37">
        <f>IF(AND($A37&lt;&gt;"",BC$3&gt;=$J37,BC$3&lt;=$M37),1,"")</f>
        <v/>
      </c>
      <c r="BD37">
        <f>IF(AND($A37&lt;&gt;"",BD$3&gt;=$J37,BD$3&lt;=$M37),1,"")</f>
        <v/>
      </c>
      <c r="BE37">
        <f>IF(AND($A37&lt;&gt;"",BE$3&gt;=$J37,BE$3&lt;=$M37),1,"")</f>
        <v/>
      </c>
      <c r="BF37">
        <f>IF(AND($A37&lt;&gt;"",BF$3&gt;=$J37,BF$3&lt;=$M37),1,"")</f>
        <v/>
      </c>
      <c r="BG37">
        <f>IF(AND($A37&lt;&gt;"",BG$3&gt;=$J37,BG$3&lt;=$M37),1,"")</f>
        <v/>
      </c>
      <c r="BH37">
        <f>IF(AND($A37&lt;&gt;"",BH$3&gt;=$J37,BH$3&lt;=$M37),1,"")</f>
        <v/>
      </c>
      <c r="BI37">
        <f>IF(AND($A37&lt;&gt;"",BI$3&gt;=$J37,BI$3&lt;=$M37),1,"")</f>
        <v/>
      </c>
      <c r="BJ37">
        <f>IF(AND($A37&lt;&gt;"",BJ$3&gt;=$J37,BJ$3&lt;=$M37),1,"")</f>
        <v/>
      </c>
      <c r="BK37">
        <f>IF(AND($A37&lt;&gt;"",BK$3&gt;=$J37,BK$3&lt;=$M37),1,"")</f>
        <v/>
      </c>
      <c r="BL37">
        <f>IF(AND($A37&lt;&gt;"",BL$3&gt;=$J37,BL$3&lt;=$M37),1,"")</f>
        <v/>
      </c>
      <c r="BM37">
        <f>IF(AND($A37&lt;&gt;"",BM$3&gt;=$J37,BM$3&lt;=$M37),1,"")</f>
        <v/>
      </c>
      <c r="BN37">
        <f>IF(AND($A37&lt;&gt;"",BN$3&gt;=$J37,BN$3&lt;=$M37),1,"")</f>
        <v/>
      </c>
      <c r="BO37">
        <f>IF(AND($A37&lt;&gt;"",BO$3&gt;=$J37,BO$3&lt;=$M37),1,"")</f>
        <v/>
      </c>
      <c r="BP37">
        <f>IF(AND($A37&lt;&gt;"",BP$3&gt;=$J37,BP$3&lt;=$M37),1,"")</f>
        <v/>
      </c>
      <c r="BQ37">
        <f>IF(AND($A37&lt;&gt;"",BQ$3&gt;=$J37,BQ$3&lt;=$M37),1,"")</f>
        <v/>
      </c>
      <c r="BR37">
        <f>IF(AND($A37&lt;&gt;"",BR$3&gt;=$J37,BR$3&lt;=$M37),1,"")</f>
        <v/>
      </c>
      <c r="BS37">
        <f>IF(AND($A37&lt;&gt;"",BS$3&gt;=$J37,BS$3&lt;=$M37),1,"")</f>
        <v/>
      </c>
      <c r="BT37">
        <f>IF(AND($A37&lt;&gt;"",BT$3&gt;=$J37,BT$3&lt;=$M37),1,"")</f>
        <v/>
      </c>
      <c r="BU37">
        <f>IF(AND($A37&lt;&gt;"",BU$3&gt;=$J37,BU$3&lt;=$M37),1,"")</f>
        <v/>
      </c>
      <c r="BV37">
        <f>IF(AND($A37&lt;&gt;"",BV$3&gt;=$J37,BV$3&lt;=$M37),1,"")</f>
        <v/>
      </c>
    </row>
    <row r="38">
      <c r="A38">
        <f>IF(Job_Master_Ring!$A38="","",Job_Master_Ring!$A38)</f>
        <v/>
      </c>
      <c r="B38">
        <f>IF($A38="","",Job_Master_Ring!B38)</f>
        <v/>
      </c>
      <c r="C38">
        <f>IF($A38="","",Job_Master_Ring!C38)</f>
        <v/>
      </c>
      <c r="D38">
        <f>IF($A38="","",Job_Master_Ring!D38)</f>
        <v/>
      </c>
      <c r="E38">
        <f>IF($A38="","",IF($I38&lt;&gt;"",$I38,IFERROR(INDEX(Machine_List!$B$82:$B$86,MATCH(1,(Machine_List!$H$82:$H$86&lt;=IFERROR(VLOOKUP($B38,CHOOSE(MATCH($C38,Settings!$L$4:$L$10,0),OPR_BR1!$A$4:$K$18,OPR_BR2!$A$4:$K$18,OPR_CR2!$A$4:$K$18,OPR_CR3!$A$4:$K$18,OPR_CR4!$A$4:$K$18,OPR_RIM!$A$4:$K$18,OPR_BPR!$A$4:$K$18),10,0),0))*(Machine_List!$I$82:$I$86&gt;=IFERROR(VLOOKUP($B38,CHOOSE(MATCH($C38,Settings!$L$4:$L$10,0),OPR_BR1!$A$4:$K$18,OPR_BR2!$A$4:$K$18,OPR_CR2!$A$4:$K$18,OPR_CR3!$A$4:$K$18,OPR_CR4!$A$4:$K$18,OPR_RIM!$A$4:$K$18,OPR_BPR!$A$4:$K$18),11,0),9999)),0)),"NO COMPATIBLE MACHINE")))</f>
        <v/>
      </c>
      <c r="F38">
        <f>IF($E38="","",IFERROR(VLOOKUP($E38,Machine_List!$B:$G,6,0),""))</f>
        <v/>
      </c>
      <c r="G38" s="17">
        <f>IF($E38="","",IFERROR(VLOOKUP($E38,Machine_List!$B:$C,2,0),""))</f>
        <v/>
      </c>
      <c r="H38">
        <f>IF($E38="","",IFERROR(VLOOKUP($E38,Machine_List!$B:$D,3,0),""))</f>
        <v/>
      </c>
      <c r="J38" s="16">
        <f>IF($A38="","",IF($I38&lt;&gt;"",$I38,MAX(FID_Plan!$M38,IFERROR(LOOKUP(2,1/($E$3:INDIRECT("E"&amp;(ROW()-1))=$E38),$M$3:INDIRECT("M"&amp;(ROW()-1))),FID_Plan!$M38))))</f>
        <v/>
      </c>
      <c r="K38">
        <f>IF($A38="","",IFERROR(VLOOKUP(B38,CHOOSE(MATCH($C38,Settings!$L$4:$L$10,0),OPR_BR1!$A$4:$I$18,OPR_BR2!$A$4:$I$18,OPR_CR2!$A$4:$I$18,OPR_CR3!$A$4:$I$18,OPR_CR4!$A$4:$I$18,OPR_RIM!$A$4:$I$18,OPR_BPR!$A$4:$I$18),9,0),0))</f>
        <v/>
      </c>
      <c r="L38">
        <f>IF($A38="","",K38*D38)</f>
        <v/>
      </c>
      <c r="M38" s="16">
        <f>IF($A38=""," ",$J38+($L38/(IF(F38="Contract Workman",Settings!$K$5,Settings!$K$4))))</f>
        <v/>
      </c>
      <c r="N38">
        <f>IF($A38="","",IF(F38="Contract Workman",IF(AND(MOD(M38,1)&gt;=8/24,MOD(M38,1)&lt;20/24),"Shift S1","Shift S2"),IF(AND(MOD(M38,1)&gt;=7/24,MOD(M38,1)&lt;15/24),"Shift A",IF(AND(MOD(M38,1)&gt;=15/24,MOD(M38,1)&lt;23/24),"Shift B","Shift C"))))</f>
        <v/>
      </c>
      <c r="O38">
        <f>IF(B38="","",IF(IFERROR(ISNUMBER(SEARCH(TEXT(B38,"0"),VLOOKUP(E38,Machine_List!$B:$J,9,0))),FALSE),"✅ "&amp; E38,"❌ Sug: "&amp;IFERROR(INDEX(Machine_List!$B$82:$B$86,MATCH(1,(Machine_List!$H$82:$H$86&lt;=IFERROR(VLOOKUP($B38,OPR_BR1!$A$4:$K$18,10,0),0))*(Machine_List!$I$82:$I$86&gt;=IFERROR(VLOOKUP($B38,OPR_BR1!$A$4:$K$18,11,0),9999)),0)),"?")))</f>
        <v/>
      </c>
      <c r="P38">
        <f>IF(AND($A38&lt;&gt;"",P$3&gt;=$J38,P$3&lt;=$M38),1,"")</f>
        <v/>
      </c>
      <c r="Q38">
        <f>IF(AND($A38&lt;&gt;"",Q$3&gt;=$J38,Q$3&lt;=$M38),1,"")</f>
        <v/>
      </c>
      <c r="R38">
        <f>IF(AND($A38&lt;&gt;"",R$3&gt;=$J38,R$3&lt;=$M38),1,"")</f>
        <v/>
      </c>
      <c r="S38">
        <f>IF(AND($A38&lt;&gt;"",S$3&gt;=$J38,S$3&lt;=$M38),1,"")</f>
        <v/>
      </c>
      <c r="T38">
        <f>IF(AND($A38&lt;&gt;"",T$3&gt;=$J38,T$3&lt;=$M38),1,"")</f>
        <v/>
      </c>
      <c r="U38">
        <f>IF(AND($A38&lt;&gt;"",U$3&gt;=$J38,U$3&lt;=$M38),1,"")</f>
        <v/>
      </c>
      <c r="V38">
        <f>IF(AND($A38&lt;&gt;"",V$3&gt;=$J38,V$3&lt;=$M38),1,"")</f>
        <v/>
      </c>
      <c r="W38">
        <f>IF(AND($A38&lt;&gt;"",W$3&gt;=$J38,W$3&lt;=$M38),1,"")</f>
        <v/>
      </c>
      <c r="X38">
        <f>IF(AND($A38&lt;&gt;"",X$3&gt;=$J38,X$3&lt;=$M38),1,"")</f>
        <v/>
      </c>
      <c r="Y38">
        <f>IF(AND($A38&lt;&gt;"",Y$3&gt;=$J38,Y$3&lt;=$M38),1,"")</f>
        <v/>
      </c>
      <c r="Z38">
        <f>IF(AND($A38&lt;&gt;"",Z$3&gt;=$J38,Z$3&lt;=$M38),1,"")</f>
        <v/>
      </c>
      <c r="AA38">
        <f>IF(AND($A38&lt;&gt;"",AA$3&gt;=$J38,AA$3&lt;=$M38),1,"")</f>
        <v/>
      </c>
      <c r="AB38">
        <f>IF(AND($A38&lt;&gt;"",AB$3&gt;=$J38,AB$3&lt;=$M38),1,"")</f>
        <v/>
      </c>
      <c r="AC38">
        <f>IF(AND($A38&lt;&gt;"",AC$3&gt;=$J38,AC$3&lt;=$M38),1,"")</f>
        <v/>
      </c>
      <c r="AD38">
        <f>IF(AND($A38&lt;&gt;"",AD$3&gt;=$J38,AD$3&lt;=$M38),1,"")</f>
        <v/>
      </c>
      <c r="AE38">
        <f>IF(AND($A38&lt;&gt;"",AE$3&gt;=$J38,AE$3&lt;=$M38),1,"")</f>
        <v/>
      </c>
      <c r="AF38">
        <f>IF(AND($A38&lt;&gt;"",AF$3&gt;=$J38,AF$3&lt;=$M38),1,"")</f>
        <v/>
      </c>
      <c r="AG38">
        <f>IF(AND($A38&lt;&gt;"",AG$3&gt;=$J38,AG$3&lt;=$M38),1,"")</f>
        <v/>
      </c>
      <c r="AH38">
        <f>IF(AND($A38&lt;&gt;"",AH$3&gt;=$J38,AH$3&lt;=$M38),1,"")</f>
        <v/>
      </c>
      <c r="AI38">
        <f>IF(AND($A38&lt;&gt;"",AI$3&gt;=$J38,AI$3&lt;=$M38),1,"")</f>
        <v/>
      </c>
      <c r="AJ38">
        <f>IF(AND($A38&lt;&gt;"",AJ$3&gt;=$J38,AJ$3&lt;=$M38),1,"")</f>
        <v/>
      </c>
      <c r="AK38">
        <f>IF(AND($A38&lt;&gt;"",AK$3&gt;=$J38,AK$3&lt;=$M38),1,"")</f>
        <v/>
      </c>
      <c r="AL38">
        <f>IF(AND($A38&lt;&gt;"",AL$3&gt;=$J38,AL$3&lt;=$M38),1,"")</f>
        <v/>
      </c>
      <c r="AM38">
        <f>IF(AND($A38&lt;&gt;"",AM$3&gt;=$J38,AM$3&lt;=$M38),1,"")</f>
        <v/>
      </c>
      <c r="AN38">
        <f>IF(AND($A38&lt;&gt;"",AN$3&gt;=$J38,AN$3&lt;=$M38),1,"")</f>
        <v/>
      </c>
      <c r="AO38">
        <f>IF(AND($A38&lt;&gt;"",AO$3&gt;=$J38,AO$3&lt;=$M38),1,"")</f>
        <v/>
      </c>
      <c r="AP38">
        <f>IF(AND($A38&lt;&gt;"",AP$3&gt;=$J38,AP$3&lt;=$M38),1,"")</f>
        <v/>
      </c>
      <c r="AQ38">
        <f>IF(AND($A38&lt;&gt;"",AQ$3&gt;=$J38,AQ$3&lt;=$M38),1,"")</f>
        <v/>
      </c>
      <c r="AR38">
        <f>IF(AND($A38&lt;&gt;"",AR$3&gt;=$J38,AR$3&lt;=$M38),1,"")</f>
        <v/>
      </c>
      <c r="AS38">
        <f>IF(AND($A38&lt;&gt;"",AS$3&gt;=$J38,AS$3&lt;=$M38),1,"")</f>
        <v/>
      </c>
      <c r="AT38">
        <f>IF(AND($A38&lt;&gt;"",AT$3&gt;=$J38,AT$3&lt;=$M38),1,"")</f>
        <v/>
      </c>
      <c r="AU38">
        <f>IF(AND($A38&lt;&gt;"",AU$3&gt;=$J38,AU$3&lt;=$M38),1,"")</f>
        <v/>
      </c>
      <c r="AV38">
        <f>IF(AND($A38&lt;&gt;"",AV$3&gt;=$J38,AV$3&lt;=$M38),1,"")</f>
        <v/>
      </c>
      <c r="AW38">
        <f>IF(AND($A38&lt;&gt;"",AW$3&gt;=$J38,AW$3&lt;=$M38),1,"")</f>
        <v/>
      </c>
      <c r="AX38">
        <f>IF(AND($A38&lt;&gt;"",AX$3&gt;=$J38,AX$3&lt;=$M38),1,"")</f>
        <v/>
      </c>
      <c r="AY38">
        <f>IF(AND($A38&lt;&gt;"",AY$3&gt;=$J38,AY$3&lt;=$M38),1,"")</f>
        <v/>
      </c>
      <c r="AZ38">
        <f>IF(AND($A38&lt;&gt;"",AZ$3&gt;=$J38,AZ$3&lt;=$M38),1,"")</f>
        <v/>
      </c>
      <c r="BA38">
        <f>IF(AND($A38&lt;&gt;"",BA$3&gt;=$J38,BA$3&lt;=$M38),1,"")</f>
        <v/>
      </c>
      <c r="BB38">
        <f>IF(AND($A38&lt;&gt;"",BB$3&gt;=$J38,BB$3&lt;=$M38),1,"")</f>
        <v/>
      </c>
      <c r="BC38">
        <f>IF(AND($A38&lt;&gt;"",BC$3&gt;=$J38,BC$3&lt;=$M38),1,"")</f>
        <v/>
      </c>
      <c r="BD38">
        <f>IF(AND($A38&lt;&gt;"",BD$3&gt;=$J38,BD$3&lt;=$M38),1,"")</f>
        <v/>
      </c>
      <c r="BE38">
        <f>IF(AND($A38&lt;&gt;"",BE$3&gt;=$J38,BE$3&lt;=$M38),1,"")</f>
        <v/>
      </c>
      <c r="BF38">
        <f>IF(AND($A38&lt;&gt;"",BF$3&gt;=$J38,BF$3&lt;=$M38),1,"")</f>
        <v/>
      </c>
      <c r="BG38">
        <f>IF(AND($A38&lt;&gt;"",BG$3&gt;=$J38,BG$3&lt;=$M38),1,"")</f>
        <v/>
      </c>
      <c r="BH38">
        <f>IF(AND($A38&lt;&gt;"",BH$3&gt;=$J38,BH$3&lt;=$M38),1,"")</f>
        <v/>
      </c>
      <c r="BI38">
        <f>IF(AND($A38&lt;&gt;"",BI$3&gt;=$J38,BI$3&lt;=$M38),1,"")</f>
        <v/>
      </c>
      <c r="BJ38">
        <f>IF(AND($A38&lt;&gt;"",BJ$3&gt;=$J38,BJ$3&lt;=$M38),1,"")</f>
        <v/>
      </c>
      <c r="BK38">
        <f>IF(AND($A38&lt;&gt;"",BK$3&gt;=$J38,BK$3&lt;=$M38),1,"")</f>
        <v/>
      </c>
      <c r="BL38">
        <f>IF(AND($A38&lt;&gt;"",BL$3&gt;=$J38,BL$3&lt;=$M38),1,"")</f>
        <v/>
      </c>
      <c r="BM38">
        <f>IF(AND($A38&lt;&gt;"",BM$3&gt;=$J38,BM$3&lt;=$M38),1,"")</f>
        <v/>
      </c>
      <c r="BN38">
        <f>IF(AND($A38&lt;&gt;"",BN$3&gt;=$J38,BN$3&lt;=$M38),1,"")</f>
        <v/>
      </c>
      <c r="BO38">
        <f>IF(AND($A38&lt;&gt;"",BO$3&gt;=$J38,BO$3&lt;=$M38),1,"")</f>
        <v/>
      </c>
      <c r="BP38">
        <f>IF(AND($A38&lt;&gt;"",BP$3&gt;=$J38,BP$3&lt;=$M38),1,"")</f>
        <v/>
      </c>
      <c r="BQ38">
        <f>IF(AND($A38&lt;&gt;"",BQ$3&gt;=$J38,BQ$3&lt;=$M38),1,"")</f>
        <v/>
      </c>
      <c r="BR38">
        <f>IF(AND($A38&lt;&gt;"",BR$3&gt;=$J38,BR$3&lt;=$M38),1,"")</f>
        <v/>
      </c>
      <c r="BS38">
        <f>IF(AND($A38&lt;&gt;"",BS$3&gt;=$J38,BS$3&lt;=$M38),1,"")</f>
        <v/>
      </c>
      <c r="BT38">
        <f>IF(AND($A38&lt;&gt;"",BT$3&gt;=$J38,BT$3&lt;=$M38),1,"")</f>
        <v/>
      </c>
      <c r="BU38">
        <f>IF(AND($A38&lt;&gt;"",BU$3&gt;=$J38,BU$3&lt;=$M38),1,"")</f>
        <v/>
      </c>
      <c r="BV38">
        <f>IF(AND($A38&lt;&gt;"",BV$3&gt;=$J38,BV$3&lt;=$M38),1,"")</f>
        <v/>
      </c>
    </row>
    <row r="39">
      <c r="A39">
        <f>IF(Job_Master_Ring!$A39="","",Job_Master_Ring!$A39)</f>
        <v/>
      </c>
      <c r="B39">
        <f>IF($A39="","",Job_Master_Ring!B39)</f>
        <v/>
      </c>
      <c r="C39">
        <f>IF($A39="","",Job_Master_Ring!C39)</f>
        <v/>
      </c>
      <c r="D39">
        <f>IF($A39="","",Job_Master_Ring!D39)</f>
        <v/>
      </c>
      <c r="E39">
        <f>IF($A39="","",IF($I39&lt;&gt;"",$I39,IFERROR(INDEX(Machine_List!$B$82:$B$86,MATCH(1,(Machine_List!$H$82:$H$86&lt;=IFERROR(VLOOKUP($B39,CHOOSE(MATCH($C39,Settings!$L$4:$L$10,0),OPR_BR1!$A$4:$K$18,OPR_BR2!$A$4:$K$18,OPR_CR2!$A$4:$K$18,OPR_CR3!$A$4:$K$18,OPR_CR4!$A$4:$K$18,OPR_RIM!$A$4:$K$18,OPR_BPR!$A$4:$K$18),10,0),0))*(Machine_List!$I$82:$I$86&gt;=IFERROR(VLOOKUP($B39,CHOOSE(MATCH($C39,Settings!$L$4:$L$10,0),OPR_BR1!$A$4:$K$18,OPR_BR2!$A$4:$K$18,OPR_CR2!$A$4:$K$18,OPR_CR3!$A$4:$K$18,OPR_CR4!$A$4:$K$18,OPR_RIM!$A$4:$K$18,OPR_BPR!$A$4:$K$18),11,0),9999)),0)),"NO COMPATIBLE MACHINE")))</f>
        <v/>
      </c>
      <c r="F39">
        <f>IF($E39="","",IFERROR(VLOOKUP($E39,Machine_List!$B:$G,6,0),""))</f>
        <v/>
      </c>
      <c r="G39" s="17">
        <f>IF($E39="","",IFERROR(VLOOKUP($E39,Machine_List!$B:$C,2,0),""))</f>
        <v/>
      </c>
      <c r="H39">
        <f>IF($E39="","",IFERROR(VLOOKUP($E39,Machine_List!$B:$D,3,0),""))</f>
        <v/>
      </c>
      <c r="J39" s="16">
        <f>IF($A39="","",IF($I39&lt;&gt;"",$I39,MAX(FID_Plan!$M39,IFERROR(LOOKUP(2,1/($E$3:INDIRECT("E"&amp;(ROW()-1))=$E39),$M$3:INDIRECT("M"&amp;(ROW()-1))),FID_Plan!$M39))))</f>
        <v/>
      </c>
      <c r="K39">
        <f>IF($A39="","",IFERROR(VLOOKUP(B39,CHOOSE(MATCH($C39,Settings!$L$4:$L$10,0),OPR_BR1!$A$4:$I$18,OPR_BR2!$A$4:$I$18,OPR_CR2!$A$4:$I$18,OPR_CR3!$A$4:$I$18,OPR_CR4!$A$4:$I$18,OPR_RIM!$A$4:$I$18,OPR_BPR!$A$4:$I$18),9,0),0))</f>
        <v/>
      </c>
      <c r="L39">
        <f>IF($A39="","",K39*D39)</f>
        <v/>
      </c>
      <c r="M39" s="16">
        <f>IF($A39=""," ",$J39+($L39/(IF(F39="Contract Workman",Settings!$K$5,Settings!$K$4))))</f>
        <v/>
      </c>
      <c r="N39">
        <f>IF($A39="","",IF(F39="Contract Workman",IF(AND(MOD(M39,1)&gt;=8/24,MOD(M39,1)&lt;20/24),"Shift S1","Shift S2"),IF(AND(MOD(M39,1)&gt;=7/24,MOD(M39,1)&lt;15/24),"Shift A",IF(AND(MOD(M39,1)&gt;=15/24,MOD(M39,1)&lt;23/24),"Shift B","Shift C"))))</f>
        <v/>
      </c>
      <c r="O39">
        <f>IF(B39="","",IF(IFERROR(ISNUMBER(SEARCH(TEXT(B39,"0"),VLOOKUP(E39,Machine_List!$B:$J,9,0))),FALSE),"✅ "&amp; E39,"❌ Sug: "&amp;IFERROR(INDEX(Machine_List!$B$82:$B$86,MATCH(1,(Machine_List!$H$82:$H$86&lt;=IFERROR(VLOOKUP($B39,OPR_BR1!$A$4:$K$18,10,0),0))*(Machine_List!$I$82:$I$86&gt;=IFERROR(VLOOKUP($B39,OPR_BR1!$A$4:$K$18,11,0),9999)),0)),"?")))</f>
        <v/>
      </c>
      <c r="P39">
        <f>IF(AND($A39&lt;&gt;"",P$3&gt;=$J39,P$3&lt;=$M39),1,"")</f>
        <v/>
      </c>
      <c r="Q39">
        <f>IF(AND($A39&lt;&gt;"",Q$3&gt;=$J39,Q$3&lt;=$M39),1,"")</f>
        <v/>
      </c>
      <c r="R39">
        <f>IF(AND($A39&lt;&gt;"",R$3&gt;=$J39,R$3&lt;=$M39),1,"")</f>
        <v/>
      </c>
      <c r="S39">
        <f>IF(AND($A39&lt;&gt;"",S$3&gt;=$J39,S$3&lt;=$M39),1,"")</f>
        <v/>
      </c>
      <c r="T39">
        <f>IF(AND($A39&lt;&gt;"",T$3&gt;=$J39,T$3&lt;=$M39),1,"")</f>
        <v/>
      </c>
      <c r="U39">
        <f>IF(AND($A39&lt;&gt;"",U$3&gt;=$J39,U$3&lt;=$M39),1,"")</f>
        <v/>
      </c>
      <c r="V39">
        <f>IF(AND($A39&lt;&gt;"",V$3&gt;=$J39,V$3&lt;=$M39),1,"")</f>
        <v/>
      </c>
      <c r="W39">
        <f>IF(AND($A39&lt;&gt;"",W$3&gt;=$J39,W$3&lt;=$M39),1,"")</f>
        <v/>
      </c>
      <c r="X39">
        <f>IF(AND($A39&lt;&gt;"",X$3&gt;=$J39,X$3&lt;=$M39),1,"")</f>
        <v/>
      </c>
      <c r="Y39">
        <f>IF(AND($A39&lt;&gt;"",Y$3&gt;=$J39,Y$3&lt;=$M39),1,"")</f>
        <v/>
      </c>
      <c r="Z39">
        <f>IF(AND($A39&lt;&gt;"",Z$3&gt;=$J39,Z$3&lt;=$M39),1,"")</f>
        <v/>
      </c>
      <c r="AA39">
        <f>IF(AND($A39&lt;&gt;"",AA$3&gt;=$J39,AA$3&lt;=$M39),1,"")</f>
        <v/>
      </c>
      <c r="AB39">
        <f>IF(AND($A39&lt;&gt;"",AB$3&gt;=$J39,AB$3&lt;=$M39),1,"")</f>
        <v/>
      </c>
      <c r="AC39">
        <f>IF(AND($A39&lt;&gt;"",AC$3&gt;=$J39,AC$3&lt;=$M39),1,"")</f>
        <v/>
      </c>
      <c r="AD39">
        <f>IF(AND($A39&lt;&gt;"",AD$3&gt;=$J39,AD$3&lt;=$M39),1,"")</f>
        <v/>
      </c>
      <c r="AE39">
        <f>IF(AND($A39&lt;&gt;"",AE$3&gt;=$J39,AE$3&lt;=$M39),1,"")</f>
        <v/>
      </c>
      <c r="AF39">
        <f>IF(AND($A39&lt;&gt;"",AF$3&gt;=$J39,AF$3&lt;=$M39),1,"")</f>
        <v/>
      </c>
      <c r="AG39">
        <f>IF(AND($A39&lt;&gt;"",AG$3&gt;=$J39,AG$3&lt;=$M39),1,"")</f>
        <v/>
      </c>
      <c r="AH39">
        <f>IF(AND($A39&lt;&gt;"",AH$3&gt;=$J39,AH$3&lt;=$M39),1,"")</f>
        <v/>
      </c>
      <c r="AI39">
        <f>IF(AND($A39&lt;&gt;"",AI$3&gt;=$J39,AI$3&lt;=$M39),1,"")</f>
        <v/>
      </c>
      <c r="AJ39">
        <f>IF(AND($A39&lt;&gt;"",AJ$3&gt;=$J39,AJ$3&lt;=$M39),1,"")</f>
        <v/>
      </c>
      <c r="AK39">
        <f>IF(AND($A39&lt;&gt;"",AK$3&gt;=$J39,AK$3&lt;=$M39),1,"")</f>
        <v/>
      </c>
      <c r="AL39">
        <f>IF(AND($A39&lt;&gt;"",AL$3&gt;=$J39,AL$3&lt;=$M39),1,"")</f>
        <v/>
      </c>
      <c r="AM39">
        <f>IF(AND($A39&lt;&gt;"",AM$3&gt;=$J39,AM$3&lt;=$M39),1,"")</f>
        <v/>
      </c>
      <c r="AN39">
        <f>IF(AND($A39&lt;&gt;"",AN$3&gt;=$J39,AN$3&lt;=$M39),1,"")</f>
        <v/>
      </c>
      <c r="AO39">
        <f>IF(AND($A39&lt;&gt;"",AO$3&gt;=$J39,AO$3&lt;=$M39),1,"")</f>
        <v/>
      </c>
      <c r="AP39">
        <f>IF(AND($A39&lt;&gt;"",AP$3&gt;=$J39,AP$3&lt;=$M39),1,"")</f>
        <v/>
      </c>
      <c r="AQ39">
        <f>IF(AND($A39&lt;&gt;"",AQ$3&gt;=$J39,AQ$3&lt;=$M39),1,"")</f>
        <v/>
      </c>
      <c r="AR39">
        <f>IF(AND($A39&lt;&gt;"",AR$3&gt;=$J39,AR$3&lt;=$M39),1,"")</f>
        <v/>
      </c>
      <c r="AS39">
        <f>IF(AND($A39&lt;&gt;"",AS$3&gt;=$J39,AS$3&lt;=$M39),1,"")</f>
        <v/>
      </c>
      <c r="AT39">
        <f>IF(AND($A39&lt;&gt;"",AT$3&gt;=$J39,AT$3&lt;=$M39),1,"")</f>
        <v/>
      </c>
      <c r="AU39">
        <f>IF(AND($A39&lt;&gt;"",AU$3&gt;=$J39,AU$3&lt;=$M39),1,"")</f>
        <v/>
      </c>
      <c r="AV39">
        <f>IF(AND($A39&lt;&gt;"",AV$3&gt;=$J39,AV$3&lt;=$M39),1,"")</f>
        <v/>
      </c>
      <c r="AW39">
        <f>IF(AND($A39&lt;&gt;"",AW$3&gt;=$J39,AW$3&lt;=$M39),1,"")</f>
        <v/>
      </c>
      <c r="AX39">
        <f>IF(AND($A39&lt;&gt;"",AX$3&gt;=$J39,AX$3&lt;=$M39),1,"")</f>
        <v/>
      </c>
      <c r="AY39">
        <f>IF(AND($A39&lt;&gt;"",AY$3&gt;=$J39,AY$3&lt;=$M39),1,"")</f>
        <v/>
      </c>
      <c r="AZ39">
        <f>IF(AND($A39&lt;&gt;"",AZ$3&gt;=$J39,AZ$3&lt;=$M39),1,"")</f>
        <v/>
      </c>
      <c r="BA39">
        <f>IF(AND($A39&lt;&gt;"",BA$3&gt;=$J39,BA$3&lt;=$M39),1,"")</f>
        <v/>
      </c>
      <c r="BB39">
        <f>IF(AND($A39&lt;&gt;"",BB$3&gt;=$J39,BB$3&lt;=$M39),1,"")</f>
        <v/>
      </c>
      <c r="BC39">
        <f>IF(AND($A39&lt;&gt;"",BC$3&gt;=$J39,BC$3&lt;=$M39),1,"")</f>
        <v/>
      </c>
      <c r="BD39">
        <f>IF(AND($A39&lt;&gt;"",BD$3&gt;=$J39,BD$3&lt;=$M39),1,"")</f>
        <v/>
      </c>
      <c r="BE39">
        <f>IF(AND($A39&lt;&gt;"",BE$3&gt;=$J39,BE$3&lt;=$M39),1,"")</f>
        <v/>
      </c>
      <c r="BF39">
        <f>IF(AND($A39&lt;&gt;"",BF$3&gt;=$J39,BF$3&lt;=$M39),1,"")</f>
        <v/>
      </c>
      <c r="BG39">
        <f>IF(AND($A39&lt;&gt;"",BG$3&gt;=$J39,BG$3&lt;=$M39),1,"")</f>
        <v/>
      </c>
      <c r="BH39">
        <f>IF(AND($A39&lt;&gt;"",BH$3&gt;=$J39,BH$3&lt;=$M39),1,"")</f>
        <v/>
      </c>
      <c r="BI39">
        <f>IF(AND($A39&lt;&gt;"",BI$3&gt;=$J39,BI$3&lt;=$M39),1,"")</f>
        <v/>
      </c>
      <c r="BJ39">
        <f>IF(AND($A39&lt;&gt;"",BJ$3&gt;=$J39,BJ$3&lt;=$M39),1,"")</f>
        <v/>
      </c>
      <c r="BK39">
        <f>IF(AND($A39&lt;&gt;"",BK$3&gt;=$J39,BK$3&lt;=$M39),1,"")</f>
        <v/>
      </c>
      <c r="BL39">
        <f>IF(AND($A39&lt;&gt;"",BL$3&gt;=$J39,BL$3&lt;=$M39),1,"")</f>
        <v/>
      </c>
      <c r="BM39">
        <f>IF(AND($A39&lt;&gt;"",BM$3&gt;=$J39,BM$3&lt;=$M39),1,"")</f>
        <v/>
      </c>
      <c r="BN39">
        <f>IF(AND($A39&lt;&gt;"",BN$3&gt;=$J39,BN$3&lt;=$M39),1,"")</f>
        <v/>
      </c>
      <c r="BO39">
        <f>IF(AND($A39&lt;&gt;"",BO$3&gt;=$J39,BO$3&lt;=$M39),1,"")</f>
        <v/>
      </c>
      <c r="BP39">
        <f>IF(AND($A39&lt;&gt;"",BP$3&gt;=$J39,BP$3&lt;=$M39),1,"")</f>
        <v/>
      </c>
      <c r="BQ39">
        <f>IF(AND($A39&lt;&gt;"",BQ$3&gt;=$J39,BQ$3&lt;=$M39),1,"")</f>
        <v/>
      </c>
      <c r="BR39">
        <f>IF(AND($A39&lt;&gt;"",BR$3&gt;=$J39,BR$3&lt;=$M39),1,"")</f>
        <v/>
      </c>
      <c r="BS39">
        <f>IF(AND($A39&lt;&gt;"",BS$3&gt;=$J39,BS$3&lt;=$M39),1,"")</f>
        <v/>
      </c>
      <c r="BT39">
        <f>IF(AND($A39&lt;&gt;"",BT$3&gt;=$J39,BT$3&lt;=$M39),1,"")</f>
        <v/>
      </c>
      <c r="BU39">
        <f>IF(AND($A39&lt;&gt;"",BU$3&gt;=$J39,BU$3&lt;=$M39),1,"")</f>
        <v/>
      </c>
      <c r="BV39">
        <f>IF(AND($A39&lt;&gt;"",BV$3&gt;=$J39,BV$3&lt;=$M39),1,"")</f>
        <v/>
      </c>
    </row>
    <row r="40">
      <c r="A40">
        <f>IF(Job_Master_Ring!$A40="","",Job_Master_Ring!$A40)</f>
        <v/>
      </c>
      <c r="B40">
        <f>IF($A40="","",Job_Master_Ring!B40)</f>
        <v/>
      </c>
      <c r="C40">
        <f>IF($A40="","",Job_Master_Ring!C40)</f>
        <v/>
      </c>
      <c r="D40">
        <f>IF($A40="","",Job_Master_Ring!D40)</f>
        <v/>
      </c>
      <c r="E40">
        <f>IF($A40="","",IF($I40&lt;&gt;"",$I40,IFERROR(INDEX(Machine_List!$B$82:$B$86,MATCH(1,(Machine_List!$H$82:$H$86&lt;=IFERROR(VLOOKUP($B40,CHOOSE(MATCH($C40,Settings!$L$4:$L$10,0),OPR_BR1!$A$4:$K$18,OPR_BR2!$A$4:$K$18,OPR_CR2!$A$4:$K$18,OPR_CR3!$A$4:$K$18,OPR_CR4!$A$4:$K$18,OPR_RIM!$A$4:$K$18,OPR_BPR!$A$4:$K$18),10,0),0))*(Machine_List!$I$82:$I$86&gt;=IFERROR(VLOOKUP($B40,CHOOSE(MATCH($C40,Settings!$L$4:$L$10,0),OPR_BR1!$A$4:$K$18,OPR_BR2!$A$4:$K$18,OPR_CR2!$A$4:$K$18,OPR_CR3!$A$4:$K$18,OPR_CR4!$A$4:$K$18,OPR_RIM!$A$4:$K$18,OPR_BPR!$A$4:$K$18),11,0),9999)),0)),"NO COMPATIBLE MACHINE")))</f>
        <v/>
      </c>
      <c r="F40">
        <f>IF($E40="","",IFERROR(VLOOKUP($E40,Machine_List!$B:$G,6,0),""))</f>
        <v/>
      </c>
      <c r="G40" s="17">
        <f>IF($E40="","",IFERROR(VLOOKUP($E40,Machine_List!$B:$C,2,0),""))</f>
        <v/>
      </c>
      <c r="H40">
        <f>IF($E40="","",IFERROR(VLOOKUP($E40,Machine_List!$B:$D,3,0),""))</f>
        <v/>
      </c>
      <c r="J40" s="16">
        <f>IF($A40="","",IF($I40&lt;&gt;"",$I40,MAX(FID_Plan!$M40,IFERROR(LOOKUP(2,1/($E$3:INDIRECT("E"&amp;(ROW()-1))=$E40),$M$3:INDIRECT("M"&amp;(ROW()-1))),FID_Plan!$M40))))</f>
        <v/>
      </c>
      <c r="K40">
        <f>IF($A40="","",IFERROR(VLOOKUP(B40,CHOOSE(MATCH($C40,Settings!$L$4:$L$10,0),OPR_BR1!$A$4:$I$18,OPR_BR2!$A$4:$I$18,OPR_CR2!$A$4:$I$18,OPR_CR3!$A$4:$I$18,OPR_CR4!$A$4:$I$18,OPR_RIM!$A$4:$I$18,OPR_BPR!$A$4:$I$18),9,0),0))</f>
        <v/>
      </c>
      <c r="L40">
        <f>IF($A40="","",K40*D40)</f>
        <v/>
      </c>
      <c r="M40" s="16">
        <f>IF($A40=""," ",$J40+($L40/(IF(F40="Contract Workman",Settings!$K$5,Settings!$K$4))))</f>
        <v/>
      </c>
      <c r="N40">
        <f>IF($A40="","",IF(F40="Contract Workman",IF(AND(MOD(M40,1)&gt;=8/24,MOD(M40,1)&lt;20/24),"Shift S1","Shift S2"),IF(AND(MOD(M40,1)&gt;=7/24,MOD(M40,1)&lt;15/24),"Shift A",IF(AND(MOD(M40,1)&gt;=15/24,MOD(M40,1)&lt;23/24),"Shift B","Shift C"))))</f>
        <v/>
      </c>
      <c r="O40">
        <f>IF(B40="","",IF(IFERROR(ISNUMBER(SEARCH(TEXT(B40,"0"),VLOOKUP(E40,Machine_List!$B:$J,9,0))),FALSE),"✅ "&amp; E40,"❌ Sug: "&amp;IFERROR(INDEX(Machine_List!$B$82:$B$86,MATCH(1,(Machine_List!$H$82:$H$86&lt;=IFERROR(VLOOKUP($B40,OPR_BR1!$A$4:$K$18,10,0),0))*(Machine_List!$I$82:$I$86&gt;=IFERROR(VLOOKUP($B40,OPR_BR1!$A$4:$K$18,11,0),9999)),0)),"?")))</f>
        <v/>
      </c>
      <c r="P40">
        <f>IF(AND($A40&lt;&gt;"",P$3&gt;=$J40,P$3&lt;=$M40),1,"")</f>
        <v/>
      </c>
      <c r="Q40">
        <f>IF(AND($A40&lt;&gt;"",Q$3&gt;=$J40,Q$3&lt;=$M40),1,"")</f>
        <v/>
      </c>
      <c r="R40">
        <f>IF(AND($A40&lt;&gt;"",R$3&gt;=$J40,R$3&lt;=$M40),1,"")</f>
        <v/>
      </c>
      <c r="S40">
        <f>IF(AND($A40&lt;&gt;"",S$3&gt;=$J40,S$3&lt;=$M40),1,"")</f>
        <v/>
      </c>
      <c r="T40">
        <f>IF(AND($A40&lt;&gt;"",T$3&gt;=$J40,T$3&lt;=$M40),1,"")</f>
        <v/>
      </c>
      <c r="U40">
        <f>IF(AND($A40&lt;&gt;"",U$3&gt;=$J40,U$3&lt;=$M40),1,"")</f>
        <v/>
      </c>
      <c r="V40">
        <f>IF(AND($A40&lt;&gt;"",V$3&gt;=$J40,V$3&lt;=$M40),1,"")</f>
        <v/>
      </c>
      <c r="W40">
        <f>IF(AND($A40&lt;&gt;"",W$3&gt;=$J40,W$3&lt;=$M40),1,"")</f>
        <v/>
      </c>
      <c r="X40">
        <f>IF(AND($A40&lt;&gt;"",X$3&gt;=$J40,X$3&lt;=$M40),1,"")</f>
        <v/>
      </c>
      <c r="Y40">
        <f>IF(AND($A40&lt;&gt;"",Y$3&gt;=$J40,Y$3&lt;=$M40),1,"")</f>
        <v/>
      </c>
      <c r="Z40">
        <f>IF(AND($A40&lt;&gt;"",Z$3&gt;=$J40,Z$3&lt;=$M40),1,"")</f>
        <v/>
      </c>
      <c r="AA40">
        <f>IF(AND($A40&lt;&gt;"",AA$3&gt;=$J40,AA$3&lt;=$M40),1,"")</f>
        <v/>
      </c>
      <c r="AB40">
        <f>IF(AND($A40&lt;&gt;"",AB$3&gt;=$J40,AB$3&lt;=$M40),1,"")</f>
        <v/>
      </c>
      <c r="AC40">
        <f>IF(AND($A40&lt;&gt;"",AC$3&gt;=$J40,AC$3&lt;=$M40),1,"")</f>
        <v/>
      </c>
      <c r="AD40">
        <f>IF(AND($A40&lt;&gt;"",AD$3&gt;=$J40,AD$3&lt;=$M40),1,"")</f>
        <v/>
      </c>
      <c r="AE40">
        <f>IF(AND($A40&lt;&gt;"",AE$3&gt;=$J40,AE$3&lt;=$M40),1,"")</f>
        <v/>
      </c>
      <c r="AF40">
        <f>IF(AND($A40&lt;&gt;"",AF$3&gt;=$J40,AF$3&lt;=$M40),1,"")</f>
        <v/>
      </c>
      <c r="AG40">
        <f>IF(AND($A40&lt;&gt;"",AG$3&gt;=$J40,AG$3&lt;=$M40),1,"")</f>
        <v/>
      </c>
      <c r="AH40">
        <f>IF(AND($A40&lt;&gt;"",AH$3&gt;=$J40,AH$3&lt;=$M40),1,"")</f>
        <v/>
      </c>
      <c r="AI40">
        <f>IF(AND($A40&lt;&gt;"",AI$3&gt;=$J40,AI$3&lt;=$M40),1,"")</f>
        <v/>
      </c>
      <c r="AJ40">
        <f>IF(AND($A40&lt;&gt;"",AJ$3&gt;=$J40,AJ$3&lt;=$M40),1,"")</f>
        <v/>
      </c>
      <c r="AK40">
        <f>IF(AND($A40&lt;&gt;"",AK$3&gt;=$J40,AK$3&lt;=$M40),1,"")</f>
        <v/>
      </c>
      <c r="AL40">
        <f>IF(AND($A40&lt;&gt;"",AL$3&gt;=$J40,AL$3&lt;=$M40),1,"")</f>
        <v/>
      </c>
      <c r="AM40">
        <f>IF(AND($A40&lt;&gt;"",AM$3&gt;=$J40,AM$3&lt;=$M40),1,"")</f>
        <v/>
      </c>
      <c r="AN40">
        <f>IF(AND($A40&lt;&gt;"",AN$3&gt;=$J40,AN$3&lt;=$M40),1,"")</f>
        <v/>
      </c>
      <c r="AO40">
        <f>IF(AND($A40&lt;&gt;"",AO$3&gt;=$J40,AO$3&lt;=$M40),1,"")</f>
        <v/>
      </c>
      <c r="AP40">
        <f>IF(AND($A40&lt;&gt;"",AP$3&gt;=$J40,AP$3&lt;=$M40),1,"")</f>
        <v/>
      </c>
      <c r="AQ40">
        <f>IF(AND($A40&lt;&gt;"",AQ$3&gt;=$J40,AQ$3&lt;=$M40),1,"")</f>
        <v/>
      </c>
      <c r="AR40">
        <f>IF(AND($A40&lt;&gt;"",AR$3&gt;=$J40,AR$3&lt;=$M40),1,"")</f>
        <v/>
      </c>
      <c r="AS40">
        <f>IF(AND($A40&lt;&gt;"",AS$3&gt;=$J40,AS$3&lt;=$M40),1,"")</f>
        <v/>
      </c>
      <c r="AT40">
        <f>IF(AND($A40&lt;&gt;"",AT$3&gt;=$J40,AT$3&lt;=$M40),1,"")</f>
        <v/>
      </c>
      <c r="AU40">
        <f>IF(AND($A40&lt;&gt;"",AU$3&gt;=$J40,AU$3&lt;=$M40),1,"")</f>
        <v/>
      </c>
      <c r="AV40">
        <f>IF(AND($A40&lt;&gt;"",AV$3&gt;=$J40,AV$3&lt;=$M40),1,"")</f>
        <v/>
      </c>
      <c r="AW40">
        <f>IF(AND($A40&lt;&gt;"",AW$3&gt;=$J40,AW$3&lt;=$M40),1,"")</f>
        <v/>
      </c>
      <c r="AX40">
        <f>IF(AND($A40&lt;&gt;"",AX$3&gt;=$J40,AX$3&lt;=$M40),1,"")</f>
        <v/>
      </c>
      <c r="AY40">
        <f>IF(AND($A40&lt;&gt;"",AY$3&gt;=$J40,AY$3&lt;=$M40),1,"")</f>
        <v/>
      </c>
      <c r="AZ40">
        <f>IF(AND($A40&lt;&gt;"",AZ$3&gt;=$J40,AZ$3&lt;=$M40),1,"")</f>
        <v/>
      </c>
      <c r="BA40">
        <f>IF(AND($A40&lt;&gt;"",BA$3&gt;=$J40,BA$3&lt;=$M40),1,"")</f>
        <v/>
      </c>
      <c r="BB40">
        <f>IF(AND($A40&lt;&gt;"",BB$3&gt;=$J40,BB$3&lt;=$M40),1,"")</f>
        <v/>
      </c>
      <c r="BC40">
        <f>IF(AND($A40&lt;&gt;"",BC$3&gt;=$J40,BC$3&lt;=$M40),1,"")</f>
        <v/>
      </c>
      <c r="BD40">
        <f>IF(AND($A40&lt;&gt;"",BD$3&gt;=$J40,BD$3&lt;=$M40),1,"")</f>
        <v/>
      </c>
      <c r="BE40">
        <f>IF(AND($A40&lt;&gt;"",BE$3&gt;=$J40,BE$3&lt;=$M40),1,"")</f>
        <v/>
      </c>
      <c r="BF40">
        <f>IF(AND($A40&lt;&gt;"",BF$3&gt;=$J40,BF$3&lt;=$M40),1,"")</f>
        <v/>
      </c>
      <c r="BG40">
        <f>IF(AND($A40&lt;&gt;"",BG$3&gt;=$J40,BG$3&lt;=$M40),1,"")</f>
        <v/>
      </c>
      <c r="BH40">
        <f>IF(AND($A40&lt;&gt;"",BH$3&gt;=$J40,BH$3&lt;=$M40),1,"")</f>
        <v/>
      </c>
      <c r="BI40">
        <f>IF(AND($A40&lt;&gt;"",BI$3&gt;=$J40,BI$3&lt;=$M40),1,"")</f>
        <v/>
      </c>
      <c r="BJ40">
        <f>IF(AND($A40&lt;&gt;"",BJ$3&gt;=$J40,BJ$3&lt;=$M40),1,"")</f>
        <v/>
      </c>
      <c r="BK40">
        <f>IF(AND($A40&lt;&gt;"",BK$3&gt;=$J40,BK$3&lt;=$M40),1,"")</f>
        <v/>
      </c>
      <c r="BL40">
        <f>IF(AND($A40&lt;&gt;"",BL$3&gt;=$J40,BL$3&lt;=$M40),1,"")</f>
        <v/>
      </c>
      <c r="BM40">
        <f>IF(AND($A40&lt;&gt;"",BM$3&gt;=$J40,BM$3&lt;=$M40),1,"")</f>
        <v/>
      </c>
      <c r="BN40">
        <f>IF(AND($A40&lt;&gt;"",BN$3&gt;=$J40,BN$3&lt;=$M40),1,"")</f>
        <v/>
      </c>
      <c r="BO40">
        <f>IF(AND($A40&lt;&gt;"",BO$3&gt;=$J40,BO$3&lt;=$M40),1,"")</f>
        <v/>
      </c>
      <c r="BP40">
        <f>IF(AND($A40&lt;&gt;"",BP$3&gt;=$J40,BP$3&lt;=$M40),1,"")</f>
        <v/>
      </c>
      <c r="BQ40">
        <f>IF(AND($A40&lt;&gt;"",BQ$3&gt;=$J40,BQ$3&lt;=$M40),1,"")</f>
        <v/>
      </c>
      <c r="BR40">
        <f>IF(AND($A40&lt;&gt;"",BR$3&gt;=$J40,BR$3&lt;=$M40),1,"")</f>
        <v/>
      </c>
      <c r="BS40">
        <f>IF(AND($A40&lt;&gt;"",BS$3&gt;=$J40,BS$3&lt;=$M40),1,"")</f>
        <v/>
      </c>
      <c r="BT40">
        <f>IF(AND($A40&lt;&gt;"",BT$3&gt;=$J40,BT$3&lt;=$M40),1,"")</f>
        <v/>
      </c>
      <c r="BU40">
        <f>IF(AND($A40&lt;&gt;"",BU$3&gt;=$J40,BU$3&lt;=$M40),1,"")</f>
        <v/>
      </c>
      <c r="BV40">
        <f>IF(AND($A40&lt;&gt;"",BV$3&gt;=$J40,BV$3&lt;=$M40),1,"")</f>
        <v/>
      </c>
    </row>
    <row r="41">
      <c r="A41">
        <f>IF(Job_Master_Ring!$A41="","",Job_Master_Ring!$A41)</f>
        <v/>
      </c>
      <c r="B41">
        <f>IF($A41="","",Job_Master_Ring!B41)</f>
        <v/>
      </c>
      <c r="C41">
        <f>IF($A41="","",Job_Master_Ring!C41)</f>
        <v/>
      </c>
      <c r="D41">
        <f>IF($A41="","",Job_Master_Ring!D41)</f>
        <v/>
      </c>
      <c r="E41">
        <f>IF($A41="","",IF($I41&lt;&gt;"",$I41,IFERROR(INDEX(Machine_List!$B$82:$B$86,MATCH(1,(Machine_List!$H$82:$H$86&lt;=IFERROR(VLOOKUP($B41,CHOOSE(MATCH($C41,Settings!$L$4:$L$10,0),OPR_BR1!$A$4:$K$18,OPR_BR2!$A$4:$K$18,OPR_CR2!$A$4:$K$18,OPR_CR3!$A$4:$K$18,OPR_CR4!$A$4:$K$18,OPR_RIM!$A$4:$K$18,OPR_BPR!$A$4:$K$18),10,0),0))*(Machine_List!$I$82:$I$86&gt;=IFERROR(VLOOKUP($B41,CHOOSE(MATCH($C41,Settings!$L$4:$L$10,0),OPR_BR1!$A$4:$K$18,OPR_BR2!$A$4:$K$18,OPR_CR2!$A$4:$K$18,OPR_CR3!$A$4:$K$18,OPR_CR4!$A$4:$K$18,OPR_RIM!$A$4:$K$18,OPR_BPR!$A$4:$K$18),11,0),9999)),0)),"NO COMPATIBLE MACHINE")))</f>
        <v/>
      </c>
      <c r="F41">
        <f>IF($E41="","",IFERROR(VLOOKUP($E41,Machine_List!$B:$G,6,0),""))</f>
        <v/>
      </c>
      <c r="G41" s="17">
        <f>IF($E41="","",IFERROR(VLOOKUP($E41,Machine_List!$B:$C,2,0),""))</f>
        <v/>
      </c>
      <c r="H41">
        <f>IF($E41="","",IFERROR(VLOOKUP($E41,Machine_List!$B:$D,3,0),""))</f>
        <v/>
      </c>
      <c r="J41" s="16">
        <f>IF($A41="","",IF($I41&lt;&gt;"",$I41,MAX(FID_Plan!$M41,IFERROR(LOOKUP(2,1/($E$3:INDIRECT("E"&amp;(ROW()-1))=$E41),$M$3:INDIRECT("M"&amp;(ROW()-1))),FID_Plan!$M41))))</f>
        <v/>
      </c>
      <c r="K41">
        <f>IF($A41="","",IFERROR(VLOOKUP(B41,CHOOSE(MATCH($C41,Settings!$L$4:$L$10,0),OPR_BR1!$A$4:$I$18,OPR_BR2!$A$4:$I$18,OPR_CR2!$A$4:$I$18,OPR_CR3!$A$4:$I$18,OPR_CR4!$A$4:$I$18,OPR_RIM!$A$4:$I$18,OPR_BPR!$A$4:$I$18),9,0),0))</f>
        <v/>
      </c>
      <c r="L41">
        <f>IF($A41="","",K41*D41)</f>
        <v/>
      </c>
      <c r="M41" s="16">
        <f>IF($A41=""," ",$J41+($L41/(IF(F41="Contract Workman",Settings!$K$5,Settings!$K$4))))</f>
        <v/>
      </c>
      <c r="N41">
        <f>IF($A41="","",IF(F41="Contract Workman",IF(AND(MOD(M41,1)&gt;=8/24,MOD(M41,1)&lt;20/24),"Shift S1","Shift S2"),IF(AND(MOD(M41,1)&gt;=7/24,MOD(M41,1)&lt;15/24),"Shift A",IF(AND(MOD(M41,1)&gt;=15/24,MOD(M41,1)&lt;23/24),"Shift B","Shift C"))))</f>
        <v/>
      </c>
      <c r="O41">
        <f>IF(B41="","",IF(IFERROR(ISNUMBER(SEARCH(TEXT(B41,"0"),VLOOKUP(E41,Machine_List!$B:$J,9,0))),FALSE),"✅ "&amp; E41,"❌ Sug: "&amp;IFERROR(INDEX(Machine_List!$B$82:$B$86,MATCH(1,(Machine_List!$H$82:$H$86&lt;=IFERROR(VLOOKUP($B41,OPR_BR1!$A$4:$K$18,10,0),0))*(Machine_List!$I$82:$I$86&gt;=IFERROR(VLOOKUP($B41,OPR_BR1!$A$4:$K$18,11,0),9999)),0)),"?")))</f>
        <v/>
      </c>
      <c r="P41">
        <f>IF(AND($A41&lt;&gt;"",P$3&gt;=$J41,P$3&lt;=$M41),1,"")</f>
        <v/>
      </c>
      <c r="Q41">
        <f>IF(AND($A41&lt;&gt;"",Q$3&gt;=$J41,Q$3&lt;=$M41),1,"")</f>
        <v/>
      </c>
      <c r="R41">
        <f>IF(AND($A41&lt;&gt;"",R$3&gt;=$J41,R$3&lt;=$M41),1,"")</f>
        <v/>
      </c>
      <c r="S41">
        <f>IF(AND($A41&lt;&gt;"",S$3&gt;=$J41,S$3&lt;=$M41),1,"")</f>
        <v/>
      </c>
      <c r="T41">
        <f>IF(AND($A41&lt;&gt;"",T$3&gt;=$J41,T$3&lt;=$M41),1,"")</f>
        <v/>
      </c>
      <c r="U41">
        <f>IF(AND($A41&lt;&gt;"",U$3&gt;=$J41,U$3&lt;=$M41),1,"")</f>
        <v/>
      </c>
      <c r="V41">
        <f>IF(AND($A41&lt;&gt;"",V$3&gt;=$J41,V$3&lt;=$M41),1,"")</f>
        <v/>
      </c>
      <c r="W41">
        <f>IF(AND($A41&lt;&gt;"",W$3&gt;=$J41,W$3&lt;=$M41),1,"")</f>
        <v/>
      </c>
      <c r="X41">
        <f>IF(AND($A41&lt;&gt;"",X$3&gt;=$J41,X$3&lt;=$M41),1,"")</f>
        <v/>
      </c>
      <c r="Y41">
        <f>IF(AND($A41&lt;&gt;"",Y$3&gt;=$J41,Y$3&lt;=$M41),1,"")</f>
        <v/>
      </c>
      <c r="Z41">
        <f>IF(AND($A41&lt;&gt;"",Z$3&gt;=$J41,Z$3&lt;=$M41),1,"")</f>
        <v/>
      </c>
      <c r="AA41">
        <f>IF(AND($A41&lt;&gt;"",AA$3&gt;=$J41,AA$3&lt;=$M41),1,"")</f>
        <v/>
      </c>
      <c r="AB41">
        <f>IF(AND($A41&lt;&gt;"",AB$3&gt;=$J41,AB$3&lt;=$M41),1,"")</f>
        <v/>
      </c>
      <c r="AC41">
        <f>IF(AND($A41&lt;&gt;"",AC$3&gt;=$J41,AC$3&lt;=$M41),1,"")</f>
        <v/>
      </c>
      <c r="AD41">
        <f>IF(AND($A41&lt;&gt;"",AD$3&gt;=$J41,AD$3&lt;=$M41),1,"")</f>
        <v/>
      </c>
      <c r="AE41">
        <f>IF(AND($A41&lt;&gt;"",AE$3&gt;=$J41,AE$3&lt;=$M41),1,"")</f>
        <v/>
      </c>
      <c r="AF41">
        <f>IF(AND($A41&lt;&gt;"",AF$3&gt;=$J41,AF$3&lt;=$M41),1,"")</f>
        <v/>
      </c>
      <c r="AG41">
        <f>IF(AND($A41&lt;&gt;"",AG$3&gt;=$J41,AG$3&lt;=$M41),1,"")</f>
        <v/>
      </c>
      <c r="AH41">
        <f>IF(AND($A41&lt;&gt;"",AH$3&gt;=$J41,AH$3&lt;=$M41),1,"")</f>
        <v/>
      </c>
      <c r="AI41">
        <f>IF(AND($A41&lt;&gt;"",AI$3&gt;=$J41,AI$3&lt;=$M41),1,"")</f>
        <v/>
      </c>
      <c r="AJ41">
        <f>IF(AND($A41&lt;&gt;"",AJ$3&gt;=$J41,AJ$3&lt;=$M41),1,"")</f>
        <v/>
      </c>
      <c r="AK41">
        <f>IF(AND($A41&lt;&gt;"",AK$3&gt;=$J41,AK$3&lt;=$M41),1,"")</f>
        <v/>
      </c>
      <c r="AL41">
        <f>IF(AND($A41&lt;&gt;"",AL$3&gt;=$J41,AL$3&lt;=$M41),1,"")</f>
        <v/>
      </c>
      <c r="AM41">
        <f>IF(AND($A41&lt;&gt;"",AM$3&gt;=$J41,AM$3&lt;=$M41),1,"")</f>
        <v/>
      </c>
      <c r="AN41">
        <f>IF(AND($A41&lt;&gt;"",AN$3&gt;=$J41,AN$3&lt;=$M41),1,"")</f>
        <v/>
      </c>
      <c r="AO41">
        <f>IF(AND($A41&lt;&gt;"",AO$3&gt;=$J41,AO$3&lt;=$M41),1,"")</f>
        <v/>
      </c>
      <c r="AP41">
        <f>IF(AND($A41&lt;&gt;"",AP$3&gt;=$J41,AP$3&lt;=$M41),1,"")</f>
        <v/>
      </c>
      <c r="AQ41">
        <f>IF(AND($A41&lt;&gt;"",AQ$3&gt;=$J41,AQ$3&lt;=$M41),1,"")</f>
        <v/>
      </c>
      <c r="AR41">
        <f>IF(AND($A41&lt;&gt;"",AR$3&gt;=$J41,AR$3&lt;=$M41),1,"")</f>
        <v/>
      </c>
      <c r="AS41">
        <f>IF(AND($A41&lt;&gt;"",AS$3&gt;=$J41,AS$3&lt;=$M41),1,"")</f>
        <v/>
      </c>
      <c r="AT41">
        <f>IF(AND($A41&lt;&gt;"",AT$3&gt;=$J41,AT$3&lt;=$M41),1,"")</f>
        <v/>
      </c>
      <c r="AU41">
        <f>IF(AND($A41&lt;&gt;"",AU$3&gt;=$J41,AU$3&lt;=$M41),1,"")</f>
        <v/>
      </c>
      <c r="AV41">
        <f>IF(AND($A41&lt;&gt;"",AV$3&gt;=$J41,AV$3&lt;=$M41),1,"")</f>
        <v/>
      </c>
      <c r="AW41">
        <f>IF(AND($A41&lt;&gt;"",AW$3&gt;=$J41,AW$3&lt;=$M41),1,"")</f>
        <v/>
      </c>
      <c r="AX41">
        <f>IF(AND($A41&lt;&gt;"",AX$3&gt;=$J41,AX$3&lt;=$M41),1,"")</f>
        <v/>
      </c>
      <c r="AY41">
        <f>IF(AND($A41&lt;&gt;"",AY$3&gt;=$J41,AY$3&lt;=$M41),1,"")</f>
        <v/>
      </c>
      <c r="AZ41">
        <f>IF(AND($A41&lt;&gt;"",AZ$3&gt;=$J41,AZ$3&lt;=$M41),1,"")</f>
        <v/>
      </c>
      <c r="BA41">
        <f>IF(AND($A41&lt;&gt;"",BA$3&gt;=$J41,BA$3&lt;=$M41),1,"")</f>
        <v/>
      </c>
      <c r="BB41">
        <f>IF(AND($A41&lt;&gt;"",BB$3&gt;=$J41,BB$3&lt;=$M41),1,"")</f>
        <v/>
      </c>
      <c r="BC41">
        <f>IF(AND($A41&lt;&gt;"",BC$3&gt;=$J41,BC$3&lt;=$M41),1,"")</f>
        <v/>
      </c>
      <c r="BD41">
        <f>IF(AND($A41&lt;&gt;"",BD$3&gt;=$J41,BD$3&lt;=$M41),1,"")</f>
        <v/>
      </c>
      <c r="BE41">
        <f>IF(AND($A41&lt;&gt;"",BE$3&gt;=$J41,BE$3&lt;=$M41),1,"")</f>
        <v/>
      </c>
      <c r="BF41">
        <f>IF(AND($A41&lt;&gt;"",BF$3&gt;=$J41,BF$3&lt;=$M41),1,"")</f>
        <v/>
      </c>
      <c r="BG41">
        <f>IF(AND($A41&lt;&gt;"",BG$3&gt;=$J41,BG$3&lt;=$M41),1,"")</f>
        <v/>
      </c>
      <c r="BH41">
        <f>IF(AND($A41&lt;&gt;"",BH$3&gt;=$J41,BH$3&lt;=$M41),1,"")</f>
        <v/>
      </c>
      <c r="BI41">
        <f>IF(AND($A41&lt;&gt;"",BI$3&gt;=$J41,BI$3&lt;=$M41),1,"")</f>
        <v/>
      </c>
      <c r="BJ41">
        <f>IF(AND($A41&lt;&gt;"",BJ$3&gt;=$J41,BJ$3&lt;=$M41),1,"")</f>
        <v/>
      </c>
      <c r="BK41">
        <f>IF(AND($A41&lt;&gt;"",BK$3&gt;=$J41,BK$3&lt;=$M41),1,"")</f>
        <v/>
      </c>
      <c r="BL41">
        <f>IF(AND($A41&lt;&gt;"",BL$3&gt;=$J41,BL$3&lt;=$M41),1,"")</f>
        <v/>
      </c>
      <c r="BM41">
        <f>IF(AND($A41&lt;&gt;"",BM$3&gt;=$J41,BM$3&lt;=$M41),1,"")</f>
        <v/>
      </c>
      <c r="BN41">
        <f>IF(AND($A41&lt;&gt;"",BN$3&gt;=$J41,BN$3&lt;=$M41),1,"")</f>
        <v/>
      </c>
      <c r="BO41">
        <f>IF(AND($A41&lt;&gt;"",BO$3&gt;=$J41,BO$3&lt;=$M41),1,"")</f>
        <v/>
      </c>
      <c r="BP41">
        <f>IF(AND($A41&lt;&gt;"",BP$3&gt;=$J41,BP$3&lt;=$M41),1,"")</f>
        <v/>
      </c>
      <c r="BQ41">
        <f>IF(AND($A41&lt;&gt;"",BQ$3&gt;=$J41,BQ$3&lt;=$M41),1,"")</f>
        <v/>
      </c>
      <c r="BR41">
        <f>IF(AND($A41&lt;&gt;"",BR$3&gt;=$J41,BR$3&lt;=$M41),1,"")</f>
        <v/>
      </c>
      <c r="BS41">
        <f>IF(AND($A41&lt;&gt;"",BS$3&gt;=$J41,BS$3&lt;=$M41),1,"")</f>
        <v/>
      </c>
      <c r="BT41">
        <f>IF(AND($A41&lt;&gt;"",BT$3&gt;=$J41,BT$3&lt;=$M41),1,"")</f>
        <v/>
      </c>
      <c r="BU41">
        <f>IF(AND($A41&lt;&gt;"",BU$3&gt;=$J41,BU$3&lt;=$M41),1,"")</f>
        <v/>
      </c>
      <c r="BV41">
        <f>IF(AND($A41&lt;&gt;"",BV$3&gt;=$J41,BV$3&lt;=$M41),1,"")</f>
        <v/>
      </c>
    </row>
    <row r="42">
      <c r="A42">
        <f>IF(Job_Master_Ring!$A42="","",Job_Master_Ring!$A42)</f>
        <v/>
      </c>
      <c r="B42">
        <f>IF($A42="","",Job_Master_Ring!B42)</f>
        <v/>
      </c>
      <c r="C42">
        <f>IF($A42="","",Job_Master_Ring!C42)</f>
        <v/>
      </c>
      <c r="D42">
        <f>IF($A42="","",Job_Master_Ring!D42)</f>
        <v/>
      </c>
      <c r="E42">
        <f>IF($A42="","",IF($I42&lt;&gt;"",$I42,IFERROR(INDEX(Machine_List!$B$82:$B$86,MATCH(1,(Machine_List!$H$82:$H$86&lt;=IFERROR(VLOOKUP($B42,CHOOSE(MATCH($C42,Settings!$L$4:$L$10,0),OPR_BR1!$A$4:$K$18,OPR_BR2!$A$4:$K$18,OPR_CR2!$A$4:$K$18,OPR_CR3!$A$4:$K$18,OPR_CR4!$A$4:$K$18,OPR_RIM!$A$4:$K$18,OPR_BPR!$A$4:$K$18),10,0),0))*(Machine_List!$I$82:$I$86&gt;=IFERROR(VLOOKUP($B42,CHOOSE(MATCH($C42,Settings!$L$4:$L$10,0),OPR_BR1!$A$4:$K$18,OPR_BR2!$A$4:$K$18,OPR_CR2!$A$4:$K$18,OPR_CR3!$A$4:$K$18,OPR_CR4!$A$4:$K$18,OPR_RIM!$A$4:$K$18,OPR_BPR!$A$4:$K$18),11,0),9999)),0)),"NO COMPATIBLE MACHINE")))</f>
        <v/>
      </c>
      <c r="F42">
        <f>IF($E42="","",IFERROR(VLOOKUP($E42,Machine_List!$B:$G,6,0),""))</f>
        <v/>
      </c>
      <c r="G42" s="17">
        <f>IF($E42="","",IFERROR(VLOOKUP($E42,Machine_List!$B:$C,2,0),""))</f>
        <v/>
      </c>
      <c r="H42">
        <f>IF($E42="","",IFERROR(VLOOKUP($E42,Machine_List!$B:$D,3,0),""))</f>
        <v/>
      </c>
      <c r="J42" s="16">
        <f>IF($A42="","",IF($I42&lt;&gt;"",$I42,MAX(FID_Plan!$M42,IFERROR(LOOKUP(2,1/($E$3:INDIRECT("E"&amp;(ROW()-1))=$E42),$M$3:INDIRECT("M"&amp;(ROW()-1))),FID_Plan!$M42))))</f>
        <v/>
      </c>
      <c r="K42">
        <f>IF($A42="","",IFERROR(VLOOKUP(B42,CHOOSE(MATCH($C42,Settings!$L$4:$L$10,0),OPR_BR1!$A$4:$I$18,OPR_BR2!$A$4:$I$18,OPR_CR2!$A$4:$I$18,OPR_CR3!$A$4:$I$18,OPR_CR4!$A$4:$I$18,OPR_RIM!$A$4:$I$18,OPR_BPR!$A$4:$I$18),9,0),0))</f>
        <v/>
      </c>
      <c r="L42">
        <f>IF($A42="","",K42*D42)</f>
        <v/>
      </c>
      <c r="M42" s="16">
        <f>IF($A42=""," ",$J42+($L42/(IF(F42="Contract Workman",Settings!$K$5,Settings!$K$4))))</f>
        <v/>
      </c>
      <c r="N42">
        <f>IF($A42="","",IF(F42="Contract Workman",IF(AND(MOD(M42,1)&gt;=8/24,MOD(M42,1)&lt;20/24),"Shift S1","Shift S2"),IF(AND(MOD(M42,1)&gt;=7/24,MOD(M42,1)&lt;15/24),"Shift A",IF(AND(MOD(M42,1)&gt;=15/24,MOD(M42,1)&lt;23/24),"Shift B","Shift C"))))</f>
        <v/>
      </c>
      <c r="O42">
        <f>IF(B42="","",IF(IFERROR(ISNUMBER(SEARCH(TEXT(B42,"0"),VLOOKUP(E42,Machine_List!$B:$J,9,0))),FALSE),"✅ "&amp; E42,"❌ Sug: "&amp;IFERROR(INDEX(Machine_List!$B$82:$B$86,MATCH(1,(Machine_List!$H$82:$H$86&lt;=IFERROR(VLOOKUP($B42,OPR_BR1!$A$4:$K$18,10,0),0))*(Machine_List!$I$82:$I$86&gt;=IFERROR(VLOOKUP($B42,OPR_BR1!$A$4:$K$18,11,0),9999)),0)),"?")))</f>
        <v/>
      </c>
      <c r="P42">
        <f>IF(AND($A42&lt;&gt;"",P$3&gt;=$J42,P$3&lt;=$M42),1,"")</f>
        <v/>
      </c>
      <c r="Q42">
        <f>IF(AND($A42&lt;&gt;"",Q$3&gt;=$J42,Q$3&lt;=$M42),1,"")</f>
        <v/>
      </c>
      <c r="R42">
        <f>IF(AND($A42&lt;&gt;"",R$3&gt;=$J42,R$3&lt;=$M42),1,"")</f>
        <v/>
      </c>
      <c r="S42">
        <f>IF(AND($A42&lt;&gt;"",S$3&gt;=$J42,S$3&lt;=$M42),1,"")</f>
        <v/>
      </c>
      <c r="T42">
        <f>IF(AND($A42&lt;&gt;"",T$3&gt;=$J42,T$3&lt;=$M42),1,"")</f>
        <v/>
      </c>
      <c r="U42">
        <f>IF(AND($A42&lt;&gt;"",U$3&gt;=$J42,U$3&lt;=$M42),1,"")</f>
        <v/>
      </c>
      <c r="V42">
        <f>IF(AND($A42&lt;&gt;"",V$3&gt;=$J42,V$3&lt;=$M42),1,"")</f>
        <v/>
      </c>
      <c r="W42">
        <f>IF(AND($A42&lt;&gt;"",W$3&gt;=$J42,W$3&lt;=$M42),1,"")</f>
        <v/>
      </c>
      <c r="X42">
        <f>IF(AND($A42&lt;&gt;"",X$3&gt;=$J42,X$3&lt;=$M42),1,"")</f>
        <v/>
      </c>
      <c r="Y42">
        <f>IF(AND($A42&lt;&gt;"",Y$3&gt;=$J42,Y$3&lt;=$M42),1,"")</f>
        <v/>
      </c>
      <c r="Z42">
        <f>IF(AND($A42&lt;&gt;"",Z$3&gt;=$J42,Z$3&lt;=$M42),1,"")</f>
        <v/>
      </c>
      <c r="AA42">
        <f>IF(AND($A42&lt;&gt;"",AA$3&gt;=$J42,AA$3&lt;=$M42),1,"")</f>
        <v/>
      </c>
      <c r="AB42">
        <f>IF(AND($A42&lt;&gt;"",AB$3&gt;=$J42,AB$3&lt;=$M42),1,"")</f>
        <v/>
      </c>
      <c r="AC42">
        <f>IF(AND($A42&lt;&gt;"",AC$3&gt;=$J42,AC$3&lt;=$M42),1,"")</f>
        <v/>
      </c>
      <c r="AD42">
        <f>IF(AND($A42&lt;&gt;"",AD$3&gt;=$J42,AD$3&lt;=$M42),1,"")</f>
        <v/>
      </c>
      <c r="AE42">
        <f>IF(AND($A42&lt;&gt;"",AE$3&gt;=$J42,AE$3&lt;=$M42),1,"")</f>
        <v/>
      </c>
      <c r="AF42">
        <f>IF(AND($A42&lt;&gt;"",AF$3&gt;=$J42,AF$3&lt;=$M42),1,"")</f>
        <v/>
      </c>
      <c r="AG42">
        <f>IF(AND($A42&lt;&gt;"",AG$3&gt;=$J42,AG$3&lt;=$M42),1,"")</f>
        <v/>
      </c>
      <c r="AH42">
        <f>IF(AND($A42&lt;&gt;"",AH$3&gt;=$J42,AH$3&lt;=$M42),1,"")</f>
        <v/>
      </c>
      <c r="AI42">
        <f>IF(AND($A42&lt;&gt;"",AI$3&gt;=$J42,AI$3&lt;=$M42),1,"")</f>
        <v/>
      </c>
      <c r="AJ42">
        <f>IF(AND($A42&lt;&gt;"",AJ$3&gt;=$J42,AJ$3&lt;=$M42),1,"")</f>
        <v/>
      </c>
      <c r="AK42">
        <f>IF(AND($A42&lt;&gt;"",AK$3&gt;=$J42,AK$3&lt;=$M42),1,"")</f>
        <v/>
      </c>
      <c r="AL42">
        <f>IF(AND($A42&lt;&gt;"",AL$3&gt;=$J42,AL$3&lt;=$M42),1,"")</f>
        <v/>
      </c>
      <c r="AM42">
        <f>IF(AND($A42&lt;&gt;"",AM$3&gt;=$J42,AM$3&lt;=$M42),1,"")</f>
        <v/>
      </c>
      <c r="AN42">
        <f>IF(AND($A42&lt;&gt;"",AN$3&gt;=$J42,AN$3&lt;=$M42),1,"")</f>
        <v/>
      </c>
      <c r="AO42">
        <f>IF(AND($A42&lt;&gt;"",AO$3&gt;=$J42,AO$3&lt;=$M42),1,"")</f>
        <v/>
      </c>
      <c r="AP42">
        <f>IF(AND($A42&lt;&gt;"",AP$3&gt;=$J42,AP$3&lt;=$M42),1,"")</f>
        <v/>
      </c>
      <c r="AQ42">
        <f>IF(AND($A42&lt;&gt;"",AQ$3&gt;=$J42,AQ$3&lt;=$M42),1,"")</f>
        <v/>
      </c>
      <c r="AR42">
        <f>IF(AND($A42&lt;&gt;"",AR$3&gt;=$J42,AR$3&lt;=$M42),1,"")</f>
        <v/>
      </c>
      <c r="AS42">
        <f>IF(AND($A42&lt;&gt;"",AS$3&gt;=$J42,AS$3&lt;=$M42),1,"")</f>
        <v/>
      </c>
      <c r="AT42">
        <f>IF(AND($A42&lt;&gt;"",AT$3&gt;=$J42,AT$3&lt;=$M42),1,"")</f>
        <v/>
      </c>
      <c r="AU42">
        <f>IF(AND($A42&lt;&gt;"",AU$3&gt;=$J42,AU$3&lt;=$M42),1,"")</f>
        <v/>
      </c>
      <c r="AV42">
        <f>IF(AND($A42&lt;&gt;"",AV$3&gt;=$J42,AV$3&lt;=$M42),1,"")</f>
        <v/>
      </c>
      <c r="AW42">
        <f>IF(AND($A42&lt;&gt;"",AW$3&gt;=$J42,AW$3&lt;=$M42),1,"")</f>
        <v/>
      </c>
      <c r="AX42">
        <f>IF(AND($A42&lt;&gt;"",AX$3&gt;=$J42,AX$3&lt;=$M42),1,"")</f>
        <v/>
      </c>
      <c r="AY42">
        <f>IF(AND($A42&lt;&gt;"",AY$3&gt;=$J42,AY$3&lt;=$M42),1,"")</f>
        <v/>
      </c>
      <c r="AZ42">
        <f>IF(AND($A42&lt;&gt;"",AZ$3&gt;=$J42,AZ$3&lt;=$M42),1,"")</f>
        <v/>
      </c>
      <c r="BA42">
        <f>IF(AND($A42&lt;&gt;"",BA$3&gt;=$J42,BA$3&lt;=$M42),1,"")</f>
        <v/>
      </c>
      <c r="BB42">
        <f>IF(AND($A42&lt;&gt;"",BB$3&gt;=$J42,BB$3&lt;=$M42),1,"")</f>
        <v/>
      </c>
      <c r="BC42">
        <f>IF(AND($A42&lt;&gt;"",BC$3&gt;=$J42,BC$3&lt;=$M42),1,"")</f>
        <v/>
      </c>
      <c r="BD42">
        <f>IF(AND($A42&lt;&gt;"",BD$3&gt;=$J42,BD$3&lt;=$M42),1,"")</f>
        <v/>
      </c>
      <c r="BE42">
        <f>IF(AND($A42&lt;&gt;"",BE$3&gt;=$J42,BE$3&lt;=$M42),1,"")</f>
        <v/>
      </c>
      <c r="BF42">
        <f>IF(AND($A42&lt;&gt;"",BF$3&gt;=$J42,BF$3&lt;=$M42),1,"")</f>
        <v/>
      </c>
      <c r="BG42">
        <f>IF(AND($A42&lt;&gt;"",BG$3&gt;=$J42,BG$3&lt;=$M42),1,"")</f>
        <v/>
      </c>
      <c r="BH42">
        <f>IF(AND($A42&lt;&gt;"",BH$3&gt;=$J42,BH$3&lt;=$M42),1,"")</f>
        <v/>
      </c>
      <c r="BI42">
        <f>IF(AND($A42&lt;&gt;"",BI$3&gt;=$J42,BI$3&lt;=$M42),1,"")</f>
        <v/>
      </c>
      <c r="BJ42">
        <f>IF(AND($A42&lt;&gt;"",BJ$3&gt;=$J42,BJ$3&lt;=$M42),1,"")</f>
        <v/>
      </c>
      <c r="BK42">
        <f>IF(AND($A42&lt;&gt;"",BK$3&gt;=$J42,BK$3&lt;=$M42),1,"")</f>
        <v/>
      </c>
      <c r="BL42">
        <f>IF(AND($A42&lt;&gt;"",BL$3&gt;=$J42,BL$3&lt;=$M42),1,"")</f>
        <v/>
      </c>
      <c r="BM42">
        <f>IF(AND($A42&lt;&gt;"",BM$3&gt;=$J42,BM$3&lt;=$M42),1,"")</f>
        <v/>
      </c>
      <c r="BN42">
        <f>IF(AND($A42&lt;&gt;"",BN$3&gt;=$J42,BN$3&lt;=$M42),1,"")</f>
        <v/>
      </c>
      <c r="BO42">
        <f>IF(AND($A42&lt;&gt;"",BO$3&gt;=$J42,BO$3&lt;=$M42),1,"")</f>
        <v/>
      </c>
      <c r="BP42">
        <f>IF(AND($A42&lt;&gt;"",BP$3&gt;=$J42,BP$3&lt;=$M42),1,"")</f>
        <v/>
      </c>
      <c r="BQ42">
        <f>IF(AND($A42&lt;&gt;"",BQ$3&gt;=$J42,BQ$3&lt;=$M42),1,"")</f>
        <v/>
      </c>
      <c r="BR42">
        <f>IF(AND($A42&lt;&gt;"",BR$3&gt;=$J42,BR$3&lt;=$M42),1,"")</f>
        <v/>
      </c>
      <c r="BS42">
        <f>IF(AND($A42&lt;&gt;"",BS$3&gt;=$J42,BS$3&lt;=$M42),1,"")</f>
        <v/>
      </c>
      <c r="BT42">
        <f>IF(AND($A42&lt;&gt;"",BT$3&gt;=$J42,BT$3&lt;=$M42),1,"")</f>
        <v/>
      </c>
      <c r="BU42">
        <f>IF(AND($A42&lt;&gt;"",BU$3&gt;=$J42,BU$3&lt;=$M42),1,"")</f>
        <v/>
      </c>
      <c r="BV42">
        <f>IF(AND($A42&lt;&gt;"",BV$3&gt;=$J42,BV$3&lt;=$M42),1,"")</f>
        <v/>
      </c>
    </row>
    <row r="43">
      <c r="A43">
        <f>IF(Job_Master_Ring!$A43="","",Job_Master_Ring!$A43)</f>
        <v/>
      </c>
      <c r="B43">
        <f>IF($A43="","",Job_Master_Ring!B43)</f>
        <v/>
      </c>
      <c r="C43">
        <f>IF($A43="","",Job_Master_Ring!C43)</f>
        <v/>
      </c>
      <c r="D43">
        <f>IF($A43="","",Job_Master_Ring!D43)</f>
        <v/>
      </c>
      <c r="E43">
        <f>IF($A43="","",IF($I43&lt;&gt;"",$I43,IFERROR(INDEX(Machine_List!$B$82:$B$86,MATCH(1,(Machine_List!$H$82:$H$86&lt;=IFERROR(VLOOKUP($B43,CHOOSE(MATCH($C43,Settings!$L$4:$L$10,0),OPR_BR1!$A$4:$K$18,OPR_BR2!$A$4:$K$18,OPR_CR2!$A$4:$K$18,OPR_CR3!$A$4:$K$18,OPR_CR4!$A$4:$K$18,OPR_RIM!$A$4:$K$18,OPR_BPR!$A$4:$K$18),10,0),0))*(Machine_List!$I$82:$I$86&gt;=IFERROR(VLOOKUP($B43,CHOOSE(MATCH($C43,Settings!$L$4:$L$10,0),OPR_BR1!$A$4:$K$18,OPR_BR2!$A$4:$K$18,OPR_CR2!$A$4:$K$18,OPR_CR3!$A$4:$K$18,OPR_CR4!$A$4:$K$18,OPR_RIM!$A$4:$K$18,OPR_BPR!$A$4:$K$18),11,0),9999)),0)),"NO COMPATIBLE MACHINE")))</f>
        <v/>
      </c>
      <c r="F43">
        <f>IF($E43="","",IFERROR(VLOOKUP($E43,Machine_List!$B:$G,6,0),""))</f>
        <v/>
      </c>
      <c r="G43" s="17">
        <f>IF($E43="","",IFERROR(VLOOKUP($E43,Machine_List!$B:$C,2,0),""))</f>
        <v/>
      </c>
      <c r="H43">
        <f>IF($E43="","",IFERROR(VLOOKUP($E43,Machine_List!$B:$D,3,0),""))</f>
        <v/>
      </c>
      <c r="J43" s="16">
        <f>IF($A43="","",IF($I43&lt;&gt;"",$I43,MAX(FID_Plan!$M43,IFERROR(LOOKUP(2,1/($E$3:INDIRECT("E"&amp;(ROW()-1))=$E43),$M$3:INDIRECT("M"&amp;(ROW()-1))),FID_Plan!$M43))))</f>
        <v/>
      </c>
      <c r="K43">
        <f>IF($A43="","",IFERROR(VLOOKUP(B43,CHOOSE(MATCH($C43,Settings!$L$4:$L$10,0),OPR_BR1!$A$4:$I$18,OPR_BR2!$A$4:$I$18,OPR_CR2!$A$4:$I$18,OPR_CR3!$A$4:$I$18,OPR_CR4!$A$4:$I$18,OPR_RIM!$A$4:$I$18,OPR_BPR!$A$4:$I$18),9,0),0))</f>
        <v/>
      </c>
      <c r="L43">
        <f>IF($A43="","",K43*D43)</f>
        <v/>
      </c>
      <c r="M43" s="16">
        <f>IF($A43=""," ",$J43+($L43/(IF(F43="Contract Workman",Settings!$K$5,Settings!$K$4))))</f>
        <v/>
      </c>
      <c r="N43">
        <f>IF($A43="","",IF(F43="Contract Workman",IF(AND(MOD(M43,1)&gt;=8/24,MOD(M43,1)&lt;20/24),"Shift S1","Shift S2"),IF(AND(MOD(M43,1)&gt;=7/24,MOD(M43,1)&lt;15/24),"Shift A",IF(AND(MOD(M43,1)&gt;=15/24,MOD(M43,1)&lt;23/24),"Shift B","Shift C"))))</f>
        <v/>
      </c>
      <c r="O43">
        <f>IF(B43="","",IF(IFERROR(ISNUMBER(SEARCH(TEXT(B43,"0"),VLOOKUP(E43,Machine_List!$B:$J,9,0))),FALSE),"✅ "&amp; E43,"❌ Sug: "&amp;IFERROR(INDEX(Machine_List!$B$82:$B$86,MATCH(1,(Machine_List!$H$82:$H$86&lt;=IFERROR(VLOOKUP($B43,OPR_BR1!$A$4:$K$18,10,0),0))*(Machine_List!$I$82:$I$86&gt;=IFERROR(VLOOKUP($B43,OPR_BR1!$A$4:$K$18,11,0),9999)),0)),"?")))</f>
        <v/>
      </c>
      <c r="P43">
        <f>IF(AND($A43&lt;&gt;"",P$3&gt;=$J43,P$3&lt;=$M43),1,"")</f>
        <v/>
      </c>
      <c r="Q43">
        <f>IF(AND($A43&lt;&gt;"",Q$3&gt;=$J43,Q$3&lt;=$M43),1,"")</f>
        <v/>
      </c>
      <c r="R43">
        <f>IF(AND($A43&lt;&gt;"",R$3&gt;=$J43,R$3&lt;=$M43),1,"")</f>
        <v/>
      </c>
      <c r="S43">
        <f>IF(AND($A43&lt;&gt;"",S$3&gt;=$J43,S$3&lt;=$M43),1,"")</f>
        <v/>
      </c>
      <c r="T43">
        <f>IF(AND($A43&lt;&gt;"",T$3&gt;=$J43,T$3&lt;=$M43),1,"")</f>
        <v/>
      </c>
      <c r="U43">
        <f>IF(AND($A43&lt;&gt;"",U$3&gt;=$J43,U$3&lt;=$M43),1,"")</f>
        <v/>
      </c>
      <c r="V43">
        <f>IF(AND($A43&lt;&gt;"",V$3&gt;=$J43,V$3&lt;=$M43),1,"")</f>
        <v/>
      </c>
      <c r="W43">
        <f>IF(AND($A43&lt;&gt;"",W$3&gt;=$J43,W$3&lt;=$M43),1,"")</f>
        <v/>
      </c>
      <c r="X43">
        <f>IF(AND($A43&lt;&gt;"",X$3&gt;=$J43,X$3&lt;=$M43),1,"")</f>
        <v/>
      </c>
      <c r="Y43">
        <f>IF(AND($A43&lt;&gt;"",Y$3&gt;=$J43,Y$3&lt;=$M43),1,"")</f>
        <v/>
      </c>
      <c r="Z43">
        <f>IF(AND($A43&lt;&gt;"",Z$3&gt;=$J43,Z$3&lt;=$M43),1,"")</f>
        <v/>
      </c>
      <c r="AA43">
        <f>IF(AND($A43&lt;&gt;"",AA$3&gt;=$J43,AA$3&lt;=$M43),1,"")</f>
        <v/>
      </c>
      <c r="AB43">
        <f>IF(AND($A43&lt;&gt;"",AB$3&gt;=$J43,AB$3&lt;=$M43),1,"")</f>
        <v/>
      </c>
      <c r="AC43">
        <f>IF(AND($A43&lt;&gt;"",AC$3&gt;=$J43,AC$3&lt;=$M43),1,"")</f>
        <v/>
      </c>
      <c r="AD43">
        <f>IF(AND($A43&lt;&gt;"",AD$3&gt;=$J43,AD$3&lt;=$M43),1,"")</f>
        <v/>
      </c>
      <c r="AE43">
        <f>IF(AND($A43&lt;&gt;"",AE$3&gt;=$J43,AE$3&lt;=$M43),1,"")</f>
        <v/>
      </c>
      <c r="AF43">
        <f>IF(AND($A43&lt;&gt;"",AF$3&gt;=$J43,AF$3&lt;=$M43),1,"")</f>
        <v/>
      </c>
      <c r="AG43">
        <f>IF(AND($A43&lt;&gt;"",AG$3&gt;=$J43,AG$3&lt;=$M43),1,"")</f>
        <v/>
      </c>
      <c r="AH43">
        <f>IF(AND($A43&lt;&gt;"",AH$3&gt;=$J43,AH$3&lt;=$M43),1,"")</f>
        <v/>
      </c>
      <c r="AI43">
        <f>IF(AND($A43&lt;&gt;"",AI$3&gt;=$J43,AI$3&lt;=$M43),1,"")</f>
        <v/>
      </c>
      <c r="AJ43">
        <f>IF(AND($A43&lt;&gt;"",AJ$3&gt;=$J43,AJ$3&lt;=$M43),1,"")</f>
        <v/>
      </c>
      <c r="AK43">
        <f>IF(AND($A43&lt;&gt;"",AK$3&gt;=$J43,AK$3&lt;=$M43),1,"")</f>
        <v/>
      </c>
      <c r="AL43">
        <f>IF(AND($A43&lt;&gt;"",AL$3&gt;=$J43,AL$3&lt;=$M43),1,"")</f>
        <v/>
      </c>
      <c r="AM43">
        <f>IF(AND($A43&lt;&gt;"",AM$3&gt;=$J43,AM$3&lt;=$M43),1,"")</f>
        <v/>
      </c>
      <c r="AN43">
        <f>IF(AND($A43&lt;&gt;"",AN$3&gt;=$J43,AN$3&lt;=$M43),1,"")</f>
        <v/>
      </c>
      <c r="AO43">
        <f>IF(AND($A43&lt;&gt;"",AO$3&gt;=$J43,AO$3&lt;=$M43),1,"")</f>
        <v/>
      </c>
      <c r="AP43">
        <f>IF(AND($A43&lt;&gt;"",AP$3&gt;=$J43,AP$3&lt;=$M43),1,"")</f>
        <v/>
      </c>
      <c r="AQ43">
        <f>IF(AND($A43&lt;&gt;"",AQ$3&gt;=$J43,AQ$3&lt;=$M43),1,"")</f>
        <v/>
      </c>
      <c r="AR43">
        <f>IF(AND($A43&lt;&gt;"",AR$3&gt;=$J43,AR$3&lt;=$M43),1,"")</f>
        <v/>
      </c>
      <c r="AS43">
        <f>IF(AND($A43&lt;&gt;"",AS$3&gt;=$J43,AS$3&lt;=$M43),1,"")</f>
        <v/>
      </c>
      <c r="AT43">
        <f>IF(AND($A43&lt;&gt;"",AT$3&gt;=$J43,AT$3&lt;=$M43),1,"")</f>
        <v/>
      </c>
      <c r="AU43">
        <f>IF(AND($A43&lt;&gt;"",AU$3&gt;=$J43,AU$3&lt;=$M43),1,"")</f>
        <v/>
      </c>
      <c r="AV43">
        <f>IF(AND($A43&lt;&gt;"",AV$3&gt;=$J43,AV$3&lt;=$M43),1,"")</f>
        <v/>
      </c>
      <c r="AW43">
        <f>IF(AND($A43&lt;&gt;"",AW$3&gt;=$J43,AW$3&lt;=$M43),1,"")</f>
        <v/>
      </c>
      <c r="AX43">
        <f>IF(AND($A43&lt;&gt;"",AX$3&gt;=$J43,AX$3&lt;=$M43),1,"")</f>
        <v/>
      </c>
      <c r="AY43">
        <f>IF(AND($A43&lt;&gt;"",AY$3&gt;=$J43,AY$3&lt;=$M43),1,"")</f>
        <v/>
      </c>
      <c r="AZ43">
        <f>IF(AND($A43&lt;&gt;"",AZ$3&gt;=$J43,AZ$3&lt;=$M43),1,"")</f>
        <v/>
      </c>
      <c r="BA43">
        <f>IF(AND($A43&lt;&gt;"",BA$3&gt;=$J43,BA$3&lt;=$M43),1,"")</f>
        <v/>
      </c>
      <c r="BB43">
        <f>IF(AND($A43&lt;&gt;"",BB$3&gt;=$J43,BB$3&lt;=$M43),1,"")</f>
        <v/>
      </c>
      <c r="BC43">
        <f>IF(AND($A43&lt;&gt;"",BC$3&gt;=$J43,BC$3&lt;=$M43),1,"")</f>
        <v/>
      </c>
      <c r="BD43">
        <f>IF(AND($A43&lt;&gt;"",BD$3&gt;=$J43,BD$3&lt;=$M43),1,"")</f>
        <v/>
      </c>
      <c r="BE43">
        <f>IF(AND($A43&lt;&gt;"",BE$3&gt;=$J43,BE$3&lt;=$M43),1,"")</f>
        <v/>
      </c>
      <c r="BF43">
        <f>IF(AND($A43&lt;&gt;"",BF$3&gt;=$J43,BF$3&lt;=$M43),1,"")</f>
        <v/>
      </c>
      <c r="BG43">
        <f>IF(AND($A43&lt;&gt;"",BG$3&gt;=$J43,BG$3&lt;=$M43),1,"")</f>
        <v/>
      </c>
      <c r="BH43">
        <f>IF(AND($A43&lt;&gt;"",BH$3&gt;=$J43,BH$3&lt;=$M43),1,"")</f>
        <v/>
      </c>
      <c r="BI43">
        <f>IF(AND($A43&lt;&gt;"",BI$3&gt;=$J43,BI$3&lt;=$M43),1,"")</f>
        <v/>
      </c>
      <c r="BJ43">
        <f>IF(AND($A43&lt;&gt;"",BJ$3&gt;=$J43,BJ$3&lt;=$M43),1,"")</f>
        <v/>
      </c>
      <c r="BK43">
        <f>IF(AND($A43&lt;&gt;"",BK$3&gt;=$J43,BK$3&lt;=$M43),1,"")</f>
        <v/>
      </c>
      <c r="BL43">
        <f>IF(AND($A43&lt;&gt;"",BL$3&gt;=$J43,BL$3&lt;=$M43),1,"")</f>
        <v/>
      </c>
      <c r="BM43">
        <f>IF(AND($A43&lt;&gt;"",BM$3&gt;=$J43,BM$3&lt;=$M43),1,"")</f>
        <v/>
      </c>
      <c r="BN43">
        <f>IF(AND($A43&lt;&gt;"",BN$3&gt;=$J43,BN$3&lt;=$M43),1,"")</f>
        <v/>
      </c>
      <c r="BO43">
        <f>IF(AND($A43&lt;&gt;"",BO$3&gt;=$J43,BO$3&lt;=$M43),1,"")</f>
        <v/>
      </c>
      <c r="BP43">
        <f>IF(AND($A43&lt;&gt;"",BP$3&gt;=$J43,BP$3&lt;=$M43),1,"")</f>
        <v/>
      </c>
      <c r="BQ43">
        <f>IF(AND($A43&lt;&gt;"",BQ$3&gt;=$J43,BQ$3&lt;=$M43),1,"")</f>
        <v/>
      </c>
      <c r="BR43">
        <f>IF(AND($A43&lt;&gt;"",BR$3&gt;=$J43,BR$3&lt;=$M43),1,"")</f>
        <v/>
      </c>
      <c r="BS43">
        <f>IF(AND($A43&lt;&gt;"",BS$3&gt;=$J43,BS$3&lt;=$M43),1,"")</f>
        <v/>
      </c>
      <c r="BT43">
        <f>IF(AND($A43&lt;&gt;"",BT$3&gt;=$J43,BT$3&lt;=$M43),1,"")</f>
        <v/>
      </c>
      <c r="BU43">
        <f>IF(AND($A43&lt;&gt;"",BU$3&gt;=$J43,BU$3&lt;=$M43),1,"")</f>
        <v/>
      </c>
      <c r="BV43">
        <f>IF(AND($A43&lt;&gt;"",BV$3&gt;=$J43,BV$3&lt;=$M43),1,"")</f>
        <v/>
      </c>
    </row>
    <row r="44">
      <c r="A44">
        <f>IF(Job_Master_Ring!$A44="","",Job_Master_Ring!$A44)</f>
        <v/>
      </c>
      <c r="B44">
        <f>IF($A44="","",Job_Master_Ring!B44)</f>
        <v/>
      </c>
      <c r="C44">
        <f>IF($A44="","",Job_Master_Ring!C44)</f>
        <v/>
      </c>
      <c r="D44">
        <f>IF($A44="","",Job_Master_Ring!D44)</f>
        <v/>
      </c>
      <c r="E44">
        <f>IF($A44="","",IF($I44&lt;&gt;"",$I44,IFERROR(INDEX(Machine_List!$B$82:$B$86,MATCH(1,(Machine_List!$H$82:$H$86&lt;=IFERROR(VLOOKUP($B44,CHOOSE(MATCH($C44,Settings!$L$4:$L$10,0),OPR_BR1!$A$4:$K$18,OPR_BR2!$A$4:$K$18,OPR_CR2!$A$4:$K$18,OPR_CR3!$A$4:$K$18,OPR_CR4!$A$4:$K$18,OPR_RIM!$A$4:$K$18,OPR_BPR!$A$4:$K$18),10,0),0))*(Machine_List!$I$82:$I$86&gt;=IFERROR(VLOOKUP($B44,CHOOSE(MATCH($C44,Settings!$L$4:$L$10,0),OPR_BR1!$A$4:$K$18,OPR_BR2!$A$4:$K$18,OPR_CR2!$A$4:$K$18,OPR_CR3!$A$4:$K$18,OPR_CR4!$A$4:$K$18,OPR_RIM!$A$4:$K$18,OPR_BPR!$A$4:$K$18),11,0),9999)),0)),"NO COMPATIBLE MACHINE")))</f>
        <v/>
      </c>
      <c r="F44">
        <f>IF($E44="","",IFERROR(VLOOKUP($E44,Machine_List!$B:$G,6,0),""))</f>
        <v/>
      </c>
      <c r="G44" s="17">
        <f>IF($E44="","",IFERROR(VLOOKUP($E44,Machine_List!$B:$C,2,0),""))</f>
        <v/>
      </c>
      <c r="H44">
        <f>IF($E44="","",IFERROR(VLOOKUP($E44,Machine_List!$B:$D,3,0),""))</f>
        <v/>
      </c>
      <c r="J44" s="16">
        <f>IF($A44="","",IF($I44&lt;&gt;"",$I44,MAX(FID_Plan!$M44,IFERROR(LOOKUP(2,1/($E$3:INDIRECT("E"&amp;(ROW()-1))=$E44),$M$3:INDIRECT("M"&amp;(ROW()-1))),FID_Plan!$M44))))</f>
        <v/>
      </c>
      <c r="K44">
        <f>IF($A44="","",IFERROR(VLOOKUP(B44,CHOOSE(MATCH($C44,Settings!$L$4:$L$10,0),OPR_BR1!$A$4:$I$18,OPR_BR2!$A$4:$I$18,OPR_CR2!$A$4:$I$18,OPR_CR3!$A$4:$I$18,OPR_CR4!$A$4:$I$18,OPR_RIM!$A$4:$I$18,OPR_BPR!$A$4:$I$18),9,0),0))</f>
        <v/>
      </c>
      <c r="L44">
        <f>IF($A44="","",K44*D44)</f>
        <v/>
      </c>
      <c r="M44" s="16">
        <f>IF($A44=""," ",$J44+($L44/(IF(F44="Contract Workman",Settings!$K$5,Settings!$K$4))))</f>
        <v/>
      </c>
      <c r="N44">
        <f>IF($A44="","",IF(F44="Contract Workman",IF(AND(MOD(M44,1)&gt;=8/24,MOD(M44,1)&lt;20/24),"Shift S1","Shift S2"),IF(AND(MOD(M44,1)&gt;=7/24,MOD(M44,1)&lt;15/24),"Shift A",IF(AND(MOD(M44,1)&gt;=15/24,MOD(M44,1)&lt;23/24),"Shift B","Shift C"))))</f>
        <v/>
      </c>
      <c r="O44">
        <f>IF(B44="","",IF(IFERROR(ISNUMBER(SEARCH(TEXT(B44,"0"),VLOOKUP(E44,Machine_List!$B:$J,9,0))),FALSE),"✅ "&amp; E44,"❌ Sug: "&amp;IFERROR(INDEX(Machine_List!$B$82:$B$86,MATCH(1,(Machine_List!$H$82:$H$86&lt;=IFERROR(VLOOKUP($B44,OPR_BR1!$A$4:$K$18,10,0),0))*(Machine_List!$I$82:$I$86&gt;=IFERROR(VLOOKUP($B44,OPR_BR1!$A$4:$K$18,11,0),9999)),0)),"?")))</f>
        <v/>
      </c>
      <c r="P44">
        <f>IF(AND($A44&lt;&gt;"",P$3&gt;=$J44,P$3&lt;=$M44),1,"")</f>
        <v/>
      </c>
      <c r="Q44">
        <f>IF(AND($A44&lt;&gt;"",Q$3&gt;=$J44,Q$3&lt;=$M44),1,"")</f>
        <v/>
      </c>
      <c r="R44">
        <f>IF(AND($A44&lt;&gt;"",R$3&gt;=$J44,R$3&lt;=$M44),1,"")</f>
        <v/>
      </c>
      <c r="S44">
        <f>IF(AND($A44&lt;&gt;"",S$3&gt;=$J44,S$3&lt;=$M44),1,"")</f>
        <v/>
      </c>
      <c r="T44">
        <f>IF(AND($A44&lt;&gt;"",T$3&gt;=$J44,T$3&lt;=$M44),1,"")</f>
        <v/>
      </c>
      <c r="U44">
        <f>IF(AND($A44&lt;&gt;"",U$3&gt;=$J44,U$3&lt;=$M44),1,"")</f>
        <v/>
      </c>
      <c r="V44">
        <f>IF(AND($A44&lt;&gt;"",V$3&gt;=$J44,V$3&lt;=$M44),1,"")</f>
        <v/>
      </c>
      <c r="W44">
        <f>IF(AND($A44&lt;&gt;"",W$3&gt;=$J44,W$3&lt;=$M44),1,"")</f>
        <v/>
      </c>
      <c r="X44">
        <f>IF(AND($A44&lt;&gt;"",X$3&gt;=$J44,X$3&lt;=$M44),1,"")</f>
        <v/>
      </c>
      <c r="Y44">
        <f>IF(AND($A44&lt;&gt;"",Y$3&gt;=$J44,Y$3&lt;=$M44),1,"")</f>
        <v/>
      </c>
      <c r="Z44">
        <f>IF(AND($A44&lt;&gt;"",Z$3&gt;=$J44,Z$3&lt;=$M44),1,"")</f>
        <v/>
      </c>
      <c r="AA44">
        <f>IF(AND($A44&lt;&gt;"",AA$3&gt;=$J44,AA$3&lt;=$M44),1,"")</f>
        <v/>
      </c>
      <c r="AB44">
        <f>IF(AND($A44&lt;&gt;"",AB$3&gt;=$J44,AB$3&lt;=$M44),1,"")</f>
        <v/>
      </c>
      <c r="AC44">
        <f>IF(AND($A44&lt;&gt;"",AC$3&gt;=$J44,AC$3&lt;=$M44),1,"")</f>
        <v/>
      </c>
      <c r="AD44">
        <f>IF(AND($A44&lt;&gt;"",AD$3&gt;=$J44,AD$3&lt;=$M44),1,"")</f>
        <v/>
      </c>
      <c r="AE44">
        <f>IF(AND($A44&lt;&gt;"",AE$3&gt;=$J44,AE$3&lt;=$M44),1,"")</f>
        <v/>
      </c>
      <c r="AF44">
        <f>IF(AND($A44&lt;&gt;"",AF$3&gt;=$J44,AF$3&lt;=$M44),1,"")</f>
        <v/>
      </c>
      <c r="AG44">
        <f>IF(AND($A44&lt;&gt;"",AG$3&gt;=$J44,AG$3&lt;=$M44),1,"")</f>
        <v/>
      </c>
      <c r="AH44">
        <f>IF(AND($A44&lt;&gt;"",AH$3&gt;=$J44,AH$3&lt;=$M44),1,"")</f>
        <v/>
      </c>
      <c r="AI44">
        <f>IF(AND($A44&lt;&gt;"",AI$3&gt;=$J44,AI$3&lt;=$M44),1,"")</f>
        <v/>
      </c>
      <c r="AJ44">
        <f>IF(AND($A44&lt;&gt;"",AJ$3&gt;=$J44,AJ$3&lt;=$M44),1,"")</f>
        <v/>
      </c>
      <c r="AK44">
        <f>IF(AND($A44&lt;&gt;"",AK$3&gt;=$J44,AK$3&lt;=$M44),1,"")</f>
        <v/>
      </c>
      <c r="AL44">
        <f>IF(AND($A44&lt;&gt;"",AL$3&gt;=$J44,AL$3&lt;=$M44),1,"")</f>
        <v/>
      </c>
      <c r="AM44">
        <f>IF(AND($A44&lt;&gt;"",AM$3&gt;=$J44,AM$3&lt;=$M44),1,"")</f>
        <v/>
      </c>
      <c r="AN44">
        <f>IF(AND($A44&lt;&gt;"",AN$3&gt;=$J44,AN$3&lt;=$M44),1,"")</f>
        <v/>
      </c>
      <c r="AO44">
        <f>IF(AND($A44&lt;&gt;"",AO$3&gt;=$J44,AO$3&lt;=$M44),1,"")</f>
        <v/>
      </c>
      <c r="AP44">
        <f>IF(AND($A44&lt;&gt;"",AP$3&gt;=$J44,AP$3&lt;=$M44),1,"")</f>
        <v/>
      </c>
      <c r="AQ44">
        <f>IF(AND($A44&lt;&gt;"",AQ$3&gt;=$J44,AQ$3&lt;=$M44),1,"")</f>
        <v/>
      </c>
      <c r="AR44">
        <f>IF(AND($A44&lt;&gt;"",AR$3&gt;=$J44,AR$3&lt;=$M44),1,"")</f>
        <v/>
      </c>
      <c r="AS44">
        <f>IF(AND($A44&lt;&gt;"",AS$3&gt;=$J44,AS$3&lt;=$M44),1,"")</f>
        <v/>
      </c>
      <c r="AT44">
        <f>IF(AND($A44&lt;&gt;"",AT$3&gt;=$J44,AT$3&lt;=$M44),1,"")</f>
        <v/>
      </c>
      <c r="AU44">
        <f>IF(AND($A44&lt;&gt;"",AU$3&gt;=$J44,AU$3&lt;=$M44),1,"")</f>
        <v/>
      </c>
      <c r="AV44">
        <f>IF(AND($A44&lt;&gt;"",AV$3&gt;=$J44,AV$3&lt;=$M44),1,"")</f>
        <v/>
      </c>
      <c r="AW44">
        <f>IF(AND($A44&lt;&gt;"",AW$3&gt;=$J44,AW$3&lt;=$M44),1,"")</f>
        <v/>
      </c>
      <c r="AX44">
        <f>IF(AND($A44&lt;&gt;"",AX$3&gt;=$J44,AX$3&lt;=$M44),1,"")</f>
        <v/>
      </c>
      <c r="AY44">
        <f>IF(AND($A44&lt;&gt;"",AY$3&gt;=$J44,AY$3&lt;=$M44),1,"")</f>
        <v/>
      </c>
      <c r="AZ44">
        <f>IF(AND($A44&lt;&gt;"",AZ$3&gt;=$J44,AZ$3&lt;=$M44),1,"")</f>
        <v/>
      </c>
      <c r="BA44">
        <f>IF(AND($A44&lt;&gt;"",BA$3&gt;=$J44,BA$3&lt;=$M44),1,"")</f>
        <v/>
      </c>
      <c r="BB44">
        <f>IF(AND($A44&lt;&gt;"",BB$3&gt;=$J44,BB$3&lt;=$M44),1,"")</f>
        <v/>
      </c>
      <c r="BC44">
        <f>IF(AND($A44&lt;&gt;"",BC$3&gt;=$J44,BC$3&lt;=$M44),1,"")</f>
        <v/>
      </c>
      <c r="BD44">
        <f>IF(AND($A44&lt;&gt;"",BD$3&gt;=$J44,BD$3&lt;=$M44),1,"")</f>
        <v/>
      </c>
      <c r="BE44">
        <f>IF(AND($A44&lt;&gt;"",BE$3&gt;=$J44,BE$3&lt;=$M44),1,"")</f>
        <v/>
      </c>
      <c r="BF44">
        <f>IF(AND($A44&lt;&gt;"",BF$3&gt;=$J44,BF$3&lt;=$M44),1,"")</f>
        <v/>
      </c>
      <c r="BG44">
        <f>IF(AND($A44&lt;&gt;"",BG$3&gt;=$J44,BG$3&lt;=$M44),1,"")</f>
        <v/>
      </c>
      <c r="BH44">
        <f>IF(AND($A44&lt;&gt;"",BH$3&gt;=$J44,BH$3&lt;=$M44),1,"")</f>
        <v/>
      </c>
      <c r="BI44">
        <f>IF(AND($A44&lt;&gt;"",BI$3&gt;=$J44,BI$3&lt;=$M44),1,"")</f>
        <v/>
      </c>
      <c r="BJ44">
        <f>IF(AND($A44&lt;&gt;"",BJ$3&gt;=$J44,BJ$3&lt;=$M44),1,"")</f>
        <v/>
      </c>
      <c r="BK44">
        <f>IF(AND($A44&lt;&gt;"",BK$3&gt;=$J44,BK$3&lt;=$M44),1,"")</f>
        <v/>
      </c>
      <c r="BL44">
        <f>IF(AND($A44&lt;&gt;"",BL$3&gt;=$J44,BL$3&lt;=$M44),1,"")</f>
        <v/>
      </c>
      <c r="BM44">
        <f>IF(AND($A44&lt;&gt;"",BM$3&gt;=$J44,BM$3&lt;=$M44),1,"")</f>
        <v/>
      </c>
      <c r="BN44">
        <f>IF(AND($A44&lt;&gt;"",BN$3&gt;=$J44,BN$3&lt;=$M44),1,"")</f>
        <v/>
      </c>
      <c r="BO44">
        <f>IF(AND($A44&lt;&gt;"",BO$3&gt;=$J44,BO$3&lt;=$M44),1,"")</f>
        <v/>
      </c>
      <c r="BP44">
        <f>IF(AND($A44&lt;&gt;"",BP$3&gt;=$J44,BP$3&lt;=$M44),1,"")</f>
        <v/>
      </c>
      <c r="BQ44">
        <f>IF(AND($A44&lt;&gt;"",BQ$3&gt;=$J44,BQ$3&lt;=$M44),1,"")</f>
        <v/>
      </c>
      <c r="BR44">
        <f>IF(AND($A44&lt;&gt;"",BR$3&gt;=$J44,BR$3&lt;=$M44),1,"")</f>
        <v/>
      </c>
      <c r="BS44">
        <f>IF(AND($A44&lt;&gt;"",BS$3&gt;=$J44,BS$3&lt;=$M44),1,"")</f>
        <v/>
      </c>
      <c r="BT44">
        <f>IF(AND($A44&lt;&gt;"",BT$3&gt;=$J44,BT$3&lt;=$M44),1,"")</f>
        <v/>
      </c>
      <c r="BU44">
        <f>IF(AND($A44&lt;&gt;"",BU$3&gt;=$J44,BU$3&lt;=$M44),1,"")</f>
        <v/>
      </c>
      <c r="BV44">
        <f>IF(AND($A44&lt;&gt;"",BV$3&gt;=$J44,BV$3&lt;=$M44),1,"")</f>
        <v/>
      </c>
    </row>
    <row r="45">
      <c r="A45">
        <f>IF(Job_Master_Ring!$A45="","",Job_Master_Ring!$A45)</f>
        <v/>
      </c>
      <c r="B45">
        <f>IF($A45="","",Job_Master_Ring!B45)</f>
        <v/>
      </c>
      <c r="C45">
        <f>IF($A45="","",Job_Master_Ring!C45)</f>
        <v/>
      </c>
      <c r="D45">
        <f>IF($A45="","",Job_Master_Ring!D45)</f>
        <v/>
      </c>
      <c r="E45">
        <f>IF($A45="","",IF($I45&lt;&gt;"",$I45,IFERROR(INDEX(Machine_List!$B$82:$B$86,MATCH(1,(Machine_List!$H$82:$H$86&lt;=IFERROR(VLOOKUP($B45,CHOOSE(MATCH($C45,Settings!$L$4:$L$10,0),OPR_BR1!$A$4:$K$18,OPR_BR2!$A$4:$K$18,OPR_CR2!$A$4:$K$18,OPR_CR3!$A$4:$K$18,OPR_CR4!$A$4:$K$18,OPR_RIM!$A$4:$K$18,OPR_BPR!$A$4:$K$18),10,0),0))*(Machine_List!$I$82:$I$86&gt;=IFERROR(VLOOKUP($B45,CHOOSE(MATCH($C45,Settings!$L$4:$L$10,0),OPR_BR1!$A$4:$K$18,OPR_BR2!$A$4:$K$18,OPR_CR2!$A$4:$K$18,OPR_CR3!$A$4:$K$18,OPR_CR4!$A$4:$K$18,OPR_RIM!$A$4:$K$18,OPR_BPR!$A$4:$K$18),11,0),9999)),0)),"NO COMPATIBLE MACHINE")))</f>
        <v/>
      </c>
      <c r="F45">
        <f>IF($E45="","",IFERROR(VLOOKUP($E45,Machine_List!$B:$G,6,0),""))</f>
        <v/>
      </c>
      <c r="G45" s="17">
        <f>IF($E45="","",IFERROR(VLOOKUP($E45,Machine_List!$B:$C,2,0),""))</f>
        <v/>
      </c>
      <c r="H45">
        <f>IF($E45="","",IFERROR(VLOOKUP($E45,Machine_List!$B:$D,3,0),""))</f>
        <v/>
      </c>
      <c r="J45" s="16">
        <f>IF($A45="","",IF($I45&lt;&gt;"",$I45,MAX(FID_Plan!$M45,IFERROR(LOOKUP(2,1/($E$3:INDIRECT("E"&amp;(ROW()-1))=$E45),$M$3:INDIRECT("M"&amp;(ROW()-1))),FID_Plan!$M45))))</f>
        <v/>
      </c>
      <c r="K45">
        <f>IF($A45="","",IFERROR(VLOOKUP(B45,CHOOSE(MATCH($C45,Settings!$L$4:$L$10,0),OPR_BR1!$A$4:$I$18,OPR_BR2!$A$4:$I$18,OPR_CR2!$A$4:$I$18,OPR_CR3!$A$4:$I$18,OPR_CR4!$A$4:$I$18,OPR_RIM!$A$4:$I$18,OPR_BPR!$A$4:$I$18),9,0),0))</f>
        <v/>
      </c>
      <c r="L45">
        <f>IF($A45="","",K45*D45)</f>
        <v/>
      </c>
      <c r="M45" s="16">
        <f>IF($A45=""," ",$J45+($L45/(IF(F45="Contract Workman",Settings!$K$5,Settings!$K$4))))</f>
        <v/>
      </c>
      <c r="N45">
        <f>IF($A45="","",IF(F45="Contract Workman",IF(AND(MOD(M45,1)&gt;=8/24,MOD(M45,1)&lt;20/24),"Shift S1","Shift S2"),IF(AND(MOD(M45,1)&gt;=7/24,MOD(M45,1)&lt;15/24),"Shift A",IF(AND(MOD(M45,1)&gt;=15/24,MOD(M45,1)&lt;23/24),"Shift B","Shift C"))))</f>
        <v/>
      </c>
      <c r="O45">
        <f>IF(B45="","",IF(IFERROR(ISNUMBER(SEARCH(TEXT(B45,"0"),VLOOKUP(E45,Machine_List!$B:$J,9,0))),FALSE),"✅ "&amp; E45,"❌ Sug: "&amp;IFERROR(INDEX(Machine_List!$B$82:$B$86,MATCH(1,(Machine_List!$H$82:$H$86&lt;=IFERROR(VLOOKUP($B45,OPR_BR1!$A$4:$K$18,10,0),0))*(Machine_List!$I$82:$I$86&gt;=IFERROR(VLOOKUP($B45,OPR_BR1!$A$4:$K$18,11,0),9999)),0)),"?")))</f>
        <v/>
      </c>
      <c r="P45">
        <f>IF(AND($A45&lt;&gt;"",P$3&gt;=$J45,P$3&lt;=$M45),1,"")</f>
        <v/>
      </c>
      <c r="Q45">
        <f>IF(AND($A45&lt;&gt;"",Q$3&gt;=$J45,Q$3&lt;=$M45),1,"")</f>
        <v/>
      </c>
      <c r="R45">
        <f>IF(AND($A45&lt;&gt;"",R$3&gt;=$J45,R$3&lt;=$M45),1,"")</f>
        <v/>
      </c>
      <c r="S45">
        <f>IF(AND($A45&lt;&gt;"",S$3&gt;=$J45,S$3&lt;=$M45),1,"")</f>
        <v/>
      </c>
      <c r="T45">
        <f>IF(AND($A45&lt;&gt;"",T$3&gt;=$J45,T$3&lt;=$M45),1,"")</f>
        <v/>
      </c>
      <c r="U45">
        <f>IF(AND($A45&lt;&gt;"",U$3&gt;=$J45,U$3&lt;=$M45),1,"")</f>
        <v/>
      </c>
      <c r="V45">
        <f>IF(AND($A45&lt;&gt;"",V$3&gt;=$J45,V$3&lt;=$M45),1,"")</f>
        <v/>
      </c>
      <c r="W45">
        <f>IF(AND($A45&lt;&gt;"",W$3&gt;=$J45,W$3&lt;=$M45),1,"")</f>
        <v/>
      </c>
      <c r="X45">
        <f>IF(AND($A45&lt;&gt;"",X$3&gt;=$J45,X$3&lt;=$M45),1,"")</f>
        <v/>
      </c>
      <c r="Y45">
        <f>IF(AND($A45&lt;&gt;"",Y$3&gt;=$J45,Y$3&lt;=$M45),1,"")</f>
        <v/>
      </c>
      <c r="Z45">
        <f>IF(AND($A45&lt;&gt;"",Z$3&gt;=$J45,Z$3&lt;=$M45),1,"")</f>
        <v/>
      </c>
      <c r="AA45">
        <f>IF(AND($A45&lt;&gt;"",AA$3&gt;=$J45,AA$3&lt;=$M45),1,"")</f>
        <v/>
      </c>
      <c r="AB45">
        <f>IF(AND($A45&lt;&gt;"",AB$3&gt;=$J45,AB$3&lt;=$M45),1,"")</f>
        <v/>
      </c>
      <c r="AC45">
        <f>IF(AND($A45&lt;&gt;"",AC$3&gt;=$J45,AC$3&lt;=$M45),1,"")</f>
        <v/>
      </c>
      <c r="AD45">
        <f>IF(AND($A45&lt;&gt;"",AD$3&gt;=$J45,AD$3&lt;=$M45),1,"")</f>
        <v/>
      </c>
      <c r="AE45">
        <f>IF(AND($A45&lt;&gt;"",AE$3&gt;=$J45,AE$3&lt;=$M45),1,"")</f>
        <v/>
      </c>
      <c r="AF45">
        <f>IF(AND($A45&lt;&gt;"",AF$3&gt;=$J45,AF$3&lt;=$M45),1,"")</f>
        <v/>
      </c>
      <c r="AG45">
        <f>IF(AND($A45&lt;&gt;"",AG$3&gt;=$J45,AG$3&lt;=$M45),1,"")</f>
        <v/>
      </c>
      <c r="AH45">
        <f>IF(AND($A45&lt;&gt;"",AH$3&gt;=$J45,AH$3&lt;=$M45),1,"")</f>
        <v/>
      </c>
      <c r="AI45">
        <f>IF(AND($A45&lt;&gt;"",AI$3&gt;=$J45,AI$3&lt;=$M45),1,"")</f>
        <v/>
      </c>
      <c r="AJ45">
        <f>IF(AND($A45&lt;&gt;"",AJ$3&gt;=$J45,AJ$3&lt;=$M45),1,"")</f>
        <v/>
      </c>
      <c r="AK45">
        <f>IF(AND($A45&lt;&gt;"",AK$3&gt;=$J45,AK$3&lt;=$M45),1,"")</f>
        <v/>
      </c>
      <c r="AL45">
        <f>IF(AND($A45&lt;&gt;"",AL$3&gt;=$J45,AL$3&lt;=$M45),1,"")</f>
        <v/>
      </c>
      <c r="AM45">
        <f>IF(AND($A45&lt;&gt;"",AM$3&gt;=$J45,AM$3&lt;=$M45),1,"")</f>
        <v/>
      </c>
      <c r="AN45">
        <f>IF(AND($A45&lt;&gt;"",AN$3&gt;=$J45,AN$3&lt;=$M45),1,"")</f>
        <v/>
      </c>
      <c r="AO45">
        <f>IF(AND($A45&lt;&gt;"",AO$3&gt;=$J45,AO$3&lt;=$M45),1,"")</f>
        <v/>
      </c>
      <c r="AP45">
        <f>IF(AND($A45&lt;&gt;"",AP$3&gt;=$J45,AP$3&lt;=$M45),1,"")</f>
        <v/>
      </c>
      <c r="AQ45">
        <f>IF(AND($A45&lt;&gt;"",AQ$3&gt;=$J45,AQ$3&lt;=$M45),1,"")</f>
        <v/>
      </c>
      <c r="AR45">
        <f>IF(AND($A45&lt;&gt;"",AR$3&gt;=$J45,AR$3&lt;=$M45),1,"")</f>
        <v/>
      </c>
      <c r="AS45">
        <f>IF(AND($A45&lt;&gt;"",AS$3&gt;=$J45,AS$3&lt;=$M45),1,"")</f>
        <v/>
      </c>
      <c r="AT45">
        <f>IF(AND($A45&lt;&gt;"",AT$3&gt;=$J45,AT$3&lt;=$M45),1,"")</f>
        <v/>
      </c>
      <c r="AU45">
        <f>IF(AND($A45&lt;&gt;"",AU$3&gt;=$J45,AU$3&lt;=$M45),1,"")</f>
        <v/>
      </c>
      <c r="AV45">
        <f>IF(AND($A45&lt;&gt;"",AV$3&gt;=$J45,AV$3&lt;=$M45),1,"")</f>
        <v/>
      </c>
      <c r="AW45">
        <f>IF(AND($A45&lt;&gt;"",AW$3&gt;=$J45,AW$3&lt;=$M45),1,"")</f>
        <v/>
      </c>
      <c r="AX45">
        <f>IF(AND($A45&lt;&gt;"",AX$3&gt;=$J45,AX$3&lt;=$M45),1,"")</f>
        <v/>
      </c>
      <c r="AY45">
        <f>IF(AND($A45&lt;&gt;"",AY$3&gt;=$J45,AY$3&lt;=$M45),1,"")</f>
        <v/>
      </c>
      <c r="AZ45">
        <f>IF(AND($A45&lt;&gt;"",AZ$3&gt;=$J45,AZ$3&lt;=$M45),1,"")</f>
        <v/>
      </c>
      <c r="BA45">
        <f>IF(AND($A45&lt;&gt;"",BA$3&gt;=$J45,BA$3&lt;=$M45),1,"")</f>
        <v/>
      </c>
      <c r="BB45">
        <f>IF(AND($A45&lt;&gt;"",BB$3&gt;=$J45,BB$3&lt;=$M45),1,"")</f>
        <v/>
      </c>
      <c r="BC45">
        <f>IF(AND($A45&lt;&gt;"",BC$3&gt;=$J45,BC$3&lt;=$M45),1,"")</f>
        <v/>
      </c>
      <c r="BD45">
        <f>IF(AND($A45&lt;&gt;"",BD$3&gt;=$J45,BD$3&lt;=$M45),1,"")</f>
        <v/>
      </c>
      <c r="BE45">
        <f>IF(AND($A45&lt;&gt;"",BE$3&gt;=$J45,BE$3&lt;=$M45),1,"")</f>
        <v/>
      </c>
      <c r="BF45">
        <f>IF(AND($A45&lt;&gt;"",BF$3&gt;=$J45,BF$3&lt;=$M45),1,"")</f>
        <v/>
      </c>
      <c r="BG45">
        <f>IF(AND($A45&lt;&gt;"",BG$3&gt;=$J45,BG$3&lt;=$M45),1,"")</f>
        <v/>
      </c>
      <c r="BH45">
        <f>IF(AND($A45&lt;&gt;"",BH$3&gt;=$J45,BH$3&lt;=$M45),1,"")</f>
        <v/>
      </c>
      <c r="BI45">
        <f>IF(AND($A45&lt;&gt;"",BI$3&gt;=$J45,BI$3&lt;=$M45),1,"")</f>
        <v/>
      </c>
      <c r="BJ45">
        <f>IF(AND($A45&lt;&gt;"",BJ$3&gt;=$J45,BJ$3&lt;=$M45),1,"")</f>
        <v/>
      </c>
      <c r="BK45">
        <f>IF(AND($A45&lt;&gt;"",BK$3&gt;=$J45,BK$3&lt;=$M45),1,"")</f>
        <v/>
      </c>
      <c r="BL45">
        <f>IF(AND($A45&lt;&gt;"",BL$3&gt;=$J45,BL$3&lt;=$M45),1,"")</f>
        <v/>
      </c>
      <c r="BM45">
        <f>IF(AND($A45&lt;&gt;"",BM$3&gt;=$J45,BM$3&lt;=$M45),1,"")</f>
        <v/>
      </c>
      <c r="BN45">
        <f>IF(AND($A45&lt;&gt;"",BN$3&gt;=$J45,BN$3&lt;=$M45),1,"")</f>
        <v/>
      </c>
      <c r="BO45">
        <f>IF(AND($A45&lt;&gt;"",BO$3&gt;=$J45,BO$3&lt;=$M45),1,"")</f>
        <v/>
      </c>
      <c r="BP45">
        <f>IF(AND($A45&lt;&gt;"",BP$3&gt;=$J45,BP$3&lt;=$M45),1,"")</f>
        <v/>
      </c>
      <c r="BQ45">
        <f>IF(AND($A45&lt;&gt;"",BQ$3&gt;=$J45,BQ$3&lt;=$M45),1,"")</f>
        <v/>
      </c>
      <c r="BR45">
        <f>IF(AND($A45&lt;&gt;"",BR$3&gt;=$J45,BR$3&lt;=$M45),1,"")</f>
        <v/>
      </c>
      <c r="BS45">
        <f>IF(AND($A45&lt;&gt;"",BS$3&gt;=$J45,BS$3&lt;=$M45),1,"")</f>
        <v/>
      </c>
      <c r="BT45">
        <f>IF(AND($A45&lt;&gt;"",BT$3&gt;=$J45,BT$3&lt;=$M45),1,"")</f>
        <v/>
      </c>
      <c r="BU45">
        <f>IF(AND($A45&lt;&gt;"",BU$3&gt;=$J45,BU$3&lt;=$M45),1,"")</f>
        <v/>
      </c>
      <c r="BV45">
        <f>IF(AND($A45&lt;&gt;"",BV$3&gt;=$J45,BV$3&lt;=$M45),1,"")</f>
        <v/>
      </c>
    </row>
    <row r="46">
      <c r="A46">
        <f>IF(Job_Master_Ring!$A46="","",Job_Master_Ring!$A46)</f>
        <v/>
      </c>
      <c r="B46">
        <f>IF($A46="","",Job_Master_Ring!B46)</f>
        <v/>
      </c>
      <c r="C46">
        <f>IF($A46="","",Job_Master_Ring!C46)</f>
        <v/>
      </c>
      <c r="D46">
        <f>IF($A46="","",Job_Master_Ring!D46)</f>
        <v/>
      </c>
      <c r="E46">
        <f>IF($A46="","",IF($I46&lt;&gt;"",$I46,IFERROR(INDEX(Machine_List!$B$82:$B$86,MATCH(1,(Machine_List!$H$82:$H$86&lt;=IFERROR(VLOOKUP($B46,CHOOSE(MATCH($C46,Settings!$L$4:$L$10,0),OPR_BR1!$A$4:$K$18,OPR_BR2!$A$4:$K$18,OPR_CR2!$A$4:$K$18,OPR_CR3!$A$4:$K$18,OPR_CR4!$A$4:$K$18,OPR_RIM!$A$4:$K$18,OPR_BPR!$A$4:$K$18),10,0),0))*(Machine_List!$I$82:$I$86&gt;=IFERROR(VLOOKUP($B46,CHOOSE(MATCH($C46,Settings!$L$4:$L$10,0),OPR_BR1!$A$4:$K$18,OPR_BR2!$A$4:$K$18,OPR_CR2!$A$4:$K$18,OPR_CR3!$A$4:$K$18,OPR_CR4!$A$4:$K$18,OPR_RIM!$A$4:$K$18,OPR_BPR!$A$4:$K$18),11,0),9999)),0)),"NO COMPATIBLE MACHINE")))</f>
        <v/>
      </c>
      <c r="F46">
        <f>IF($E46="","",IFERROR(VLOOKUP($E46,Machine_List!$B:$G,6,0),""))</f>
        <v/>
      </c>
      <c r="G46" s="17">
        <f>IF($E46="","",IFERROR(VLOOKUP($E46,Machine_List!$B:$C,2,0),""))</f>
        <v/>
      </c>
      <c r="H46">
        <f>IF($E46="","",IFERROR(VLOOKUP($E46,Machine_List!$B:$D,3,0),""))</f>
        <v/>
      </c>
      <c r="J46" s="16">
        <f>IF($A46="","",IF($I46&lt;&gt;"",$I46,MAX(FID_Plan!$M46,IFERROR(LOOKUP(2,1/($E$3:INDIRECT("E"&amp;(ROW()-1))=$E46),$M$3:INDIRECT("M"&amp;(ROW()-1))),FID_Plan!$M46))))</f>
        <v/>
      </c>
      <c r="K46">
        <f>IF($A46="","",IFERROR(VLOOKUP(B46,CHOOSE(MATCH($C46,Settings!$L$4:$L$10,0),OPR_BR1!$A$4:$I$18,OPR_BR2!$A$4:$I$18,OPR_CR2!$A$4:$I$18,OPR_CR3!$A$4:$I$18,OPR_CR4!$A$4:$I$18,OPR_RIM!$A$4:$I$18,OPR_BPR!$A$4:$I$18),9,0),0))</f>
        <v/>
      </c>
      <c r="L46">
        <f>IF($A46="","",K46*D46)</f>
        <v/>
      </c>
      <c r="M46" s="16">
        <f>IF($A46=""," ",$J46+($L46/(IF(F46="Contract Workman",Settings!$K$5,Settings!$K$4))))</f>
        <v/>
      </c>
      <c r="N46">
        <f>IF($A46="","",IF(F46="Contract Workman",IF(AND(MOD(M46,1)&gt;=8/24,MOD(M46,1)&lt;20/24),"Shift S1","Shift S2"),IF(AND(MOD(M46,1)&gt;=7/24,MOD(M46,1)&lt;15/24),"Shift A",IF(AND(MOD(M46,1)&gt;=15/24,MOD(M46,1)&lt;23/24),"Shift B","Shift C"))))</f>
        <v/>
      </c>
      <c r="O46">
        <f>IF(B46="","",IF(IFERROR(ISNUMBER(SEARCH(TEXT(B46,"0"),VLOOKUP(E46,Machine_List!$B:$J,9,0))),FALSE),"✅ "&amp; E46,"❌ Sug: "&amp;IFERROR(INDEX(Machine_List!$B$82:$B$86,MATCH(1,(Machine_List!$H$82:$H$86&lt;=IFERROR(VLOOKUP($B46,OPR_BR1!$A$4:$K$18,10,0),0))*(Machine_List!$I$82:$I$86&gt;=IFERROR(VLOOKUP($B46,OPR_BR1!$A$4:$K$18,11,0),9999)),0)),"?")))</f>
        <v/>
      </c>
      <c r="P46">
        <f>IF(AND($A46&lt;&gt;"",P$3&gt;=$J46,P$3&lt;=$M46),1,"")</f>
        <v/>
      </c>
      <c r="Q46">
        <f>IF(AND($A46&lt;&gt;"",Q$3&gt;=$J46,Q$3&lt;=$M46),1,"")</f>
        <v/>
      </c>
      <c r="R46">
        <f>IF(AND($A46&lt;&gt;"",R$3&gt;=$J46,R$3&lt;=$M46),1,"")</f>
        <v/>
      </c>
      <c r="S46">
        <f>IF(AND($A46&lt;&gt;"",S$3&gt;=$J46,S$3&lt;=$M46),1,"")</f>
        <v/>
      </c>
      <c r="T46">
        <f>IF(AND($A46&lt;&gt;"",T$3&gt;=$J46,T$3&lt;=$M46),1,"")</f>
        <v/>
      </c>
      <c r="U46">
        <f>IF(AND($A46&lt;&gt;"",U$3&gt;=$J46,U$3&lt;=$M46),1,"")</f>
        <v/>
      </c>
      <c r="V46">
        <f>IF(AND($A46&lt;&gt;"",V$3&gt;=$J46,V$3&lt;=$M46),1,"")</f>
        <v/>
      </c>
      <c r="W46">
        <f>IF(AND($A46&lt;&gt;"",W$3&gt;=$J46,W$3&lt;=$M46),1,"")</f>
        <v/>
      </c>
      <c r="X46">
        <f>IF(AND($A46&lt;&gt;"",X$3&gt;=$J46,X$3&lt;=$M46),1,"")</f>
        <v/>
      </c>
      <c r="Y46">
        <f>IF(AND($A46&lt;&gt;"",Y$3&gt;=$J46,Y$3&lt;=$M46),1,"")</f>
        <v/>
      </c>
      <c r="Z46">
        <f>IF(AND($A46&lt;&gt;"",Z$3&gt;=$J46,Z$3&lt;=$M46),1,"")</f>
        <v/>
      </c>
      <c r="AA46">
        <f>IF(AND($A46&lt;&gt;"",AA$3&gt;=$J46,AA$3&lt;=$M46),1,"")</f>
        <v/>
      </c>
      <c r="AB46">
        <f>IF(AND($A46&lt;&gt;"",AB$3&gt;=$J46,AB$3&lt;=$M46),1,"")</f>
        <v/>
      </c>
      <c r="AC46">
        <f>IF(AND($A46&lt;&gt;"",AC$3&gt;=$J46,AC$3&lt;=$M46),1,"")</f>
        <v/>
      </c>
      <c r="AD46">
        <f>IF(AND($A46&lt;&gt;"",AD$3&gt;=$J46,AD$3&lt;=$M46),1,"")</f>
        <v/>
      </c>
      <c r="AE46">
        <f>IF(AND($A46&lt;&gt;"",AE$3&gt;=$J46,AE$3&lt;=$M46),1,"")</f>
        <v/>
      </c>
      <c r="AF46">
        <f>IF(AND($A46&lt;&gt;"",AF$3&gt;=$J46,AF$3&lt;=$M46),1,"")</f>
        <v/>
      </c>
      <c r="AG46">
        <f>IF(AND($A46&lt;&gt;"",AG$3&gt;=$J46,AG$3&lt;=$M46),1,"")</f>
        <v/>
      </c>
      <c r="AH46">
        <f>IF(AND($A46&lt;&gt;"",AH$3&gt;=$J46,AH$3&lt;=$M46),1,"")</f>
        <v/>
      </c>
      <c r="AI46">
        <f>IF(AND($A46&lt;&gt;"",AI$3&gt;=$J46,AI$3&lt;=$M46),1,"")</f>
        <v/>
      </c>
      <c r="AJ46">
        <f>IF(AND($A46&lt;&gt;"",AJ$3&gt;=$J46,AJ$3&lt;=$M46),1,"")</f>
        <v/>
      </c>
      <c r="AK46">
        <f>IF(AND($A46&lt;&gt;"",AK$3&gt;=$J46,AK$3&lt;=$M46),1,"")</f>
        <v/>
      </c>
      <c r="AL46">
        <f>IF(AND($A46&lt;&gt;"",AL$3&gt;=$J46,AL$3&lt;=$M46),1,"")</f>
        <v/>
      </c>
      <c r="AM46">
        <f>IF(AND($A46&lt;&gt;"",AM$3&gt;=$J46,AM$3&lt;=$M46),1,"")</f>
        <v/>
      </c>
      <c r="AN46">
        <f>IF(AND($A46&lt;&gt;"",AN$3&gt;=$J46,AN$3&lt;=$M46),1,"")</f>
        <v/>
      </c>
      <c r="AO46">
        <f>IF(AND($A46&lt;&gt;"",AO$3&gt;=$J46,AO$3&lt;=$M46),1,"")</f>
        <v/>
      </c>
      <c r="AP46">
        <f>IF(AND($A46&lt;&gt;"",AP$3&gt;=$J46,AP$3&lt;=$M46),1,"")</f>
        <v/>
      </c>
      <c r="AQ46">
        <f>IF(AND($A46&lt;&gt;"",AQ$3&gt;=$J46,AQ$3&lt;=$M46),1,"")</f>
        <v/>
      </c>
      <c r="AR46">
        <f>IF(AND($A46&lt;&gt;"",AR$3&gt;=$J46,AR$3&lt;=$M46),1,"")</f>
        <v/>
      </c>
      <c r="AS46">
        <f>IF(AND($A46&lt;&gt;"",AS$3&gt;=$J46,AS$3&lt;=$M46),1,"")</f>
        <v/>
      </c>
      <c r="AT46">
        <f>IF(AND($A46&lt;&gt;"",AT$3&gt;=$J46,AT$3&lt;=$M46),1,"")</f>
        <v/>
      </c>
      <c r="AU46">
        <f>IF(AND($A46&lt;&gt;"",AU$3&gt;=$J46,AU$3&lt;=$M46),1,"")</f>
        <v/>
      </c>
      <c r="AV46">
        <f>IF(AND($A46&lt;&gt;"",AV$3&gt;=$J46,AV$3&lt;=$M46),1,"")</f>
        <v/>
      </c>
      <c r="AW46">
        <f>IF(AND($A46&lt;&gt;"",AW$3&gt;=$J46,AW$3&lt;=$M46),1,"")</f>
        <v/>
      </c>
      <c r="AX46">
        <f>IF(AND($A46&lt;&gt;"",AX$3&gt;=$J46,AX$3&lt;=$M46),1,"")</f>
        <v/>
      </c>
      <c r="AY46">
        <f>IF(AND($A46&lt;&gt;"",AY$3&gt;=$J46,AY$3&lt;=$M46),1,"")</f>
        <v/>
      </c>
      <c r="AZ46">
        <f>IF(AND($A46&lt;&gt;"",AZ$3&gt;=$J46,AZ$3&lt;=$M46),1,"")</f>
        <v/>
      </c>
      <c r="BA46">
        <f>IF(AND($A46&lt;&gt;"",BA$3&gt;=$J46,BA$3&lt;=$M46),1,"")</f>
        <v/>
      </c>
      <c r="BB46">
        <f>IF(AND($A46&lt;&gt;"",BB$3&gt;=$J46,BB$3&lt;=$M46),1,"")</f>
        <v/>
      </c>
      <c r="BC46">
        <f>IF(AND($A46&lt;&gt;"",BC$3&gt;=$J46,BC$3&lt;=$M46),1,"")</f>
        <v/>
      </c>
      <c r="BD46">
        <f>IF(AND($A46&lt;&gt;"",BD$3&gt;=$J46,BD$3&lt;=$M46),1,"")</f>
        <v/>
      </c>
      <c r="BE46">
        <f>IF(AND($A46&lt;&gt;"",BE$3&gt;=$J46,BE$3&lt;=$M46),1,"")</f>
        <v/>
      </c>
      <c r="BF46">
        <f>IF(AND($A46&lt;&gt;"",BF$3&gt;=$J46,BF$3&lt;=$M46),1,"")</f>
        <v/>
      </c>
      <c r="BG46">
        <f>IF(AND($A46&lt;&gt;"",BG$3&gt;=$J46,BG$3&lt;=$M46),1,"")</f>
        <v/>
      </c>
      <c r="BH46">
        <f>IF(AND($A46&lt;&gt;"",BH$3&gt;=$J46,BH$3&lt;=$M46),1,"")</f>
        <v/>
      </c>
      <c r="BI46">
        <f>IF(AND($A46&lt;&gt;"",BI$3&gt;=$J46,BI$3&lt;=$M46),1,"")</f>
        <v/>
      </c>
      <c r="BJ46">
        <f>IF(AND($A46&lt;&gt;"",BJ$3&gt;=$J46,BJ$3&lt;=$M46),1,"")</f>
        <v/>
      </c>
      <c r="BK46">
        <f>IF(AND($A46&lt;&gt;"",BK$3&gt;=$J46,BK$3&lt;=$M46),1,"")</f>
        <v/>
      </c>
      <c r="BL46">
        <f>IF(AND($A46&lt;&gt;"",BL$3&gt;=$J46,BL$3&lt;=$M46),1,"")</f>
        <v/>
      </c>
      <c r="BM46">
        <f>IF(AND($A46&lt;&gt;"",BM$3&gt;=$J46,BM$3&lt;=$M46),1,"")</f>
        <v/>
      </c>
      <c r="BN46">
        <f>IF(AND($A46&lt;&gt;"",BN$3&gt;=$J46,BN$3&lt;=$M46),1,"")</f>
        <v/>
      </c>
      <c r="BO46">
        <f>IF(AND($A46&lt;&gt;"",BO$3&gt;=$J46,BO$3&lt;=$M46),1,"")</f>
        <v/>
      </c>
      <c r="BP46">
        <f>IF(AND($A46&lt;&gt;"",BP$3&gt;=$J46,BP$3&lt;=$M46),1,"")</f>
        <v/>
      </c>
      <c r="BQ46">
        <f>IF(AND($A46&lt;&gt;"",BQ$3&gt;=$J46,BQ$3&lt;=$M46),1,"")</f>
        <v/>
      </c>
      <c r="BR46">
        <f>IF(AND($A46&lt;&gt;"",BR$3&gt;=$J46,BR$3&lt;=$M46),1,"")</f>
        <v/>
      </c>
      <c r="BS46">
        <f>IF(AND($A46&lt;&gt;"",BS$3&gt;=$J46,BS$3&lt;=$M46),1,"")</f>
        <v/>
      </c>
      <c r="BT46">
        <f>IF(AND($A46&lt;&gt;"",BT$3&gt;=$J46,BT$3&lt;=$M46),1,"")</f>
        <v/>
      </c>
      <c r="BU46">
        <f>IF(AND($A46&lt;&gt;"",BU$3&gt;=$J46,BU$3&lt;=$M46),1,"")</f>
        <v/>
      </c>
      <c r="BV46">
        <f>IF(AND($A46&lt;&gt;"",BV$3&gt;=$J46,BV$3&lt;=$M46),1,"")</f>
        <v/>
      </c>
    </row>
    <row r="47">
      <c r="A47">
        <f>IF(Job_Master_Ring!$A47="","",Job_Master_Ring!$A47)</f>
        <v/>
      </c>
      <c r="B47">
        <f>IF($A47="","",Job_Master_Ring!B47)</f>
        <v/>
      </c>
      <c r="C47">
        <f>IF($A47="","",Job_Master_Ring!C47)</f>
        <v/>
      </c>
      <c r="D47">
        <f>IF($A47="","",Job_Master_Ring!D47)</f>
        <v/>
      </c>
      <c r="E47">
        <f>IF($A47="","",IF($I47&lt;&gt;"",$I47,IFERROR(INDEX(Machine_List!$B$82:$B$86,MATCH(1,(Machine_List!$H$82:$H$86&lt;=IFERROR(VLOOKUP($B47,CHOOSE(MATCH($C47,Settings!$L$4:$L$10,0),OPR_BR1!$A$4:$K$18,OPR_BR2!$A$4:$K$18,OPR_CR2!$A$4:$K$18,OPR_CR3!$A$4:$K$18,OPR_CR4!$A$4:$K$18,OPR_RIM!$A$4:$K$18,OPR_BPR!$A$4:$K$18),10,0),0))*(Machine_List!$I$82:$I$86&gt;=IFERROR(VLOOKUP($B47,CHOOSE(MATCH($C47,Settings!$L$4:$L$10,0),OPR_BR1!$A$4:$K$18,OPR_BR2!$A$4:$K$18,OPR_CR2!$A$4:$K$18,OPR_CR3!$A$4:$K$18,OPR_CR4!$A$4:$K$18,OPR_RIM!$A$4:$K$18,OPR_BPR!$A$4:$K$18),11,0),9999)),0)),"NO COMPATIBLE MACHINE")))</f>
        <v/>
      </c>
      <c r="F47">
        <f>IF($E47="","",IFERROR(VLOOKUP($E47,Machine_List!$B:$G,6,0),""))</f>
        <v/>
      </c>
      <c r="G47" s="17">
        <f>IF($E47="","",IFERROR(VLOOKUP($E47,Machine_List!$B:$C,2,0),""))</f>
        <v/>
      </c>
      <c r="H47">
        <f>IF($E47="","",IFERROR(VLOOKUP($E47,Machine_List!$B:$D,3,0),""))</f>
        <v/>
      </c>
      <c r="J47" s="16">
        <f>IF($A47="","",IF($I47&lt;&gt;"",$I47,MAX(FID_Plan!$M47,IFERROR(LOOKUP(2,1/($E$3:INDIRECT("E"&amp;(ROW()-1))=$E47),$M$3:INDIRECT("M"&amp;(ROW()-1))),FID_Plan!$M47))))</f>
        <v/>
      </c>
      <c r="K47">
        <f>IF($A47="","",IFERROR(VLOOKUP(B47,CHOOSE(MATCH($C47,Settings!$L$4:$L$10,0),OPR_BR1!$A$4:$I$18,OPR_BR2!$A$4:$I$18,OPR_CR2!$A$4:$I$18,OPR_CR3!$A$4:$I$18,OPR_CR4!$A$4:$I$18,OPR_RIM!$A$4:$I$18,OPR_BPR!$A$4:$I$18),9,0),0))</f>
        <v/>
      </c>
      <c r="L47">
        <f>IF($A47="","",K47*D47)</f>
        <v/>
      </c>
      <c r="M47" s="16">
        <f>IF($A47=""," ",$J47+($L47/(IF(F47="Contract Workman",Settings!$K$5,Settings!$K$4))))</f>
        <v/>
      </c>
      <c r="N47">
        <f>IF($A47="","",IF(F47="Contract Workman",IF(AND(MOD(M47,1)&gt;=8/24,MOD(M47,1)&lt;20/24),"Shift S1","Shift S2"),IF(AND(MOD(M47,1)&gt;=7/24,MOD(M47,1)&lt;15/24),"Shift A",IF(AND(MOD(M47,1)&gt;=15/24,MOD(M47,1)&lt;23/24),"Shift B","Shift C"))))</f>
        <v/>
      </c>
      <c r="O47">
        <f>IF(B47="","",IF(IFERROR(ISNUMBER(SEARCH(TEXT(B47,"0"),VLOOKUP(E47,Machine_List!$B:$J,9,0))),FALSE),"✅ "&amp; E47,"❌ Sug: "&amp;IFERROR(INDEX(Machine_List!$B$82:$B$86,MATCH(1,(Machine_List!$H$82:$H$86&lt;=IFERROR(VLOOKUP($B47,OPR_BR1!$A$4:$K$18,10,0),0))*(Machine_List!$I$82:$I$86&gt;=IFERROR(VLOOKUP($B47,OPR_BR1!$A$4:$K$18,11,0),9999)),0)),"?")))</f>
        <v/>
      </c>
      <c r="P47">
        <f>IF(AND($A47&lt;&gt;"",P$3&gt;=$J47,P$3&lt;=$M47),1,"")</f>
        <v/>
      </c>
      <c r="Q47">
        <f>IF(AND($A47&lt;&gt;"",Q$3&gt;=$J47,Q$3&lt;=$M47),1,"")</f>
        <v/>
      </c>
      <c r="R47">
        <f>IF(AND($A47&lt;&gt;"",R$3&gt;=$J47,R$3&lt;=$M47),1,"")</f>
        <v/>
      </c>
      <c r="S47">
        <f>IF(AND($A47&lt;&gt;"",S$3&gt;=$J47,S$3&lt;=$M47),1,"")</f>
        <v/>
      </c>
      <c r="T47">
        <f>IF(AND($A47&lt;&gt;"",T$3&gt;=$J47,T$3&lt;=$M47),1,"")</f>
        <v/>
      </c>
      <c r="U47">
        <f>IF(AND($A47&lt;&gt;"",U$3&gt;=$J47,U$3&lt;=$M47),1,"")</f>
        <v/>
      </c>
      <c r="V47">
        <f>IF(AND($A47&lt;&gt;"",V$3&gt;=$J47,V$3&lt;=$M47),1,"")</f>
        <v/>
      </c>
      <c r="W47">
        <f>IF(AND($A47&lt;&gt;"",W$3&gt;=$J47,W$3&lt;=$M47),1,"")</f>
        <v/>
      </c>
      <c r="X47">
        <f>IF(AND($A47&lt;&gt;"",X$3&gt;=$J47,X$3&lt;=$M47),1,"")</f>
        <v/>
      </c>
      <c r="Y47">
        <f>IF(AND($A47&lt;&gt;"",Y$3&gt;=$J47,Y$3&lt;=$M47),1,"")</f>
        <v/>
      </c>
      <c r="Z47">
        <f>IF(AND($A47&lt;&gt;"",Z$3&gt;=$J47,Z$3&lt;=$M47),1,"")</f>
        <v/>
      </c>
      <c r="AA47">
        <f>IF(AND($A47&lt;&gt;"",AA$3&gt;=$J47,AA$3&lt;=$M47),1,"")</f>
        <v/>
      </c>
      <c r="AB47">
        <f>IF(AND($A47&lt;&gt;"",AB$3&gt;=$J47,AB$3&lt;=$M47),1,"")</f>
        <v/>
      </c>
      <c r="AC47">
        <f>IF(AND($A47&lt;&gt;"",AC$3&gt;=$J47,AC$3&lt;=$M47),1,"")</f>
        <v/>
      </c>
      <c r="AD47">
        <f>IF(AND($A47&lt;&gt;"",AD$3&gt;=$J47,AD$3&lt;=$M47),1,"")</f>
        <v/>
      </c>
      <c r="AE47">
        <f>IF(AND($A47&lt;&gt;"",AE$3&gt;=$J47,AE$3&lt;=$M47),1,"")</f>
        <v/>
      </c>
      <c r="AF47">
        <f>IF(AND($A47&lt;&gt;"",AF$3&gt;=$J47,AF$3&lt;=$M47),1,"")</f>
        <v/>
      </c>
      <c r="AG47">
        <f>IF(AND($A47&lt;&gt;"",AG$3&gt;=$J47,AG$3&lt;=$M47),1,"")</f>
        <v/>
      </c>
      <c r="AH47">
        <f>IF(AND($A47&lt;&gt;"",AH$3&gt;=$J47,AH$3&lt;=$M47),1,"")</f>
        <v/>
      </c>
      <c r="AI47">
        <f>IF(AND($A47&lt;&gt;"",AI$3&gt;=$J47,AI$3&lt;=$M47),1,"")</f>
        <v/>
      </c>
      <c r="AJ47">
        <f>IF(AND($A47&lt;&gt;"",AJ$3&gt;=$J47,AJ$3&lt;=$M47),1,"")</f>
        <v/>
      </c>
      <c r="AK47">
        <f>IF(AND($A47&lt;&gt;"",AK$3&gt;=$J47,AK$3&lt;=$M47),1,"")</f>
        <v/>
      </c>
      <c r="AL47">
        <f>IF(AND($A47&lt;&gt;"",AL$3&gt;=$J47,AL$3&lt;=$M47),1,"")</f>
        <v/>
      </c>
      <c r="AM47">
        <f>IF(AND($A47&lt;&gt;"",AM$3&gt;=$J47,AM$3&lt;=$M47),1,"")</f>
        <v/>
      </c>
      <c r="AN47">
        <f>IF(AND($A47&lt;&gt;"",AN$3&gt;=$J47,AN$3&lt;=$M47),1,"")</f>
        <v/>
      </c>
      <c r="AO47">
        <f>IF(AND($A47&lt;&gt;"",AO$3&gt;=$J47,AO$3&lt;=$M47),1,"")</f>
        <v/>
      </c>
      <c r="AP47">
        <f>IF(AND($A47&lt;&gt;"",AP$3&gt;=$J47,AP$3&lt;=$M47),1,"")</f>
        <v/>
      </c>
      <c r="AQ47">
        <f>IF(AND($A47&lt;&gt;"",AQ$3&gt;=$J47,AQ$3&lt;=$M47),1,"")</f>
        <v/>
      </c>
      <c r="AR47">
        <f>IF(AND($A47&lt;&gt;"",AR$3&gt;=$J47,AR$3&lt;=$M47),1,"")</f>
        <v/>
      </c>
      <c r="AS47">
        <f>IF(AND($A47&lt;&gt;"",AS$3&gt;=$J47,AS$3&lt;=$M47),1,"")</f>
        <v/>
      </c>
      <c r="AT47">
        <f>IF(AND($A47&lt;&gt;"",AT$3&gt;=$J47,AT$3&lt;=$M47),1,"")</f>
        <v/>
      </c>
      <c r="AU47">
        <f>IF(AND($A47&lt;&gt;"",AU$3&gt;=$J47,AU$3&lt;=$M47),1,"")</f>
        <v/>
      </c>
      <c r="AV47">
        <f>IF(AND($A47&lt;&gt;"",AV$3&gt;=$J47,AV$3&lt;=$M47),1,"")</f>
        <v/>
      </c>
      <c r="AW47">
        <f>IF(AND($A47&lt;&gt;"",AW$3&gt;=$J47,AW$3&lt;=$M47),1,"")</f>
        <v/>
      </c>
      <c r="AX47">
        <f>IF(AND($A47&lt;&gt;"",AX$3&gt;=$J47,AX$3&lt;=$M47),1,"")</f>
        <v/>
      </c>
      <c r="AY47">
        <f>IF(AND($A47&lt;&gt;"",AY$3&gt;=$J47,AY$3&lt;=$M47),1,"")</f>
        <v/>
      </c>
      <c r="AZ47">
        <f>IF(AND($A47&lt;&gt;"",AZ$3&gt;=$J47,AZ$3&lt;=$M47),1,"")</f>
        <v/>
      </c>
      <c r="BA47">
        <f>IF(AND($A47&lt;&gt;"",BA$3&gt;=$J47,BA$3&lt;=$M47),1,"")</f>
        <v/>
      </c>
      <c r="BB47">
        <f>IF(AND($A47&lt;&gt;"",BB$3&gt;=$J47,BB$3&lt;=$M47),1,"")</f>
        <v/>
      </c>
      <c r="BC47">
        <f>IF(AND($A47&lt;&gt;"",BC$3&gt;=$J47,BC$3&lt;=$M47),1,"")</f>
        <v/>
      </c>
      <c r="BD47">
        <f>IF(AND($A47&lt;&gt;"",BD$3&gt;=$J47,BD$3&lt;=$M47),1,"")</f>
        <v/>
      </c>
      <c r="BE47">
        <f>IF(AND($A47&lt;&gt;"",BE$3&gt;=$J47,BE$3&lt;=$M47),1,"")</f>
        <v/>
      </c>
      <c r="BF47">
        <f>IF(AND($A47&lt;&gt;"",BF$3&gt;=$J47,BF$3&lt;=$M47),1,"")</f>
        <v/>
      </c>
      <c r="BG47">
        <f>IF(AND($A47&lt;&gt;"",BG$3&gt;=$J47,BG$3&lt;=$M47),1,"")</f>
        <v/>
      </c>
      <c r="BH47">
        <f>IF(AND($A47&lt;&gt;"",BH$3&gt;=$J47,BH$3&lt;=$M47),1,"")</f>
        <v/>
      </c>
      <c r="BI47">
        <f>IF(AND($A47&lt;&gt;"",BI$3&gt;=$J47,BI$3&lt;=$M47),1,"")</f>
        <v/>
      </c>
      <c r="BJ47">
        <f>IF(AND($A47&lt;&gt;"",BJ$3&gt;=$J47,BJ$3&lt;=$M47),1,"")</f>
        <v/>
      </c>
      <c r="BK47">
        <f>IF(AND($A47&lt;&gt;"",BK$3&gt;=$J47,BK$3&lt;=$M47),1,"")</f>
        <v/>
      </c>
      <c r="BL47">
        <f>IF(AND($A47&lt;&gt;"",BL$3&gt;=$J47,BL$3&lt;=$M47),1,"")</f>
        <v/>
      </c>
      <c r="BM47">
        <f>IF(AND($A47&lt;&gt;"",BM$3&gt;=$J47,BM$3&lt;=$M47),1,"")</f>
        <v/>
      </c>
      <c r="BN47">
        <f>IF(AND($A47&lt;&gt;"",BN$3&gt;=$J47,BN$3&lt;=$M47),1,"")</f>
        <v/>
      </c>
      <c r="BO47">
        <f>IF(AND($A47&lt;&gt;"",BO$3&gt;=$J47,BO$3&lt;=$M47),1,"")</f>
        <v/>
      </c>
      <c r="BP47">
        <f>IF(AND($A47&lt;&gt;"",BP$3&gt;=$J47,BP$3&lt;=$M47),1,"")</f>
        <v/>
      </c>
      <c r="BQ47">
        <f>IF(AND($A47&lt;&gt;"",BQ$3&gt;=$J47,BQ$3&lt;=$M47),1,"")</f>
        <v/>
      </c>
      <c r="BR47">
        <f>IF(AND($A47&lt;&gt;"",BR$3&gt;=$J47,BR$3&lt;=$M47),1,"")</f>
        <v/>
      </c>
      <c r="BS47">
        <f>IF(AND($A47&lt;&gt;"",BS$3&gt;=$J47,BS$3&lt;=$M47),1,"")</f>
        <v/>
      </c>
      <c r="BT47">
        <f>IF(AND($A47&lt;&gt;"",BT$3&gt;=$J47,BT$3&lt;=$M47),1,"")</f>
        <v/>
      </c>
      <c r="BU47">
        <f>IF(AND($A47&lt;&gt;"",BU$3&gt;=$J47,BU$3&lt;=$M47),1,"")</f>
        <v/>
      </c>
      <c r="BV47">
        <f>IF(AND($A47&lt;&gt;"",BV$3&gt;=$J47,BV$3&lt;=$M47),1,"")</f>
        <v/>
      </c>
    </row>
    <row r="48">
      <c r="A48">
        <f>IF(Job_Master_Ring!$A48="","",Job_Master_Ring!$A48)</f>
        <v/>
      </c>
      <c r="B48">
        <f>IF($A48="","",Job_Master_Ring!B48)</f>
        <v/>
      </c>
      <c r="C48">
        <f>IF($A48="","",Job_Master_Ring!C48)</f>
        <v/>
      </c>
      <c r="D48">
        <f>IF($A48="","",Job_Master_Ring!D48)</f>
        <v/>
      </c>
      <c r="E48">
        <f>IF($A48="","",IF($I48&lt;&gt;"",$I48,IFERROR(INDEX(Machine_List!$B$82:$B$86,MATCH(1,(Machine_List!$H$82:$H$86&lt;=IFERROR(VLOOKUP($B48,CHOOSE(MATCH($C48,Settings!$L$4:$L$10,0),OPR_BR1!$A$4:$K$18,OPR_BR2!$A$4:$K$18,OPR_CR2!$A$4:$K$18,OPR_CR3!$A$4:$K$18,OPR_CR4!$A$4:$K$18,OPR_RIM!$A$4:$K$18,OPR_BPR!$A$4:$K$18),10,0),0))*(Machine_List!$I$82:$I$86&gt;=IFERROR(VLOOKUP($B48,CHOOSE(MATCH($C48,Settings!$L$4:$L$10,0),OPR_BR1!$A$4:$K$18,OPR_BR2!$A$4:$K$18,OPR_CR2!$A$4:$K$18,OPR_CR3!$A$4:$K$18,OPR_CR4!$A$4:$K$18,OPR_RIM!$A$4:$K$18,OPR_BPR!$A$4:$K$18),11,0),9999)),0)),"NO COMPATIBLE MACHINE")))</f>
        <v/>
      </c>
      <c r="F48">
        <f>IF($E48="","",IFERROR(VLOOKUP($E48,Machine_List!$B:$G,6,0),""))</f>
        <v/>
      </c>
      <c r="G48" s="17">
        <f>IF($E48="","",IFERROR(VLOOKUP($E48,Machine_List!$B:$C,2,0),""))</f>
        <v/>
      </c>
      <c r="H48">
        <f>IF($E48="","",IFERROR(VLOOKUP($E48,Machine_List!$B:$D,3,0),""))</f>
        <v/>
      </c>
      <c r="J48" s="16">
        <f>IF($A48="","",IF($I48&lt;&gt;"",$I48,MAX(FID_Plan!$M48,IFERROR(LOOKUP(2,1/($E$3:INDIRECT("E"&amp;(ROW()-1))=$E48),$M$3:INDIRECT("M"&amp;(ROW()-1))),FID_Plan!$M48))))</f>
        <v/>
      </c>
      <c r="K48">
        <f>IF($A48="","",IFERROR(VLOOKUP(B48,CHOOSE(MATCH($C48,Settings!$L$4:$L$10,0),OPR_BR1!$A$4:$I$18,OPR_BR2!$A$4:$I$18,OPR_CR2!$A$4:$I$18,OPR_CR3!$A$4:$I$18,OPR_CR4!$A$4:$I$18,OPR_RIM!$A$4:$I$18,OPR_BPR!$A$4:$I$18),9,0),0))</f>
        <v/>
      </c>
      <c r="L48">
        <f>IF($A48="","",K48*D48)</f>
        <v/>
      </c>
      <c r="M48" s="16">
        <f>IF($A48=""," ",$J48+($L48/(IF(F48="Contract Workman",Settings!$K$5,Settings!$K$4))))</f>
        <v/>
      </c>
      <c r="N48">
        <f>IF($A48="","",IF(F48="Contract Workman",IF(AND(MOD(M48,1)&gt;=8/24,MOD(M48,1)&lt;20/24),"Shift S1","Shift S2"),IF(AND(MOD(M48,1)&gt;=7/24,MOD(M48,1)&lt;15/24),"Shift A",IF(AND(MOD(M48,1)&gt;=15/24,MOD(M48,1)&lt;23/24),"Shift B","Shift C"))))</f>
        <v/>
      </c>
      <c r="O48">
        <f>IF(B48="","",IF(IFERROR(ISNUMBER(SEARCH(TEXT(B48,"0"),VLOOKUP(E48,Machine_List!$B:$J,9,0))),FALSE),"✅ "&amp; E48,"❌ Sug: "&amp;IFERROR(INDEX(Machine_List!$B$82:$B$86,MATCH(1,(Machine_List!$H$82:$H$86&lt;=IFERROR(VLOOKUP($B48,OPR_BR1!$A$4:$K$18,10,0),0))*(Machine_List!$I$82:$I$86&gt;=IFERROR(VLOOKUP($B48,OPR_BR1!$A$4:$K$18,11,0),9999)),0)),"?")))</f>
        <v/>
      </c>
      <c r="P48">
        <f>IF(AND($A48&lt;&gt;"",P$3&gt;=$J48,P$3&lt;=$M48),1,"")</f>
        <v/>
      </c>
      <c r="Q48">
        <f>IF(AND($A48&lt;&gt;"",Q$3&gt;=$J48,Q$3&lt;=$M48),1,"")</f>
        <v/>
      </c>
      <c r="R48">
        <f>IF(AND($A48&lt;&gt;"",R$3&gt;=$J48,R$3&lt;=$M48),1,"")</f>
        <v/>
      </c>
      <c r="S48">
        <f>IF(AND($A48&lt;&gt;"",S$3&gt;=$J48,S$3&lt;=$M48),1,"")</f>
        <v/>
      </c>
      <c r="T48">
        <f>IF(AND($A48&lt;&gt;"",T$3&gt;=$J48,T$3&lt;=$M48),1,"")</f>
        <v/>
      </c>
      <c r="U48">
        <f>IF(AND($A48&lt;&gt;"",U$3&gt;=$J48,U$3&lt;=$M48),1,"")</f>
        <v/>
      </c>
      <c r="V48">
        <f>IF(AND($A48&lt;&gt;"",V$3&gt;=$J48,V$3&lt;=$M48),1,"")</f>
        <v/>
      </c>
      <c r="W48">
        <f>IF(AND($A48&lt;&gt;"",W$3&gt;=$J48,W$3&lt;=$M48),1,"")</f>
        <v/>
      </c>
      <c r="X48">
        <f>IF(AND($A48&lt;&gt;"",X$3&gt;=$J48,X$3&lt;=$M48),1,"")</f>
        <v/>
      </c>
      <c r="Y48">
        <f>IF(AND($A48&lt;&gt;"",Y$3&gt;=$J48,Y$3&lt;=$M48),1,"")</f>
        <v/>
      </c>
      <c r="Z48">
        <f>IF(AND($A48&lt;&gt;"",Z$3&gt;=$J48,Z$3&lt;=$M48),1,"")</f>
        <v/>
      </c>
      <c r="AA48">
        <f>IF(AND($A48&lt;&gt;"",AA$3&gt;=$J48,AA$3&lt;=$M48),1,"")</f>
        <v/>
      </c>
      <c r="AB48">
        <f>IF(AND($A48&lt;&gt;"",AB$3&gt;=$J48,AB$3&lt;=$M48),1,"")</f>
        <v/>
      </c>
      <c r="AC48">
        <f>IF(AND($A48&lt;&gt;"",AC$3&gt;=$J48,AC$3&lt;=$M48),1,"")</f>
        <v/>
      </c>
      <c r="AD48">
        <f>IF(AND($A48&lt;&gt;"",AD$3&gt;=$J48,AD$3&lt;=$M48),1,"")</f>
        <v/>
      </c>
      <c r="AE48">
        <f>IF(AND($A48&lt;&gt;"",AE$3&gt;=$J48,AE$3&lt;=$M48),1,"")</f>
        <v/>
      </c>
      <c r="AF48">
        <f>IF(AND($A48&lt;&gt;"",AF$3&gt;=$J48,AF$3&lt;=$M48),1,"")</f>
        <v/>
      </c>
      <c r="AG48">
        <f>IF(AND($A48&lt;&gt;"",AG$3&gt;=$J48,AG$3&lt;=$M48),1,"")</f>
        <v/>
      </c>
      <c r="AH48">
        <f>IF(AND($A48&lt;&gt;"",AH$3&gt;=$J48,AH$3&lt;=$M48),1,"")</f>
        <v/>
      </c>
      <c r="AI48">
        <f>IF(AND($A48&lt;&gt;"",AI$3&gt;=$J48,AI$3&lt;=$M48),1,"")</f>
        <v/>
      </c>
      <c r="AJ48">
        <f>IF(AND($A48&lt;&gt;"",AJ$3&gt;=$J48,AJ$3&lt;=$M48),1,"")</f>
        <v/>
      </c>
      <c r="AK48">
        <f>IF(AND($A48&lt;&gt;"",AK$3&gt;=$J48,AK$3&lt;=$M48),1,"")</f>
        <v/>
      </c>
      <c r="AL48">
        <f>IF(AND($A48&lt;&gt;"",AL$3&gt;=$J48,AL$3&lt;=$M48),1,"")</f>
        <v/>
      </c>
      <c r="AM48">
        <f>IF(AND($A48&lt;&gt;"",AM$3&gt;=$J48,AM$3&lt;=$M48),1,"")</f>
        <v/>
      </c>
      <c r="AN48">
        <f>IF(AND($A48&lt;&gt;"",AN$3&gt;=$J48,AN$3&lt;=$M48),1,"")</f>
        <v/>
      </c>
      <c r="AO48">
        <f>IF(AND($A48&lt;&gt;"",AO$3&gt;=$J48,AO$3&lt;=$M48),1,"")</f>
        <v/>
      </c>
      <c r="AP48">
        <f>IF(AND($A48&lt;&gt;"",AP$3&gt;=$J48,AP$3&lt;=$M48),1,"")</f>
        <v/>
      </c>
      <c r="AQ48">
        <f>IF(AND($A48&lt;&gt;"",AQ$3&gt;=$J48,AQ$3&lt;=$M48),1,"")</f>
        <v/>
      </c>
      <c r="AR48">
        <f>IF(AND($A48&lt;&gt;"",AR$3&gt;=$J48,AR$3&lt;=$M48),1,"")</f>
        <v/>
      </c>
      <c r="AS48">
        <f>IF(AND($A48&lt;&gt;"",AS$3&gt;=$J48,AS$3&lt;=$M48),1,"")</f>
        <v/>
      </c>
      <c r="AT48">
        <f>IF(AND($A48&lt;&gt;"",AT$3&gt;=$J48,AT$3&lt;=$M48),1,"")</f>
        <v/>
      </c>
      <c r="AU48">
        <f>IF(AND($A48&lt;&gt;"",AU$3&gt;=$J48,AU$3&lt;=$M48),1,"")</f>
        <v/>
      </c>
      <c r="AV48">
        <f>IF(AND($A48&lt;&gt;"",AV$3&gt;=$J48,AV$3&lt;=$M48),1,"")</f>
        <v/>
      </c>
      <c r="AW48">
        <f>IF(AND($A48&lt;&gt;"",AW$3&gt;=$J48,AW$3&lt;=$M48),1,"")</f>
        <v/>
      </c>
      <c r="AX48">
        <f>IF(AND($A48&lt;&gt;"",AX$3&gt;=$J48,AX$3&lt;=$M48),1,"")</f>
        <v/>
      </c>
      <c r="AY48">
        <f>IF(AND($A48&lt;&gt;"",AY$3&gt;=$J48,AY$3&lt;=$M48),1,"")</f>
        <v/>
      </c>
      <c r="AZ48">
        <f>IF(AND($A48&lt;&gt;"",AZ$3&gt;=$J48,AZ$3&lt;=$M48),1,"")</f>
        <v/>
      </c>
      <c r="BA48">
        <f>IF(AND($A48&lt;&gt;"",BA$3&gt;=$J48,BA$3&lt;=$M48),1,"")</f>
        <v/>
      </c>
      <c r="BB48">
        <f>IF(AND($A48&lt;&gt;"",BB$3&gt;=$J48,BB$3&lt;=$M48),1,"")</f>
        <v/>
      </c>
      <c r="BC48">
        <f>IF(AND($A48&lt;&gt;"",BC$3&gt;=$J48,BC$3&lt;=$M48),1,"")</f>
        <v/>
      </c>
      <c r="BD48">
        <f>IF(AND($A48&lt;&gt;"",BD$3&gt;=$J48,BD$3&lt;=$M48),1,"")</f>
        <v/>
      </c>
      <c r="BE48">
        <f>IF(AND($A48&lt;&gt;"",BE$3&gt;=$J48,BE$3&lt;=$M48),1,"")</f>
        <v/>
      </c>
      <c r="BF48">
        <f>IF(AND($A48&lt;&gt;"",BF$3&gt;=$J48,BF$3&lt;=$M48),1,"")</f>
        <v/>
      </c>
      <c r="BG48">
        <f>IF(AND($A48&lt;&gt;"",BG$3&gt;=$J48,BG$3&lt;=$M48),1,"")</f>
        <v/>
      </c>
      <c r="BH48">
        <f>IF(AND($A48&lt;&gt;"",BH$3&gt;=$J48,BH$3&lt;=$M48),1,"")</f>
        <v/>
      </c>
      <c r="BI48">
        <f>IF(AND($A48&lt;&gt;"",BI$3&gt;=$J48,BI$3&lt;=$M48),1,"")</f>
        <v/>
      </c>
      <c r="BJ48">
        <f>IF(AND($A48&lt;&gt;"",BJ$3&gt;=$J48,BJ$3&lt;=$M48),1,"")</f>
        <v/>
      </c>
      <c r="BK48">
        <f>IF(AND($A48&lt;&gt;"",BK$3&gt;=$J48,BK$3&lt;=$M48),1,"")</f>
        <v/>
      </c>
      <c r="BL48">
        <f>IF(AND($A48&lt;&gt;"",BL$3&gt;=$J48,BL$3&lt;=$M48),1,"")</f>
        <v/>
      </c>
      <c r="BM48">
        <f>IF(AND($A48&lt;&gt;"",BM$3&gt;=$J48,BM$3&lt;=$M48),1,"")</f>
        <v/>
      </c>
      <c r="BN48">
        <f>IF(AND($A48&lt;&gt;"",BN$3&gt;=$J48,BN$3&lt;=$M48),1,"")</f>
        <v/>
      </c>
      <c r="BO48">
        <f>IF(AND($A48&lt;&gt;"",BO$3&gt;=$J48,BO$3&lt;=$M48),1,"")</f>
        <v/>
      </c>
      <c r="BP48">
        <f>IF(AND($A48&lt;&gt;"",BP$3&gt;=$J48,BP$3&lt;=$M48),1,"")</f>
        <v/>
      </c>
      <c r="BQ48">
        <f>IF(AND($A48&lt;&gt;"",BQ$3&gt;=$J48,BQ$3&lt;=$M48),1,"")</f>
        <v/>
      </c>
      <c r="BR48">
        <f>IF(AND($A48&lt;&gt;"",BR$3&gt;=$J48,BR$3&lt;=$M48),1,"")</f>
        <v/>
      </c>
      <c r="BS48">
        <f>IF(AND($A48&lt;&gt;"",BS$3&gt;=$J48,BS$3&lt;=$M48),1,"")</f>
        <v/>
      </c>
      <c r="BT48">
        <f>IF(AND($A48&lt;&gt;"",BT$3&gt;=$J48,BT$3&lt;=$M48),1,"")</f>
        <v/>
      </c>
      <c r="BU48">
        <f>IF(AND($A48&lt;&gt;"",BU$3&gt;=$J48,BU$3&lt;=$M48),1,"")</f>
        <v/>
      </c>
      <c r="BV48">
        <f>IF(AND($A48&lt;&gt;"",BV$3&gt;=$J48,BV$3&lt;=$M48),1,"")</f>
        <v/>
      </c>
    </row>
    <row r="49">
      <c r="A49">
        <f>IF(Job_Master_Ring!$A49="","",Job_Master_Ring!$A49)</f>
        <v/>
      </c>
      <c r="B49">
        <f>IF($A49="","",Job_Master_Ring!B49)</f>
        <v/>
      </c>
      <c r="C49">
        <f>IF($A49="","",Job_Master_Ring!C49)</f>
        <v/>
      </c>
      <c r="D49">
        <f>IF($A49="","",Job_Master_Ring!D49)</f>
        <v/>
      </c>
      <c r="E49">
        <f>IF($A49="","",IF($I49&lt;&gt;"",$I49,IFERROR(INDEX(Machine_List!$B$82:$B$86,MATCH(1,(Machine_List!$H$82:$H$86&lt;=IFERROR(VLOOKUP($B49,CHOOSE(MATCH($C49,Settings!$L$4:$L$10,0),OPR_BR1!$A$4:$K$18,OPR_BR2!$A$4:$K$18,OPR_CR2!$A$4:$K$18,OPR_CR3!$A$4:$K$18,OPR_CR4!$A$4:$K$18,OPR_RIM!$A$4:$K$18,OPR_BPR!$A$4:$K$18),10,0),0))*(Machine_List!$I$82:$I$86&gt;=IFERROR(VLOOKUP($B49,CHOOSE(MATCH($C49,Settings!$L$4:$L$10,0),OPR_BR1!$A$4:$K$18,OPR_BR2!$A$4:$K$18,OPR_CR2!$A$4:$K$18,OPR_CR3!$A$4:$K$18,OPR_CR4!$A$4:$K$18,OPR_RIM!$A$4:$K$18,OPR_BPR!$A$4:$K$18),11,0),9999)),0)),"NO COMPATIBLE MACHINE")))</f>
        <v/>
      </c>
      <c r="F49">
        <f>IF($E49="","",IFERROR(VLOOKUP($E49,Machine_List!$B:$G,6,0),""))</f>
        <v/>
      </c>
      <c r="G49" s="17">
        <f>IF($E49="","",IFERROR(VLOOKUP($E49,Machine_List!$B:$C,2,0),""))</f>
        <v/>
      </c>
      <c r="H49">
        <f>IF($E49="","",IFERROR(VLOOKUP($E49,Machine_List!$B:$D,3,0),""))</f>
        <v/>
      </c>
      <c r="J49" s="16">
        <f>IF($A49="","",IF($I49&lt;&gt;"",$I49,MAX(FID_Plan!$M49,IFERROR(LOOKUP(2,1/($E$3:INDIRECT("E"&amp;(ROW()-1))=$E49),$M$3:INDIRECT("M"&amp;(ROW()-1))),FID_Plan!$M49))))</f>
        <v/>
      </c>
      <c r="K49">
        <f>IF($A49="","",IFERROR(VLOOKUP(B49,CHOOSE(MATCH($C49,Settings!$L$4:$L$10,0),OPR_BR1!$A$4:$I$18,OPR_BR2!$A$4:$I$18,OPR_CR2!$A$4:$I$18,OPR_CR3!$A$4:$I$18,OPR_CR4!$A$4:$I$18,OPR_RIM!$A$4:$I$18,OPR_BPR!$A$4:$I$18),9,0),0))</f>
        <v/>
      </c>
      <c r="L49">
        <f>IF($A49="","",K49*D49)</f>
        <v/>
      </c>
      <c r="M49" s="16">
        <f>IF($A49=""," ",$J49+($L49/(IF(F49="Contract Workman",Settings!$K$5,Settings!$K$4))))</f>
        <v/>
      </c>
      <c r="N49">
        <f>IF($A49="","",IF(F49="Contract Workman",IF(AND(MOD(M49,1)&gt;=8/24,MOD(M49,1)&lt;20/24),"Shift S1","Shift S2"),IF(AND(MOD(M49,1)&gt;=7/24,MOD(M49,1)&lt;15/24),"Shift A",IF(AND(MOD(M49,1)&gt;=15/24,MOD(M49,1)&lt;23/24),"Shift B","Shift C"))))</f>
        <v/>
      </c>
      <c r="O49">
        <f>IF(B49="","",IF(IFERROR(ISNUMBER(SEARCH(TEXT(B49,"0"),VLOOKUP(E49,Machine_List!$B:$J,9,0))),FALSE),"✅ "&amp; E49,"❌ Sug: "&amp;IFERROR(INDEX(Machine_List!$B$82:$B$86,MATCH(1,(Machine_List!$H$82:$H$86&lt;=IFERROR(VLOOKUP($B49,OPR_BR1!$A$4:$K$18,10,0),0))*(Machine_List!$I$82:$I$86&gt;=IFERROR(VLOOKUP($B49,OPR_BR1!$A$4:$K$18,11,0),9999)),0)),"?")))</f>
        <v/>
      </c>
      <c r="P49">
        <f>IF(AND($A49&lt;&gt;"",P$3&gt;=$J49,P$3&lt;=$M49),1,"")</f>
        <v/>
      </c>
      <c r="Q49">
        <f>IF(AND($A49&lt;&gt;"",Q$3&gt;=$J49,Q$3&lt;=$M49),1,"")</f>
        <v/>
      </c>
      <c r="R49">
        <f>IF(AND($A49&lt;&gt;"",R$3&gt;=$J49,R$3&lt;=$M49),1,"")</f>
        <v/>
      </c>
      <c r="S49">
        <f>IF(AND($A49&lt;&gt;"",S$3&gt;=$J49,S$3&lt;=$M49),1,"")</f>
        <v/>
      </c>
      <c r="T49">
        <f>IF(AND($A49&lt;&gt;"",T$3&gt;=$J49,T$3&lt;=$M49),1,"")</f>
        <v/>
      </c>
      <c r="U49">
        <f>IF(AND($A49&lt;&gt;"",U$3&gt;=$J49,U$3&lt;=$M49),1,"")</f>
        <v/>
      </c>
      <c r="V49">
        <f>IF(AND($A49&lt;&gt;"",V$3&gt;=$J49,V$3&lt;=$M49),1,"")</f>
        <v/>
      </c>
      <c r="W49">
        <f>IF(AND($A49&lt;&gt;"",W$3&gt;=$J49,W$3&lt;=$M49),1,"")</f>
        <v/>
      </c>
      <c r="X49">
        <f>IF(AND($A49&lt;&gt;"",X$3&gt;=$J49,X$3&lt;=$M49),1,"")</f>
        <v/>
      </c>
      <c r="Y49">
        <f>IF(AND($A49&lt;&gt;"",Y$3&gt;=$J49,Y$3&lt;=$M49),1,"")</f>
        <v/>
      </c>
      <c r="Z49">
        <f>IF(AND($A49&lt;&gt;"",Z$3&gt;=$J49,Z$3&lt;=$M49),1,"")</f>
        <v/>
      </c>
      <c r="AA49">
        <f>IF(AND($A49&lt;&gt;"",AA$3&gt;=$J49,AA$3&lt;=$M49),1,"")</f>
        <v/>
      </c>
      <c r="AB49">
        <f>IF(AND($A49&lt;&gt;"",AB$3&gt;=$J49,AB$3&lt;=$M49),1,"")</f>
        <v/>
      </c>
      <c r="AC49">
        <f>IF(AND($A49&lt;&gt;"",AC$3&gt;=$J49,AC$3&lt;=$M49),1,"")</f>
        <v/>
      </c>
      <c r="AD49">
        <f>IF(AND($A49&lt;&gt;"",AD$3&gt;=$J49,AD$3&lt;=$M49),1,"")</f>
        <v/>
      </c>
      <c r="AE49">
        <f>IF(AND($A49&lt;&gt;"",AE$3&gt;=$J49,AE$3&lt;=$M49),1,"")</f>
        <v/>
      </c>
      <c r="AF49">
        <f>IF(AND($A49&lt;&gt;"",AF$3&gt;=$J49,AF$3&lt;=$M49),1,"")</f>
        <v/>
      </c>
      <c r="AG49">
        <f>IF(AND($A49&lt;&gt;"",AG$3&gt;=$J49,AG$3&lt;=$M49),1,"")</f>
        <v/>
      </c>
      <c r="AH49">
        <f>IF(AND($A49&lt;&gt;"",AH$3&gt;=$J49,AH$3&lt;=$M49),1,"")</f>
        <v/>
      </c>
      <c r="AI49">
        <f>IF(AND($A49&lt;&gt;"",AI$3&gt;=$J49,AI$3&lt;=$M49),1,"")</f>
        <v/>
      </c>
      <c r="AJ49">
        <f>IF(AND($A49&lt;&gt;"",AJ$3&gt;=$J49,AJ$3&lt;=$M49),1,"")</f>
        <v/>
      </c>
      <c r="AK49">
        <f>IF(AND($A49&lt;&gt;"",AK$3&gt;=$J49,AK$3&lt;=$M49),1,"")</f>
        <v/>
      </c>
      <c r="AL49">
        <f>IF(AND($A49&lt;&gt;"",AL$3&gt;=$J49,AL$3&lt;=$M49),1,"")</f>
        <v/>
      </c>
      <c r="AM49">
        <f>IF(AND($A49&lt;&gt;"",AM$3&gt;=$J49,AM$3&lt;=$M49),1,"")</f>
        <v/>
      </c>
      <c r="AN49">
        <f>IF(AND($A49&lt;&gt;"",AN$3&gt;=$J49,AN$3&lt;=$M49),1,"")</f>
        <v/>
      </c>
      <c r="AO49">
        <f>IF(AND($A49&lt;&gt;"",AO$3&gt;=$J49,AO$3&lt;=$M49),1,"")</f>
        <v/>
      </c>
      <c r="AP49">
        <f>IF(AND($A49&lt;&gt;"",AP$3&gt;=$J49,AP$3&lt;=$M49),1,"")</f>
        <v/>
      </c>
      <c r="AQ49">
        <f>IF(AND($A49&lt;&gt;"",AQ$3&gt;=$J49,AQ$3&lt;=$M49),1,"")</f>
        <v/>
      </c>
      <c r="AR49">
        <f>IF(AND($A49&lt;&gt;"",AR$3&gt;=$J49,AR$3&lt;=$M49),1,"")</f>
        <v/>
      </c>
      <c r="AS49">
        <f>IF(AND($A49&lt;&gt;"",AS$3&gt;=$J49,AS$3&lt;=$M49),1,"")</f>
        <v/>
      </c>
      <c r="AT49">
        <f>IF(AND($A49&lt;&gt;"",AT$3&gt;=$J49,AT$3&lt;=$M49),1,"")</f>
        <v/>
      </c>
      <c r="AU49">
        <f>IF(AND($A49&lt;&gt;"",AU$3&gt;=$J49,AU$3&lt;=$M49),1,"")</f>
        <v/>
      </c>
      <c r="AV49">
        <f>IF(AND($A49&lt;&gt;"",AV$3&gt;=$J49,AV$3&lt;=$M49),1,"")</f>
        <v/>
      </c>
      <c r="AW49">
        <f>IF(AND($A49&lt;&gt;"",AW$3&gt;=$J49,AW$3&lt;=$M49),1,"")</f>
        <v/>
      </c>
      <c r="AX49">
        <f>IF(AND($A49&lt;&gt;"",AX$3&gt;=$J49,AX$3&lt;=$M49),1,"")</f>
        <v/>
      </c>
      <c r="AY49">
        <f>IF(AND($A49&lt;&gt;"",AY$3&gt;=$J49,AY$3&lt;=$M49),1,"")</f>
        <v/>
      </c>
      <c r="AZ49">
        <f>IF(AND($A49&lt;&gt;"",AZ$3&gt;=$J49,AZ$3&lt;=$M49),1,"")</f>
        <v/>
      </c>
      <c r="BA49">
        <f>IF(AND($A49&lt;&gt;"",BA$3&gt;=$J49,BA$3&lt;=$M49),1,"")</f>
        <v/>
      </c>
      <c r="BB49">
        <f>IF(AND($A49&lt;&gt;"",BB$3&gt;=$J49,BB$3&lt;=$M49),1,"")</f>
        <v/>
      </c>
      <c r="BC49">
        <f>IF(AND($A49&lt;&gt;"",BC$3&gt;=$J49,BC$3&lt;=$M49),1,"")</f>
        <v/>
      </c>
      <c r="BD49">
        <f>IF(AND($A49&lt;&gt;"",BD$3&gt;=$J49,BD$3&lt;=$M49),1,"")</f>
        <v/>
      </c>
      <c r="BE49">
        <f>IF(AND($A49&lt;&gt;"",BE$3&gt;=$J49,BE$3&lt;=$M49),1,"")</f>
        <v/>
      </c>
      <c r="BF49">
        <f>IF(AND($A49&lt;&gt;"",BF$3&gt;=$J49,BF$3&lt;=$M49),1,"")</f>
        <v/>
      </c>
      <c r="BG49">
        <f>IF(AND($A49&lt;&gt;"",BG$3&gt;=$J49,BG$3&lt;=$M49),1,"")</f>
        <v/>
      </c>
      <c r="BH49">
        <f>IF(AND($A49&lt;&gt;"",BH$3&gt;=$J49,BH$3&lt;=$M49),1,"")</f>
        <v/>
      </c>
      <c r="BI49">
        <f>IF(AND($A49&lt;&gt;"",BI$3&gt;=$J49,BI$3&lt;=$M49),1,"")</f>
        <v/>
      </c>
      <c r="BJ49">
        <f>IF(AND($A49&lt;&gt;"",BJ$3&gt;=$J49,BJ$3&lt;=$M49),1,"")</f>
        <v/>
      </c>
      <c r="BK49">
        <f>IF(AND($A49&lt;&gt;"",BK$3&gt;=$J49,BK$3&lt;=$M49),1,"")</f>
        <v/>
      </c>
      <c r="BL49">
        <f>IF(AND($A49&lt;&gt;"",BL$3&gt;=$J49,BL$3&lt;=$M49),1,"")</f>
        <v/>
      </c>
      <c r="BM49">
        <f>IF(AND($A49&lt;&gt;"",BM$3&gt;=$J49,BM$3&lt;=$M49),1,"")</f>
        <v/>
      </c>
      <c r="BN49">
        <f>IF(AND($A49&lt;&gt;"",BN$3&gt;=$J49,BN$3&lt;=$M49),1,"")</f>
        <v/>
      </c>
      <c r="BO49">
        <f>IF(AND($A49&lt;&gt;"",BO$3&gt;=$J49,BO$3&lt;=$M49),1,"")</f>
        <v/>
      </c>
      <c r="BP49">
        <f>IF(AND($A49&lt;&gt;"",BP$3&gt;=$J49,BP$3&lt;=$M49),1,"")</f>
        <v/>
      </c>
      <c r="BQ49">
        <f>IF(AND($A49&lt;&gt;"",BQ$3&gt;=$J49,BQ$3&lt;=$M49),1,"")</f>
        <v/>
      </c>
      <c r="BR49">
        <f>IF(AND($A49&lt;&gt;"",BR$3&gt;=$J49,BR$3&lt;=$M49),1,"")</f>
        <v/>
      </c>
      <c r="BS49">
        <f>IF(AND($A49&lt;&gt;"",BS$3&gt;=$J49,BS$3&lt;=$M49),1,"")</f>
        <v/>
      </c>
      <c r="BT49">
        <f>IF(AND($A49&lt;&gt;"",BT$3&gt;=$J49,BT$3&lt;=$M49),1,"")</f>
        <v/>
      </c>
      <c r="BU49">
        <f>IF(AND($A49&lt;&gt;"",BU$3&gt;=$J49,BU$3&lt;=$M49),1,"")</f>
        <v/>
      </c>
      <c r="BV49">
        <f>IF(AND($A49&lt;&gt;"",BV$3&gt;=$J49,BV$3&lt;=$M49),1,"")</f>
        <v/>
      </c>
    </row>
    <row r="50">
      <c r="A50">
        <f>IF(Job_Master_Ring!$A50="","",Job_Master_Ring!$A50)</f>
        <v/>
      </c>
      <c r="B50">
        <f>IF($A50="","",Job_Master_Ring!B50)</f>
        <v/>
      </c>
      <c r="C50">
        <f>IF($A50="","",Job_Master_Ring!C50)</f>
        <v/>
      </c>
      <c r="D50">
        <f>IF($A50="","",Job_Master_Ring!D50)</f>
        <v/>
      </c>
      <c r="E50">
        <f>IF($A50="","",IF($I50&lt;&gt;"",$I50,IFERROR(INDEX(Machine_List!$B$82:$B$86,MATCH(1,(Machine_List!$H$82:$H$86&lt;=IFERROR(VLOOKUP($B50,CHOOSE(MATCH($C50,Settings!$L$4:$L$10,0),OPR_BR1!$A$4:$K$18,OPR_BR2!$A$4:$K$18,OPR_CR2!$A$4:$K$18,OPR_CR3!$A$4:$K$18,OPR_CR4!$A$4:$K$18,OPR_RIM!$A$4:$K$18,OPR_BPR!$A$4:$K$18),10,0),0))*(Machine_List!$I$82:$I$86&gt;=IFERROR(VLOOKUP($B50,CHOOSE(MATCH($C50,Settings!$L$4:$L$10,0),OPR_BR1!$A$4:$K$18,OPR_BR2!$A$4:$K$18,OPR_CR2!$A$4:$K$18,OPR_CR3!$A$4:$K$18,OPR_CR4!$A$4:$K$18,OPR_RIM!$A$4:$K$18,OPR_BPR!$A$4:$K$18),11,0),9999)),0)),"NO COMPATIBLE MACHINE")))</f>
        <v/>
      </c>
      <c r="F50">
        <f>IF($E50="","",IFERROR(VLOOKUP($E50,Machine_List!$B:$G,6,0),""))</f>
        <v/>
      </c>
      <c r="G50" s="17">
        <f>IF($E50="","",IFERROR(VLOOKUP($E50,Machine_List!$B:$C,2,0),""))</f>
        <v/>
      </c>
      <c r="H50">
        <f>IF($E50="","",IFERROR(VLOOKUP($E50,Machine_List!$B:$D,3,0),""))</f>
        <v/>
      </c>
      <c r="J50" s="16">
        <f>IF($A50="","",IF($I50&lt;&gt;"",$I50,MAX(FID_Plan!$M50,IFERROR(LOOKUP(2,1/($E$3:INDIRECT("E"&amp;(ROW()-1))=$E50),$M$3:INDIRECT("M"&amp;(ROW()-1))),FID_Plan!$M50))))</f>
        <v/>
      </c>
      <c r="K50">
        <f>IF($A50="","",IFERROR(VLOOKUP(B50,CHOOSE(MATCH($C50,Settings!$L$4:$L$10,0),OPR_BR1!$A$4:$I$18,OPR_BR2!$A$4:$I$18,OPR_CR2!$A$4:$I$18,OPR_CR3!$A$4:$I$18,OPR_CR4!$A$4:$I$18,OPR_RIM!$A$4:$I$18,OPR_BPR!$A$4:$I$18),9,0),0))</f>
        <v/>
      </c>
      <c r="L50">
        <f>IF($A50="","",K50*D50)</f>
        <v/>
      </c>
      <c r="M50" s="16">
        <f>IF($A50=""," ",$J50+($L50/(IF(F50="Contract Workman",Settings!$K$5,Settings!$K$4))))</f>
        <v/>
      </c>
      <c r="N50">
        <f>IF($A50="","",IF(F50="Contract Workman",IF(AND(MOD(M50,1)&gt;=8/24,MOD(M50,1)&lt;20/24),"Shift S1","Shift S2"),IF(AND(MOD(M50,1)&gt;=7/24,MOD(M50,1)&lt;15/24),"Shift A",IF(AND(MOD(M50,1)&gt;=15/24,MOD(M50,1)&lt;23/24),"Shift B","Shift C"))))</f>
        <v/>
      </c>
      <c r="O50">
        <f>IF(B50="","",IF(IFERROR(ISNUMBER(SEARCH(TEXT(B50,"0"),VLOOKUP(E50,Machine_List!$B:$J,9,0))),FALSE),"✅ "&amp; E50,"❌ Sug: "&amp;IFERROR(INDEX(Machine_List!$B$82:$B$86,MATCH(1,(Machine_List!$H$82:$H$86&lt;=IFERROR(VLOOKUP($B50,OPR_BR1!$A$4:$K$18,10,0),0))*(Machine_List!$I$82:$I$86&gt;=IFERROR(VLOOKUP($B50,OPR_BR1!$A$4:$K$18,11,0),9999)),0)),"?")))</f>
        <v/>
      </c>
      <c r="P50">
        <f>IF(AND($A50&lt;&gt;"",P$3&gt;=$J50,P$3&lt;=$M50),1,"")</f>
        <v/>
      </c>
      <c r="Q50">
        <f>IF(AND($A50&lt;&gt;"",Q$3&gt;=$J50,Q$3&lt;=$M50),1,"")</f>
        <v/>
      </c>
      <c r="R50">
        <f>IF(AND($A50&lt;&gt;"",R$3&gt;=$J50,R$3&lt;=$M50),1,"")</f>
        <v/>
      </c>
      <c r="S50">
        <f>IF(AND($A50&lt;&gt;"",S$3&gt;=$J50,S$3&lt;=$M50),1,"")</f>
        <v/>
      </c>
      <c r="T50">
        <f>IF(AND($A50&lt;&gt;"",T$3&gt;=$J50,T$3&lt;=$M50),1,"")</f>
        <v/>
      </c>
      <c r="U50">
        <f>IF(AND($A50&lt;&gt;"",U$3&gt;=$J50,U$3&lt;=$M50),1,"")</f>
        <v/>
      </c>
      <c r="V50">
        <f>IF(AND($A50&lt;&gt;"",V$3&gt;=$J50,V$3&lt;=$M50),1,"")</f>
        <v/>
      </c>
      <c r="W50">
        <f>IF(AND($A50&lt;&gt;"",W$3&gt;=$J50,W$3&lt;=$M50),1,"")</f>
        <v/>
      </c>
      <c r="X50">
        <f>IF(AND($A50&lt;&gt;"",X$3&gt;=$J50,X$3&lt;=$M50),1,"")</f>
        <v/>
      </c>
      <c r="Y50">
        <f>IF(AND($A50&lt;&gt;"",Y$3&gt;=$J50,Y$3&lt;=$M50),1,"")</f>
        <v/>
      </c>
      <c r="Z50">
        <f>IF(AND($A50&lt;&gt;"",Z$3&gt;=$J50,Z$3&lt;=$M50),1,"")</f>
        <v/>
      </c>
      <c r="AA50">
        <f>IF(AND($A50&lt;&gt;"",AA$3&gt;=$J50,AA$3&lt;=$M50),1,"")</f>
        <v/>
      </c>
      <c r="AB50">
        <f>IF(AND($A50&lt;&gt;"",AB$3&gt;=$J50,AB$3&lt;=$M50),1,"")</f>
        <v/>
      </c>
      <c r="AC50">
        <f>IF(AND($A50&lt;&gt;"",AC$3&gt;=$J50,AC$3&lt;=$M50),1,"")</f>
        <v/>
      </c>
      <c r="AD50">
        <f>IF(AND($A50&lt;&gt;"",AD$3&gt;=$J50,AD$3&lt;=$M50),1,"")</f>
        <v/>
      </c>
      <c r="AE50">
        <f>IF(AND($A50&lt;&gt;"",AE$3&gt;=$J50,AE$3&lt;=$M50),1,"")</f>
        <v/>
      </c>
      <c r="AF50">
        <f>IF(AND($A50&lt;&gt;"",AF$3&gt;=$J50,AF$3&lt;=$M50),1,"")</f>
        <v/>
      </c>
      <c r="AG50">
        <f>IF(AND($A50&lt;&gt;"",AG$3&gt;=$J50,AG$3&lt;=$M50),1,"")</f>
        <v/>
      </c>
      <c r="AH50">
        <f>IF(AND($A50&lt;&gt;"",AH$3&gt;=$J50,AH$3&lt;=$M50),1,"")</f>
        <v/>
      </c>
      <c r="AI50">
        <f>IF(AND($A50&lt;&gt;"",AI$3&gt;=$J50,AI$3&lt;=$M50),1,"")</f>
        <v/>
      </c>
      <c r="AJ50">
        <f>IF(AND($A50&lt;&gt;"",AJ$3&gt;=$J50,AJ$3&lt;=$M50),1,"")</f>
        <v/>
      </c>
      <c r="AK50">
        <f>IF(AND($A50&lt;&gt;"",AK$3&gt;=$J50,AK$3&lt;=$M50),1,"")</f>
        <v/>
      </c>
      <c r="AL50">
        <f>IF(AND($A50&lt;&gt;"",AL$3&gt;=$J50,AL$3&lt;=$M50),1,"")</f>
        <v/>
      </c>
      <c r="AM50">
        <f>IF(AND($A50&lt;&gt;"",AM$3&gt;=$J50,AM$3&lt;=$M50),1,"")</f>
        <v/>
      </c>
      <c r="AN50">
        <f>IF(AND($A50&lt;&gt;"",AN$3&gt;=$J50,AN$3&lt;=$M50),1,"")</f>
        <v/>
      </c>
      <c r="AO50">
        <f>IF(AND($A50&lt;&gt;"",AO$3&gt;=$J50,AO$3&lt;=$M50),1,"")</f>
        <v/>
      </c>
      <c r="AP50">
        <f>IF(AND($A50&lt;&gt;"",AP$3&gt;=$J50,AP$3&lt;=$M50),1,"")</f>
        <v/>
      </c>
      <c r="AQ50">
        <f>IF(AND($A50&lt;&gt;"",AQ$3&gt;=$J50,AQ$3&lt;=$M50),1,"")</f>
        <v/>
      </c>
      <c r="AR50">
        <f>IF(AND($A50&lt;&gt;"",AR$3&gt;=$J50,AR$3&lt;=$M50),1,"")</f>
        <v/>
      </c>
      <c r="AS50">
        <f>IF(AND($A50&lt;&gt;"",AS$3&gt;=$J50,AS$3&lt;=$M50),1,"")</f>
        <v/>
      </c>
      <c r="AT50">
        <f>IF(AND($A50&lt;&gt;"",AT$3&gt;=$J50,AT$3&lt;=$M50),1,"")</f>
        <v/>
      </c>
      <c r="AU50">
        <f>IF(AND($A50&lt;&gt;"",AU$3&gt;=$J50,AU$3&lt;=$M50),1,"")</f>
        <v/>
      </c>
      <c r="AV50">
        <f>IF(AND($A50&lt;&gt;"",AV$3&gt;=$J50,AV$3&lt;=$M50),1,"")</f>
        <v/>
      </c>
      <c r="AW50">
        <f>IF(AND($A50&lt;&gt;"",AW$3&gt;=$J50,AW$3&lt;=$M50),1,"")</f>
        <v/>
      </c>
      <c r="AX50">
        <f>IF(AND($A50&lt;&gt;"",AX$3&gt;=$J50,AX$3&lt;=$M50),1,"")</f>
        <v/>
      </c>
      <c r="AY50">
        <f>IF(AND($A50&lt;&gt;"",AY$3&gt;=$J50,AY$3&lt;=$M50),1,"")</f>
        <v/>
      </c>
      <c r="AZ50">
        <f>IF(AND($A50&lt;&gt;"",AZ$3&gt;=$J50,AZ$3&lt;=$M50),1,"")</f>
        <v/>
      </c>
      <c r="BA50">
        <f>IF(AND($A50&lt;&gt;"",BA$3&gt;=$J50,BA$3&lt;=$M50),1,"")</f>
        <v/>
      </c>
      <c r="BB50">
        <f>IF(AND($A50&lt;&gt;"",BB$3&gt;=$J50,BB$3&lt;=$M50),1,"")</f>
        <v/>
      </c>
      <c r="BC50">
        <f>IF(AND($A50&lt;&gt;"",BC$3&gt;=$J50,BC$3&lt;=$M50),1,"")</f>
        <v/>
      </c>
      <c r="BD50">
        <f>IF(AND($A50&lt;&gt;"",BD$3&gt;=$J50,BD$3&lt;=$M50),1,"")</f>
        <v/>
      </c>
      <c r="BE50">
        <f>IF(AND($A50&lt;&gt;"",BE$3&gt;=$J50,BE$3&lt;=$M50),1,"")</f>
        <v/>
      </c>
      <c r="BF50">
        <f>IF(AND($A50&lt;&gt;"",BF$3&gt;=$J50,BF$3&lt;=$M50),1,"")</f>
        <v/>
      </c>
      <c r="BG50">
        <f>IF(AND($A50&lt;&gt;"",BG$3&gt;=$J50,BG$3&lt;=$M50),1,"")</f>
        <v/>
      </c>
      <c r="BH50">
        <f>IF(AND($A50&lt;&gt;"",BH$3&gt;=$J50,BH$3&lt;=$M50),1,"")</f>
        <v/>
      </c>
      <c r="BI50">
        <f>IF(AND($A50&lt;&gt;"",BI$3&gt;=$J50,BI$3&lt;=$M50),1,"")</f>
        <v/>
      </c>
      <c r="BJ50">
        <f>IF(AND($A50&lt;&gt;"",BJ$3&gt;=$J50,BJ$3&lt;=$M50),1,"")</f>
        <v/>
      </c>
      <c r="BK50">
        <f>IF(AND($A50&lt;&gt;"",BK$3&gt;=$J50,BK$3&lt;=$M50),1,"")</f>
        <v/>
      </c>
      <c r="BL50">
        <f>IF(AND($A50&lt;&gt;"",BL$3&gt;=$J50,BL$3&lt;=$M50),1,"")</f>
        <v/>
      </c>
      <c r="BM50">
        <f>IF(AND($A50&lt;&gt;"",BM$3&gt;=$J50,BM$3&lt;=$M50),1,"")</f>
        <v/>
      </c>
      <c r="BN50">
        <f>IF(AND($A50&lt;&gt;"",BN$3&gt;=$J50,BN$3&lt;=$M50),1,"")</f>
        <v/>
      </c>
      <c r="BO50">
        <f>IF(AND($A50&lt;&gt;"",BO$3&gt;=$J50,BO$3&lt;=$M50),1,"")</f>
        <v/>
      </c>
      <c r="BP50">
        <f>IF(AND($A50&lt;&gt;"",BP$3&gt;=$J50,BP$3&lt;=$M50),1,"")</f>
        <v/>
      </c>
      <c r="BQ50">
        <f>IF(AND($A50&lt;&gt;"",BQ$3&gt;=$J50,BQ$3&lt;=$M50),1,"")</f>
        <v/>
      </c>
      <c r="BR50">
        <f>IF(AND($A50&lt;&gt;"",BR$3&gt;=$J50,BR$3&lt;=$M50),1,"")</f>
        <v/>
      </c>
      <c r="BS50">
        <f>IF(AND($A50&lt;&gt;"",BS$3&gt;=$J50,BS$3&lt;=$M50),1,"")</f>
        <v/>
      </c>
      <c r="BT50">
        <f>IF(AND($A50&lt;&gt;"",BT$3&gt;=$J50,BT$3&lt;=$M50),1,"")</f>
        <v/>
      </c>
      <c r="BU50">
        <f>IF(AND($A50&lt;&gt;"",BU$3&gt;=$J50,BU$3&lt;=$M50),1,"")</f>
        <v/>
      </c>
      <c r="BV50">
        <f>IF(AND($A50&lt;&gt;"",BV$3&gt;=$J50,BV$3&lt;=$M50),1,"")</f>
        <v/>
      </c>
    </row>
    <row r="51">
      <c r="A51">
        <f>IF(Job_Master_Ring!$A51="","",Job_Master_Ring!$A51)</f>
        <v/>
      </c>
      <c r="B51">
        <f>IF($A51="","",Job_Master_Ring!B51)</f>
        <v/>
      </c>
      <c r="C51">
        <f>IF($A51="","",Job_Master_Ring!C51)</f>
        <v/>
      </c>
      <c r="D51">
        <f>IF($A51="","",Job_Master_Ring!D51)</f>
        <v/>
      </c>
      <c r="E51">
        <f>IF($A51="","",IF($I51&lt;&gt;"",$I51,IFERROR(INDEX(Machine_List!$B$82:$B$86,MATCH(1,(Machine_List!$H$82:$H$86&lt;=IFERROR(VLOOKUP($B51,CHOOSE(MATCH($C51,Settings!$L$4:$L$10,0),OPR_BR1!$A$4:$K$18,OPR_BR2!$A$4:$K$18,OPR_CR2!$A$4:$K$18,OPR_CR3!$A$4:$K$18,OPR_CR4!$A$4:$K$18,OPR_RIM!$A$4:$K$18,OPR_BPR!$A$4:$K$18),10,0),0))*(Machine_List!$I$82:$I$86&gt;=IFERROR(VLOOKUP($B51,CHOOSE(MATCH($C51,Settings!$L$4:$L$10,0),OPR_BR1!$A$4:$K$18,OPR_BR2!$A$4:$K$18,OPR_CR2!$A$4:$K$18,OPR_CR3!$A$4:$K$18,OPR_CR4!$A$4:$K$18,OPR_RIM!$A$4:$K$18,OPR_BPR!$A$4:$K$18),11,0),9999)),0)),"NO COMPATIBLE MACHINE")))</f>
        <v/>
      </c>
      <c r="F51">
        <f>IF($E51="","",IFERROR(VLOOKUP($E51,Machine_List!$B:$G,6,0),""))</f>
        <v/>
      </c>
      <c r="G51" s="17">
        <f>IF($E51="","",IFERROR(VLOOKUP($E51,Machine_List!$B:$C,2,0),""))</f>
        <v/>
      </c>
      <c r="H51">
        <f>IF($E51="","",IFERROR(VLOOKUP($E51,Machine_List!$B:$D,3,0),""))</f>
        <v/>
      </c>
      <c r="J51" s="16">
        <f>IF($A51="","",IF($I51&lt;&gt;"",$I51,MAX(FID_Plan!$M51,IFERROR(LOOKUP(2,1/($E$3:INDIRECT("E"&amp;(ROW()-1))=$E51),$M$3:INDIRECT("M"&amp;(ROW()-1))),FID_Plan!$M51))))</f>
        <v/>
      </c>
      <c r="K51">
        <f>IF($A51="","",IFERROR(VLOOKUP(B51,CHOOSE(MATCH($C51,Settings!$L$4:$L$10,0),OPR_BR1!$A$4:$I$18,OPR_BR2!$A$4:$I$18,OPR_CR2!$A$4:$I$18,OPR_CR3!$A$4:$I$18,OPR_CR4!$A$4:$I$18,OPR_RIM!$A$4:$I$18,OPR_BPR!$A$4:$I$18),9,0),0))</f>
        <v/>
      </c>
      <c r="L51">
        <f>IF($A51="","",K51*D51)</f>
        <v/>
      </c>
      <c r="M51" s="16">
        <f>IF($A51=""," ",$J51+($L51/(IF(F51="Contract Workman",Settings!$K$5,Settings!$K$4))))</f>
        <v/>
      </c>
      <c r="N51">
        <f>IF($A51="","",IF(F51="Contract Workman",IF(AND(MOD(M51,1)&gt;=8/24,MOD(M51,1)&lt;20/24),"Shift S1","Shift S2"),IF(AND(MOD(M51,1)&gt;=7/24,MOD(M51,1)&lt;15/24),"Shift A",IF(AND(MOD(M51,1)&gt;=15/24,MOD(M51,1)&lt;23/24),"Shift B","Shift C"))))</f>
        <v/>
      </c>
      <c r="O51">
        <f>IF(B51="","",IF(IFERROR(ISNUMBER(SEARCH(TEXT(B51,"0"),VLOOKUP(E51,Machine_List!$B:$J,9,0))),FALSE),"✅ "&amp; E51,"❌ Sug: "&amp;IFERROR(INDEX(Machine_List!$B$82:$B$86,MATCH(1,(Machine_List!$H$82:$H$86&lt;=IFERROR(VLOOKUP($B51,OPR_BR1!$A$4:$K$18,10,0),0))*(Machine_List!$I$82:$I$86&gt;=IFERROR(VLOOKUP($B51,OPR_BR1!$A$4:$K$18,11,0),9999)),0)),"?")))</f>
        <v/>
      </c>
      <c r="P51">
        <f>IF(AND($A51&lt;&gt;"",P$3&gt;=$J51,P$3&lt;=$M51),1,"")</f>
        <v/>
      </c>
      <c r="Q51">
        <f>IF(AND($A51&lt;&gt;"",Q$3&gt;=$J51,Q$3&lt;=$M51),1,"")</f>
        <v/>
      </c>
      <c r="R51">
        <f>IF(AND($A51&lt;&gt;"",R$3&gt;=$J51,R$3&lt;=$M51),1,"")</f>
        <v/>
      </c>
      <c r="S51">
        <f>IF(AND($A51&lt;&gt;"",S$3&gt;=$J51,S$3&lt;=$M51),1,"")</f>
        <v/>
      </c>
      <c r="T51">
        <f>IF(AND($A51&lt;&gt;"",T$3&gt;=$J51,T$3&lt;=$M51),1,"")</f>
        <v/>
      </c>
      <c r="U51">
        <f>IF(AND($A51&lt;&gt;"",U$3&gt;=$J51,U$3&lt;=$M51),1,"")</f>
        <v/>
      </c>
      <c r="V51">
        <f>IF(AND($A51&lt;&gt;"",V$3&gt;=$J51,V$3&lt;=$M51),1,"")</f>
        <v/>
      </c>
      <c r="W51">
        <f>IF(AND($A51&lt;&gt;"",W$3&gt;=$J51,W$3&lt;=$M51),1,"")</f>
        <v/>
      </c>
      <c r="X51">
        <f>IF(AND($A51&lt;&gt;"",X$3&gt;=$J51,X$3&lt;=$M51),1,"")</f>
        <v/>
      </c>
      <c r="Y51">
        <f>IF(AND($A51&lt;&gt;"",Y$3&gt;=$J51,Y$3&lt;=$M51),1,"")</f>
        <v/>
      </c>
      <c r="Z51">
        <f>IF(AND($A51&lt;&gt;"",Z$3&gt;=$J51,Z$3&lt;=$M51),1,"")</f>
        <v/>
      </c>
      <c r="AA51">
        <f>IF(AND($A51&lt;&gt;"",AA$3&gt;=$J51,AA$3&lt;=$M51),1,"")</f>
        <v/>
      </c>
      <c r="AB51">
        <f>IF(AND($A51&lt;&gt;"",AB$3&gt;=$J51,AB$3&lt;=$M51),1,"")</f>
        <v/>
      </c>
      <c r="AC51">
        <f>IF(AND($A51&lt;&gt;"",AC$3&gt;=$J51,AC$3&lt;=$M51),1,"")</f>
        <v/>
      </c>
      <c r="AD51">
        <f>IF(AND($A51&lt;&gt;"",AD$3&gt;=$J51,AD$3&lt;=$M51),1,"")</f>
        <v/>
      </c>
      <c r="AE51">
        <f>IF(AND($A51&lt;&gt;"",AE$3&gt;=$J51,AE$3&lt;=$M51),1,"")</f>
        <v/>
      </c>
      <c r="AF51">
        <f>IF(AND($A51&lt;&gt;"",AF$3&gt;=$J51,AF$3&lt;=$M51),1,"")</f>
        <v/>
      </c>
      <c r="AG51">
        <f>IF(AND($A51&lt;&gt;"",AG$3&gt;=$J51,AG$3&lt;=$M51),1,"")</f>
        <v/>
      </c>
      <c r="AH51">
        <f>IF(AND($A51&lt;&gt;"",AH$3&gt;=$J51,AH$3&lt;=$M51),1,"")</f>
        <v/>
      </c>
      <c r="AI51">
        <f>IF(AND($A51&lt;&gt;"",AI$3&gt;=$J51,AI$3&lt;=$M51),1,"")</f>
        <v/>
      </c>
      <c r="AJ51">
        <f>IF(AND($A51&lt;&gt;"",AJ$3&gt;=$J51,AJ$3&lt;=$M51),1,"")</f>
        <v/>
      </c>
      <c r="AK51">
        <f>IF(AND($A51&lt;&gt;"",AK$3&gt;=$J51,AK$3&lt;=$M51),1,"")</f>
        <v/>
      </c>
      <c r="AL51">
        <f>IF(AND($A51&lt;&gt;"",AL$3&gt;=$J51,AL$3&lt;=$M51),1,"")</f>
        <v/>
      </c>
      <c r="AM51">
        <f>IF(AND($A51&lt;&gt;"",AM$3&gt;=$J51,AM$3&lt;=$M51),1,"")</f>
        <v/>
      </c>
      <c r="AN51">
        <f>IF(AND($A51&lt;&gt;"",AN$3&gt;=$J51,AN$3&lt;=$M51),1,"")</f>
        <v/>
      </c>
      <c r="AO51">
        <f>IF(AND($A51&lt;&gt;"",AO$3&gt;=$J51,AO$3&lt;=$M51),1,"")</f>
        <v/>
      </c>
      <c r="AP51">
        <f>IF(AND($A51&lt;&gt;"",AP$3&gt;=$J51,AP$3&lt;=$M51),1,"")</f>
        <v/>
      </c>
      <c r="AQ51">
        <f>IF(AND($A51&lt;&gt;"",AQ$3&gt;=$J51,AQ$3&lt;=$M51),1,"")</f>
        <v/>
      </c>
      <c r="AR51">
        <f>IF(AND($A51&lt;&gt;"",AR$3&gt;=$J51,AR$3&lt;=$M51),1,"")</f>
        <v/>
      </c>
      <c r="AS51">
        <f>IF(AND($A51&lt;&gt;"",AS$3&gt;=$J51,AS$3&lt;=$M51),1,"")</f>
        <v/>
      </c>
      <c r="AT51">
        <f>IF(AND($A51&lt;&gt;"",AT$3&gt;=$J51,AT$3&lt;=$M51),1,"")</f>
        <v/>
      </c>
      <c r="AU51">
        <f>IF(AND($A51&lt;&gt;"",AU$3&gt;=$J51,AU$3&lt;=$M51),1,"")</f>
        <v/>
      </c>
      <c r="AV51">
        <f>IF(AND($A51&lt;&gt;"",AV$3&gt;=$J51,AV$3&lt;=$M51),1,"")</f>
        <v/>
      </c>
      <c r="AW51">
        <f>IF(AND($A51&lt;&gt;"",AW$3&gt;=$J51,AW$3&lt;=$M51),1,"")</f>
        <v/>
      </c>
      <c r="AX51">
        <f>IF(AND($A51&lt;&gt;"",AX$3&gt;=$J51,AX$3&lt;=$M51),1,"")</f>
        <v/>
      </c>
      <c r="AY51">
        <f>IF(AND($A51&lt;&gt;"",AY$3&gt;=$J51,AY$3&lt;=$M51),1,"")</f>
        <v/>
      </c>
      <c r="AZ51">
        <f>IF(AND($A51&lt;&gt;"",AZ$3&gt;=$J51,AZ$3&lt;=$M51),1,"")</f>
        <v/>
      </c>
      <c r="BA51">
        <f>IF(AND($A51&lt;&gt;"",BA$3&gt;=$J51,BA$3&lt;=$M51),1,"")</f>
        <v/>
      </c>
      <c r="BB51">
        <f>IF(AND($A51&lt;&gt;"",BB$3&gt;=$J51,BB$3&lt;=$M51),1,"")</f>
        <v/>
      </c>
      <c r="BC51">
        <f>IF(AND($A51&lt;&gt;"",BC$3&gt;=$J51,BC$3&lt;=$M51),1,"")</f>
        <v/>
      </c>
      <c r="BD51">
        <f>IF(AND($A51&lt;&gt;"",BD$3&gt;=$J51,BD$3&lt;=$M51),1,"")</f>
        <v/>
      </c>
      <c r="BE51">
        <f>IF(AND($A51&lt;&gt;"",BE$3&gt;=$J51,BE$3&lt;=$M51),1,"")</f>
        <v/>
      </c>
      <c r="BF51">
        <f>IF(AND($A51&lt;&gt;"",BF$3&gt;=$J51,BF$3&lt;=$M51),1,"")</f>
        <v/>
      </c>
      <c r="BG51">
        <f>IF(AND($A51&lt;&gt;"",BG$3&gt;=$J51,BG$3&lt;=$M51),1,"")</f>
        <v/>
      </c>
      <c r="BH51">
        <f>IF(AND($A51&lt;&gt;"",BH$3&gt;=$J51,BH$3&lt;=$M51),1,"")</f>
        <v/>
      </c>
      <c r="BI51">
        <f>IF(AND($A51&lt;&gt;"",BI$3&gt;=$J51,BI$3&lt;=$M51),1,"")</f>
        <v/>
      </c>
      <c r="BJ51">
        <f>IF(AND($A51&lt;&gt;"",BJ$3&gt;=$J51,BJ$3&lt;=$M51),1,"")</f>
        <v/>
      </c>
      <c r="BK51">
        <f>IF(AND($A51&lt;&gt;"",BK$3&gt;=$J51,BK$3&lt;=$M51),1,"")</f>
        <v/>
      </c>
      <c r="BL51">
        <f>IF(AND($A51&lt;&gt;"",BL$3&gt;=$J51,BL$3&lt;=$M51),1,"")</f>
        <v/>
      </c>
      <c r="BM51">
        <f>IF(AND($A51&lt;&gt;"",BM$3&gt;=$J51,BM$3&lt;=$M51),1,"")</f>
        <v/>
      </c>
      <c r="BN51">
        <f>IF(AND($A51&lt;&gt;"",BN$3&gt;=$J51,BN$3&lt;=$M51),1,"")</f>
        <v/>
      </c>
      <c r="BO51">
        <f>IF(AND($A51&lt;&gt;"",BO$3&gt;=$J51,BO$3&lt;=$M51),1,"")</f>
        <v/>
      </c>
      <c r="BP51">
        <f>IF(AND($A51&lt;&gt;"",BP$3&gt;=$J51,BP$3&lt;=$M51),1,"")</f>
        <v/>
      </c>
      <c r="BQ51">
        <f>IF(AND($A51&lt;&gt;"",BQ$3&gt;=$J51,BQ$3&lt;=$M51),1,"")</f>
        <v/>
      </c>
      <c r="BR51">
        <f>IF(AND($A51&lt;&gt;"",BR$3&gt;=$J51,BR$3&lt;=$M51),1,"")</f>
        <v/>
      </c>
      <c r="BS51">
        <f>IF(AND($A51&lt;&gt;"",BS$3&gt;=$J51,BS$3&lt;=$M51),1,"")</f>
        <v/>
      </c>
      <c r="BT51">
        <f>IF(AND($A51&lt;&gt;"",BT$3&gt;=$J51,BT$3&lt;=$M51),1,"")</f>
        <v/>
      </c>
      <c r="BU51">
        <f>IF(AND($A51&lt;&gt;"",BU$3&gt;=$J51,BU$3&lt;=$M51),1,"")</f>
        <v/>
      </c>
      <c r="BV51">
        <f>IF(AND($A51&lt;&gt;"",BV$3&gt;=$J51,BV$3&lt;=$M51),1,"")</f>
        <v/>
      </c>
    </row>
    <row r="52">
      <c r="A52">
        <f>IF(Job_Master_Ring!$A52="","",Job_Master_Ring!$A52)</f>
        <v/>
      </c>
      <c r="B52">
        <f>IF($A52="","",Job_Master_Ring!B52)</f>
        <v/>
      </c>
      <c r="C52">
        <f>IF($A52="","",Job_Master_Ring!C52)</f>
        <v/>
      </c>
      <c r="D52">
        <f>IF($A52="","",Job_Master_Ring!D52)</f>
        <v/>
      </c>
      <c r="E52">
        <f>IF($A52="","",IF($I52&lt;&gt;"",$I52,IFERROR(INDEX(Machine_List!$B$82:$B$86,MATCH(1,(Machine_List!$H$82:$H$86&lt;=IFERROR(VLOOKUP($B52,CHOOSE(MATCH($C52,Settings!$L$4:$L$10,0),OPR_BR1!$A$4:$K$18,OPR_BR2!$A$4:$K$18,OPR_CR2!$A$4:$K$18,OPR_CR3!$A$4:$K$18,OPR_CR4!$A$4:$K$18,OPR_RIM!$A$4:$K$18,OPR_BPR!$A$4:$K$18),10,0),0))*(Machine_List!$I$82:$I$86&gt;=IFERROR(VLOOKUP($B52,CHOOSE(MATCH($C52,Settings!$L$4:$L$10,0),OPR_BR1!$A$4:$K$18,OPR_BR2!$A$4:$K$18,OPR_CR2!$A$4:$K$18,OPR_CR3!$A$4:$K$18,OPR_CR4!$A$4:$K$18,OPR_RIM!$A$4:$K$18,OPR_BPR!$A$4:$K$18),11,0),9999)),0)),"NO COMPATIBLE MACHINE")))</f>
        <v/>
      </c>
      <c r="F52">
        <f>IF($E52="","",IFERROR(VLOOKUP($E52,Machine_List!$B:$G,6,0),""))</f>
        <v/>
      </c>
      <c r="G52" s="17">
        <f>IF($E52="","",IFERROR(VLOOKUP($E52,Machine_List!$B:$C,2,0),""))</f>
        <v/>
      </c>
      <c r="H52">
        <f>IF($E52="","",IFERROR(VLOOKUP($E52,Machine_List!$B:$D,3,0),""))</f>
        <v/>
      </c>
      <c r="J52" s="16">
        <f>IF($A52="","",IF($I52&lt;&gt;"",$I52,MAX(FID_Plan!$M52,IFERROR(LOOKUP(2,1/($E$3:INDIRECT("E"&amp;(ROW()-1))=$E52),$M$3:INDIRECT("M"&amp;(ROW()-1))),FID_Plan!$M52))))</f>
        <v/>
      </c>
      <c r="K52">
        <f>IF($A52="","",IFERROR(VLOOKUP(B52,CHOOSE(MATCH($C52,Settings!$L$4:$L$10,0),OPR_BR1!$A$4:$I$18,OPR_BR2!$A$4:$I$18,OPR_CR2!$A$4:$I$18,OPR_CR3!$A$4:$I$18,OPR_CR4!$A$4:$I$18,OPR_RIM!$A$4:$I$18,OPR_BPR!$A$4:$I$18),9,0),0))</f>
        <v/>
      </c>
      <c r="L52">
        <f>IF($A52="","",K52*D52)</f>
        <v/>
      </c>
      <c r="M52" s="16">
        <f>IF($A52=""," ",$J52+($L52/(IF(F52="Contract Workman",Settings!$K$5,Settings!$K$4))))</f>
        <v/>
      </c>
      <c r="N52">
        <f>IF($A52="","",IF(F52="Contract Workman",IF(AND(MOD(M52,1)&gt;=8/24,MOD(M52,1)&lt;20/24),"Shift S1","Shift S2"),IF(AND(MOD(M52,1)&gt;=7/24,MOD(M52,1)&lt;15/24),"Shift A",IF(AND(MOD(M52,1)&gt;=15/24,MOD(M52,1)&lt;23/24),"Shift B","Shift C"))))</f>
        <v/>
      </c>
      <c r="O52">
        <f>IF(B52="","",IF(IFERROR(ISNUMBER(SEARCH(TEXT(B52,"0"),VLOOKUP(E52,Machine_List!$B:$J,9,0))),FALSE),"✅ "&amp; E52,"❌ Sug: "&amp;IFERROR(INDEX(Machine_List!$B$82:$B$86,MATCH(1,(Machine_List!$H$82:$H$86&lt;=IFERROR(VLOOKUP($B52,OPR_BR1!$A$4:$K$18,10,0),0))*(Machine_List!$I$82:$I$86&gt;=IFERROR(VLOOKUP($B52,OPR_BR1!$A$4:$K$18,11,0),9999)),0)),"?")))</f>
        <v/>
      </c>
      <c r="P52">
        <f>IF(AND($A52&lt;&gt;"",P$3&gt;=$J52,P$3&lt;=$M52),1,"")</f>
        <v/>
      </c>
      <c r="Q52">
        <f>IF(AND($A52&lt;&gt;"",Q$3&gt;=$J52,Q$3&lt;=$M52),1,"")</f>
        <v/>
      </c>
      <c r="R52">
        <f>IF(AND($A52&lt;&gt;"",R$3&gt;=$J52,R$3&lt;=$M52),1,"")</f>
        <v/>
      </c>
      <c r="S52">
        <f>IF(AND($A52&lt;&gt;"",S$3&gt;=$J52,S$3&lt;=$M52),1,"")</f>
        <v/>
      </c>
      <c r="T52">
        <f>IF(AND($A52&lt;&gt;"",T$3&gt;=$J52,T$3&lt;=$M52),1,"")</f>
        <v/>
      </c>
      <c r="U52">
        <f>IF(AND($A52&lt;&gt;"",U$3&gt;=$J52,U$3&lt;=$M52),1,"")</f>
        <v/>
      </c>
      <c r="V52">
        <f>IF(AND($A52&lt;&gt;"",V$3&gt;=$J52,V$3&lt;=$M52),1,"")</f>
        <v/>
      </c>
      <c r="W52">
        <f>IF(AND($A52&lt;&gt;"",W$3&gt;=$J52,W$3&lt;=$M52),1,"")</f>
        <v/>
      </c>
      <c r="X52">
        <f>IF(AND($A52&lt;&gt;"",X$3&gt;=$J52,X$3&lt;=$M52),1,"")</f>
        <v/>
      </c>
      <c r="Y52">
        <f>IF(AND($A52&lt;&gt;"",Y$3&gt;=$J52,Y$3&lt;=$M52),1,"")</f>
        <v/>
      </c>
      <c r="Z52">
        <f>IF(AND($A52&lt;&gt;"",Z$3&gt;=$J52,Z$3&lt;=$M52),1,"")</f>
        <v/>
      </c>
      <c r="AA52">
        <f>IF(AND($A52&lt;&gt;"",AA$3&gt;=$J52,AA$3&lt;=$M52),1,"")</f>
        <v/>
      </c>
      <c r="AB52">
        <f>IF(AND($A52&lt;&gt;"",AB$3&gt;=$J52,AB$3&lt;=$M52),1,"")</f>
        <v/>
      </c>
      <c r="AC52">
        <f>IF(AND($A52&lt;&gt;"",AC$3&gt;=$J52,AC$3&lt;=$M52),1,"")</f>
        <v/>
      </c>
      <c r="AD52">
        <f>IF(AND($A52&lt;&gt;"",AD$3&gt;=$J52,AD$3&lt;=$M52),1,"")</f>
        <v/>
      </c>
      <c r="AE52">
        <f>IF(AND($A52&lt;&gt;"",AE$3&gt;=$J52,AE$3&lt;=$M52),1,"")</f>
        <v/>
      </c>
      <c r="AF52">
        <f>IF(AND($A52&lt;&gt;"",AF$3&gt;=$J52,AF$3&lt;=$M52),1,"")</f>
        <v/>
      </c>
      <c r="AG52">
        <f>IF(AND($A52&lt;&gt;"",AG$3&gt;=$J52,AG$3&lt;=$M52),1,"")</f>
        <v/>
      </c>
      <c r="AH52">
        <f>IF(AND($A52&lt;&gt;"",AH$3&gt;=$J52,AH$3&lt;=$M52),1,"")</f>
        <v/>
      </c>
      <c r="AI52">
        <f>IF(AND($A52&lt;&gt;"",AI$3&gt;=$J52,AI$3&lt;=$M52),1,"")</f>
        <v/>
      </c>
      <c r="AJ52">
        <f>IF(AND($A52&lt;&gt;"",AJ$3&gt;=$J52,AJ$3&lt;=$M52),1,"")</f>
        <v/>
      </c>
      <c r="AK52">
        <f>IF(AND($A52&lt;&gt;"",AK$3&gt;=$J52,AK$3&lt;=$M52),1,"")</f>
        <v/>
      </c>
      <c r="AL52">
        <f>IF(AND($A52&lt;&gt;"",AL$3&gt;=$J52,AL$3&lt;=$M52),1,"")</f>
        <v/>
      </c>
      <c r="AM52">
        <f>IF(AND($A52&lt;&gt;"",AM$3&gt;=$J52,AM$3&lt;=$M52),1,"")</f>
        <v/>
      </c>
      <c r="AN52">
        <f>IF(AND($A52&lt;&gt;"",AN$3&gt;=$J52,AN$3&lt;=$M52),1,"")</f>
        <v/>
      </c>
      <c r="AO52">
        <f>IF(AND($A52&lt;&gt;"",AO$3&gt;=$J52,AO$3&lt;=$M52),1,"")</f>
        <v/>
      </c>
      <c r="AP52">
        <f>IF(AND($A52&lt;&gt;"",AP$3&gt;=$J52,AP$3&lt;=$M52),1,"")</f>
        <v/>
      </c>
      <c r="AQ52">
        <f>IF(AND($A52&lt;&gt;"",AQ$3&gt;=$J52,AQ$3&lt;=$M52),1,"")</f>
        <v/>
      </c>
      <c r="AR52">
        <f>IF(AND($A52&lt;&gt;"",AR$3&gt;=$J52,AR$3&lt;=$M52),1,"")</f>
        <v/>
      </c>
      <c r="AS52">
        <f>IF(AND($A52&lt;&gt;"",AS$3&gt;=$J52,AS$3&lt;=$M52),1,"")</f>
        <v/>
      </c>
      <c r="AT52">
        <f>IF(AND($A52&lt;&gt;"",AT$3&gt;=$J52,AT$3&lt;=$M52),1,"")</f>
        <v/>
      </c>
      <c r="AU52">
        <f>IF(AND($A52&lt;&gt;"",AU$3&gt;=$J52,AU$3&lt;=$M52),1,"")</f>
        <v/>
      </c>
      <c r="AV52">
        <f>IF(AND($A52&lt;&gt;"",AV$3&gt;=$J52,AV$3&lt;=$M52),1,"")</f>
        <v/>
      </c>
      <c r="AW52">
        <f>IF(AND($A52&lt;&gt;"",AW$3&gt;=$J52,AW$3&lt;=$M52),1,"")</f>
        <v/>
      </c>
      <c r="AX52">
        <f>IF(AND($A52&lt;&gt;"",AX$3&gt;=$J52,AX$3&lt;=$M52),1,"")</f>
        <v/>
      </c>
      <c r="AY52">
        <f>IF(AND($A52&lt;&gt;"",AY$3&gt;=$J52,AY$3&lt;=$M52),1,"")</f>
        <v/>
      </c>
      <c r="AZ52">
        <f>IF(AND($A52&lt;&gt;"",AZ$3&gt;=$J52,AZ$3&lt;=$M52),1,"")</f>
        <v/>
      </c>
      <c r="BA52">
        <f>IF(AND($A52&lt;&gt;"",BA$3&gt;=$J52,BA$3&lt;=$M52),1,"")</f>
        <v/>
      </c>
      <c r="BB52">
        <f>IF(AND($A52&lt;&gt;"",BB$3&gt;=$J52,BB$3&lt;=$M52),1,"")</f>
        <v/>
      </c>
      <c r="BC52">
        <f>IF(AND($A52&lt;&gt;"",BC$3&gt;=$J52,BC$3&lt;=$M52),1,"")</f>
        <v/>
      </c>
      <c r="BD52">
        <f>IF(AND($A52&lt;&gt;"",BD$3&gt;=$J52,BD$3&lt;=$M52),1,"")</f>
        <v/>
      </c>
      <c r="BE52">
        <f>IF(AND($A52&lt;&gt;"",BE$3&gt;=$J52,BE$3&lt;=$M52),1,"")</f>
        <v/>
      </c>
      <c r="BF52">
        <f>IF(AND($A52&lt;&gt;"",BF$3&gt;=$J52,BF$3&lt;=$M52),1,"")</f>
        <v/>
      </c>
      <c r="BG52">
        <f>IF(AND($A52&lt;&gt;"",BG$3&gt;=$J52,BG$3&lt;=$M52),1,"")</f>
        <v/>
      </c>
      <c r="BH52">
        <f>IF(AND($A52&lt;&gt;"",BH$3&gt;=$J52,BH$3&lt;=$M52),1,"")</f>
        <v/>
      </c>
      <c r="BI52">
        <f>IF(AND($A52&lt;&gt;"",BI$3&gt;=$J52,BI$3&lt;=$M52),1,"")</f>
        <v/>
      </c>
      <c r="BJ52">
        <f>IF(AND($A52&lt;&gt;"",BJ$3&gt;=$J52,BJ$3&lt;=$M52),1,"")</f>
        <v/>
      </c>
      <c r="BK52">
        <f>IF(AND($A52&lt;&gt;"",BK$3&gt;=$J52,BK$3&lt;=$M52),1,"")</f>
        <v/>
      </c>
      <c r="BL52">
        <f>IF(AND($A52&lt;&gt;"",BL$3&gt;=$J52,BL$3&lt;=$M52),1,"")</f>
        <v/>
      </c>
      <c r="BM52">
        <f>IF(AND($A52&lt;&gt;"",BM$3&gt;=$J52,BM$3&lt;=$M52),1,"")</f>
        <v/>
      </c>
      <c r="BN52">
        <f>IF(AND($A52&lt;&gt;"",BN$3&gt;=$J52,BN$3&lt;=$M52),1,"")</f>
        <v/>
      </c>
      <c r="BO52">
        <f>IF(AND($A52&lt;&gt;"",BO$3&gt;=$J52,BO$3&lt;=$M52),1,"")</f>
        <v/>
      </c>
      <c r="BP52">
        <f>IF(AND($A52&lt;&gt;"",BP$3&gt;=$J52,BP$3&lt;=$M52),1,"")</f>
        <v/>
      </c>
      <c r="BQ52">
        <f>IF(AND($A52&lt;&gt;"",BQ$3&gt;=$J52,BQ$3&lt;=$M52),1,"")</f>
        <v/>
      </c>
      <c r="BR52">
        <f>IF(AND($A52&lt;&gt;"",BR$3&gt;=$J52,BR$3&lt;=$M52),1,"")</f>
        <v/>
      </c>
      <c r="BS52">
        <f>IF(AND($A52&lt;&gt;"",BS$3&gt;=$J52,BS$3&lt;=$M52),1,"")</f>
        <v/>
      </c>
      <c r="BT52">
        <f>IF(AND($A52&lt;&gt;"",BT$3&gt;=$J52,BT$3&lt;=$M52),1,"")</f>
        <v/>
      </c>
      <c r="BU52">
        <f>IF(AND($A52&lt;&gt;"",BU$3&gt;=$J52,BU$3&lt;=$M52),1,"")</f>
        <v/>
      </c>
      <c r="BV52">
        <f>IF(AND($A52&lt;&gt;"",BV$3&gt;=$J52,BV$3&lt;=$M52),1,"")</f>
        <v/>
      </c>
    </row>
    <row r="53">
      <c r="A53">
        <f>IF(Job_Master_Ring!$A53="","",Job_Master_Ring!$A53)</f>
        <v/>
      </c>
      <c r="B53">
        <f>IF($A53="","",Job_Master_Ring!B53)</f>
        <v/>
      </c>
      <c r="C53">
        <f>IF($A53="","",Job_Master_Ring!C53)</f>
        <v/>
      </c>
      <c r="D53">
        <f>IF($A53="","",Job_Master_Ring!D53)</f>
        <v/>
      </c>
      <c r="E53">
        <f>IF($A53="","",IF($I53&lt;&gt;"",$I53,IFERROR(INDEX(Machine_List!$B$82:$B$86,MATCH(1,(Machine_List!$H$82:$H$86&lt;=IFERROR(VLOOKUP($B53,CHOOSE(MATCH($C53,Settings!$L$4:$L$10,0),OPR_BR1!$A$4:$K$18,OPR_BR2!$A$4:$K$18,OPR_CR2!$A$4:$K$18,OPR_CR3!$A$4:$K$18,OPR_CR4!$A$4:$K$18,OPR_RIM!$A$4:$K$18,OPR_BPR!$A$4:$K$18),10,0),0))*(Machine_List!$I$82:$I$86&gt;=IFERROR(VLOOKUP($B53,CHOOSE(MATCH($C53,Settings!$L$4:$L$10,0),OPR_BR1!$A$4:$K$18,OPR_BR2!$A$4:$K$18,OPR_CR2!$A$4:$K$18,OPR_CR3!$A$4:$K$18,OPR_CR4!$A$4:$K$18,OPR_RIM!$A$4:$K$18,OPR_BPR!$A$4:$K$18),11,0),9999)),0)),"NO COMPATIBLE MACHINE")))</f>
        <v/>
      </c>
      <c r="F53">
        <f>IF($E53="","",IFERROR(VLOOKUP($E53,Machine_List!$B:$G,6,0),""))</f>
        <v/>
      </c>
      <c r="G53" s="17">
        <f>IF($E53="","",IFERROR(VLOOKUP($E53,Machine_List!$B:$C,2,0),""))</f>
        <v/>
      </c>
      <c r="H53">
        <f>IF($E53="","",IFERROR(VLOOKUP($E53,Machine_List!$B:$D,3,0),""))</f>
        <v/>
      </c>
      <c r="J53" s="16">
        <f>IF($A53="","",IF($I53&lt;&gt;"",$I53,MAX(FID_Plan!$M53,IFERROR(LOOKUP(2,1/($E$3:INDIRECT("E"&amp;(ROW()-1))=$E53),$M$3:INDIRECT("M"&amp;(ROW()-1))),FID_Plan!$M53))))</f>
        <v/>
      </c>
      <c r="K53">
        <f>IF($A53="","",IFERROR(VLOOKUP(B53,CHOOSE(MATCH($C53,Settings!$L$4:$L$10,0),OPR_BR1!$A$4:$I$18,OPR_BR2!$A$4:$I$18,OPR_CR2!$A$4:$I$18,OPR_CR3!$A$4:$I$18,OPR_CR4!$A$4:$I$18,OPR_RIM!$A$4:$I$18,OPR_BPR!$A$4:$I$18),9,0),0))</f>
        <v/>
      </c>
      <c r="L53">
        <f>IF($A53="","",K53*D53)</f>
        <v/>
      </c>
      <c r="M53" s="16">
        <f>IF($A53=""," ",$J53+($L53/(IF(F53="Contract Workman",Settings!$K$5,Settings!$K$4))))</f>
        <v/>
      </c>
      <c r="N53">
        <f>IF($A53="","",IF(F53="Contract Workman",IF(AND(MOD(M53,1)&gt;=8/24,MOD(M53,1)&lt;20/24),"Shift S1","Shift S2"),IF(AND(MOD(M53,1)&gt;=7/24,MOD(M53,1)&lt;15/24),"Shift A",IF(AND(MOD(M53,1)&gt;=15/24,MOD(M53,1)&lt;23/24),"Shift B","Shift C"))))</f>
        <v/>
      </c>
      <c r="O53">
        <f>IF(B53="","",IF(IFERROR(ISNUMBER(SEARCH(TEXT(B53,"0"),VLOOKUP(E53,Machine_List!$B:$J,9,0))),FALSE),"✅ "&amp; E53,"❌ Sug: "&amp;IFERROR(INDEX(Machine_List!$B$82:$B$86,MATCH(1,(Machine_List!$H$82:$H$86&lt;=IFERROR(VLOOKUP($B53,OPR_BR1!$A$4:$K$18,10,0),0))*(Machine_List!$I$82:$I$86&gt;=IFERROR(VLOOKUP($B53,OPR_BR1!$A$4:$K$18,11,0),9999)),0)),"?")))</f>
        <v/>
      </c>
      <c r="P53">
        <f>IF(AND($A53&lt;&gt;"",P$3&gt;=$J53,P$3&lt;=$M53),1,"")</f>
        <v/>
      </c>
      <c r="Q53">
        <f>IF(AND($A53&lt;&gt;"",Q$3&gt;=$J53,Q$3&lt;=$M53),1,"")</f>
        <v/>
      </c>
      <c r="R53">
        <f>IF(AND($A53&lt;&gt;"",R$3&gt;=$J53,R$3&lt;=$M53),1,"")</f>
        <v/>
      </c>
      <c r="S53">
        <f>IF(AND($A53&lt;&gt;"",S$3&gt;=$J53,S$3&lt;=$M53),1,"")</f>
        <v/>
      </c>
      <c r="T53">
        <f>IF(AND($A53&lt;&gt;"",T$3&gt;=$J53,T$3&lt;=$M53),1,"")</f>
        <v/>
      </c>
      <c r="U53">
        <f>IF(AND($A53&lt;&gt;"",U$3&gt;=$J53,U$3&lt;=$M53),1,"")</f>
        <v/>
      </c>
      <c r="V53">
        <f>IF(AND($A53&lt;&gt;"",V$3&gt;=$J53,V$3&lt;=$M53),1,"")</f>
        <v/>
      </c>
      <c r="W53">
        <f>IF(AND($A53&lt;&gt;"",W$3&gt;=$J53,W$3&lt;=$M53),1,"")</f>
        <v/>
      </c>
      <c r="X53">
        <f>IF(AND($A53&lt;&gt;"",X$3&gt;=$J53,X$3&lt;=$M53),1,"")</f>
        <v/>
      </c>
      <c r="Y53">
        <f>IF(AND($A53&lt;&gt;"",Y$3&gt;=$J53,Y$3&lt;=$M53),1,"")</f>
        <v/>
      </c>
      <c r="Z53">
        <f>IF(AND($A53&lt;&gt;"",Z$3&gt;=$J53,Z$3&lt;=$M53),1,"")</f>
        <v/>
      </c>
      <c r="AA53">
        <f>IF(AND($A53&lt;&gt;"",AA$3&gt;=$J53,AA$3&lt;=$M53),1,"")</f>
        <v/>
      </c>
      <c r="AB53">
        <f>IF(AND($A53&lt;&gt;"",AB$3&gt;=$J53,AB$3&lt;=$M53),1,"")</f>
        <v/>
      </c>
      <c r="AC53">
        <f>IF(AND($A53&lt;&gt;"",AC$3&gt;=$J53,AC$3&lt;=$M53),1,"")</f>
        <v/>
      </c>
      <c r="AD53">
        <f>IF(AND($A53&lt;&gt;"",AD$3&gt;=$J53,AD$3&lt;=$M53),1,"")</f>
        <v/>
      </c>
      <c r="AE53">
        <f>IF(AND($A53&lt;&gt;"",AE$3&gt;=$J53,AE$3&lt;=$M53),1,"")</f>
        <v/>
      </c>
      <c r="AF53">
        <f>IF(AND($A53&lt;&gt;"",AF$3&gt;=$J53,AF$3&lt;=$M53),1,"")</f>
        <v/>
      </c>
      <c r="AG53">
        <f>IF(AND($A53&lt;&gt;"",AG$3&gt;=$J53,AG$3&lt;=$M53),1,"")</f>
        <v/>
      </c>
      <c r="AH53">
        <f>IF(AND($A53&lt;&gt;"",AH$3&gt;=$J53,AH$3&lt;=$M53),1,"")</f>
        <v/>
      </c>
      <c r="AI53">
        <f>IF(AND($A53&lt;&gt;"",AI$3&gt;=$J53,AI$3&lt;=$M53),1,"")</f>
        <v/>
      </c>
      <c r="AJ53">
        <f>IF(AND($A53&lt;&gt;"",AJ$3&gt;=$J53,AJ$3&lt;=$M53),1,"")</f>
        <v/>
      </c>
      <c r="AK53">
        <f>IF(AND($A53&lt;&gt;"",AK$3&gt;=$J53,AK$3&lt;=$M53),1,"")</f>
        <v/>
      </c>
      <c r="AL53">
        <f>IF(AND($A53&lt;&gt;"",AL$3&gt;=$J53,AL$3&lt;=$M53),1,"")</f>
        <v/>
      </c>
      <c r="AM53">
        <f>IF(AND($A53&lt;&gt;"",AM$3&gt;=$J53,AM$3&lt;=$M53),1,"")</f>
        <v/>
      </c>
      <c r="AN53">
        <f>IF(AND($A53&lt;&gt;"",AN$3&gt;=$J53,AN$3&lt;=$M53),1,"")</f>
        <v/>
      </c>
      <c r="AO53">
        <f>IF(AND($A53&lt;&gt;"",AO$3&gt;=$J53,AO$3&lt;=$M53),1,"")</f>
        <v/>
      </c>
      <c r="AP53">
        <f>IF(AND($A53&lt;&gt;"",AP$3&gt;=$J53,AP$3&lt;=$M53),1,"")</f>
        <v/>
      </c>
      <c r="AQ53">
        <f>IF(AND($A53&lt;&gt;"",AQ$3&gt;=$J53,AQ$3&lt;=$M53),1,"")</f>
        <v/>
      </c>
      <c r="AR53">
        <f>IF(AND($A53&lt;&gt;"",AR$3&gt;=$J53,AR$3&lt;=$M53),1,"")</f>
        <v/>
      </c>
      <c r="AS53">
        <f>IF(AND($A53&lt;&gt;"",AS$3&gt;=$J53,AS$3&lt;=$M53),1,"")</f>
        <v/>
      </c>
      <c r="AT53">
        <f>IF(AND($A53&lt;&gt;"",AT$3&gt;=$J53,AT$3&lt;=$M53),1,"")</f>
        <v/>
      </c>
      <c r="AU53">
        <f>IF(AND($A53&lt;&gt;"",AU$3&gt;=$J53,AU$3&lt;=$M53),1,"")</f>
        <v/>
      </c>
      <c r="AV53">
        <f>IF(AND($A53&lt;&gt;"",AV$3&gt;=$J53,AV$3&lt;=$M53),1,"")</f>
        <v/>
      </c>
      <c r="AW53">
        <f>IF(AND($A53&lt;&gt;"",AW$3&gt;=$J53,AW$3&lt;=$M53),1,"")</f>
        <v/>
      </c>
      <c r="AX53">
        <f>IF(AND($A53&lt;&gt;"",AX$3&gt;=$J53,AX$3&lt;=$M53),1,"")</f>
        <v/>
      </c>
      <c r="AY53">
        <f>IF(AND($A53&lt;&gt;"",AY$3&gt;=$J53,AY$3&lt;=$M53),1,"")</f>
        <v/>
      </c>
      <c r="AZ53">
        <f>IF(AND($A53&lt;&gt;"",AZ$3&gt;=$J53,AZ$3&lt;=$M53),1,"")</f>
        <v/>
      </c>
      <c r="BA53">
        <f>IF(AND($A53&lt;&gt;"",BA$3&gt;=$J53,BA$3&lt;=$M53),1,"")</f>
        <v/>
      </c>
      <c r="BB53">
        <f>IF(AND($A53&lt;&gt;"",BB$3&gt;=$J53,BB$3&lt;=$M53),1,"")</f>
        <v/>
      </c>
      <c r="BC53">
        <f>IF(AND($A53&lt;&gt;"",BC$3&gt;=$J53,BC$3&lt;=$M53),1,"")</f>
        <v/>
      </c>
      <c r="BD53">
        <f>IF(AND($A53&lt;&gt;"",BD$3&gt;=$J53,BD$3&lt;=$M53),1,"")</f>
        <v/>
      </c>
      <c r="BE53">
        <f>IF(AND($A53&lt;&gt;"",BE$3&gt;=$J53,BE$3&lt;=$M53),1,"")</f>
        <v/>
      </c>
      <c r="BF53">
        <f>IF(AND($A53&lt;&gt;"",BF$3&gt;=$J53,BF$3&lt;=$M53),1,"")</f>
        <v/>
      </c>
      <c r="BG53">
        <f>IF(AND($A53&lt;&gt;"",BG$3&gt;=$J53,BG$3&lt;=$M53),1,"")</f>
        <v/>
      </c>
      <c r="BH53">
        <f>IF(AND($A53&lt;&gt;"",BH$3&gt;=$J53,BH$3&lt;=$M53),1,"")</f>
        <v/>
      </c>
      <c r="BI53">
        <f>IF(AND($A53&lt;&gt;"",BI$3&gt;=$J53,BI$3&lt;=$M53),1,"")</f>
        <v/>
      </c>
      <c r="BJ53">
        <f>IF(AND($A53&lt;&gt;"",BJ$3&gt;=$J53,BJ$3&lt;=$M53),1,"")</f>
        <v/>
      </c>
      <c r="BK53">
        <f>IF(AND($A53&lt;&gt;"",BK$3&gt;=$J53,BK$3&lt;=$M53),1,"")</f>
        <v/>
      </c>
      <c r="BL53">
        <f>IF(AND($A53&lt;&gt;"",BL$3&gt;=$J53,BL$3&lt;=$M53),1,"")</f>
        <v/>
      </c>
      <c r="BM53">
        <f>IF(AND($A53&lt;&gt;"",BM$3&gt;=$J53,BM$3&lt;=$M53),1,"")</f>
        <v/>
      </c>
      <c r="BN53">
        <f>IF(AND($A53&lt;&gt;"",BN$3&gt;=$J53,BN$3&lt;=$M53),1,"")</f>
        <v/>
      </c>
      <c r="BO53">
        <f>IF(AND($A53&lt;&gt;"",BO$3&gt;=$J53,BO$3&lt;=$M53),1,"")</f>
        <v/>
      </c>
      <c r="BP53">
        <f>IF(AND($A53&lt;&gt;"",BP$3&gt;=$J53,BP$3&lt;=$M53),1,"")</f>
        <v/>
      </c>
      <c r="BQ53">
        <f>IF(AND($A53&lt;&gt;"",BQ$3&gt;=$J53,BQ$3&lt;=$M53),1,"")</f>
        <v/>
      </c>
      <c r="BR53">
        <f>IF(AND($A53&lt;&gt;"",BR$3&gt;=$J53,BR$3&lt;=$M53),1,"")</f>
        <v/>
      </c>
      <c r="BS53">
        <f>IF(AND($A53&lt;&gt;"",BS$3&gt;=$J53,BS$3&lt;=$M53),1,"")</f>
        <v/>
      </c>
      <c r="BT53">
        <f>IF(AND($A53&lt;&gt;"",BT$3&gt;=$J53,BT$3&lt;=$M53),1,"")</f>
        <v/>
      </c>
      <c r="BU53">
        <f>IF(AND($A53&lt;&gt;"",BU$3&gt;=$J53,BU$3&lt;=$M53),1,"")</f>
        <v/>
      </c>
      <c r="BV53">
        <f>IF(AND($A53&lt;&gt;"",BV$3&gt;=$J53,BV$3&lt;=$M53),1,"")</f>
        <v/>
      </c>
    </row>
    <row r="54">
      <c r="A54">
        <f>IF(Job_Master_Ring!$A54="","",Job_Master_Ring!$A54)</f>
        <v/>
      </c>
      <c r="B54">
        <f>IF($A54="","",Job_Master_Ring!B54)</f>
        <v/>
      </c>
      <c r="C54">
        <f>IF($A54="","",Job_Master_Ring!C54)</f>
        <v/>
      </c>
      <c r="D54">
        <f>IF($A54="","",Job_Master_Ring!D54)</f>
        <v/>
      </c>
      <c r="E54">
        <f>IF($A54="","",IF($I54&lt;&gt;"",$I54,IFERROR(INDEX(Machine_List!$B$82:$B$86,MATCH(1,(Machine_List!$H$82:$H$86&lt;=IFERROR(VLOOKUP($B54,CHOOSE(MATCH($C54,Settings!$L$4:$L$10,0),OPR_BR1!$A$4:$K$18,OPR_BR2!$A$4:$K$18,OPR_CR2!$A$4:$K$18,OPR_CR3!$A$4:$K$18,OPR_CR4!$A$4:$K$18,OPR_RIM!$A$4:$K$18,OPR_BPR!$A$4:$K$18),10,0),0))*(Machine_List!$I$82:$I$86&gt;=IFERROR(VLOOKUP($B54,CHOOSE(MATCH($C54,Settings!$L$4:$L$10,0),OPR_BR1!$A$4:$K$18,OPR_BR2!$A$4:$K$18,OPR_CR2!$A$4:$K$18,OPR_CR3!$A$4:$K$18,OPR_CR4!$A$4:$K$18,OPR_RIM!$A$4:$K$18,OPR_BPR!$A$4:$K$18),11,0),9999)),0)),"NO COMPATIBLE MACHINE")))</f>
        <v/>
      </c>
      <c r="F54">
        <f>IF($E54="","",IFERROR(VLOOKUP($E54,Machine_List!$B:$G,6,0),""))</f>
        <v/>
      </c>
      <c r="G54" s="17">
        <f>IF($E54="","",IFERROR(VLOOKUP($E54,Machine_List!$B:$C,2,0),""))</f>
        <v/>
      </c>
      <c r="H54">
        <f>IF($E54="","",IFERROR(VLOOKUP($E54,Machine_List!$B:$D,3,0),""))</f>
        <v/>
      </c>
      <c r="J54" s="16">
        <f>IF($A54="","",IF($I54&lt;&gt;"",$I54,MAX(FID_Plan!$M54,IFERROR(LOOKUP(2,1/($E$3:INDIRECT("E"&amp;(ROW()-1))=$E54),$M$3:INDIRECT("M"&amp;(ROW()-1))),FID_Plan!$M54))))</f>
        <v/>
      </c>
      <c r="K54">
        <f>IF($A54="","",IFERROR(VLOOKUP(B54,CHOOSE(MATCH($C54,Settings!$L$4:$L$10,0),OPR_BR1!$A$4:$I$18,OPR_BR2!$A$4:$I$18,OPR_CR2!$A$4:$I$18,OPR_CR3!$A$4:$I$18,OPR_CR4!$A$4:$I$18,OPR_RIM!$A$4:$I$18,OPR_BPR!$A$4:$I$18),9,0),0))</f>
        <v/>
      </c>
      <c r="L54">
        <f>IF($A54="","",K54*D54)</f>
        <v/>
      </c>
      <c r="M54" s="16">
        <f>IF($A54=""," ",$J54+($L54/(IF(F54="Contract Workman",Settings!$K$5,Settings!$K$4))))</f>
        <v/>
      </c>
      <c r="N54">
        <f>IF($A54="","",IF(F54="Contract Workman",IF(AND(MOD(M54,1)&gt;=8/24,MOD(M54,1)&lt;20/24),"Shift S1","Shift S2"),IF(AND(MOD(M54,1)&gt;=7/24,MOD(M54,1)&lt;15/24),"Shift A",IF(AND(MOD(M54,1)&gt;=15/24,MOD(M54,1)&lt;23/24),"Shift B","Shift C"))))</f>
        <v/>
      </c>
      <c r="O54">
        <f>IF(B54="","",IF(IFERROR(ISNUMBER(SEARCH(TEXT(B54,"0"),VLOOKUP(E54,Machine_List!$B:$J,9,0))),FALSE),"✅ "&amp; E54,"❌ Sug: "&amp;IFERROR(INDEX(Machine_List!$B$82:$B$86,MATCH(1,(Machine_List!$H$82:$H$86&lt;=IFERROR(VLOOKUP($B54,OPR_BR1!$A$4:$K$18,10,0),0))*(Machine_List!$I$82:$I$86&gt;=IFERROR(VLOOKUP($B54,OPR_BR1!$A$4:$K$18,11,0),9999)),0)),"?")))</f>
        <v/>
      </c>
      <c r="P54">
        <f>IF(AND($A54&lt;&gt;"",P$3&gt;=$J54,P$3&lt;=$M54),1,"")</f>
        <v/>
      </c>
      <c r="Q54">
        <f>IF(AND($A54&lt;&gt;"",Q$3&gt;=$J54,Q$3&lt;=$M54),1,"")</f>
        <v/>
      </c>
      <c r="R54">
        <f>IF(AND($A54&lt;&gt;"",R$3&gt;=$J54,R$3&lt;=$M54),1,"")</f>
        <v/>
      </c>
      <c r="S54">
        <f>IF(AND($A54&lt;&gt;"",S$3&gt;=$J54,S$3&lt;=$M54),1,"")</f>
        <v/>
      </c>
      <c r="T54">
        <f>IF(AND($A54&lt;&gt;"",T$3&gt;=$J54,T$3&lt;=$M54),1,"")</f>
        <v/>
      </c>
      <c r="U54">
        <f>IF(AND($A54&lt;&gt;"",U$3&gt;=$J54,U$3&lt;=$M54),1,"")</f>
        <v/>
      </c>
      <c r="V54">
        <f>IF(AND($A54&lt;&gt;"",V$3&gt;=$J54,V$3&lt;=$M54),1,"")</f>
        <v/>
      </c>
      <c r="W54">
        <f>IF(AND($A54&lt;&gt;"",W$3&gt;=$J54,W$3&lt;=$M54),1,"")</f>
        <v/>
      </c>
      <c r="X54">
        <f>IF(AND($A54&lt;&gt;"",X$3&gt;=$J54,X$3&lt;=$M54),1,"")</f>
        <v/>
      </c>
      <c r="Y54">
        <f>IF(AND($A54&lt;&gt;"",Y$3&gt;=$J54,Y$3&lt;=$M54),1,"")</f>
        <v/>
      </c>
      <c r="Z54">
        <f>IF(AND($A54&lt;&gt;"",Z$3&gt;=$J54,Z$3&lt;=$M54),1,"")</f>
        <v/>
      </c>
      <c r="AA54">
        <f>IF(AND($A54&lt;&gt;"",AA$3&gt;=$J54,AA$3&lt;=$M54),1,"")</f>
        <v/>
      </c>
      <c r="AB54">
        <f>IF(AND($A54&lt;&gt;"",AB$3&gt;=$J54,AB$3&lt;=$M54),1,"")</f>
        <v/>
      </c>
      <c r="AC54">
        <f>IF(AND($A54&lt;&gt;"",AC$3&gt;=$J54,AC$3&lt;=$M54),1,"")</f>
        <v/>
      </c>
      <c r="AD54">
        <f>IF(AND($A54&lt;&gt;"",AD$3&gt;=$J54,AD$3&lt;=$M54),1,"")</f>
        <v/>
      </c>
      <c r="AE54">
        <f>IF(AND($A54&lt;&gt;"",AE$3&gt;=$J54,AE$3&lt;=$M54),1,"")</f>
        <v/>
      </c>
      <c r="AF54">
        <f>IF(AND($A54&lt;&gt;"",AF$3&gt;=$J54,AF$3&lt;=$M54),1,"")</f>
        <v/>
      </c>
      <c r="AG54">
        <f>IF(AND($A54&lt;&gt;"",AG$3&gt;=$J54,AG$3&lt;=$M54),1,"")</f>
        <v/>
      </c>
      <c r="AH54">
        <f>IF(AND($A54&lt;&gt;"",AH$3&gt;=$J54,AH$3&lt;=$M54),1,"")</f>
        <v/>
      </c>
      <c r="AI54">
        <f>IF(AND($A54&lt;&gt;"",AI$3&gt;=$J54,AI$3&lt;=$M54),1,"")</f>
        <v/>
      </c>
      <c r="AJ54">
        <f>IF(AND($A54&lt;&gt;"",AJ$3&gt;=$J54,AJ$3&lt;=$M54),1,"")</f>
        <v/>
      </c>
      <c r="AK54">
        <f>IF(AND($A54&lt;&gt;"",AK$3&gt;=$J54,AK$3&lt;=$M54),1,"")</f>
        <v/>
      </c>
      <c r="AL54">
        <f>IF(AND($A54&lt;&gt;"",AL$3&gt;=$J54,AL$3&lt;=$M54),1,"")</f>
        <v/>
      </c>
      <c r="AM54">
        <f>IF(AND($A54&lt;&gt;"",AM$3&gt;=$J54,AM$3&lt;=$M54),1,"")</f>
        <v/>
      </c>
      <c r="AN54">
        <f>IF(AND($A54&lt;&gt;"",AN$3&gt;=$J54,AN$3&lt;=$M54),1,"")</f>
        <v/>
      </c>
      <c r="AO54">
        <f>IF(AND($A54&lt;&gt;"",AO$3&gt;=$J54,AO$3&lt;=$M54),1,"")</f>
        <v/>
      </c>
      <c r="AP54">
        <f>IF(AND($A54&lt;&gt;"",AP$3&gt;=$J54,AP$3&lt;=$M54),1,"")</f>
        <v/>
      </c>
      <c r="AQ54">
        <f>IF(AND($A54&lt;&gt;"",AQ$3&gt;=$J54,AQ$3&lt;=$M54),1,"")</f>
        <v/>
      </c>
      <c r="AR54">
        <f>IF(AND($A54&lt;&gt;"",AR$3&gt;=$J54,AR$3&lt;=$M54),1,"")</f>
        <v/>
      </c>
      <c r="AS54">
        <f>IF(AND($A54&lt;&gt;"",AS$3&gt;=$J54,AS$3&lt;=$M54),1,"")</f>
        <v/>
      </c>
      <c r="AT54">
        <f>IF(AND($A54&lt;&gt;"",AT$3&gt;=$J54,AT$3&lt;=$M54),1,"")</f>
        <v/>
      </c>
      <c r="AU54">
        <f>IF(AND($A54&lt;&gt;"",AU$3&gt;=$J54,AU$3&lt;=$M54),1,"")</f>
        <v/>
      </c>
      <c r="AV54">
        <f>IF(AND($A54&lt;&gt;"",AV$3&gt;=$J54,AV$3&lt;=$M54),1,"")</f>
        <v/>
      </c>
      <c r="AW54">
        <f>IF(AND($A54&lt;&gt;"",AW$3&gt;=$J54,AW$3&lt;=$M54),1,"")</f>
        <v/>
      </c>
      <c r="AX54">
        <f>IF(AND($A54&lt;&gt;"",AX$3&gt;=$J54,AX$3&lt;=$M54),1,"")</f>
        <v/>
      </c>
      <c r="AY54">
        <f>IF(AND($A54&lt;&gt;"",AY$3&gt;=$J54,AY$3&lt;=$M54),1,"")</f>
        <v/>
      </c>
      <c r="AZ54">
        <f>IF(AND($A54&lt;&gt;"",AZ$3&gt;=$J54,AZ$3&lt;=$M54),1,"")</f>
        <v/>
      </c>
      <c r="BA54">
        <f>IF(AND($A54&lt;&gt;"",BA$3&gt;=$J54,BA$3&lt;=$M54),1,"")</f>
        <v/>
      </c>
      <c r="BB54">
        <f>IF(AND($A54&lt;&gt;"",BB$3&gt;=$J54,BB$3&lt;=$M54),1,"")</f>
        <v/>
      </c>
      <c r="BC54">
        <f>IF(AND($A54&lt;&gt;"",BC$3&gt;=$J54,BC$3&lt;=$M54),1,"")</f>
        <v/>
      </c>
      <c r="BD54">
        <f>IF(AND($A54&lt;&gt;"",BD$3&gt;=$J54,BD$3&lt;=$M54),1,"")</f>
        <v/>
      </c>
      <c r="BE54">
        <f>IF(AND($A54&lt;&gt;"",BE$3&gt;=$J54,BE$3&lt;=$M54),1,"")</f>
        <v/>
      </c>
      <c r="BF54">
        <f>IF(AND($A54&lt;&gt;"",BF$3&gt;=$J54,BF$3&lt;=$M54),1,"")</f>
        <v/>
      </c>
      <c r="BG54">
        <f>IF(AND($A54&lt;&gt;"",BG$3&gt;=$J54,BG$3&lt;=$M54),1,"")</f>
        <v/>
      </c>
      <c r="BH54">
        <f>IF(AND($A54&lt;&gt;"",BH$3&gt;=$J54,BH$3&lt;=$M54),1,"")</f>
        <v/>
      </c>
      <c r="BI54">
        <f>IF(AND($A54&lt;&gt;"",BI$3&gt;=$J54,BI$3&lt;=$M54),1,"")</f>
        <v/>
      </c>
      <c r="BJ54">
        <f>IF(AND($A54&lt;&gt;"",BJ$3&gt;=$J54,BJ$3&lt;=$M54),1,"")</f>
        <v/>
      </c>
      <c r="BK54">
        <f>IF(AND($A54&lt;&gt;"",BK$3&gt;=$J54,BK$3&lt;=$M54),1,"")</f>
        <v/>
      </c>
      <c r="BL54">
        <f>IF(AND($A54&lt;&gt;"",BL$3&gt;=$J54,BL$3&lt;=$M54),1,"")</f>
        <v/>
      </c>
      <c r="BM54">
        <f>IF(AND($A54&lt;&gt;"",BM$3&gt;=$J54,BM$3&lt;=$M54),1,"")</f>
        <v/>
      </c>
      <c r="BN54">
        <f>IF(AND($A54&lt;&gt;"",BN$3&gt;=$J54,BN$3&lt;=$M54),1,"")</f>
        <v/>
      </c>
      <c r="BO54">
        <f>IF(AND($A54&lt;&gt;"",BO$3&gt;=$J54,BO$3&lt;=$M54),1,"")</f>
        <v/>
      </c>
      <c r="BP54">
        <f>IF(AND($A54&lt;&gt;"",BP$3&gt;=$J54,BP$3&lt;=$M54),1,"")</f>
        <v/>
      </c>
      <c r="BQ54">
        <f>IF(AND($A54&lt;&gt;"",BQ$3&gt;=$J54,BQ$3&lt;=$M54),1,"")</f>
        <v/>
      </c>
      <c r="BR54">
        <f>IF(AND($A54&lt;&gt;"",BR$3&gt;=$J54,BR$3&lt;=$M54),1,"")</f>
        <v/>
      </c>
      <c r="BS54">
        <f>IF(AND($A54&lt;&gt;"",BS$3&gt;=$J54,BS$3&lt;=$M54),1,"")</f>
        <v/>
      </c>
      <c r="BT54">
        <f>IF(AND($A54&lt;&gt;"",BT$3&gt;=$J54,BT$3&lt;=$M54),1,"")</f>
        <v/>
      </c>
      <c r="BU54">
        <f>IF(AND($A54&lt;&gt;"",BU$3&gt;=$J54,BU$3&lt;=$M54),1,"")</f>
        <v/>
      </c>
      <c r="BV54">
        <f>IF(AND($A54&lt;&gt;"",BV$3&gt;=$J54,BV$3&lt;=$M54),1,"")</f>
        <v/>
      </c>
    </row>
    <row r="55">
      <c r="A55">
        <f>IF(Job_Master_Ring!$A55="","",Job_Master_Ring!$A55)</f>
        <v/>
      </c>
      <c r="B55">
        <f>IF($A55="","",Job_Master_Ring!B55)</f>
        <v/>
      </c>
      <c r="C55">
        <f>IF($A55="","",Job_Master_Ring!C55)</f>
        <v/>
      </c>
      <c r="D55">
        <f>IF($A55="","",Job_Master_Ring!D55)</f>
        <v/>
      </c>
      <c r="E55">
        <f>IF($A55="","",IF($I55&lt;&gt;"",$I55,IFERROR(INDEX(Machine_List!$B$82:$B$86,MATCH(1,(Machine_List!$H$82:$H$86&lt;=IFERROR(VLOOKUP($B55,CHOOSE(MATCH($C55,Settings!$L$4:$L$10,0),OPR_BR1!$A$4:$K$18,OPR_BR2!$A$4:$K$18,OPR_CR2!$A$4:$K$18,OPR_CR3!$A$4:$K$18,OPR_CR4!$A$4:$K$18,OPR_RIM!$A$4:$K$18,OPR_BPR!$A$4:$K$18),10,0),0))*(Machine_List!$I$82:$I$86&gt;=IFERROR(VLOOKUP($B55,CHOOSE(MATCH($C55,Settings!$L$4:$L$10,0),OPR_BR1!$A$4:$K$18,OPR_BR2!$A$4:$K$18,OPR_CR2!$A$4:$K$18,OPR_CR3!$A$4:$K$18,OPR_CR4!$A$4:$K$18,OPR_RIM!$A$4:$K$18,OPR_BPR!$A$4:$K$18),11,0),9999)),0)),"NO COMPATIBLE MACHINE")))</f>
        <v/>
      </c>
      <c r="F55">
        <f>IF($E55="","",IFERROR(VLOOKUP($E55,Machine_List!$B:$G,6,0),""))</f>
        <v/>
      </c>
      <c r="G55" s="17">
        <f>IF($E55="","",IFERROR(VLOOKUP($E55,Machine_List!$B:$C,2,0),""))</f>
        <v/>
      </c>
      <c r="H55">
        <f>IF($E55="","",IFERROR(VLOOKUP($E55,Machine_List!$B:$D,3,0),""))</f>
        <v/>
      </c>
      <c r="J55" s="16">
        <f>IF($A55="","",IF($I55&lt;&gt;"",$I55,MAX(FID_Plan!$M55,IFERROR(LOOKUP(2,1/($E$3:INDIRECT("E"&amp;(ROW()-1))=$E55),$M$3:INDIRECT("M"&amp;(ROW()-1))),FID_Plan!$M55))))</f>
        <v/>
      </c>
      <c r="K55">
        <f>IF($A55="","",IFERROR(VLOOKUP(B55,CHOOSE(MATCH($C55,Settings!$L$4:$L$10,0),OPR_BR1!$A$4:$I$18,OPR_BR2!$A$4:$I$18,OPR_CR2!$A$4:$I$18,OPR_CR3!$A$4:$I$18,OPR_CR4!$A$4:$I$18,OPR_RIM!$A$4:$I$18,OPR_BPR!$A$4:$I$18),9,0),0))</f>
        <v/>
      </c>
      <c r="L55">
        <f>IF($A55="","",K55*D55)</f>
        <v/>
      </c>
      <c r="M55" s="16">
        <f>IF($A55=""," ",$J55+($L55/(IF(F55="Contract Workman",Settings!$K$5,Settings!$K$4))))</f>
        <v/>
      </c>
      <c r="N55">
        <f>IF($A55="","",IF(F55="Contract Workman",IF(AND(MOD(M55,1)&gt;=8/24,MOD(M55,1)&lt;20/24),"Shift S1","Shift S2"),IF(AND(MOD(M55,1)&gt;=7/24,MOD(M55,1)&lt;15/24),"Shift A",IF(AND(MOD(M55,1)&gt;=15/24,MOD(M55,1)&lt;23/24),"Shift B","Shift C"))))</f>
        <v/>
      </c>
      <c r="O55">
        <f>IF(B55="","",IF(IFERROR(ISNUMBER(SEARCH(TEXT(B55,"0"),VLOOKUP(E55,Machine_List!$B:$J,9,0))),FALSE),"✅ "&amp; E55,"❌ Sug: "&amp;IFERROR(INDEX(Machine_List!$B$82:$B$86,MATCH(1,(Machine_List!$H$82:$H$86&lt;=IFERROR(VLOOKUP($B55,OPR_BR1!$A$4:$K$18,10,0),0))*(Machine_List!$I$82:$I$86&gt;=IFERROR(VLOOKUP($B55,OPR_BR1!$A$4:$K$18,11,0),9999)),0)),"?")))</f>
        <v/>
      </c>
      <c r="P55">
        <f>IF(AND($A55&lt;&gt;"",P$3&gt;=$J55,P$3&lt;=$M55),1,"")</f>
        <v/>
      </c>
      <c r="Q55">
        <f>IF(AND($A55&lt;&gt;"",Q$3&gt;=$J55,Q$3&lt;=$M55),1,"")</f>
        <v/>
      </c>
      <c r="R55">
        <f>IF(AND($A55&lt;&gt;"",R$3&gt;=$J55,R$3&lt;=$M55),1,"")</f>
        <v/>
      </c>
      <c r="S55">
        <f>IF(AND($A55&lt;&gt;"",S$3&gt;=$J55,S$3&lt;=$M55),1,"")</f>
        <v/>
      </c>
      <c r="T55">
        <f>IF(AND($A55&lt;&gt;"",T$3&gt;=$J55,T$3&lt;=$M55),1,"")</f>
        <v/>
      </c>
      <c r="U55">
        <f>IF(AND($A55&lt;&gt;"",U$3&gt;=$J55,U$3&lt;=$M55),1,"")</f>
        <v/>
      </c>
      <c r="V55">
        <f>IF(AND($A55&lt;&gt;"",V$3&gt;=$J55,V$3&lt;=$M55),1,"")</f>
        <v/>
      </c>
      <c r="W55">
        <f>IF(AND($A55&lt;&gt;"",W$3&gt;=$J55,W$3&lt;=$M55),1,"")</f>
        <v/>
      </c>
      <c r="X55">
        <f>IF(AND($A55&lt;&gt;"",X$3&gt;=$J55,X$3&lt;=$M55),1,"")</f>
        <v/>
      </c>
      <c r="Y55">
        <f>IF(AND($A55&lt;&gt;"",Y$3&gt;=$J55,Y$3&lt;=$M55),1,"")</f>
        <v/>
      </c>
      <c r="Z55">
        <f>IF(AND($A55&lt;&gt;"",Z$3&gt;=$J55,Z$3&lt;=$M55),1,"")</f>
        <v/>
      </c>
      <c r="AA55">
        <f>IF(AND($A55&lt;&gt;"",AA$3&gt;=$J55,AA$3&lt;=$M55),1,"")</f>
        <v/>
      </c>
      <c r="AB55">
        <f>IF(AND($A55&lt;&gt;"",AB$3&gt;=$J55,AB$3&lt;=$M55),1,"")</f>
        <v/>
      </c>
      <c r="AC55">
        <f>IF(AND($A55&lt;&gt;"",AC$3&gt;=$J55,AC$3&lt;=$M55),1,"")</f>
        <v/>
      </c>
      <c r="AD55">
        <f>IF(AND($A55&lt;&gt;"",AD$3&gt;=$J55,AD$3&lt;=$M55),1,"")</f>
        <v/>
      </c>
      <c r="AE55">
        <f>IF(AND($A55&lt;&gt;"",AE$3&gt;=$J55,AE$3&lt;=$M55),1,"")</f>
        <v/>
      </c>
      <c r="AF55">
        <f>IF(AND($A55&lt;&gt;"",AF$3&gt;=$J55,AF$3&lt;=$M55),1,"")</f>
        <v/>
      </c>
      <c r="AG55">
        <f>IF(AND($A55&lt;&gt;"",AG$3&gt;=$J55,AG$3&lt;=$M55),1,"")</f>
        <v/>
      </c>
      <c r="AH55">
        <f>IF(AND($A55&lt;&gt;"",AH$3&gt;=$J55,AH$3&lt;=$M55),1,"")</f>
        <v/>
      </c>
      <c r="AI55">
        <f>IF(AND($A55&lt;&gt;"",AI$3&gt;=$J55,AI$3&lt;=$M55),1,"")</f>
        <v/>
      </c>
      <c r="AJ55">
        <f>IF(AND($A55&lt;&gt;"",AJ$3&gt;=$J55,AJ$3&lt;=$M55),1,"")</f>
        <v/>
      </c>
      <c r="AK55">
        <f>IF(AND($A55&lt;&gt;"",AK$3&gt;=$J55,AK$3&lt;=$M55),1,"")</f>
        <v/>
      </c>
      <c r="AL55">
        <f>IF(AND($A55&lt;&gt;"",AL$3&gt;=$J55,AL$3&lt;=$M55),1,"")</f>
        <v/>
      </c>
      <c r="AM55">
        <f>IF(AND($A55&lt;&gt;"",AM$3&gt;=$J55,AM$3&lt;=$M55),1,"")</f>
        <v/>
      </c>
      <c r="AN55">
        <f>IF(AND($A55&lt;&gt;"",AN$3&gt;=$J55,AN$3&lt;=$M55),1,"")</f>
        <v/>
      </c>
      <c r="AO55">
        <f>IF(AND($A55&lt;&gt;"",AO$3&gt;=$J55,AO$3&lt;=$M55),1,"")</f>
        <v/>
      </c>
      <c r="AP55">
        <f>IF(AND($A55&lt;&gt;"",AP$3&gt;=$J55,AP$3&lt;=$M55),1,"")</f>
        <v/>
      </c>
      <c r="AQ55">
        <f>IF(AND($A55&lt;&gt;"",AQ$3&gt;=$J55,AQ$3&lt;=$M55),1,"")</f>
        <v/>
      </c>
      <c r="AR55">
        <f>IF(AND($A55&lt;&gt;"",AR$3&gt;=$J55,AR$3&lt;=$M55),1,"")</f>
        <v/>
      </c>
      <c r="AS55">
        <f>IF(AND($A55&lt;&gt;"",AS$3&gt;=$J55,AS$3&lt;=$M55),1,"")</f>
        <v/>
      </c>
      <c r="AT55">
        <f>IF(AND($A55&lt;&gt;"",AT$3&gt;=$J55,AT$3&lt;=$M55),1,"")</f>
        <v/>
      </c>
      <c r="AU55">
        <f>IF(AND($A55&lt;&gt;"",AU$3&gt;=$J55,AU$3&lt;=$M55),1,"")</f>
        <v/>
      </c>
      <c r="AV55">
        <f>IF(AND($A55&lt;&gt;"",AV$3&gt;=$J55,AV$3&lt;=$M55),1,"")</f>
        <v/>
      </c>
      <c r="AW55">
        <f>IF(AND($A55&lt;&gt;"",AW$3&gt;=$J55,AW$3&lt;=$M55),1,"")</f>
        <v/>
      </c>
      <c r="AX55">
        <f>IF(AND($A55&lt;&gt;"",AX$3&gt;=$J55,AX$3&lt;=$M55),1,"")</f>
        <v/>
      </c>
      <c r="AY55">
        <f>IF(AND($A55&lt;&gt;"",AY$3&gt;=$J55,AY$3&lt;=$M55),1,"")</f>
        <v/>
      </c>
      <c r="AZ55">
        <f>IF(AND($A55&lt;&gt;"",AZ$3&gt;=$J55,AZ$3&lt;=$M55),1,"")</f>
        <v/>
      </c>
      <c r="BA55">
        <f>IF(AND($A55&lt;&gt;"",BA$3&gt;=$J55,BA$3&lt;=$M55),1,"")</f>
        <v/>
      </c>
      <c r="BB55">
        <f>IF(AND($A55&lt;&gt;"",BB$3&gt;=$J55,BB$3&lt;=$M55),1,"")</f>
        <v/>
      </c>
      <c r="BC55">
        <f>IF(AND($A55&lt;&gt;"",BC$3&gt;=$J55,BC$3&lt;=$M55),1,"")</f>
        <v/>
      </c>
      <c r="BD55">
        <f>IF(AND($A55&lt;&gt;"",BD$3&gt;=$J55,BD$3&lt;=$M55),1,"")</f>
        <v/>
      </c>
      <c r="BE55">
        <f>IF(AND($A55&lt;&gt;"",BE$3&gt;=$J55,BE$3&lt;=$M55),1,"")</f>
        <v/>
      </c>
      <c r="BF55">
        <f>IF(AND($A55&lt;&gt;"",BF$3&gt;=$J55,BF$3&lt;=$M55),1,"")</f>
        <v/>
      </c>
      <c r="BG55">
        <f>IF(AND($A55&lt;&gt;"",BG$3&gt;=$J55,BG$3&lt;=$M55),1,"")</f>
        <v/>
      </c>
      <c r="BH55">
        <f>IF(AND($A55&lt;&gt;"",BH$3&gt;=$J55,BH$3&lt;=$M55),1,"")</f>
        <v/>
      </c>
      <c r="BI55">
        <f>IF(AND($A55&lt;&gt;"",BI$3&gt;=$J55,BI$3&lt;=$M55),1,"")</f>
        <v/>
      </c>
      <c r="BJ55">
        <f>IF(AND($A55&lt;&gt;"",BJ$3&gt;=$J55,BJ$3&lt;=$M55),1,"")</f>
        <v/>
      </c>
      <c r="BK55">
        <f>IF(AND($A55&lt;&gt;"",BK$3&gt;=$J55,BK$3&lt;=$M55),1,"")</f>
        <v/>
      </c>
      <c r="BL55">
        <f>IF(AND($A55&lt;&gt;"",BL$3&gt;=$J55,BL$3&lt;=$M55),1,"")</f>
        <v/>
      </c>
      <c r="BM55">
        <f>IF(AND($A55&lt;&gt;"",BM$3&gt;=$J55,BM$3&lt;=$M55),1,"")</f>
        <v/>
      </c>
      <c r="BN55">
        <f>IF(AND($A55&lt;&gt;"",BN$3&gt;=$J55,BN$3&lt;=$M55),1,"")</f>
        <v/>
      </c>
      <c r="BO55">
        <f>IF(AND($A55&lt;&gt;"",BO$3&gt;=$J55,BO$3&lt;=$M55),1,"")</f>
        <v/>
      </c>
      <c r="BP55">
        <f>IF(AND($A55&lt;&gt;"",BP$3&gt;=$J55,BP$3&lt;=$M55),1,"")</f>
        <v/>
      </c>
      <c r="BQ55">
        <f>IF(AND($A55&lt;&gt;"",BQ$3&gt;=$J55,BQ$3&lt;=$M55),1,"")</f>
        <v/>
      </c>
      <c r="BR55">
        <f>IF(AND($A55&lt;&gt;"",BR$3&gt;=$J55,BR$3&lt;=$M55),1,"")</f>
        <v/>
      </c>
      <c r="BS55">
        <f>IF(AND($A55&lt;&gt;"",BS$3&gt;=$J55,BS$3&lt;=$M55),1,"")</f>
        <v/>
      </c>
      <c r="BT55">
        <f>IF(AND($A55&lt;&gt;"",BT$3&gt;=$J55,BT$3&lt;=$M55),1,"")</f>
        <v/>
      </c>
      <c r="BU55">
        <f>IF(AND($A55&lt;&gt;"",BU$3&gt;=$J55,BU$3&lt;=$M55),1,"")</f>
        <v/>
      </c>
      <c r="BV55">
        <f>IF(AND($A55&lt;&gt;"",BV$3&gt;=$J55,BV$3&lt;=$M55),1,"")</f>
        <v/>
      </c>
    </row>
    <row r="56">
      <c r="A56">
        <f>IF(Job_Master_Ring!$A56="","",Job_Master_Ring!$A56)</f>
        <v/>
      </c>
      <c r="B56">
        <f>IF($A56="","",Job_Master_Ring!B56)</f>
        <v/>
      </c>
      <c r="C56">
        <f>IF($A56="","",Job_Master_Ring!C56)</f>
        <v/>
      </c>
      <c r="D56">
        <f>IF($A56="","",Job_Master_Ring!D56)</f>
        <v/>
      </c>
      <c r="E56">
        <f>IF($A56="","",IF($I56&lt;&gt;"",$I56,IFERROR(INDEX(Machine_List!$B$82:$B$86,MATCH(1,(Machine_List!$H$82:$H$86&lt;=IFERROR(VLOOKUP($B56,CHOOSE(MATCH($C56,Settings!$L$4:$L$10,0),OPR_BR1!$A$4:$K$18,OPR_BR2!$A$4:$K$18,OPR_CR2!$A$4:$K$18,OPR_CR3!$A$4:$K$18,OPR_CR4!$A$4:$K$18,OPR_RIM!$A$4:$K$18,OPR_BPR!$A$4:$K$18),10,0),0))*(Machine_List!$I$82:$I$86&gt;=IFERROR(VLOOKUP($B56,CHOOSE(MATCH($C56,Settings!$L$4:$L$10,0),OPR_BR1!$A$4:$K$18,OPR_BR2!$A$4:$K$18,OPR_CR2!$A$4:$K$18,OPR_CR3!$A$4:$K$18,OPR_CR4!$A$4:$K$18,OPR_RIM!$A$4:$K$18,OPR_BPR!$A$4:$K$18),11,0),9999)),0)),"NO COMPATIBLE MACHINE")))</f>
        <v/>
      </c>
      <c r="F56">
        <f>IF($E56="","",IFERROR(VLOOKUP($E56,Machine_List!$B:$G,6,0),""))</f>
        <v/>
      </c>
      <c r="G56" s="17">
        <f>IF($E56="","",IFERROR(VLOOKUP($E56,Machine_List!$B:$C,2,0),""))</f>
        <v/>
      </c>
      <c r="H56">
        <f>IF($E56="","",IFERROR(VLOOKUP($E56,Machine_List!$B:$D,3,0),""))</f>
        <v/>
      </c>
      <c r="J56" s="16">
        <f>IF($A56="","",IF($I56&lt;&gt;"",$I56,MAX(FID_Plan!$M56,IFERROR(LOOKUP(2,1/($E$3:INDIRECT("E"&amp;(ROW()-1))=$E56),$M$3:INDIRECT("M"&amp;(ROW()-1))),FID_Plan!$M56))))</f>
        <v/>
      </c>
      <c r="K56">
        <f>IF($A56="","",IFERROR(VLOOKUP(B56,CHOOSE(MATCH($C56,Settings!$L$4:$L$10,0),OPR_BR1!$A$4:$I$18,OPR_BR2!$A$4:$I$18,OPR_CR2!$A$4:$I$18,OPR_CR3!$A$4:$I$18,OPR_CR4!$A$4:$I$18,OPR_RIM!$A$4:$I$18,OPR_BPR!$A$4:$I$18),9,0),0))</f>
        <v/>
      </c>
      <c r="L56">
        <f>IF($A56="","",K56*D56)</f>
        <v/>
      </c>
      <c r="M56" s="16">
        <f>IF($A56=""," ",$J56+($L56/(IF(F56="Contract Workman",Settings!$K$5,Settings!$K$4))))</f>
        <v/>
      </c>
      <c r="N56">
        <f>IF($A56="","",IF(F56="Contract Workman",IF(AND(MOD(M56,1)&gt;=8/24,MOD(M56,1)&lt;20/24),"Shift S1","Shift S2"),IF(AND(MOD(M56,1)&gt;=7/24,MOD(M56,1)&lt;15/24),"Shift A",IF(AND(MOD(M56,1)&gt;=15/24,MOD(M56,1)&lt;23/24),"Shift B","Shift C"))))</f>
        <v/>
      </c>
      <c r="O56">
        <f>IF(B56="","",IF(IFERROR(ISNUMBER(SEARCH(TEXT(B56,"0"),VLOOKUP(E56,Machine_List!$B:$J,9,0))),FALSE),"✅ "&amp; E56,"❌ Sug: "&amp;IFERROR(INDEX(Machine_List!$B$82:$B$86,MATCH(1,(Machine_List!$H$82:$H$86&lt;=IFERROR(VLOOKUP($B56,OPR_BR1!$A$4:$K$18,10,0),0))*(Machine_List!$I$82:$I$86&gt;=IFERROR(VLOOKUP($B56,OPR_BR1!$A$4:$K$18,11,0),9999)),0)),"?")))</f>
        <v/>
      </c>
      <c r="P56">
        <f>IF(AND($A56&lt;&gt;"",P$3&gt;=$J56,P$3&lt;=$M56),1,"")</f>
        <v/>
      </c>
      <c r="Q56">
        <f>IF(AND($A56&lt;&gt;"",Q$3&gt;=$J56,Q$3&lt;=$M56),1,"")</f>
        <v/>
      </c>
      <c r="R56">
        <f>IF(AND($A56&lt;&gt;"",R$3&gt;=$J56,R$3&lt;=$M56),1,"")</f>
        <v/>
      </c>
      <c r="S56">
        <f>IF(AND($A56&lt;&gt;"",S$3&gt;=$J56,S$3&lt;=$M56),1,"")</f>
        <v/>
      </c>
      <c r="T56">
        <f>IF(AND($A56&lt;&gt;"",T$3&gt;=$J56,T$3&lt;=$M56),1,"")</f>
        <v/>
      </c>
      <c r="U56">
        <f>IF(AND($A56&lt;&gt;"",U$3&gt;=$J56,U$3&lt;=$M56),1,"")</f>
        <v/>
      </c>
      <c r="V56">
        <f>IF(AND($A56&lt;&gt;"",V$3&gt;=$J56,V$3&lt;=$M56),1,"")</f>
        <v/>
      </c>
      <c r="W56">
        <f>IF(AND($A56&lt;&gt;"",W$3&gt;=$J56,W$3&lt;=$M56),1,"")</f>
        <v/>
      </c>
      <c r="X56">
        <f>IF(AND($A56&lt;&gt;"",X$3&gt;=$J56,X$3&lt;=$M56),1,"")</f>
        <v/>
      </c>
      <c r="Y56">
        <f>IF(AND($A56&lt;&gt;"",Y$3&gt;=$J56,Y$3&lt;=$M56),1,"")</f>
        <v/>
      </c>
      <c r="Z56">
        <f>IF(AND($A56&lt;&gt;"",Z$3&gt;=$J56,Z$3&lt;=$M56),1,"")</f>
        <v/>
      </c>
      <c r="AA56">
        <f>IF(AND($A56&lt;&gt;"",AA$3&gt;=$J56,AA$3&lt;=$M56),1,"")</f>
        <v/>
      </c>
      <c r="AB56">
        <f>IF(AND($A56&lt;&gt;"",AB$3&gt;=$J56,AB$3&lt;=$M56),1,"")</f>
        <v/>
      </c>
      <c r="AC56">
        <f>IF(AND($A56&lt;&gt;"",AC$3&gt;=$J56,AC$3&lt;=$M56),1,"")</f>
        <v/>
      </c>
      <c r="AD56">
        <f>IF(AND($A56&lt;&gt;"",AD$3&gt;=$J56,AD$3&lt;=$M56),1,"")</f>
        <v/>
      </c>
      <c r="AE56">
        <f>IF(AND($A56&lt;&gt;"",AE$3&gt;=$J56,AE$3&lt;=$M56),1,"")</f>
        <v/>
      </c>
      <c r="AF56">
        <f>IF(AND($A56&lt;&gt;"",AF$3&gt;=$J56,AF$3&lt;=$M56),1,"")</f>
        <v/>
      </c>
      <c r="AG56">
        <f>IF(AND($A56&lt;&gt;"",AG$3&gt;=$J56,AG$3&lt;=$M56),1,"")</f>
        <v/>
      </c>
      <c r="AH56">
        <f>IF(AND($A56&lt;&gt;"",AH$3&gt;=$J56,AH$3&lt;=$M56),1,"")</f>
        <v/>
      </c>
      <c r="AI56">
        <f>IF(AND($A56&lt;&gt;"",AI$3&gt;=$J56,AI$3&lt;=$M56),1,"")</f>
        <v/>
      </c>
      <c r="AJ56">
        <f>IF(AND($A56&lt;&gt;"",AJ$3&gt;=$J56,AJ$3&lt;=$M56),1,"")</f>
        <v/>
      </c>
      <c r="AK56">
        <f>IF(AND($A56&lt;&gt;"",AK$3&gt;=$J56,AK$3&lt;=$M56),1,"")</f>
        <v/>
      </c>
      <c r="AL56">
        <f>IF(AND($A56&lt;&gt;"",AL$3&gt;=$J56,AL$3&lt;=$M56),1,"")</f>
        <v/>
      </c>
      <c r="AM56">
        <f>IF(AND($A56&lt;&gt;"",AM$3&gt;=$J56,AM$3&lt;=$M56),1,"")</f>
        <v/>
      </c>
      <c r="AN56">
        <f>IF(AND($A56&lt;&gt;"",AN$3&gt;=$J56,AN$3&lt;=$M56),1,"")</f>
        <v/>
      </c>
      <c r="AO56">
        <f>IF(AND($A56&lt;&gt;"",AO$3&gt;=$J56,AO$3&lt;=$M56),1,"")</f>
        <v/>
      </c>
      <c r="AP56">
        <f>IF(AND($A56&lt;&gt;"",AP$3&gt;=$J56,AP$3&lt;=$M56),1,"")</f>
        <v/>
      </c>
      <c r="AQ56">
        <f>IF(AND($A56&lt;&gt;"",AQ$3&gt;=$J56,AQ$3&lt;=$M56),1,"")</f>
        <v/>
      </c>
      <c r="AR56">
        <f>IF(AND($A56&lt;&gt;"",AR$3&gt;=$J56,AR$3&lt;=$M56),1,"")</f>
        <v/>
      </c>
      <c r="AS56">
        <f>IF(AND($A56&lt;&gt;"",AS$3&gt;=$J56,AS$3&lt;=$M56),1,"")</f>
        <v/>
      </c>
      <c r="AT56">
        <f>IF(AND($A56&lt;&gt;"",AT$3&gt;=$J56,AT$3&lt;=$M56),1,"")</f>
        <v/>
      </c>
      <c r="AU56">
        <f>IF(AND($A56&lt;&gt;"",AU$3&gt;=$J56,AU$3&lt;=$M56),1,"")</f>
        <v/>
      </c>
      <c r="AV56">
        <f>IF(AND($A56&lt;&gt;"",AV$3&gt;=$J56,AV$3&lt;=$M56),1,"")</f>
        <v/>
      </c>
      <c r="AW56">
        <f>IF(AND($A56&lt;&gt;"",AW$3&gt;=$J56,AW$3&lt;=$M56),1,"")</f>
        <v/>
      </c>
      <c r="AX56">
        <f>IF(AND($A56&lt;&gt;"",AX$3&gt;=$J56,AX$3&lt;=$M56),1,"")</f>
        <v/>
      </c>
      <c r="AY56">
        <f>IF(AND($A56&lt;&gt;"",AY$3&gt;=$J56,AY$3&lt;=$M56),1,"")</f>
        <v/>
      </c>
      <c r="AZ56">
        <f>IF(AND($A56&lt;&gt;"",AZ$3&gt;=$J56,AZ$3&lt;=$M56),1,"")</f>
        <v/>
      </c>
      <c r="BA56">
        <f>IF(AND($A56&lt;&gt;"",BA$3&gt;=$J56,BA$3&lt;=$M56),1,"")</f>
        <v/>
      </c>
      <c r="BB56">
        <f>IF(AND($A56&lt;&gt;"",BB$3&gt;=$J56,BB$3&lt;=$M56),1,"")</f>
        <v/>
      </c>
      <c r="BC56">
        <f>IF(AND($A56&lt;&gt;"",BC$3&gt;=$J56,BC$3&lt;=$M56),1,"")</f>
        <v/>
      </c>
      <c r="BD56">
        <f>IF(AND($A56&lt;&gt;"",BD$3&gt;=$J56,BD$3&lt;=$M56),1,"")</f>
        <v/>
      </c>
      <c r="BE56">
        <f>IF(AND($A56&lt;&gt;"",BE$3&gt;=$J56,BE$3&lt;=$M56),1,"")</f>
        <v/>
      </c>
      <c r="BF56">
        <f>IF(AND($A56&lt;&gt;"",BF$3&gt;=$J56,BF$3&lt;=$M56),1,"")</f>
        <v/>
      </c>
      <c r="BG56">
        <f>IF(AND($A56&lt;&gt;"",BG$3&gt;=$J56,BG$3&lt;=$M56),1,"")</f>
        <v/>
      </c>
      <c r="BH56">
        <f>IF(AND($A56&lt;&gt;"",BH$3&gt;=$J56,BH$3&lt;=$M56),1,"")</f>
        <v/>
      </c>
      <c r="BI56">
        <f>IF(AND($A56&lt;&gt;"",BI$3&gt;=$J56,BI$3&lt;=$M56),1,"")</f>
        <v/>
      </c>
      <c r="BJ56">
        <f>IF(AND($A56&lt;&gt;"",BJ$3&gt;=$J56,BJ$3&lt;=$M56),1,"")</f>
        <v/>
      </c>
      <c r="BK56">
        <f>IF(AND($A56&lt;&gt;"",BK$3&gt;=$J56,BK$3&lt;=$M56),1,"")</f>
        <v/>
      </c>
      <c r="BL56">
        <f>IF(AND($A56&lt;&gt;"",BL$3&gt;=$J56,BL$3&lt;=$M56),1,"")</f>
        <v/>
      </c>
      <c r="BM56">
        <f>IF(AND($A56&lt;&gt;"",BM$3&gt;=$J56,BM$3&lt;=$M56),1,"")</f>
        <v/>
      </c>
      <c r="BN56">
        <f>IF(AND($A56&lt;&gt;"",BN$3&gt;=$J56,BN$3&lt;=$M56),1,"")</f>
        <v/>
      </c>
      <c r="BO56">
        <f>IF(AND($A56&lt;&gt;"",BO$3&gt;=$J56,BO$3&lt;=$M56),1,"")</f>
        <v/>
      </c>
      <c r="BP56">
        <f>IF(AND($A56&lt;&gt;"",BP$3&gt;=$J56,BP$3&lt;=$M56),1,"")</f>
        <v/>
      </c>
      <c r="BQ56">
        <f>IF(AND($A56&lt;&gt;"",BQ$3&gt;=$J56,BQ$3&lt;=$M56),1,"")</f>
        <v/>
      </c>
      <c r="BR56">
        <f>IF(AND($A56&lt;&gt;"",BR$3&gt;=$J56,BR$3&lt;=$M56),1,"")</f>
        <v/>
      </c>
      <c r="BS56">
        <f>IF(AND($A56&lt;&gt;"",BS$3&gt;=$J56,BS$3&lt;=$M56),1,"")</f>
        <v/>
      </c>
      <c r="BT56">
        <f>IF(AND($A56&lt;&gt;"",BT$3&gt;=$J56,BT$3&lt;=$M56),1,"")</f>
        <v/>
      </c>
      <c r="BU56">
        <f>IF(AND($A56&lt;&gt;"",BU$3&gt;=$J56,BU$3&lt;=$M56),1,"")</f>
        <v/>
      </c>
      <c r="BV56">
        <f>IF(AND($A56&lt;&gt;"",BV$3&gt;=$J56,BV$3&lt;=$M56),1,"")</f>
        <v/>
      </c>
    </row>
    <row r="57">
      <c r="A57">
        <f>IF(Job_Master_Ring!$A57="","",Job_Master_Ring!$A57)</f>
        <v/>
      </c>
      <c r="B57">
        <f>IF($A57="","",Job_Master_Ring!B57)</f>
        <v/>
      </c>
      <c r="C57">
        <f>IF($A57="","",Job_Master_Ring!C57)</f>
        <v/>
      </c>
      <c r="D57">
        <f>IF($A57="","",Job_Master_Ring!D57)</f>
        <v/>
      </c>
      <c r="E57">
        <f>IF($A57="","",IF($I57&lt;&gt;"",$I57,IFERROR(INDEX(Machine_List!$B$82:$B$86,MATCH(1,(Machine_List!$H$82:$H$86&lt;=IFERROR(VLOOKUP($B57,CHOOSE(MATCH($C57,Settings!$L$4:$L$10,0),OPR_BR1!$A$4:$K$18,OPR_BR2!$A$4:$K$18,OPR_CR2!$A$4:$K$18,OPR_CR3!$A$4:$K$18,OPR_CR4!$A$4:$K$18,OPR_RIM!$A$4:$K$18,OPR_BPR!$A$4:$K$18),10,0),0))*(Machine_List!$I$82:$I$86&gt;=IFERROR(VLOOKUP($B57,CHOOSE(MATCH($C57,Settings!$L$4:$L$10,0),OPR_BR1!$A$4:$K$18,OPR_BR2!$A$4:$K$18,OPR_CR2!$A$4:$K$18,OPR_CR3!$A$4:$K$18,OPR_CR4!$A$4:$K$18,OPR_RIM!$A$4:$K$18,OPR_BPR!$A$4:$K$18),11,0),9999)),0)),"NO COMPATIBLE MACHINE")))</f>
        <v/>
      </c>
      <c r="F57">
        <f>IF($E57="","",IFERROR(VLOOKUP($E57,Machine_List!$B:$G,6,0),""))</f>
        <v/>
      </c>
      <c r="G57" s="17">
        <f>IF($E57="","",IFERROR(VLOOKUP($E57,Machine_List!$B:$C,2,0),""))</f>
        <v/>
      </c>
      <c r="H57">
        <f>IF($E57="","",IFERROR(VLOOKUP($E57,Machine_List!$B:$D,3,0),""))</f>
        <v/>
      </c>
      <c r="J57" s="16">
        <f>IF($A57="","",IF($I57&lt;&gt;"",$I57,MAX(FID_Plan!$M57,IFERROR(LOOKUP(2,1/($E$3:INDIRECT("E"&amp;(ROW()-1))=$E57),$M$3:INDIRECT("M"&amp;(ROW()-1))),FID_Plan!$M57))))</f>
        <v/>
      </c>
      <c r="K57">
        <f>IF($A57="","",IFERROR(VLOOKUP(B57,CHOOSE(MATCH($C57,Settings!$L$4:$L$10,0),OPR_BR1!$A$4:$I$18,OPR_BR2!$A$4:$I$18,OPR_CR2!$A$4:$I$18,OPR_CR3!$A$4:$I$18,OPR_CR4!$A$4:$I$18,OPR_RIM!$A$4:$I$18,OPR_BPR!$A$4:$I$18),9,0),0))</f>
        <v/>
      </c>
      <c r="L57">
        <f>IF($A57="","",K57*D57)</f>
        <v/>
      </c>
      <c r="M57" s="16">
        <f>IF($A57=""," ",$J57+($L57/(IF(F57="Contract Workman",Settings!$K$5,Settings!$K$4))))</f>
        <v/>
      </c>
      <c r="N57">
        <f>IF($A57="","",IF(F57="Contract Workman",IF(AND(MOD(M57,1)&gt;=8/24,MOD(M57,1)&lt;20/24),"Shift S1","Shift S2"),IF(AND(MOD(M57,1)&gt;=7/24,MOD(M57,1)&lt;15/24),"Shift A",IF(AND(MOD(M57,1)&gt;=15/24,MOD(M57,1)&lt;23/24),"Shift B","Shift C"))))</f>
        <v/>
      </c>
      <c r="O57">
        <f>IF(B57="","",IF(IFERROR(ISNUMBER(SEARCH(TEXT(B57,"0"),VLOOKUP(E57,Machine_List!$B:$J,9,0))),FALSE),"✅ "&amp; E57,"❌ Sug: "&amp;IFERROR(INDEX(Machine_List!$B$82:$B$86,MATCH(1,(Machine_List!$H$82:$H$86&lt;=IFERROR(VLOOKUP($B57,OPR_BR1!$A$4:$K$18,10,0),0))*(Machine_List!$I$82:$I$86&gt;=IFERROR(VLOOKUP($B57,OPR_BR1!$A$4:$K$18,11,0),9999)),0)),"?")))</f>
        <v/>
      </c>
      <c r="P57">
        <f>IF(AND($A57&lt;&gt;"",P$3&gt;=$J57,P$3&lt;=$M57),1,"")</f>
        <v/>
      </c>
      <c r="Q57">
        <f>IF(AND($A57&lt;&gt;"",Q$3&gt;=$J57,Q$3&lt;=$M57),1,"")</f>
        <v/>
      </c>
      <c r="R57">
        <f>IF(AND($A57&lt;&gt;"",R$3&gt;=$J57,R$3&lt;=$M57),1,"")</f>
        <v/>
      </c>
      <c r="S57">
        <f>IF(AND($A57&lt;&gt;"",S$3&gt;=$J57,S$3&lt;=$M57),1,"")</f>
        <v/>
      </c>
      <c r="T57">
        <f>IF(AND($A57&lt;&gt;"",T$3&gt;=$J57,T$3&lt;=$M57),1,"")</f>
        <v/>
      </c>
      <c r="U57">
        <f>IF(AND($A57&lt;&gt;"",U$3&gt;=$J57,U$3&lt;=$M57),1,"")</f>
        <v/>
      </c>
      <c r="V57">
        <f>IF(AND($A57&lt;&gt;"",V$3&gt;=$J57,V$3&lt;=$M57),1,"")</f>
        <v/>
      </c>
      <c r="W57">
        <f>IF(AND($A57&lt;&gt;"",W$3&gt;=$J57,W$3&lt;=$M57),1,"")</f>
        <v/>
      </c>
      <c r="X57">
        <f>IF(AND($A57&lt;&gt;"",X$3&gt;=$J57,X$3&lt;=$M57),1,"")</f>
        <v/>
      </c>
      <c r="Y57">
        <f>IF(AND($A57&lt;&gt;"",Y$3&gt;=$J57,Y$3&lt;=$M57),1,"")</f>
        <v/>
      </c>
      <c r="Z57">
        <f>IF(AND($A57&lt;&gt;"",Z$3&gt;=$J57,Z$3&lt;=$M57),1,"")</f>
        <v/>
      </c>
      <c r="AA57">
        <f>IF(AND($A57&lt;&gt;"",AA$3&gt;=$J57,AA$3&lt;=$M57),1,"")</f>
        <v/>
      </c>
      <c r="AB57">
        <f>IF(AND($A57&lt;&gt;"",AB$3&gt;=$J57,AB$3&lt;=$M57),1,"")</f>
        <v/>
      </c>
      <c r="AC57">
        <f>IF(AND($A57&lt;&gt;"",AC$3&gt;=$J57,AC$3&lt;=$M57),1,"")</f>
        <v/>
      </c>
      <c r="AD57">
        <f>IF(AND($A57&lt;&gt;"",AD$3&gt;=$J57,AD$3&lt;=$M57),1,"")</f>
        <v/>
      </c>
      <c r="AE57">
        <f>IF(AND($A57&lt;&gt;"",AE$3&gt;=$J57,AE$3&lt;=$M57),1,"")</f>
        <v/>
      </c>
      <c r="AF57">
        <f>IF(AND($A57&lt;&gt;"",AF$3&gt;=$J57,AF$3&lt;=$M57),1,"")</f>
        <v/>
      </c>
      <c r="AG57">
        <f>IF(AND($A57&lt;&gt;"",AG$3&gt;=$J57,AG$3&lt;=$M57),1,"")</f>
        <v/>
      </c>
      <c r="AH57">
        <f>IF(AND($A57&lt;&gt;"",AH$3&gt;=$J57,AH$3&lt;=$M57),1,"")</f>
        <v/>
      </c>
      <c r="AI57">
        <f>IF(AND($A57&lt;&gt;"",AI$3&gt;=$J57,AI$3&lt;=$M57),1,"")</f>
        <v/>
      </c>
      <c r="AJ57">
        <f>IF(AND($A57&lt;&gt;"",AJ$3&gt;=$J57,AJ$3&lt;=$M57),1,"")</f>
        <v/>
      </c>
      <c r="AK57">
        <f>IF(AND($A57&lt;&gt;"",AK$3&gt;=$J57,AK$3&lt;=$M57),1,"")</f>
        <v/>
      </c>
      <c r="AL57">
        <f>IF(AND($A57&lt;&gt;"",AL$3&gt;=$J57,AL$3&lt;=$M57),1,"")</f>
        <v/>
      </c>
      <c r="AM57">
        <f>IF(AND($A57&lt;&gt;"",AM$3&gt;=$J57,AM$3&lt;=$M57),1,"")</f>
        <v/>
      </c>
      <c r="AN57">
        <f>IF(AND($A57&lt;&gt;"",AN$3&gt;=$J57,AN$3&lt;=$M57),1,"")</f>
        <v/>
      </c>
      <c r="AO57">
        <f>IF(AND($A57&lt;&gt;"",AO$3&gt;=$J57,AO$3&lt;=$M57),1,"")</f>
        <v/>
      </c>
      <c r="AP57">
        <f>IF(AND($A57&lt;&gt;"",AP$3&gt;=$J57,AP$3&lt;=$M57),1,"")</f>
        <v/>
      </c>
      <c r="AQ57">
        <f>IF(AND($A57&lt;&gt;"",AQ$3&gt;=$J57,AQ$3&lt;=$M57),1,"")</f>
        <v/>
      </c>
      <c r="AR57">
        <f>IF(AND($A57&lt;&gt;"",AR$3&gt;=$J57,AR$3&lt;=$M57),1,"")</f>
        <v/>
      </c>
      <c r="AS57">
        <f>IF(AND($A57&lt;&gt;"",AS$3&gt;=$J57,AS$3&lt;=$M57),1,"")</f>
        <v/>
      </c>
      <c r="AT57">
        <f>IF(AND($A57&lt;&gt;"",AT$3&gt;=$J57,AT$3&lt;=$M57),1,"")</f>
        <v/>
      </c>
      <c r="AU57">
        <f>IF(AND($A57&lt;&gt;"",AU$3&gt;=$J57,AU$3&lt;=$M57),1,"")</f>
        <v/>
      </c>
      <c r="AV57">
        <f>IF(AND($A57&lt;&gt;"",AV$3&gt;=$J57,AV$3&lt;=$M57),1,"")</f>
        <v/>
      </c>
      <c r="AW57">
        <f>IF(AND($A57&lt;&gt;"",AW$3&gt;=$J57,AW$3&lt;=$M57),1,"")</f>
        <v/>
      </c>
      <c r="AX57">
        <f>IF(AND($A57&lt;&gt;"",AX$3&gt;=$J57,AX$3&lt;=$M57),1,"")</f>
        <v/>
      </c>
      <c r="AY57">
        <f>IF(AND($A57&lt;&gt;"",AY$3&gt;=$J57,AY$3&lt;=$M57),1,"")</f>
        <v/>
      </c>
      <c r="AZ57">
        <f>IF(AND($A57&lt;&gt;"",AZ$3&gt;=$J57,AZ$3&lt;=$M57),1,"")</f>
        <v/>
      </c>
      <c r="BA57">
        <f>IF(AND($A57&lt;&gt;"",BA$3&gt;=$J57,BA$3&lt;=$M57),1,"")</f>
        <v/>
      </c>
      <c r="BB57">
        <f>IF(AND($A57&lt;&gt;"",BB$3&gt;=$J57,BB$3&lt;=$M57),1,"")</f>
        <v/>
      </c>
      <c r="BC57">
        <f>IF(AND($A57&lt;&gt;"",BC$3&gt;=$J57,BC$3&lt;=$M57),1,"")</f>
        <v/>
      </c>
      <c r="BD57">
        <f>IF(AND($A57&lt;&gt;"",BD$3&gt;=$J57,BD$3&lt;=$M57),1,"")</f>
        <v/>
      </c>
      <c r="BE57">
        <f>IF(AND($A57&lt;&gt;"",BE$3&gt;=$J57,BE$3&lt;=$M57),1,"")</f>
        <v/>
      </c>
      <c r="BF57">
        <f>IF(AND($A57&lt;&gt;"",BF$3&gt;=$J57,BF$3&lt;=$M57),1,"")</f>
        <v/>
      </c>
      <c r="BG57">
        <f>IF(AND($A57&lt;&gt;"",BG$3&gt;=$J57,BG$3&lt;=$M57),1,"")</f>
        <v/>
      </c>
      <c r="BH57">
        <f>IF(AND($A57&lt;&gt;"",BH$3&gt;=$J57,BH$3&lt;=$M57),1,"")</f>
        <v/>
      </c>
      <c r="BI57">
        <f>IF(AND($A57&lt;&gt;"",BI$3&gt;=$J57,BI$3&lt;=$M57),1,"")</f>
        <v/>
      </c>
      <c r="BJ57">
        <f>IF(AND($A57&lt;&gt;"",BJ$3&gt;=$J57,BJ$3&lt;=$M57),1,"")</f>
        <v/>
      </c>
      <c r="BK57">
        <f>IF(AND($A57&lt;&gt;"",BK$3&gt;=$J57,BK$3&lt;=$M57),1,"")</f>
        <v/>
      </c>
      <c r="BL57">
        <f>IF(AND($A57&lt;&gt;"",BL$3&gt;=$J57,BL$3&lt;=$M57),1,"")</f>
        <v/>
      </c>
      <c r="BM57">
        <f>IF(AND($A57&lt;&gt;"",BM$3&gt;=$J57,BM$3&lt;=$M57),1,"")</f>
        <v/>
      </c>
      <c r="BN57">
        <f>IF(AND($A57&lt;&gt;"",BN$3&gt;=$J57,BN$3&lt;=$M57),1,"")</f>
        <v/>
      </c>
      <c r="BO57">
        <f>IF(AND($A57&lt;&gt;"",BO$3&gt;=$J57,BO$3&lt;=$M57),1,"")</f>
        <v/>
      </c>
      <c r="BP57">
        <f>IF(AND($A57&lt;&gt;"",BP$3&gt;=$J57,BP$3&lt;=$M57),1,"")</f>
        <v/>
      </c>
      <c r="BQ57">
        <f>IF(AND($A57&lt;&gt;"",BQ$3&gt;=$J57,BQ$3&lt;=$M57),1,"")</f>
        <v/>
      </c>
      <c r="BR57">
        <f>IF(AND($A57&lt;&gt;"",BR$3&gt;=$J57,BR$3&lt;=$M57),1,"")</f>
        <v/>
      </c>
      <c r="BS57">
        <f>IF(AND($A57&lt;&gt;"",BS$3&gt;=$J57,BS$3&lt;=$M57),1,"")</f>
        <v/>
      </c>
      <c r="BT57">
        <f>IF(AND($A57&lt;&gt;"",BT$3&gt;=$J57,BT$3&lt;=$M57),1,"")</f>
        <v/>
      </c>
      <c r="BU57">
        <f>IF(AND($A57&lt;&gt;"",BU$3&gt;=$J57,BU$3&lt;=$M57),1,"")</f>
        <v/>
      </c>
      <c r="BV57">
        <f>IF(AND($A57&lt;&gt;"",BV$3&gt;=$J57,BV$3&lt;=$M57),1,"")</f>
        <v/>
      </c>
    </row>
    <row r="58">
      <c r="A58">
        <f>IF(Job_Master_Ring!$A58="","",Job_Master_Ring!$A58)</f>
        <v/>
      </c>
      <c r="B58">
        <f>IF($A58="","",Job_Master_Ring!B58)</f>
        <v/>
      </c>
      <c r="C58">
        <f>IF($A58="","",Job_Master_Ring!C58)</f>
        <v/>
      </c>
      <c r="D58">
        <f>IF($A58="","",Job_Master_Ring!D58)</f>
        <v/>
      </c>
      <c r="E58">
        <f>IF($A58="","",IF($I58&lt;&gt;"",$I58,IFERROR(INDEX(Machine_List!$B$82:$B$86,MATCH(1,(Machine_List!$H$82:$H$86&lt;=IFERROR(VLOOKUP($B58,CHOOSE(MATCH($C58,Settings!$L$4:$L$10,0),OPR_BR1!$A$4:$K$18,OPR_BR2!$A$4:$K$18,OPR_CR2!$A$4:$K$18,OPR_CR3!$A$4:$K$18,OPR_CR4!$A$4:$K$18,OPR_RIM!$A$4:$K$18,OPR_BPR!$A$4:$K$18),10,0),0))*(Machine_List!$I$82:$I$86&gt;=IFERROR(VLOOKUP($B58,CHOOSE(MATCH($C58,Settings!$L$4:$L$10,0),OPR_BR1!$A$4:$K$18,OPR_BR2!$A$4:$K$18,OPR_CR2!$A$4:$K$18,OPR_CR3!$A$4:$K$18,OPR_CR4!$A$4:$K$18,OPR_RIM!$A$4:$K$18,OPR_BPR!$A$4:$K$18),11,0),9999)),0)),"NO COMPATIBLE MACHINE")))</f>
        <v/>
      </c>
      <c r="F58">
        <f>IF($E58="","",IFERROR(VLOOKUP($E58,Machine_List!$B:$G,6,0),""))</f>
        <v/>
      </c>
      <c r="G58" s="17">
        <f>IF($E58="","",IFERROR(VLOOKUP($E58,Machine_List!$B:$C,2,0),""))</f>
        <v/>
      </c>
      <c r="H58">
        <f>IF($E58="","",IFERROR(VLOOKUP($E58,Machine_List!$B:$D,3,0),""))</f>
        <v/>
      </c>
      <c r="J58" s="16">
        <f>IF($A58="","",IF($I58&lt;&gt;"",$I58,MAX(FID_Plan!$M58,IFERROR(LOOKUP(2,1/($E$3:INDIRECT("E"&amp;(ROW()-1))=$E58),$M$3:INDIRECT("M"&amp;(ROW()-1))),FID_Plan!$M58))))</f>
        <v/>
      </c>
      <c r="K58">
        <f>IF($A58="","",IFERROR(VLOOKUP(B58,CHOOSE(MATCH($C58,Settings!$L$4:$L$10,0),OPR_BR1!$A$4:$I$18,OPR_BR2!$A$4:$I$18,OPR_CR2!$A$4:$I$18,OPR_CR3!$A$4:$I$18,OPR_CR4!$A$4:$I$18,OPR_RIM!$A$4:$I$18,OPR_BPR!$A$4:$I$18),9,0),0))</f>
        <v/>
      </c>
      <c r="L58">
        <f>IF($A58="","",K58*D58)</f>
        <v/>
      </c>
      <c r="M58" s="16">
        <f>IF($A58=""," ",$J58+($L58/(IF(F58="Contract Workman",Settings!$K$5,Settings!$K$4))))</f>
        <v/>
      </c>
      <c r="N58">
        <f>IF($A58="","",IF(F58="Contract Workman",IF(AND(MOD(M58,1)&gt;=8/24,MOD(M58,1)&lt;20/24),"Shift S1","Shift S2"),IF(AND(MOD(M58,1)&gt;=7/24,MOD(M58,1)&lt;15/24),"Shift A",IF(AND(MOD(M58,1)&gt;=15/24,MOD(M58,1)&lt;23/24),"Shift B","Shift C"))))</f>
        <v/>
      </c>
      <c r="O58">
        <f>IF(B58="","",IF(IFERROR(ISNUMBER(SEARCH(TEXT(B58,"0"),VLOOKUP(E58,Machine_List!$B:$J,9,0))),FALSE),"✅ "&amp; E58,"❌ Sug: "&amp;IFERROR(INDEX(Machine_List!$B$82:$B$86,MATCH(1,(Machine_List!$H$82:$H$86&lt;=IFERROR(VLOOKUP($B58,OPR_BR1!$A$4:$K$18,10,0),0))*(Machine_List!$I$82:$I$86&gt;=IFERROR(VLOOKUP($B58,OPR_BR1!$A$4:$K$18,11,0),9999)),0)),"?")))</f>
        <v/>
      </c>
      <c r="P58">
        <f>IF(AND($A58&lt;&gt;"",P$3&gt;=$J58,P$3&lt;=$M58),1,"")</f>
        <v/>
      </c>
      <c r="Q58">
        <f>IF(AND($A58&lt;&gt;"",Q$3&gt;=$J58,Q$3&lt;=$M58),1,"")</f>
        <v/>
      </c>
      <c r="R58">
        <f>IF(AND($A58&lt;&gt;"",R$3&gt;=$J58,R$3&lt;=$M58),1,"")</f>
        <v/>
      </c>
      <c r="S58">
        <f>IF(AND($A58&lt;&gt;"",S$3&gt;=$J58,S$3&lt;=$M58),1,"")</f>
        <v/>
      </c>
      <c r="T58">
        <f>IF(AND($A58&lt;&gt;"",T$3&gt;=$J58,T$3&lt;=$M58),1,"")</f>
        <v/>
      </c>
      <c r="U58">
        <f>IF(AND($A58&lt;&gt;"",U$3&gt;=$J58,U$3&lt;=$M58),1,"")</f>
        <v/>
      </c>
      <c r="V58">
        <f>IF(AND($A58&lt;&gt;"",V$3&gt;=$J58,V$3&lt;=$M58),1,"")</f>
        <v/>
      </c>
      <c r="W58">
        <f>IF(AND($A58&lt;&gt;"",W$3&gt;=$J58,W$3&lt;=$M58),1,"")</f>
        <v/>
      </c>
      <c r="X58">
        <f>IF(AND($A58&lt;&gt;"",X$3&gt;=$J58,X$3&lt;=$M58),1,"")</f>
        <v/>
      </c>
      <c r="Y58">
        <f>IF(AND($A58&lt;&gt;"",Y$3&gt;=$J58,Y$3&lt;=$M58),1,"")</f>
        <v/>
      </c>
      <c r="Z58">
        <f>IF(AND($A58&lt;&gt;"",Z$3&gt;=$J58,Z$3&lt;=$M58),1,"")</f>
        <v/>
      </c>
      <c r="AA58">
        <f>IF(AND($A58&lt;&gt;"",AA$3&gt;=$J58,AA$3&lt;=$M58),1,"")</f>
        <v/>
      </c>
      <c r="AB58">
        <f>IF(AND($A58&lt;&gt;"",AB$3&gt;=$J58,AB$3&lt;=$M58),1,"")</f>
        <v/>
      </c>
      <c r="AC58">
        <f>IF(AND($A58&lt;&gt;"",AC$3&gt;=$J58,AC$3&lt;=$M58),1,"")</f>
        <v/>
      </c>
      <c r="AD58">
        <f>IF(AND($A58&lt;&gt;"",AD$3&gt;=$J58,AD$3&lt;=$M58),1,"")</f>
        <v/>
      </c>
      <c r="AE58">
        <f>IF(AND($A58&lt;&gt;"",AE$3&gt;=$J58,AE$3&lt;=$M58),1,"")</f>
        <v/>
      </c>
      <c r="AF58">
        <f>IF(AND($A58&lt;&gt;"",AF$3&gt;=$J58,AF$3&lt;=$M58),1,"")</f>
        <v/>
      </c>
      <c r="AG58">
        <f>IF(AND($A58&lt;&gt;"",AG$3&gt;=$J58,AG$3&lt;=$M58),1,"")</f>
        <v/>
      </c>
      <c r="AH58">
        <f>IF(AND($A58&lt;&gt;"",AH$3&gt;=$J58,AH$3&lt;=$M58),1,"")</f>
        <v/>
      </c>
      <c r="AI58">
        <f>IF(AND($A58&lt;&gt;"",AI$3&gt;=$J58,AI$3&lt;=$M58),1,"")</f>
        <v/>
      </c>
      <c r="AJ58">
        <f>IF(AND($A58&lt;&gt;"",AJ$3&gt;=$J58,AJ$3&lt;=$M58),1,"")</f>
        <v/>
      </c>
      <c r="AK58">
        <f>IF(AND($A58&lt;&gt;"",AK$3&gt;=$J58,AK$3&lt;=$M58),1,"")</f>
        <v/>
      </c>
      <c r="AL58">
        <f>IF(AND($A58&lt;&gt;"",AL$3&gt;=$J58,AL$3&lt;=$M58),1,"")</f>
        <v/>
      </c>
      <c r="AM58">
        <f>IF(AND($A58&lt;&gt;"",AM$3&gt;=$J58,AM$3&lt;=$M58),1,"")</f>
        <v/>
      </c>
      <c r="AN58">
        <f>IF(AND($A58&lt;&gt;"",AN$3&gt;=$J58,AN$3&lt;=$M58),1,"")</f>
        <v/>
      </c>
      <c r="AO58">
        <f>IF(AND($A58&lt;&gt;"",AO$3&gt;=$J58,AO$3&lt;=$M58),1,"")</f>
        <v/>
      </c>
      <c r="AP58">
        <f>IF(AND($A58&lt;&gt;"",AP$3&gt;=$J58,AP$3&lt;=$M58),1,"")</f>
        <v/>
      </c>
      <c r="AQ58">
        <f>IF(AND($A58&lt;&gt;"",AQ$3&gt;=$J58,AQ$3&lt;=$M58),1,"")</f>
        <v/>
      </c>
      <c r="AR58">
        <f>IF(AND($A58&lt;&gt;"",AR$3&gt;=$J58,AR$3&lt;=$M58),1,"")</f>
        <v/>
      </c>
      <c r="AS58">
        <f>IF(AND($A58&lt;&gt;"",AS$3&gt;=$J58,AS$3&lt;=$M58),1,"")</f>
        <v/>
      </c>
      <c r="AT58">
        <f>IF(AND($A58&lt;&gt;"",AT$3&gt;=$J58,AT$3&lt;=$M58),1,"")</f>
        <v/>
      </c>
      <c r="AU58">
        <f>IF(AND($A58&lt;&gt;"",AU$3&gt;=$J58,AU$3&lt;=$M58),1,"")</f>
        <v/>
      </c>
      <c r="AV58">
        <f>IF(AND($A58&lt;&gt;"",AV$3&gt;=$J58,AV$3&lt;=$M58),1,"")</f>
        <v/>
      </c>
      <c r="AW58">
        <f>IF(AND($A58&lt;&gt;"",AW$3&gt;=$J58,AW$3&lt;=$M58),1,"")</f>
        <v/>
      </c>
      <c r="AX58">
        <f>IF(AND($A58&lt;&gt;"",AX$3&gt;=$J58,AX$3&lt;=$M58),1,"")</f>
        <v/>
      </c>
      <c r="AY58">
        <f>IF(AND($A58&lt;&gt;"",AY$3&gt;=$J58,AY$3&lt;=$M58),1,"")</f>
        <v/>
      </c>
      <c r="AZ58">
        <f>IF(AND($A58&lt;&gt;"",AZ$3&gt;=$J58,AZ$3&lt;=$M58),1,"")</f>
        <v/>
      </c>
      <c r="BA58">
        <f>IF(AND($A58&lt;&gt;"",BA$3&gt;=$J58,BA$3&lt;=$M58),1,"")</f>
        <v/>
      </c>
      <c r="BB58">
        <f>IF(AND($A58&lt;&gt;"",BB$3&gt;=$J58,BB$3&lt;=$M58),1,"")</f>
        <v/>
      </c>
      <c r="BC58">
        <f>IF(AND($A58&lt;&gt;"",BC$3&gt;=$J58,BC$3&lt;=$M58),1,"")</f>
        <v/>
      </c>
      <c r="BD58">
        <f>IF(AND($A58&lt;&gt;"",BD$3&gt;=$J58,BD$3&lt;=$M58),1,"")</f>
        <v/>
      </c>
      <c r="BE58">
        <f>IF(AND($A58&lt;&gt;"",BE$3&gt;=$J58,BE$3&lt;=$M58),1,"")</f>
        <v/>
      </c>
      <c r="BF58">
        <f>IF(AND($A58&lt;&gt;"",BF$3&gt;=$J58,BF$3&lt;=$M58),1,"")</f>
        <v/>
      </c>
      <c r="BG58">
        <f>IF(AND($A58&lt;&gt;"",BG$3&gt;=$J58,BG$3&lt;=$M58),1,"")</f>
        <v/>
      </c>
      <c r="BH58">
        <f>IF(AND($A58&lt;&gt;"",BH$3&gt;=$J58,BH$3&lt;=$M58),1,"")</f>
        <v/>
      </c>
      <c r="BI58">
        <f>IF(AND($A58&lt;&gt;"",BI$3&gt;=$J58,BI$3&lt;=$M58),1,"")</f>
        <v/>
      </c>
      <c r="BJ58">
        <f>IF(AND($A58&lt;&gt;"",BJ$3&gt;=$J58,BJ$3&lt;=$M58),1,"")</f>
        <v/>
      </c>
      <c r="BK58">
        <f>IF(AND($A58&lt;&gt;"",BK$3&gt;=$J58,BK$3&lt;=$M58),1,"")</f>
        <v/>
      </c>
      <c r="BL58">
        <f>IF(AND($A58&lt;&gt;"",BL$3&gt;=$J58,BL$3&lt;=$M58),1,"")</f>
        <v/>
      </c>
      <c r="BM58">
        <f>IF(AND($A58&lt;&gt;"",BM$3&gt;=$J58,BM$3&lt;=$M58),1,"")</f>
        <v/>
      </c>
      <c r="BN58">
        <f>IF(AND($A58&lt;&gt;"",BN$3&gt;=$J58,BN$3&lt;=$M58),1,"")</f>
        <v/>
      </c>
      <c r="BO58">
        <f>IF(AND($A58&lt;&gt;"",BO$3&gt;=$J58,BO$3&lt;=$M58),1,"")</f>
        <v/>
      </c>
      <c r="BP58">
        <f>IF(AND($A58&lt;&gt;"",BP$3&gt;=$J58,BP$3&lt;=$M58),1,"")</f>
        <v/>
      </c>
      <c r="BQ58">
        <f>IF(AND($A58&lt;&gt;"",BQ$3&gt;=$J58,BQ$3&lt;=$M58),1,"")</f>
        <v/>
      </c>
      <c r="BR58">
        <f>IF(AND($A58&lt;&gt;"",BR$3&gt;=$J58,BR$3&lt;=$M58),1,"")</f>
        <v/>
      </c>
      <c r="BS58">
        <f>IF(AND($A58&lt;&gt;"",BS$3&gt;=$J58,BS$3&lt;=$M58),1,"")</f>
        <v/>
      </c>
      <c r="BT58">
        <f>IF(AND($A58&lt;&gt;"",BT$3&gt;=$J58,BT$3&lt;=$M58),1,"")</f>
        <v/>
      </c>
      <c r="BU58">
        <f>IF(AND($A58&lt;&gt;"",BU$3&gt;=$J58,BU$3&lt;=$M58),1,"")</f>
        <v/>
      </c>
      <c r="BV58">
        <f>IF(AND($A58&lt;&gt;"",BV$3&gt;=$J58,BV$3&lt;=$M58),1,"")</f>
        <v/>
      </c>
    </row>
    <row r="59">
      <c r="A59">
        <f>IF(Job_Master_Ring!$A59="","",Job_Master_Ring!$A59)</f>
        <v/>
      </c>
      <c r="B59">
        <f>IF($A59="","",Job_Master_Ring!B59)</f>
        <v/>
      </c>
      <c r="C59">
        <f>IF($A59="","",Job_Master_Ring!C59)</f>
        <v/>
      </c>
      <c r="D59">
        <f>IF($A59="","",Job_Master_Ring!D59)</f>
        <v/>
      </c>
      <c r="E59">
        <f>IF($A59="","",IF($I59&lt;&gt;"",$I59,IFERROR(INDEX(Machine_List!$B$82:$B$86,MATCH(1,(Machine_List!$H$82:$H$86&lt;=IFERROR(VLOOKUP($B59,CHOOSE(MATCH($C59,Settings!$L$4:$L$10,0),OPR_BR1!$A$4:$K$18,OPR_BR2!$A$4:$K$18,OPR_CR2!$A$4:$K$18,OPR_CR3!$A$4:$K$18,OPR_CR4!$A$4:$K$18,OPR_RIM!$A$4:$K$18,OPR_BPR!$A$4:$K$18),10,0),0))*(Machine_List!$I$82:$I$86&gt;=IFERROR(VLOOKUP($B59,CHOOSE(MATCH($C59,Settings!$L$4:$L$10,0),OPR_BR1!$A$4:$K$18,OPR_BR2!$A$4:$K$18,OPR_CR2!$A$4:$K$18,OPR_CR3!$A$4:$K$18,OPR_CR4!$A$4:$K$18,OPR_RIM!$A$4:$K$18,OPR_BPR!$A$4:$K$18),11,0),9999)),0)),"NO COMPATIBLE MACHINE")))</f>
        <v/>
      </c>
      <c r="F59">
        <f>IF($E59="","",IFERROR(VLOOKUP($E59,Machine_List!$B:$G,6,0),""))</f>
        <v/>
      </c>
      <c r="G59" s="17">
        <f>IF($E59="","",IFERROR(VLOOKUP($E59,Machine_List!$B:$C,2,0),""))</f>
        <v/>
      </c>
      <c r="H59">
        <f>IF($E59="","",IFERROR(VLOOKUP($E59,Machine_List!$B:$D,3,0),""))</f>
        <v/>
      </c>
      <c r="J59" s="16">
        <f>IF($A59="","",IF($I59&lt;&gt;"",$I59,MAX(FID_Plan!$M59,IFERROR(LOOKUP(2,1/($E$3:INDIRECT("E"&amp;(ROW()-1))=$E59),$M$3:INDIRECT("M"&amp;(ROW()-1))),FID_Plan!$M59))))</f>
        <v/>
      </c>
      <c r="K59">
        <f>IF($A59="","",IFERROR(VLOOKUP(B59,CHOOSE(MATCH($C59,Settings!$L$4:$L$10,0),OPR_BR1!$A$4:$I$18,OPR_BR2!$A$4:$I$18,OPR_CR2!$A$4:$I$18,OPR_CR3!$A$4:$I$18,OPR_CR4!$A$4:$I$18,OPR_RIM!$A$4:$I$18,OPR_BPR!$A$4:$I$18),9,0),0))</f>
        <v/>
      </c>
      <c r="L59">
        <f>IF($A59="","",K59*D59)</f>
        <v/>
      </c>
      <c r="M59" s="16">
        <f>IF($A59=""," ",$J59+($L59/(IF(F59="Contract Workman",Settings!$K$5,Settings!$K$4))))</f>
        <v/>
      </c>
      <c r="N59">
        <f>IF($A59="","",IF(F59="Contract Workman",IF(AND(MOD(M59,1)&gt;=8/24,MOD(M59,1)&lt;20/24),"Shift S1","Shift S2"),IF(AND(MOD(M59,1)&gt;=7/24,MOD(M59,1)&lt;15/24),"Shift A",IF(AND(MOD(M59,1)&gt;=15/24,MOD(M59,1)&lt;23/24),"Shift B","Shift C"))))</f>
        <v/>
      </c>
      <c r="O59">
        <f>IF(B59="","",IF(IFERROR(ISNUMBER(SEARCH(TEXT(B59,"0"),VLOOKUP(E59,Machine_List!$B:$J,9,0))),FALSE),"✅ "&amp; E59,"❌ Sug: "&amp;IFERROR(INDEX(Machine_List!$B$82:$B$86,MATCH(1,(Machine_List!$H$82:$H$86&lt;=IFERROR(VLOOKUP($B59,OPR_BR1!$A$4:$K$18,10,0),0))*(Machine_List!$I$82:$I$86&gt;=IFERROR(VLOOKUP($B59,OPR_BR1!$A$4:$K$18,11,0),9999)),0)),"?")))</f>
        <v/>
      </c>
      <c r="P59">
        <f>IF(AND($A59&lt;&gt;"",P$3&gt;=$J59,P$3&lt;=$M59),1,"")</f>
        <v/>
      </c>
      <c r="Q59">
        <f>IF(AND($A59&lt;&gt;"",Q$3&gt;=$J59,Q$3&lt;=$M59),1,"")</f>
        <v/>
      </c>
      <c r="R59">
        <f>IF(AND($A59&lt;&gt;"",R$3&gt;=$J59,R$3&lt;=$M59),1,"")</f>
        <v/>
      </c>
      <c r="S59">
        <f>IF(AND($A59&lt;&gt;"",S$3&gt;=$J59,S$3&lt;=$M59),1,"")</f>
        <v/>
      </c>
      <c r="T59">
        <f>IF(AND($A59&lt;&gt;"",T$3&gt;=$J59,T$3&lt;=$M59),1,"")</f>
        <v/>
      </c>
      <c r="U59">
        <f>IF(AND($A59&lt;&gt;"",U$3&gt;=$J59,U$3&lt;=$M59),1,"")</f>
        <v/>
      </c>
      <c r="V59">
        <f>IF(AND($A59&lt;&gt;"",V$3&gt;=$J59,V$3&lt;=$M59),1,"")</f>
        <v/>
      </c>
      <c r="W59">
        <f>IF(AND($A59&lt;&gt;"",W$3&gt;=$J59,W$3&lt;=$M59),1,"")</f>
        <v/>
      </c>
      <c r="X59">
        <f>IF(AND($A59&lt;&gt;"",X$3&gt;=$J59,X$3&lt;=$M59),1,"")</f>
        <v/>
      </c>
      <c r="Y59">
        <f>IF(AND($A59&lt;&gt;"",Y$3&gt;=$J59,Y$3&lt;=$M59),1,"")</f>
        <v/>
      </c>
      <c r="Z59">
        <f>IF(AND($A59&lt;&gt;"",Z$3&gt;=$J59,Z$3&lt;=$M59),1,"")</f>
        <v/>
      </c>
      <c r="AA59">
        <f>IF(AND($A59&lt;&gt;"",AA$3&gt;=$J59,AA$3&lt;=$M59),1,"")</f>
        <v/>
      </c>
      <c r="AB59">
        <f>IF(AND($A59&lt;&gt;"",AB$3&gt;=$J59,AB$3&lt;=$M59),1,"")</f>
        <v/>
      </c>
      <c r="AC59">
        <f>IF(AND($A59&lt;&gt;"",AC$3&gt;=$J59,AC$3&lt;=$M59),1,"")</f>
        <v/>
      </c>
      <c r="AD59">
        <f>IF(AND($A59&lt;&gt;"",AD$3&gt;=$J59,AD$3&lt;=$M59),1,"")</f>
        <v/>
      </c>
      <c r="AE59">
        <f>IF(AND($A59&lt;&gt;"",AE$3&gt;=$J59,AE$3&lt;=$M59),1,"")</f>
        <v/>
      </c>
      <c r="AF59">
        <f>IF(AND($A59&lt;&gt;"",AF$3&gt;=$J59,AF$3&lt;=$M59),1,"")</f>
        <v/>
      </c>
      <c r="AG59">
        <f>IF(AND($A59&lt;&gt;"",AG$3&gt;=$J59,AG$3&lt;=$M59),1,"")</f>
        <v/>
      </c>
      <c r="AH59">
        <f>IF(AND($A59&lt;&gt;"",AH$3&gt;=$J59,AH$3&lt;=$M59),1,"")</f>
        <v/>
      </c>
      <c r="AI59">
        <f>IF(AND($A59&lt;&gt;"",AI$3&gt;=$J59,AI$3&lt;=$M59),1,"")</f>
        <v/>
      </c>
      <c r="AJ59">
        <f>IF(AND($A59&lt;&gt;"",AJ$3&gt;=$J59,AJ$3&lt;=$M59),1,"")</f>
        <v/>
      </c>
      <c r="AK59">
        <f>IF(AND($A59&lt;&gt;"",AK$3&gt;=$J59,AK$3&lt;=$M59),1,"")</f>
        <v/>
      </c>
      <c r="AL59">
        <f>IF(AND($A59&lt;&gt;"",AL$3&gt;=$J59,AL$3&lt;=$M59),1,"")</f>
        <v/>
      </c>
      <c r="AM59">
        <f>IF(AND($A59&lt;&gt;"",AM$3&gt;=$J59,AM$3&lt;=$M59),1,"")</f>
        <v/>
      </c>
      <c r="AN59">
        <f>IF(AND($A59&lt;&gt;"",AN$3&gt;=$J59,AN$3&lt;=$M59),1,"")</f>
        <v/>
      </c>
      <c r="AO59">
        <f>IF(AND($A59&lt;&gt;"",AO$3&gt;=$J59,AO$3&lt;=$M59),1,"")</f>
        <v/>
      </c>
      <c r="AP59">
        <f>IF(AND($A59&lt;&gt;"",AP$3&gt;=$J59,AP$3&lt;=$M59),1,"")</f>
        <v/>
      </c>
      <c r="AQ59">
        <f>IF(AND($A59&lt;&gt;"",AQ$3&gt;=$J59,AQ$3&lt;=$M59),1,"")</f>
        <v/>
      </c>
      <c r="AR59">
        <f>IF(AND($A59&lt;&gt;"",AR$3&gt;=$J59,AR$3&lt;=$M59),1,"")</f>
        <v/>
      </c>
      <c r="AS59">
        <f>IF(AND($A59&lt;&gt;"",AS$3&gt;=$J59,AS$3&lt;=$M59),1,"")</f>
        <v/>
      </c>
      <c r="AT59">
        <f>IF(AND($A59&lt;&gt;"",AT$3&gt;=$J59,AT$3&lt;=$M59),1,"")</f>
        <v/>
      </c>
      <c r="AU59">
        <f>IF(AND($A59&lt;&gt;"",AU$3&gt;=$J59,AU$3&lt;=$M59),1,"")</f>
        <v/>
      </c>
      <c r="AV59">
        <f>IF(AND($A59&lt;&gt;"",AV$3&gt;=$J59,AV$3&lt;=$M59),1,"")</f>
        <v/>
      </c>
      <c r="AW59">
        <f>IF(AND($A59&lt;&gt;"",AW$3&gt;=$J59,AW$3&lt;=$M59),1,"")</f>
        <v/>
      </c>
      <c r="AX59">
        <f>IF(AND($A59&lt;&gt;"",AX$3&gt;=$J59,AX$3&lt;=$M59),1,"")</f>
        <v/>
      </c>
      <c r="AY59">
        <f>IF(AND($A59&lt;&gt;"",AY$3&gt;=$J59,AY$3&lt;=$M59),1,"")</f>
        <v/>
      </c>
      <c r="AZ59">
        <f>IF(AND($A59&lt;&gt;"",AZ$3&gt;=$J59,AZ$3&lt;=$M59),1,"")</f>
        <v/>
      </c>
      <c r="BA59">
        <f>IF(AND($A59&lt;&gt;"",BA$3&gt;=$J59,BA$3&lt;=$M59),1,"")</f>
        <v/>
      </c>
      <c r="BB59">
        <f>IF(AND($A59&lt;&gt;"",BB$3&gt;=$J59,BB$3&lt;=$M59),1,"")</f>
        <v/>
      </c>
      <c r="BC59">
        <f>IF(AND($A59&lt;&gt;"",BC$3&gt;=$J59,BC$3&lt;=$M59),1,"")</f>
        <v/>
      </c>
      <c r="BD59">
        <f>IF(AND($A59&lt;&gt;"",BD$3&gt;=$J59,BD$3&lt;=$M59),1,"")</f>
        <v/>
      </c>
      <c r="BE59">
        <f>IF(AND($A59&lt;&gt;"",BE$3&gt;=$J59,BE$3&lt;=$M59),1,"")</f>
        <v/>
      </c>
      <c r="BF59">
        <f>IF(AND($A59&lt;&gt;"",BF$3&gt;=$J59,BF$3&lt;=$M59),1,"")</f>
        <v/>
      </c>
      <c r="BG59">
        <f>IF(AND($A59&lt;&gt;"",BG$3&gt;=$J59,BG$3&lt;=$M59),1,"")</f>
        <v/>
      </c>
      <c r="BH59">
        <f>IF(AND($A59&lt;&gt;"",BH$3&gt;=$J59,BH$3&lt;=$M59),1,"")</f>
        <v/>
      </c>
      <c r="BI59">
        <f>IF(AND($A59&lt;&gt;"",BI$3&gt;=$J59,BI$3&lt;=$M59),1,"")</f>
        <v/>
      </c>
      <c r="BJ59">
        <f>IF(AND($A59&lt;&gt;"",BJ$3&gt;=$J59,BJ$3&lt;=$M59),1,"")</f>
        <v/>
      </c>
      <c r="BK59">
        <f>IF(AND($A59&lt;&gt;"",BK$3&gt;=$J59,BK$3&lt;=$M59),1,"")</f>
        <v/>
      </c>
      <c r="BL59">
        <f>IF(AND($A59&lt;&gt;"",BL$3&gt;=$J59,BL$3&lt;=$M59),1,"")</f>
        <v/>
      </c>
      <c r="BM59">
        <f>IF(AND($A59&lt;&gt;"",BM$3&gt;=$J59,BM$3&lt;=$M59),1,"")</f>
        <v/>
      </c>
      <c r="BN59">
        <f>IF(AND($A59&lt;&gt;"",BN$3&gt;=$J59,BN$3&lt;=$M59),1,"")</f>
        <v/>
      </c>
      <c r="BO59">
        <f>IF(AND($A59&lt;&gt;"",BO$3&gt;=$J59,BO$3&lt;=$M59),1,"")</f>
        <v/>
      </c>
      <c r="BP59">
        <f>IF(AND($A59&lt;&gt;"",BP$3&gt;=$J59,BP$3&lt;=$M59),1,"")</f>
        <v/>
      </c>
      <c r="BQ59">
        <f>IF(AND($A59&lt;&gt;"",BQ$3&gt;=$J59,BQ$3&lt;=$M59),1,"")</f>
        <v/>
      </c>
      <c r="BR59">
        <f>IF(AND($A59&lt;&gt;"",BR$3&gt;=$J59,BR$3&lt;=$M59),1,"")</f>
        <v/>
      </c>
      <c r="BS59">
        <f>IF(AND($A59&lt;&gt;"",BS$3&gt;=$J59,BS$3&lt;=$M59),1,"")</f>
        <v/>
      </c>
      <c r="BT59">
        <f>IF(AND($A59&lt;&gt;"",BT$3&gt;=$J59,BT$3&lt;=$M59),1,"")</f>
        <v/>
      </c>
      <c r="BU59">
        <f>IF(AND($A59&lt;&gt;"",BU$3&gt;=$J59,BU$3&lt;=$M59),1,"")</f>
        <v/>
      </c>
      <c r="BV59">
        <f>IF(AND($A59&lt;&gt;"",BV$3&gt;=$J59,BV$3&lt;=$M59),1,"")</f>
        <v/>
      </c>
    </row>
    <row r="60">
      <c r="A60">
        <f>IF(Job_Master_Ring!$A60="","",Job_Master_Ring!$A60)</f>
        <v/>
      </c>
      <c r="B60">
        <f>IF($A60="","",Job_Master_Ring!B60)</f>
        <v/>
      </c>
      <c r="C60">
        <f>IF($A60="","",Job_Master_Ring!C60)</f>
        <v/>
      </c>
      <c r="D60">
        <f>IF($A60="","",Job_Master_Ring!D60)</f>
        <v/>
      </c>
      <c r="E60">
        <f>IF($A60="","",IF($I60&lt;&gt;"",$I60,IFERROR(INDEX(Machine_List!$B$82:$B$86,MATCH(1,(Machine_List!$H$82:$H$86&lt;=IFERROR(VLOOKUP($B60,CHOOSE(MATCH($C60,Settings!$L$4:$L$10,0),OPR_BR1!$A$4:$K$18,OPR_BR2!$A$4:$K$18,OPR_CR2!$A$4:$K$18,OPR_CR3!$A$4:$K$18,OPR_CR4!$A$4:$K$18,OPR_RIM!$A$4:$K$18,OPR_BPR!$A$4:$K$18),10,0),0))*(Machine_List!$I$82:$I$86&gt;=IFERROR(VLOOKUP($B60,CHOOSE(MATCH($C60,Settings!$L$4:$L$10,0),OPR_BR1!$A$4:$K$18,OPR_BR2!$A$4:$K$18,OPR_CR2!$A$4:$K$18,OPR_CR3!$A$4:$K$18,OPR_CR4!$A$4:$K$18,OPR_RIM!$A$4:$K$18,OPR_BPR!$A$4:$K$18),11,0),9999)),0)),"NO COMPATIBLE MACHINE")))</f>
        <v/>
      </c>
      <c r="F60">
        <f>IF($E60="","",IFERROR(VLOOKUP($E60,Machine_List!$B:$G,6,0),""))</f>
        <v/>
      </c>
      <c r="G60" s="17">
        <f>IF($E60="","",IFERROR(VLOOKUP($E60,Machine_List!$B:$C,2,0),""))</f>
        <v/>
      </c>
      <c r="H60">
        <f>IF($E60="","",IFERROR(VLOOKUP($E60,Machine_List!$B:$D,3,0),""))</f>
        <v/>
      </c>
      <c r="J60" s="16">
        <f>IF($A60="","",IF($I60&lt;&gt;"",$I60,MAX(FID_Plan!$M60,IFERROR(LOOKUP(2,1/($E$3:INDIRECT("E"&amp;(ROW()-1))=$E60),$M$3:INDIRECT("M"&amp;(ROW()-1))),FID_Plan!$M60))))</f>
        <v/>
      </c>
      <c r="K60">
        <f>IF($A60="","",IFERROR(VLOOKUP(B60,CHOOSE(MATCH($C60,Settings!$L$4:$L$10,0),OPR_BR1!$A$4:$I$18,OPR_BR2!$A$4:$I$18,OPR_CR2!$A$4:$I$18,OPR_CR3!$A$4:$I$18,OPR_CR4!$A$4:$I$18,OPR_RIM!$A$4:$I$18,OPR_BPR!$A$4:$I$18),9,0),0))</f>
        <v/>
      </c>
      <c r="L60">
        <f>IF($A60="","",K60*D60)</f>
        <v/>
      </c>
      <c r="M60" s="16">
        <f>IF($A60=""," ",$J60+($L60/(IF(F60="Contract Workman",Settings!$K$5,Settings!$K$4))))</f>
        <v/>
      </c>
      <c r="N60">
        <f>IF($A60="","",IF(F60="Contract Workman",IF(AND(MOD(M60,1)&gt;=8/24,MOD(M60,1)&lt;20/24),"Shift S1","Shift S2"),IF(AND(MOD(M60,1)&gt;=7/24,MOD(M60,1)&lt;15/24),"Shift A",IF(AND(MOD(M60,1)&gt;=15/24,MOD(M60,1)&lt;23/24),"Shift B","Shift C"))))</f>
        <v/>
      </c>
      <c r="O60">
        <f>IF(B60="","",IF(IFERROR(ISNUMBER(SEARCH(TEXT(B60,"0"),VLOOKUP(E60,Machine_List!$B:$J,9,0))),FALSE),"✅ "&amp; E60,"❌ Sug: "&amp;IFERROR(INDEX(Machine_List!$B$82:$B$86,MATCH(1,(Machine_List!$H$82:$H$86&lt;=IFERROR(VLOOKUP($B60,OPR_BR1!$A$4:$K$18,10,0),0))*(Machine_List!$I$82:$I$86&gt;=IFERROR(VLOOKUP($B60,OPR_BR1!$A$4:$K$18,11,0),9999)),0)),"?")))</f>
        <v/>
      </c>
      <c r="P60">
        <f>IF(AND($A60&lt;&gt;"",P$3&gt;=$J60,P$3&lt;=$M60),1,"")</f>
        <v/>
      </c>
      <c r="Q60">
        <f>IF(AND($A60&lt;&gt;"",Q$3&gt;=$J60,Q$3&lt;=$M60),1,"")</f>
        <v/>
      </c>
      <c r="R60">
        <f>IF(AND($A60&lt;&gt;"",R$3&gt;=$J60,R$3&lt;=$M60),1,"")</f>
        <v/>
      </c>
      <c r="S60">
        <f>IF(AND($A60&lt;&gt;"",S$3&gt;=$J60,S$3&lt;=$M60),1,"")</f>
        <v/>
      </c>
      <c r="T60">
        <f>IF(AND($A60&lt;&gt;"",T$3&gt;=$J60,T$3&lt;=$M60),1,"")</f>
        <v/>
      </c>
      <c r="U60">
        <f>IF(AND($A60&lt;&gt;"",U$3&gt;=$J60,U$3&lt;=$M60),1,"")</f>
        <v/>
      </c>
      <c r="V60">
        <f>IF(AND($A60&lt;&gt;"",V$3&gt;=$J60,V$3&lt;=$M60),1,"")</f>
        <v/>
      </c>
      <c r="W60">
        <f>IF(AND($A60&lt;&gt;"",W$3&gt;=$J60,W$3&lt;=$M60),1,"")</f>
        <v/>
      </c>
      <c r="X60">
        <f>IF(AND($A60&lt;&gt;"",X$3&gt;=$J60,X$3&lt;=$M60),1,"")</f>
        <v/>
      </c>
      <c r="Y60">
        <f>IF(AND($A60&lt;&gt;"",Y$3&gt;=$J60,Y$3&lt;=$M60),1,"")</f>
        <v/>
      </c>
      <c r="Z60">
        <f>IF(AND($A60&lt;&gt;"",Z$3&gt;=$J60,Z$3&lt;=$M60),1,"")</f>
        <v/>
      </c>
      <c r="AA60">
        <f>IF(AND($A60&lt;&gt;"",AA$3&gt;=$J60,AA$3&lt;=$M60),1,"")</f>
        <v/>
      </c>
      <c r="AB60">
        <f>IF(AND($A60&lt;&gt;"",AB$3&gt;=$J60,AB$3&lt;=$M60),1,"")</f>
        <v/>
      </c>
      <c r="AC60">
        <f>IF(AND($A60&lt;&gt;"",AC$3&gt;=$J60,AC$3&lt;=$M60),1,"")</f>
        <v/>
      </c>
      <c r="AD60">
        <f>IF(AND($A60&lt;&gt;"",AD$3&gt;=$J60,AD$3&lt;=$M60),1,"")</f>
        <v/>
      </c>
      <c r="AE60">
        <f>IF(AND($A60&lt;&gt;"",AE$3&gt;=$J60,AE$3&lt;=$M60),1,"")</f>
        <v/>
      </c>
      <c r="AF60">
        <f>IF(AND($A60&lt;&gt;"",AF$3&gt;=$J60,AF$3&lt;=$M60),1,"")</f>
        <v/>
      </c>
      <c r="AG60">
        <f>IF(AND($A60&lt;&gt;"",AG$3&gt;=$J60,AG$3&lt;=$M60),1,"")</f>
        <v/>
      </c>
      <c r="AH60">
        <f>IF(AND($A60&lt;&gt;"",AH$3&gt;=$J60,AH$3&lt;=$M60),1,"")</f>
        <v/>
      </c>
      <c r="AI60">
        <f>IF(AND($A60&lt;&gt;"",AI$3&gt;=$J60,AI$3&lt;=$M60),1,"")</f>
        <v/>
      </c>
      <c r="AJ60">
        <f>IF(AND($A60&lt;&gt;"",AJ$3&gt;=$J60,AJ$3&lt;=$M60),1,"")</f>
        <v/>
      </c>
      <c r="AK60">
        <f>IF(AND($A60&lt;&gt;"",AK$3&gt;=$J60,AK$3&lt;=$M60),1,"")</f>
        <v/>
      </c>
      <c r="AL60">
        <f>IF(AND($A60&lt;&gt;"",AL$3&gt;=$J60,AL$3&lt;=$M60),1,"")</f>
        <v/>
      </c>
      <c r="AM60">
        <f>IF(AND($A60&lt;&gt;"",AM$3&gt;=$J60,AM$3&lt;=$M60),1,"")</f>
        <v/>
      </c>
      <c r="AN60">
        <f>IF(AND($A60&lt;&gt;"",AN$3&gt;=$J60,AN$3&lt;=$M60),1,"")</f>
        <v/>
      </c>
      <c r="AO60">
        <f>IF(AND($A60&lt;&gt;"",AO$3&gt;=$J60,AO$3&lt;=$M60),1,"")</f>
        <v/>
      </c>
      <c r="AP60">
        <f>IF(AND($A60&lt;&gt;"",AP$3&gt;=$J60,AP$3&lt;=$M60),1,"")</f>
        <v/>
      </c>
      <c r="AQ60">
        <f>IF(AND($A60&lt;&gt;"",AQ$3&gt;=$J60,AQ$3&lt;=$M60),1,"")</f>
        <v/>
      </c>
      <c r="AR60">
        <f>IF(AND($A60&lt;&gt;"",AR$3&gt;=$J60,AR$3&lt;=$M60),1,"")</f>
        <v/>
      </c>
      <c r="AS60">
        <f>IF(AND($A60&lt;&gt;"",AS$3&gt;=$J60,AS$3&lt;=$M60),1,"")</f>
        <v/>
      </c>
      <c r="AT60">
        <f>IF(AND($A60&lt;&gt;"",AT$3&gt;=$J60,AT$3&lt;=$M60),1,"")</f>
        <v/>
      </c>
      <c r="AU60">
        <f>IF(AND($A60&lt;&gt;"",AU$3&gt;=$J60,AU$3&lt;=$M60),1,"")</f>
        <v/>
      </c>
      <c r="AV60">
        <f>IF(AND($A60&lt;&gt;"",AV$3&gt;=$J60,AV$3&lt;=$M60),1,"")</f>
        <v/>
      </c>
      <c r="AW60">
        <f>IF(AND($A60&lt;&gt;"",AW$3&gt;=$J60,AW$3&lt;=$M60),1,"")</f>
        <v/>
      </c>
      <c r="AX60">
        <f>IF(AND($A60&lt;&gt;"",AX$3&gt;=$J60,AX$3&lt;=$M60),1,"")</f>
        <v/>
      </c>
      <c r="AY60">
        <f>IF(AND($A60&lt;&gt;"",AY$3&gt;=$J60,AY$3&lt;=$M60),1,"")</f>
        <v/>
      </c>
      <c r="AZ60">
        <f>IF(AND($A60&lt;&gt;"",AZ$3&gt;=$J60,AZ$3&lt;=$M60),1,"")</f>
        <v/>
      </c>
      <c r="BA60">
        <f>IF(AND($A60&lt;&gt;"",BA$3&gt;=$J60,BA$3&lt;=$M60),1,"")</f>
        <v/>
      </c>
      <c r="BB60">
        <f>IF(AND($A60&lt;&gt;"",BB$3&gt;=$J60,BB$3&lt;=$M60),1,"")</f>
        <v/>
      </c>
      <c r="BC60">
        <f>IF(AND($A60&lt;&gt;"",BC$3&gt;=$J60,BC$3&lt;=$M60),1,"")</f>
        <v/>
      </c>
      <c r="BD60">
        <f>IF(AND($A60&lt;&gt;"",BD$3&gt;=$J60,BD$3&lt;=$M60),1,"")</f>
        <v/>
      </c>
      <c r="BE60">
        <f>IF(AND($A60&lt;&gt;"",BE$3&gt;=$J60,BE$3&lt;=$M60),1,"")</f>
        <v/>
      </c>
      <c r="BF60">
        <f>IF(AND($A60&lt;&gt;"",BF$3&gt;=$J60,BF$3&lt;=$M60),1,"")</f>
        <v/>
      </c>
      <c r="BG60">
        <f>IF(AND($A60&lt;&gt;"",BG$3&gt;=$J60,BG$3&lt;=$M60),1,"")</f>
        <v/>
      </c>
      <c r="BH60">
        <f>IF(AND($A60&lt;&gt;"",BH$3&gt;=$J60,BH$3&lt;=$M60),1,"")</f>
        <v/>
      </c>
      <c r="BI60">
        <f>IF(AND($A60&lt;&gt;"",BI$3&gt;=$J60,BI$3&lt;=$M60),1,"")</f>
        <v/>
      </c>
      <c r="BJ60">
        <f>IF(AND($A60&lt;&gt;"",BJ$3&gt;=$J60,BJ$3&lt;=$M60),1,"")</f>
        <v/>
      </c>
      <c r="BK60">
        <f>IF(AND($A60&lt;&gt;"",BK$3&gt;=$J60,BK$3&lt;=$M60),1,"")</f>
        <v/>
      </c>
      <c r="BL60">
        <f>IF(AND($A60&lt;&gt;"",BL$3&gt;=$J60,BL$3&lt;=$M60),1,"")</f>
        <v/>
      </c>
      <c r="BM60">
        <f>IF(AND($A60&lt;&gt;"",BM$3&gt;=$J60,BM$3&lt;=$M60),1,"")</f>
        <v/>
      </c>
      <c r="BN60">
        <f>IF(AND($A60&lt;&gt;"",BN$3&gt;=$J60,BN$3&lt;=$M60),1,"")</f>
        <v/>
      </c>
      <c r="BO60">
        <f>IF(AND($A60&lt;&gt;"",BO$3&gt;=$J60,BO$3&lt;=$M60),1,"")</f>
        <v/>
      </c>
      <c r="BP60">
        <f>IF(AND($A60&lt;&gt;"",BP$3&gt;=$J60,BP$3&lt;=$M60),1,"")</f>
        <v/>
      </c>
      <c r="BQ60">
        <f>IF(AND($A60&lt;&gt;"",BQ$3&gt;=$J60,BQ$3&lt;=$M60),1,"")</f>
        <v/>
      </c>
      <c r="BR60">
        <f>IF(AND($A60&lt;&gt;"",BR$3&gt;=$J60,BR$3&lt;=$M60),1,"")</f>
        <v/>
      </c>
      <c r="BS60">
        <f>IF(AND($A60&lt;&gt;"",BS$3&gt;=$J60,BS$3&lt;=$M60),1,"")</f>
        <v/>
      </c>
      <c r="BT60">
        <f>IF(AND($A60&lt;&gt;"",BT$3&gt;=$J60,BT$3&lt;=$M60),1,"")</f>
        <v/>
      </c>
      <c r="BU60">
        <f>IF(AND($A60&lt;&gt;"",BU$3&gt;=$J60,BU$3&lt;=$M60),1,"")</f>
        <v/>
      </c>
      <c r="BV60">
        <f>IF(AND($A60&lt;&gt;"",BV$3&gt;=$J60,BV$3&lt;=$M60),1,"")</f>
        <v/>
      </c>
    </row>
    <row r="61">
      <c r="A61">
        <f>IF(Job_Master_Ring!$A61="","",Job_Master_Ring!$A61)</f>
        <v/>
      </c>
      <c r="B61">
        <f>IF($A61="","",Job_Master_Ring!B61)</f>
        <v/>
      </c>
      <c r="C61">
        <f>IF($A61="","",Job_Master_Ring!C61)</f>
        <v/>
      </c>
      <c r="D61">
        <f>IF($A61="","",Job_Master_Ring!D61)</f>
        <v/>
      </c>
      <c r="E61">
        <f>IF($A61="","",IF($I61&lt;&gt;"",$I61,IFERROR(INDEX(Machine_List!$B$82:$B$86,MATCH(1,(Machine_List!$H$82:$H$86&lt;=IFERROR(VLOOKUP($B61,CHOOSE(MATCH($C61,Settings!$L$4:$L$10,0),OPR_BR1!$A$4:$K$18,OPR_BR2!$A$4:$K$18,OPR_CR2!$A$4:$K$18,OPR_CR3!$A$4:$K$18,OPR_CR4!$A$4:$K$18,OPR_RIM!$A$4:$K$18,OPR_BPR!$A$4:$K$18),10,0),0))*(Machine_List!$I$82:$I$86&gt;=IFERROR(VLOOKUP($B61,CHOOSE(MATCH($C61,Settings!$L$4:$L$10,0),OPR_BR1!$A$4:$K$18,OPR_BR2!$A$4:$K$18,OPR_CR2!$A$4:$K$18,OPR_CR3!$A$4:$K$18,OPR_CR4!$A$4:$K$18,OPR_RIM!$A$4:$K$18,OPR_BPR!$A$4:$K$18),11,0),9999)),0)),"NO COMPATIBLE MACHINE")))</f>
        <v/>
      </c>
      <c r="F61">
        <f>IF($E61="","",IFERROR(VLOOKUP($E61,Machine_List!$B:$G,6,0),""))</f>
        <v/>
      </c>
      <c r="G61" s="17">
        <f>IF($E61="","",IFERROR(VLOOKUP($E61,Machine_List!$B:$C,2,0),""))</f>
        <v/>
      </c>
      <c r="H61">
        <f>IF($E61="","",IFERROR(VLOOKUP($E61,Machine_List!$B:$D,3,0),""))</f>
        <v/>
      </c>
      <c r="J61" s="16">
        <f>IF($A61="","",IF($I61&lt;&gt;"",$I61,MAX(FID_Plan!$M61,IFERROR(LOOKUP(2,1/($E$3:INDIRECT("E"&amp;(ROW()-1))=$E61),$M$3:INDIRECT("M"&amp;(ROW()-1))),FID_Plan!$M61))))</f>
        <v/>
      </c>
      <c r="K61">
        <f>IF($A61="","",IFERROR(VLOOKUP(B61,CHOOSE(MATCH($C61,Settings!$L$4:$L$10,0),OPR_BR1!$A$4:$I$18,OPR_BR2!$A$4:$I$18,OPR_CR2!$A$4:$I$18,OPR_CR3!$A$4:$I$18,OPR_CR4!$A$4:$I$18,OPR_RIM!$A$4:$I$18,OPR_BPR!$A$4:$I$18),9,0),0))</f>
        <v/>
      </c>
      <c r="L61">
        <f>IF($A61="","",K61*D61)</f>
        <v/>
      </c>
      <c r="M61" s="16">
        <f>IF($A61=""," ",$J61+($L61/(IF(F61="Contract Workman",Settings!$K$5,Settings!$K$4))))</f>
        <v/>
      </c>
      <c r="N61">
        <f>IF($A61="","",IF(F61="Contract Workman",IF(AND(MOD(M61,1)&gt;=8/24,MOD(M61,1)&lt;20/24),"Shift S1","Shift S2"),IF(AND(MOD(M61,1)&gt;=7/24,MOD(M61,1)&lt;15/24),"Shift A",IF(AND(MOD(M61,1)&gt;=15/24,MOD(M61,1)&lt;23/24),"Shift B","Shift C"))))</f>
        <v/>
      </c>
      <c r="O61">
        <f>IF(B61="","",IF(IFERROR(ISNUMBER(SEARCH(TEXT(B61,"0"),VLOOKUP(E61,Machine_List!$B:$J,9,0))),FALSE),"✅ "&amp; E61,"❌ Sug: "&amp;IFERROR(INDEX(Machine_List!$B$82:$B$86,MATCH(1,(Machine_List!$H$82:$H$86&lt;=IFERROR(VLOOKUP($B61,OPR_BR1!$A$4:$K$18,10,0),0))*(Machine_List!$I$82:$I$86&gt;=IFERROR(VLOOKUP($B61,OPR_BR1!$A$4:$K$18,11,0),9999)),0)),"?")))</f>
        <v/>
      </c>
      <c r="P61">
        <f>IF(AND($A61&lt;&gt;"",P$3&gt;=$J61,P$3&lt;=$M61),1,"")</f>
        <v/>
      </c>
      <c r="Q61">
        <f>IF(AND($A61&lt;&gt;"",Q$3&gt;=$J61,Q$3&lt;=$M61),1,"")</f>
        <v/>
      </c>
      <c r="R61">
        <f>IF(AND($A61&lt;&gt;"",R$3&gt;=$J61,R$3&lt;=$M61),1,"")</f>
        <v/>
      </c>
      <c r="S61">
        <f>IF(AND($A61&lt;&gt;"",S$3&gt;=$J61,S$3&lt;=$M61),1,"")</f>
        <v/>
      </c>
      <c r="T61">
        <f>IF(AND($A61&lt;&gt;"",T$3&gt;=$J61,T$3&lt;=$M61),1,"")</f>
        <v/>
      </c>
      <c r="U61">
        <f>IF(AND($A61&lt;&gt;"",U$3&gt;=$J61,U$3&lt;=$M61),1,"")</f>
        <v/>
      </c>
      <c r="V61">
        <f>IF(AND($A61&lt;&gt;"",V$3&gt;=$J61,V$3&lt;=$M61),1,"")</f>
        <v/>
      </c>
      <c r="W61">
        <f>IF(AND($A61&lt;&gt;"",W$3&gt;=$J61,W$3&lt;=$M61),1,"")</f>
        <v/>
      </c>
      <c r="X61">
        <f>IF(AND($A61&lt;&gt;"",X$3&gt;=$J61,X$3&lt;=$M61),1,"")</f>
        <v/>
      </c>
      <c r="Y61">
        <f>IF(AND($A61&lt;&gt;"",Y$3&gt;=$J61,Y$3&lt;=$M61),1,"")</f>
        <v/>
      </c>
      <c r="Z61">
        <f>IF(AND($A61&lt;&gt;"",Z$3&gt;=$J61,Z$3&lt;=$M61),1,"")</f>
        <v/>
      </c>
      <c r="AA61">
        <f>IF(AND($A61&lt;&gt;"",AA$3&gt;=$J61,AA$3&lt;=$M61),1,"")</f>
        <v/>
      </c>
      <c r="AB61">
        <f>IF(AND($A61&lt;&gt;"",AB$3&gt;=$J61,AB$3&lt;=$M61),1,"")</f>
        <v/>
      </c>
      <c r="AC61">
        <f>IF(AND($A61&lt;&gt;"",AC$3&gt;=$J61,AC$3&lt;=$M61),1,"")</f>
        <v/>
      </c>
      <c r="AD61">
        <f>IF(AND($A61&lt;&gt;"",AD$3&gt;=$J61,AD$3&lt;=$M61),1,"")</f>
        <v/>
      </c>
      <c r="AE61">
        <f>IF(AND($A61&lt;&gt;"",AE$3&gt;=$J61,AE$3&lt;=$M61),1,"")</f>
        <v/>
      </c>
      <c r="AF61">
        <f>IF(AND($A61&lt;&gt;"",AF$3&gt;=$J61,AF$3&lt;=$M61),1,"")</f>
        <v/>
      </c>
      <c r="AG61">
        <f>IF(AND($A61&lt;&gt;"",AG$3&gt;=$J61,AG$3&lt;=$M61),1,"")</f>
        <v/>
      </c>
      <c r="AH61">
        <f>IF(AND($A61&lt;&gt;"",AH$3&gt;=$J61,AH$3&lt;=$M61),1,"")</f>
        <v/>
      </c>
      <c r="AI61">
        <f>IF(AND($A61&lt;&gt;"",AI$3&gt;=$J61,AI$3&lt;=$M61),1,"")</f>
        <v/>
      </c>
      <c r="AJ61">
        <f>IF(AND($A61&lt;&gt;"",AJ$3&gt;=$J61,AJ$3&lt;=$M61),1,"")</f>
        <v/>
      </c>
      <c r="AK61">
        <f>IF(AND($A61&lt;&gt;"",AK$3&gt;=$J61,AK$3&lt;=$M61),1,"")</f>
        <v/>
      </c>
      <c r="AL61">
        <f>IF(AND($A61&lt;&gt;"",AL$3&gt;=$J61,AL$3&lt;=$M61),1,"")</f>
        <v/>
      </c>
      <c r="AM61">
        <f>IF(AND($A61&lt;&gt;"",AM$3&gt;=$J61,AM$3&lt;=$M61),1,"")</f>
        <v/>
      </c>
      <c r="AN61">
        <f>IF(AND($A61&lt;&gt;"",AN$3&gt;=$J61,AN$3&lt;=$M61),1,"")</f>
        <v/>
      </c>
      <c r="AO61">
        <f>IF(AND($A61&lt;&gt;"",AO$3&gt;=$J61,AO$3&lt;=$M61),1,"")</f>
        <v/>
      </c>
      <c r="AP61">
        <f>IF(AND($A61&lt;&gt;"",AP$3&gt;=$J61,AP$3&lt;=$M61),1,"")</f>
        <v/>
      </c>
      <c r="AQ61">
        <f>IF(AND($A61&lt;&gt;"",AQ$3&gt;=$J61,AQ$3&lt;=$M61),1,"")</f>
        <v/>
      </c>
      <c r="AR61">
        <f>IF(AND($A61&lt;&gt;"",AR$3&gt;=$J61,AR$3&lt;=$M61),1,"")</f>
        <v/>
      </c>
      <c r="AS61">
        <f>IF(AND($A61&lt;&gt;"",AS$3&gt;=$J61,AS$3&lt;=$M61),1,"")</f>
        <v/>
      </c>
      <c r="AT61">
        <f>IF(AND($A61&lt;&gt;"",AT$3&gt;=$J61,AT$3&lt;=$M61),1,"")</f>
        <v/>
      </c>
      <c r="AU61">
        <f>IF(AND($A61&lt;&gt;"",AU$3&gt;=$J61,AU$3&lt;=$M61),1,"")</f>
        <v/>
      </c>
      <c r="AV61">
        <f>IF(AND($A61&lt;&gt;"",AV$3&gt;=$J61,AV$3&lt;=$M61),1,"")</f>
        <v/>
      </c>
      <c r="AW61">
        <f>IF(AND($A61&lt;&gt;"",AW$3&gt;=$J61,AW$3&lt;=$M61),1,"")</f>
        <v/>
      </c>
      <c r="AX61">
        <f>IF(AND($A61&lt;&gt;"",AX$3&gt;=$J61,AX$3&lt;=$M61),1,"")</f>
        <v/>
      </c>
      <c r="AY61">
        <f>IF(AND($A61&lt;&gt;"",AY$3&gt;=$J61,AY$3&lt;=$M61),1,"")</f>
        <v/>
      </c>
      <c r="AZ61">
        <f>IF(AND($A61&lt;&gt;"",AZ$3&gt;=$J61,AZ$3&lt;=$M61),1,"")</f>
        <v/>
      </c>
      <c r="BA61">
        <f>IF(AND($A61&lt;&gt;"",BA$3&gt;=$J61,BA$3&lt;=$M61),1,"")</f>
        <v/>
      </c>
      <c r="BB61">
        <f>IF(AND($A61&lt;&gt;"",BB$3&gt;=$J61,BB$3&lt;=$M61),1,"")</f>
        <v/>
      </c>
      <c r="BC61">
        <f>IF(AND($A61&lt;&gt;"",BC$3&gt;=$J61,BC$3&lt;=$M61),1,"")</f>
        <v/>
      </c>
      <c r="BD61">
        <f>IF(AND($A61&lt;&gt;"",BD$3&gt;=$J61,BD$3&lt;=$M61),1,"")</f>
        <v/>
      </c>
      <c r="BE61">
        <f>IF(AND($A61&lt;&gt;"",BE$3&gt;=$J61,BE$3&lt;=$M61),1,"")</f>
        <v/>
      </c>
      <c r="BF61">
        <f>IF(AND($A61&lt;&gt;"",BF$3&gt;=$J61,BF$3&lt;=$M61),1,"")</f>
        <v/>
      </c>
      <c r="BG61">
        <f>IF(AND($A61&lt;&gt;"",BG$3&gt;=$J61,BG$3&lt;=$M61),1,"")</f>
        <v/>
      </c>
      <c r="BH61">
        <f>IF(AND($A61&lt;&gt;"",BH$3&gt;=$J61,BH$3&lt;=$M61),1,"")</f>
        <v/>
      </c>
      <c r="BI61">
        <f>IF(AND($A61&lt;&gt;"",BI$3&gt;=$J61,BI$3&lt;=$M61),1,"")</f>
        <v/>
      </c>
      <c r="BJ61">
        <f>IF(AND($A61&lt;&gt;"",BJ$3&gt;=$J61,BJ$3&lt;=$M61),1,"")</f>
        <v/>
      </c>
      <c r="BK61">
        <f>IF(AND($A61&lt;&gt;"",BK$3&gt;=$J61,BK$3&lt;=$M61),1,"")</f>
        <v/>
      </c>
      <c r="BL61">
        <f>IF(AND($A61&lt;&gt;"",BL$3&gt;=$J61,BL$3&lt;=$M61),1,"")</f>
        <v/>
      </c>
      <c r="BM61">
        <f>IF(AND($A61&lt;&gt;"",BM$3&gt;=$J61,BM$3&lt;=$M61),1,"")</f>
        <v/>
      </c>
      <c r="BN61">
        <f>IF(AND($A61&lt;&gt;"",BN$3&gt;=$J61,BN$3&lt;=$M61),1,"")</f>
        <v/>
      </c>
      <c r="BO61">
        <f>IF(AND($A61&lt;&gt;"",BO$3&gt;=$J61,BO$3&lt;=$M61),1,"")</f>
        <v/>
      </c>
      <c r="BP61">
        <f>IF(AND($A61&lt;&gt;"",BP$3&gt;=$J61,BP$3&lt;=$M61),1,"")</f>
        <v/>
      </c>
      <c r="BQ61">
        <f>IF(AND($A61&lt;&gt;"",BQ$3&gt;=$J61,BQ$3&lt;=$M61),1,"")</f>
        <v/>
      </c>
      <c r="BR61">
        <f>IF(AND($A61&lt;&gt;"",BR$3&gt;=$J61,BR$3&lt;=$M61),1,"")</f>
        <v/>
      </c>
      <c r="BS61">
        <f>IF(AND($A61&lt;&gt;"",BS$3&gt;=$J61,BS$3&lt;=$M61),1,"")</f>
        <v/>
      </c>
      <c r="BT61">
        <f>IF(AND($A61&lt;&gt;"",BT$3&gt;=$J61,BT$3&lt;=$M61),1,"")</f>
        <v/>
      </c>
      <c r="BU61">
        <f>IF(AND($A61&lt;&gt;"",BU$3&gt;=$J61,BU$3&lt;=$M61),1,"")</f>
        <v/>
      </c>
      <c r="BV61">
        <f>IF(AND($A61&lt;&gt;"",BV$3&gt;=$J61,BV$3&lt;=$M61),1,"")</f>
        <v/>
      </c>
    </row>
    <row r="62">
      <c r="A62">
        <f>IF(Job_Master_Ring!$A62="","",Job_Master_Ring!$A62)</f>
        <v/>
      </c>
      <c r="B62">
        <f>IF($A62="","",Job_Master_Ring!B62)</f>
        <v/>
      </c>
      <c r="C62">
        <f>IF($A62="","",Job_Master_Ring!C62)</f>
        <v/>
      </c>
      <c r="D62">
        <f>IF($A62="","",Job_Master_Ring!D62)</f>
        <v/>
      </c>
      <c r="E62">
        <f>IF($A62="","",IF($I62&lt;&gt;"",$I62,IFERROR(INDEX(Machine_List!$B$82:$B$86,MATCH(1,(Machine_List!$H$82:$H$86&lt;=IFERROR(VLOOKUP($B62,CHOOSE(MATCH($C62,Settings!$L$4:$L$10,0),OPR_BR1!$A$4:$K$18,OPR_BR2!$A$4:$K$18,OPR_CR2!$A$4:$K$18,OPR_CR3!$A$4:$K$18,OPR_CR4!$A$4:$K$18,OPR_RIM!$A$4:$K$18,OPR_BPR!$A$4:$K$18),10,0),0))*(Machine_List!$I$82:$I$86&gt;=IFERROR(VLOOKUP($B62,CHOOSE(MATCH($C62,Settings!$L$4:$L$10,0),OPR_BR1!$A$4:$K$18,OPR_BR2!$A$4:$K$18,OPR_CR2!$A$4:$K$18,OPR_CR3!$A$4:$K$18,OPR_CR4!$A$4:$K$18,OPR_RIM!$A$4:$K$18,OPR_BPR!$A$4:$K$18),11,0),9999)),0)),"NO COMPATIBLE MACHINE")))</f>
        <v/>
      </c>
      <c r="F62">
        <f>IF($E62="","",IFERROR(VLOOKUP($E62,Machine_List!$B:$G,6,0),""))</f>
        <v/>
      </c>
      <c r="G62" s="17">
        <f>IF($E62="","",IFERROR(VLOOKUP($E62,Machine_List!$B:$C,2,0),""))</f>
        <v/>
      </c>
      <c r="H62">
        <f>IF($E62="","",IFERROR(VLOOKUP($E62,Machine_List!$B:$D,3,0),""))</f>
        <v/>
      </c>
      <c r="J62" s="16">
        <f>IF($A62="","",IF($I62&lt;&gt;"",$I62,MAX(FID_Plan!$M62,IFERROR(LOOKUP(2,1/($E$3:INDIRECT("E"&amp;(ROW()-1))=$E62),$M$3:INDIRECT("M"&amp;(ROW()-1))),FID_Plan!$M62))))</f>
        <v/>
      </c>
      <c r="K62">
        <f>IF($A62="","",IFERROR(VLOOKUP(B62,CHOOSE(MATCH($C62,Settings!$L$4:$L$10,0),OPR_BR1!$A$4:$I$18,OPR_BR2!$A$4:$I$18,OPR_CR2!$A$4:$I$18,OPR_CR3!$A$4:$I$18,OPR_CR4!$A$4:$I$18,OPR_RIM!$A$4:$I$18,OPR_BPR!$A$4:$I$18),9,0),0))</f>
        <v/>
      </c>
      <c r="L62">
        <f>IF($A62="","",K62*D62)</f>
        <v/>
      </c>
      <c r="M62" s="16">
        <f>IF($A62=""," ",$J62+($L62/(IF(F62="Contract Workman",Settings!$K$5,Settings!$K$4))))</f>
        <v/>
      </c>
      <c r="N62">
        <f>IF($A62="","",IF(F62="Contract Workman",IF(AND(MOD(M62,1)&gt;=8/24,MOD(M62,1)&lt;20/24),"Shift S1","Shift S2"),IF(AND(MOD(M62,1)&gt;=7/24,MOD(M62,1)&lt;15/24),"Shift A",IF(AND(MOD(M62,1)&gt;=15/24,MOD(M62,1)&lt;23/24),"Shift B","Shift C"))))</f>
        <v/>
      </c>
      <c r="O62">
        <f>IF(B62="","",IF(IFERROR(ISNUMBER(SEARCH(TEXT(B62,"0"),VLOOKUP(E62,Machine_List!$B:$J,9,0))),FALSE),"✅ "&amp; E62,"❌ Sug: "&amp;IFERROR(INDEX(Machine_List!$B$82:$B$86,MATCH(1,(Machine_List!$H$82:$H$86&lt;=IFERROR(VLOOKUP($B62,OPR_BR1!$A$4:$K$18,10,0),0))*(Machine_List!$I$82:$I$86&gt;=IFERROR(VLOOKUP($B62,OPR_BR1!$A$4:$K$18,11,0),9999)),0)),"?")))</f>
        <v/>
      </c>
      <c r="P62">
        <f>IF(AND($A62&lt;&gt;"",P$3&gt;=$J62,P$3&lt;=$M62),1,"")</f>
        <v/>
      </c>
      <c r="Q62">
        <f>IF(AND($A62&lt;&gt;"",Q$3&gt;=$J62,Q$3&lt;=$M62),1,"")</f>
        <v/>
      </c>
      <c r="R62">
        <f>IF(AND($A62&lt;&gt;"",R$3&gt;=$J62,R$3&lt;=$M62),1,"")</f>
        <v/>
      </c>
      <c r="S62">
        <f>IF(AND($A62&lt;&gt;"",S$3&gt;=$J62,S$3&lt;=$M62),1,"")</f>
        <v/>
      </c>
      <c r="T62">
        <f>IF(AND($A62&lt;&gt;"",T$3&gt;=$J62,T$3&lt;=$M62),1,"")</f>
        <v/>
      </c>
      <c r="U62">
        <f>IF(AND($A62&lt;&gt;"",U$3&gt;=$J62,U$3&lt;=$M62),1,"")</f>
        <v/>
      </c>
      <c r="V62">
        <f>IF(AND($A62&lt;&gt;"",V$3&gt;=$J62,V$3&lt;=$M62),1,"")</f>
        <v/>
      </c>
      <c r="W62">
        <f>IF(AND($A62&lt;&gt;"",W$3&gt;=$J62,W$3&lt;=$M62),1,"")</f>
        <v/>
      </c>
      <c r="X62">
        <f>IF(AND($A62&lt;&gt;"",X$3&gt;=$J62,X$3&lt;=$M62),1,"")</f>
        <v/>
      </c>
      <c r="Y62">
        <f>IF(AND($A62&lt;&gt;"",Y$3&gt;=$J62,Y$3&lt;=$M62),1,"")</f>
        <v/>
      </c>
      <c r="Z62">
        <f>IF(AND($A62&lt;&gt;"",Z$3&gt;=$J62,Z$3&lt;=$M62),1,"")</f>
        <v/>
      </c>
      <c r="AA62">
        <f>IF(AND($A62&lt;&gt;"",AA$3&gt;=$J62,AA$3&lt;=$M62),1,"")</f>
        <v/>
      </c>
      <c r="AB62">
        <f>IF(AND($A62&lt;&gt;"",AB$3&gt;=$J62,AB$3&lt;=$M62),1,"")</f>
        <v/>
      </c>
      <c r="AC62">
        <f>IF(AND($A62&lt;&gt;"",AC$3&gt;=$J62,AC$3&lt;=$M62),1,"")</f>
        <v/>
      </c>
      <c r="AD62">
        <f>IF(AND($A62&lt;&gt;"",AD$3&gt;=$J62,AD$3&lt;=$M62),1,"")</f>
        <v/>
      </c>
      <c r="AE62">
        <f>IF(AND($A62&lt;&gt;"",AE$3&gt;=$J62,AE$3&lt;=$M62),1,"")</f>
        <v/>
      </c>
      <c r="AF62">
        <f>IF(AND($A62&lt;&gt;"",AF$3&gt;=$J62,AF$3&lt;=$M62),1,"")</f>
        <v/>
      </c>
      <c r="AG62">
        <f>IF(AND($A62&lt;&gt;"",AG$3&gt;=$J62,AG$3&lt;=$M62),1,"")</f>
        <v/>
      </c>
      <c r="AH62">
        <f>IF(AND($A62&lt;&gt;"",AH$3&gt;=$J62,AH$3&lt;=$M62),1,"")</f>
        <v/>
      </c>
      <c r="AI62">
        <f>IF(AND($A62&lt;&gt;"",AI$3&gt;=$J62,AI$3&lt;=$M62),1,"")</f>
        <v/>
      </c>
      <c r="AJ62">
        <f>IF(AND($A62&lt;&gt;"",AJ$3&gt;=$J62,AJ$3&lt;=$M62),1,"")</f>
        <v/>
      </c>
      <c r="AK62">
        <f>IF(AND($A62&lt;&gt;"",AK$3&gt;=$J62,AK$3&lt;=$M62),1,"")</f>
        <v/>
      </c>
      <c r="AL62">
        <f>IF(AND($A62&lt;&gt;"",AL$3&gt;=$J62,AL$3&lt;=$M62),1,"")</f>
        <v/>
      </c>
      <c r="AM62">
        <f>IF(AND($A62&lt;&gt;"",AM$3&gt;=$J62,AM$3&lt;=$M62),1,"")</f>
        <v/>
      </c>
      <c r="AN62">
        <f>IF(AND($A62&lt;&gt;"",AN$3&gt;=$J62,AN$3&lt;=$M62),1,"")</f>
        <v/>
      </c>
      <c r="AO62">
        <f>IF(AND($A62&lt;&gt;"",AO$3&gt;=$J62,AO$3&lt;=$M62),1,"")</f>
        <v/>
      </c>
      <c r="AP62">
        <f>IF(AND($A62&lt;&gt;"",AP$3&gt;=$J62,AP$3&lt;=$M62),1,"")</f>
        <v/>
      </c>
      <c r="AQ62">
        <f>IF(AND($A62&lt;&gt;"",AQ$3&gt;=$J62,AQ$3&lt;=$M62),1,"")</f>
        <v/>
      </c>
      <c r="AR62">
        <f>IF(AND($A62&lt;&gt;"",AR$3&gt;=$J62,AR$3&lt;=$M62),1,"")</f>
        <v/>
      </c>
      <c r="AS62">
        <f>IF(AND($A62&lt;&gt;"",AS$3&gt;=$J62,AS$3&lt;=$M62),1,"")</f>
        <v/>
      </c>
      <c r="AT62">
        <f>IF(AND($A62&lt;&gt;"",AT$3&gt;=$J62,AT$3&lt;=$M62),1,"")</f>
        <v/>
      </c>
      <c r="AU62">
        <f>IF(AND($A62&lt;&gt;"",AU$3&gt;=$J62,AU$3&lt;=$M62),1,"")</f>
        <v/>
      </c>
      <c r="AV62">
        <f>IF(AND($A62&lt;&gt;"",AV$3&gt;=$J62,AV$3&lt;=$M62),1,"")</f>
        <v/>
      </c>
      <c r="AW62">
        <f>IF(AND($A62&lt;&gt;"",AW$3&gt;=$J62,AW$3&lt;=$M62),1,"")</f>
        <v/>
      </c>
      <c r="AX62">
        <f>IF(AND($A62&lt;&gt;"",AX$3&gt;=$J62,AX$3&lt;=$M62),1,"")</f>
        <v/>
      </c>
      <c r="AY62">
        <f>IF(AND($A62&lt;&gt;"",AY$3&gt;=$J62,AY$3&lt;=$M62),1,"")</f>
        <v/>
      </c>
      <c r="AZ62">
        <f>IF(AND($A62&lt;&gt;"",AZ$3&gt;=$J62,AZ$3&lt;=$M62),1,"")</f>
        <v/>
      </c>
      <c r="BA62">
        <f>IF(AND($A62&lt;&gt;"",BA$3&gt;=$J62,BA$3&lt;=$M62),1,"")</f>
        <v/>
      </c>
      <c r="BB62">
        <f>IF(AND($A62&lt;&gt;"",BB$3&gt;=$J62,BB$3&lt;=$M62),1,"")</f>
        <v/>
      </c>
      <c r="BC62">
        <f>IF(AND($A62&lt;&gt;"",BC$3&gt;=$J62,BC$3&lt;=$M62),1,"")</f>
        <v/>
      </c>
      <c r="BD62">
        <f>IF(AND($A62&lt;&gt;"",BD$3&gt;=$J62,BD$3&lt;=$M62),1,"")</f>
        <v/>
      </c>
      <c r="BE62">
        <f>IF(AND($A62&lt;&gt;"",BE$3&gt;=$J62,BE$3&lt;=$M62),1,"")</f>
        <v/>
      </c>
      <c r="BF62">
        <f>IF(AND($A62&lt;&gt;"",BF$3&gt;=$J62,BF$3&lt;=$M62),1,"")</f>
        <v/>
      </c>
      <c r="BG62">
        <f>IF(AND($A62&lt;&gt;"",BG$3&gt;=$J62,BG$3&lt;=$M62),1,"")</f>
        <v/>
      </c>
      <c r="BH62">
        <f>IF(AND($A62&lt;&gt;"",BH$3&gt;=$J62,BH$3&lt;=$M62),1,"")</f>
        <v/>
      </c>
      <c r="BI62">
        <f>IF(AND($A62&lt;&gt;"",BI$3&gt;=$J62,BI$3&lt;=$M62),1,"")</f>
        <v/>
      </c>
      <c r="BJ62">
        <f>IF(AND($A62&lt;&gt;"",BJ$3&gt;=$J62,BJ$3&lt;=$M62),1,"")</f>
        <v/>
      </c>
      <c r="BK62">
        <f>IF(AND($A62&lt;&gt;"",BK$3&gt;=$J62,BK$3&lt;=$M62),1,"")</f>
        <v/>
      </c>
      <c r="BL62">
        <f>IF(AND($A62&lt;&gt;"",BL$3&gt;=$J62,BL$3&lt;=$M62),1,"")</f>
        <v/>
      </c>
      <c r="BM62">
        <f>IF(AND($A62&lt;&gt;"",BM$3&gt;=$J62,BM$3&lt;=$M62),1,"")</f>
        <v/>
      </c>
      <c r="BN62">
        <f>IF(AND($A62&lt;&gt;"",BN$3&gt;=$J62,BN$3&lt;=$M62),1,"")</f>
        <v/>
      </c>
      <c r="BO62">
        <f>IF(AND($A62&lt;&gt;"",BO$3&gt;=$J62,BO$3&lt;=$M62),1,"")</f>
        <v/>
      </c>
      <c r="BP62">
        <f>IF(AND($A62&lt;&gt;"",BP$3&gt;=$J62,BP$3&lt;=$M62),1,"")</f>
        <v/>
      </c>
      <c r="BQ62">
        <f>IF(AND($A62&lt;&gt;"",BQ$3&gt;=$J62,BQ$3&lt;=$M62),1,"")</f>
        <v/>
      </c>
      <c r="BR62">
        <f>IF(AND($A62&lt;&gt;"",BR$3&gt;=$J62,BR$3&lt;=$M62),1,"")</f>
        <v/>
      </c>
      <c r="BS62">
        <f>IF(AND($A62&lt;&gt;"",BS$3&gt;=$J62,BS$3&lt;=$M62),1,"")</f>
        <v/>
      </c>
      <c r="BT62">
        <f>IF(AND($A62&lt;&gt;"",BT$3&gt;=$J62,BT$3&lt;=$M62),1,"")</f>
        <v/>
      </c>
      <c r="BU62">
        <f>IF(AND($A62&lt;&gt;"",BU$3&gt;=$J62,BU$3&lt;=$M62),1,"")</f>
        <v/>
      </c>
      <c r="BV62">
        <f>IF(AND($A62&lt;&gt;"",BV$3&gt;=$J62,BV$3&lt;=$M62),1,"")</f>
        <v/>
      </c>
    </row>
    <row r="63">
      <c r="A63">
        <f>IF(Job_Master_Ring!$A63="","",Job_Master_Ring!$A63)</f>
        <v/>
      </c>
      <c r="B63">
        <f>IF($A63="","",Job_Master_Ring!B63)</f>
        <v/>
      </c>
      <c r="C63">
        <f>IF($A63="","",Job_Master_Ring!C63)</f>
        <v/>
      </c>
      <c r="D63">
        <f>IF($A63="","",Job_Master_Ring!D63)</f>
        <v/>
      </c>
      <c r="E63">
        <f>IF($A63="","",IF($I63&lt;&gt;"",$I63,IFERROR(INDEX(Machine_List!$B$82:$B$86,MATCH(1,(Machine_List!$H$82:$H$86&lt;=IFERROR(VLOOKUP($B63,CHOOSE(MATCH($C63,Settings!$L$4:$L$10,0),OPR_BR1!$A$4:$K$18,OPR_BR2!$A$4:$K$18,OPR_CR2!$A$4:$K$18,OPR_CR3!$A$4:$K$18,OPR_CR4!$A$4:$K$18,OPR_RIM!$A$4:$K$18,OPR_BPR!$A$4:$K$18),10,0),0))*(Machine_List!$I$82:$I$86&gt;=IFERROR(VLOOKUP($B63,CHOOSE(MATCH($C63,Settings!$L$4:$L$10,0),OPR_BR1!$A$4:$K$18,OPR_BR2!$A$4:$K$18,OPR_CR2!$A$4:$K$18,OPR_CR3!$A$4:$K$18,OPR_CR4!$A$4:$K$18,OPR_RIM!$A$4:$K$18,OPR_BPR!$A$4:$K$18),11,0),9999)),0)),"NO COMPATIBLE MACHINE")))</f>
        <v/>
      </c>
      <c r="F63">
        <f>IF($E63="","",IFERROR(VLOOKUP($E63,Machine_List!$B:$G,6,0),""))</f>
        <v/>
      </c>
      <c r="G63" s="17">
        <f>IF($E63="","",IFERROR(VLOOKUP($E63,Machine_List!$B:$C,2,0),""))</f>
        <v/>
      </c>
      <c r="H63">
        <f>IF($E63="","",IFERROR(VLOOKUP($E63,Machine_List!$B:$D,3,0),""))</f>
        <v/>
      </c>
      <c r="J63" s="16">
        <f>IF($A63="","",IF($I63&lt;&gt;"",$I63,MAX(FID_Plan!$M63,IFERROR(LOOKUP(2,1/($E$3:INDIRECT("E"&amp;(ROW()-1))=$E63),$M$3:INDIRECT("M"&amp;(ROW()-1))),FID_Plan!$M63))))</f>
        <v/>
      </c>
      <c r="K63">
        <f>IF($A63="","",IFERROR(VLOOKUP(B63,CHOOSE(MATCH($C63,Settings!$L$4:$L$10,0),OPR_BR1!$A$4:$I$18,OPR_BR2!$A$4:$I$18,OPR_CR2!$A$4:$I$18,OPR_CR3!$A$4:$I$18,OPR_CR4!$A$4:$I$18,OPR_RIM!$A$4:$I$18,OPR_BPR!$A$4:$I$18),9,0),0))</f>
        <v/>
      </c>
      <c r="L63">
        <f>IF($A63="","",K63*D63)</f>
        <v/>
      </c>
      <c r="M63" s="16">
        <f>IF($A63=""," ",$J63+($L63/(IF(F63="Contract Workman",Settings!$K$5,Settings!$K$4))))</f>
        <v/>
      </c>
      <c r="N63">
        <f>IF($A63="","",IF(F63="Contract Workman",IF(AND(MOD(M63,1)&gt;=8/24,MOD(M63,1)&lt;20/24),"Shift S1","Shift S2"),IF(AND(MOD(M63,1)&gt;=7/24,MOD(M63,1)&lt;15/24),"Shift A",IF(AND(MOD(M63,1)&gt;=15/24,MOD(M63,1)&lt;23/24),"Shift B","Shift C"))))</f>
        <v/>
      </c>
      <c r="O63">
        <f>IF(B63="","",IF(IFERROR(ISNUMBER(SEARCH(TEXT(B63,"0"),VLOOKUP(E63,Machine_List!$B:$J,9,0))),FALSE),"✅ "&amp; E63,"❌ Sug: "&amp;IFERROR(INDEX(Machine_List!$B$82:$B$86,MATCH(1,(Machine_List!$H$82:$H$86&lt;=IFERROR(VLOOKUP($B63,OPR_BR1!$A$4:$K$18,10,0),0))*(Machine_List!$I$82:$I$86&gt;=IFERROR(VLOOKUP($B63,OPR_BR1!$A$4:$K$18,11,0),9999)),0)),"?")))</f>
        <v/>
      </c>
      <c r="P63">
        <f>IF(AND($A63&lt;&gt;"",P$3&gt;=$J63,P$3&lt;=$M63),1,"")</f>
        <v/>
      </c>
      <c r="Q63">
        <f>IF(AND($A63&lt;&gt;"",Q$3&gt;=$J63,Q$3&lt;=$M63),1,"")</f>
        <v/>
      </c>
      <c r="R63">
        <f>IF(AND($A63&lt;&gt;"",R$3&gt;=$J63,R$3&lt;=$M63),1,"")</f>
        <v/>
      </c>
      <c r="S63">
        <f>IF(AND($A63&lt;&gt;"",S$3&gt;=$J63,S$3&lt;=$M63),1,"")</f>
        <v/>
      </c>
      <c r="T63">
        <f>IF(AND($A63&lt;&gt;"",T$3&gt;=$J63,T$3&lt;=$M63),1,"")</f>
        <v/>
      </c>
      <c r="U63">
        <f>IF(AND($A63&lt;&gt;"",U$3&gt;=$J63,U$3&lt;=$M63),1,"")</f>
        <v/>
      </c>
      <c r="V63">
        <f>IF(AND($A63&lt;&gt;"",V$3&gt;=$J63,V$3&lt;=$M63),1,"")</f>
        <v/>
      </c>
      <c r="W63">
        <f>IF(AND($A63&lt;&gt;"",W$3&gt;=$J63,W$3&lt;=$M63),1,"")</f>
        <v/>
      </c>
      <c r="X63">
        <f>IF(AND($A63&lt;&gt;"",X$3&gt;=$J63,X$3&lt;=$M63),1,"")</f>
        <v/>
      </c>
      <c r="Y63">
        <f>IF(AND($A63&lt;&gt;"",Y$3&gt;=$J63,Y$3&lt;=$M63),1,"")</f>
        <v/>
      </c>
      <c r="Z63">
        <f>IF(AND($A63&lt;&gt;"",Z$3&gt;=$J63,Z$3&lt;=$M63),1,"")</f>
        <v/>
      </c>
      <c r="AA63">
        <f>IF(AND($A63&lt;&gt;"",AA$3&gt;=$J63,AA$3&lt;=$M63),1,"")</f>
        <v/>
      </c>
      <c r="AB63">
        <f>IF(AND($A63&lt;&gt;"",AB$3&gt;=$J63,AB$3&lt;=$M63),1,"")</f>
        <v/>
      </c>
      <c r="AC63">
        <f>IF(AND($A63&lt;&gt;"",AC$3&gt;=$J63,AC$3&lt;=$M63),1,"")</f>
        <v/>
      </c>
      <c r="AD63">
        <f>IF(AND($A63&lt;&gt;"",AD$3&gt;=$J63,AD$3&lt;=$M63),1,"")</f>
        <v/>
      </c>
      <c r="AE63">
        <f>IF(AND($A63&lt;&gt;"",AE$3&gt;=$J63,AE$3&lt;=$M63),1,"")</f>
        <v/>
      </c>
      <c r="AF63">
        <f>IF(AND($A63&lt;&gt;"",AF$3&gt;=$J63,AF$3&lt;=$M63),1,"")</f>
        <v/>
      </c>
      <c r="AG63">
        <f>IF(AND($A63&lt;&gt;"",AG$3&gt;=$J63,AG$3&lt;=$M63),1,"")</f>
        <v/>
      </c>
      <c r="AH63">
        <f>IF(AND($A63&lt;&gt;"",AH$3&gt;=$J63,AH$3&lt;=$M63),1,"")</f>
        <v/>
      </c>
      <c r="AI63">
        <f>IF(AND($A63&lt;&gt;"",AI$3&gt;=$J63,AI$3&lt;=$M63),1,"")</f>
        <v/>
      </c>
      <c r="AJ63">
        <f>IF(AND($A63&lt;&gt;"",AJ$3&gt;=$J63,AJ$3&lt;=$M63),1,"")</f>
        <v/>
      </c>
      <c r="AK63">
        <f>IF(AND($A63&lt;&gt;"",AK$3&gt;=$J63,AK$3&lt;=$M63),1,"")</f>
        <v/>
      </c>
      <c r="AL63">
        <f>IF(AND($A63&lt;&gt;"",AL$3&gt;=$J63,AL$3&lt;=$M63),1,"")</f>
        <v/>
      </c>
      <c r="AM63">
        <f>IF(AND($A63&lt;&gt;"",AM$3&gt;=$J63,AM$3&lt;=$M63),1,"")</f>
        <v/>
      </c>
      <c r="AN63">
        <f>IF(AND($A63&lt;&gt;"",AN$3&gt;=$J63,AN$3&lt;=$M63),1,"")</f>
        <v/>
      </c>
      <c r="AO63">
        <f>IF(AND($A63&lt;&gt;"",AO$3&gt;=$J63,AO$3&lt;=$M63),1,"")</f>
        <v/>
      </c>
      <c r="AP63">
        <f>IF(AND($A63&lt;&gt;"",AP$3&gt;=$J63,AP$3&lt;=$M63),1,"")</f>
        <v/>
      </c>
      <c r="AQ63">
        <f>IF(AND($A63&lt;&gt;"",AQ$3&gt;=$J63,AQ$3&lt;=$M63),1,"")</f>
        <v/>
      </c>
      <c r="AR63">
        <f>IF(AND($A63&lt;&gt;"",AR$3&gt;=$J63,AR$3&lt;=$M63),1,"")</f>
        <v/>
      </c>
      <c r="AS63">
        <f>IF(AND($A63&lt;&gt;"",AS$3&gt;=$J63,AS$3&lt;=$M63),1,"")</f>
        <v/>
      </c>
      <c r="AT63">
        <f>IF(AND($A63&lt;&gt;"",AT$3&gt;=$J63,AT$3&lt;=$M63),1,"")</f>
        <v/>
      </c>
      <c r="AU63">
        <f>IF(AND($A63&lt;&gt;"",AU$3&gt;=$J63,AU$3&lt;=$M63),1,"")</f>
        <v/>
      </c>
      <c r="AV63">
        <f>IF(AND($A63&lt;&gt;"",AV$3&gt;=$J63,AV$3&lt;=$M63),1,"")</f>
        <v/>
      </c>
      <c r="AW63">
        <f>IF(AND($A63&lt;&gt;"",AW$3&gt;=$J63,AW$3&lt;=$M63),1,"")</f>
        <v/>
      </c>
      <c r="AX63">
        <f>IF(AND($A63&lt;&gt;"",AX$3&gt;=$J63,AX$3&lt;=$M63),1,"")</f>
        <v/>
      </c>
      <c r="AY63">
        <f>IF(AND($A63&lt;&gt;"",AY$3&gt;=$J63,AY$3&lt;=$M63),1,"")</f>
        <v/>
      </c>
      <c r="AZ63">
        <f>IF(AND($A63&lt;&gt;"",AZ$3&gt;=$J63,AZ$3&lt;=$M63),1,"")</f>
        <v/>
      </c>
      <c r="BA63">
        <f>IF(AND($A63&lt;&gt;"",BA$3&gt;=$J63,BA$3&lt;=$M63),1,"")</f>
        <v/>
      </c>
      <c r="BB63">
        <f>IF(AND($A63&lt;&gt;"",BB$3&gt;=$J63,BB$3&lt;=$M63),1,"")</f>
        <v/>
      </c>
      <c r="BC63">
        <f>IF(AND($A63&lt;&gt;"",BC$3&gt;=$J63,BC$3&lt;=$M63),1,"")</f>
        <v/>
      </c>
      <c r="BD63">
        <f>IF(AND($A63&lt;&gt;"",BD$3&gt;=$J63,BD$3&lt;=$M63),1,"")</f>
        <v/>
      </c>
      <c r="BE63">
        <f>IF(AND($A63&lt;&gt;"",BE$3&gt;=$J63,BE$3&lt;=$M63),1,"")</f>
        <v/>
      </c>
      <c r="BF63">
        <f>IF(AND($A63&lt;&gt;"",BF$3&gt;=$J63,BF$3&lt;=$M63),1,"")</f>
        <v/>
      </c>
      <c r="BG63">
        <f>IF(AND($A63&lt;&gt;"",BG$3&gt;=$J63,BG$3&lt;=$M63),1,"")</f>
        <v/>
      </c>
      <c r="BH63">
        <f>IF(AND($A63&lt;&gt;"",BH$3&gt;=$J63,BH$3&lt;=$M63),1,"")</f>
        <v/>
      </c>
      <c r="BI63">
        <f>IF(AND($A63&lt;&gt;"",BI$3&gt;=$J63,BI$3&lt;=$M63),1,"")</f>
        <v/>
      </c>
      <c r="BJ63">
        <f>IF(AND($A63&lt;&gt;"",BJ$3&gt;=$J63,BJ$3&lt;=$M63),1,"")</f>
        <v/>
      </c>
      <c r="BK63">
        <f>IF(AND($A63&lt;&gt;"",BK$3&gt;=$J63,BK$3&lt;=$M63),1,"")</f>
        <v/>
      </c>
      <c r="BL63">
        <f>IF(AND($A63&lt;&gt;"",BL$3&gt;=$J63,BL$3&lt;=$M63),1,"")</f>
        <v/>
      </c>
      <c r="BM63">
        <f>IF(AND($A63&lt;&gt;"",BM$3&gt;=$J63,BM$3&lt;=$M63),1,"")</f>
        <v/>
      </c>
      <c r="BN63">
        <f>IF(AND($A63&lt;&gt;"",BN$3&gt;=$J63,BN$3&lt;=$M63),1,"")</f>
        <v/>
      </c>
      <c r="BO63">
        <f>IF(AND($A63&lt;&gt;"",BO$3&gt;=$J63,BO$3&lt;=$M63),1,"")</f>
        <v/>
      </c>
      <c r="BP63">
        <f>IF(AND($A63&lt;&gt;"",BP$3&gt;=$J63,BP$3&lt;=$M63),1,"")</f>
        <v/>
      </c>
      <c r="BQ63">
        <f>IF(AND($A63&lt;&gt;"",BQ$3&gt;=$J63,BQ$3&lt;=$M63),1,"")</f>
        <v/>
      </c>
      <c r="BR63">
        <f>IF(AND($A63&lt;&gt;"",BR$3&gt;=$J63,BR$3&lt;=$M63),1,"")</f>
        <v/>
      </c>
      <c r="BS63">
        <f>IF(AND($A63&lt;&gt;"",BS$3&gt;=$J63,BS$3&lt;=$M63),1,"")</f>
        <v/>
      </c>
      <c r="BT63">
        <f>IF(AND($A63&lt;&gt;"",BT$3&gt;=$J63,BT$3&lt;=$M63),1,"")</f>
        <v/>
      </c>
      <c r="BU63">
        <f>IF(AND($A63&lt;&gt;"",BU$3&gt;=$J63,BU$3&lt;=$M63),1,"")</f>
        <v/>
      </c>
      <c r="BV63">
        <f>IF(AND($A63&lt;&gt;"",BV$3&gt;=$J63,BV$3&lt;=$M63),1,"")</f>
        <v/>
      </c>
    </row>
    <row r="64">
      <c r="A64">
        <f>IF(Job_Master_Ring!$A64="","",Job_Master_Ring!$A64)</f>
        <v/>
      </c>
      <c r="B64">
        <f>IF($A64="","",Job_Master_Ring!B64)</f>
        <v/>
      </c>
      <c r="C64">
        <f>IF($A64="","",Job_Master_Ring!C64)</f>
        <v/>
      </c>
      <c r="D64">
        <f>IF($A64="","",Job_Master_Ring!D64)</f>
        <v/>
      </c>
      <c r="E64">
        <f>IF($A64="","",IF($I64&lt;&gt;"",$I64,IFERROR(INDEX(Machine_List!$B$82:$B$86,MATCH(1,(Machine_List!$H$82:$H$86&lt;=IFERROR(VLOOKUP($B64,CHOOSE(MATCH($C64,Settings!$L$4:$L$10,0),OPR_BR1!$A$4:$K$18,OPR_BR2!$A$4:$K$18,OPR_CR2!$A$4:$K$18,OPR_CR3!$A$4:$K$18,OPR_CR4!$A$4:$K$18,OPR_RIM!$A$4:$K$18,OPR_BPR!$A$4:$K$18),10,0),0))*(Machine_List!$I$82:$I$86&gt;=IFERROR(VLOOKUP($B64,CHOOSE(MATCH($C64,Settings!$L$4:$L$10,0),OPR_BR1!$A$4:$K$18,OPR_BR2!$A$4:$K$18,OPR_CR2!$A$4:$K$18,OPR_CR3!$A$4:$K$18,OPR_CR4!$A$4:$K$18,OPR_RIM!$A$4:$K$18,OPR_BPR!$A$4:$K$18),11,0),9999)),0)),"NO COMPATIBLE MACHINE")))</f>
        <v/>
      </c>
      <c r="F64">
        <f>IF($E64="","",IFERROR(VLOOKUP($E64,Machine_List!$B:$G,6,0),""))</f>
        <v/>
      </c>
      <c r="G64" s="17">
        <f>IF($E64="","",IFERROR(VLOOKUP($E64,Machine_List!$B:$C,2,0),""))</f>
        <v/>
      </c>
      <c r="H64">
        <f>IF($E64="","",IFERROR(VLOOKUP($E64,Machine_List!$B:$D,3,0),""))</f>
        <v/>
      </c>
      <c r="J64" s="16">
        <f>IF($A64="","",IF($I64&lt;&gt;"",$I64,MAX(FID_Plan!$M64,IFERROR(LOOKUP(2,1/($E$3:INDIRECT("E"&amp;(ROW()-1))=$E64),$M$3:INDIRECT("M"&amp;(ROW()-1))),FID_Plan!$M64))))</f>
        <v/>
      </c>
      <c r="K64">
        <f>IF($A64="","",IFERROR(VLOOKUP(B64,CHOOSE(MATCH($C64,Settings!$L$4:$L$10,0),OPR_BR1!$A$4:$I$18,OPR_BR2!$A$4:$I$18,OPR_CR2!$A$4:$I$18,OPR_CR3!$A$4:$I$18,OPR_CR4!$A$4:$I$18,OPR_RIM!$A$4:$I$18,OPR_BPR!$A$4:$I$18),9,0),0))</f>
        <v/>
      </c>
      <c r="L64">
        <f>IF($A64="","",K64*D64)</f>
        <v/>
      </c>
      <c r="M64" s="16">
        <f>IF($A64=""," ",$J64+($L64/(IF(F64="Contract Workman",Settings!$K$5,Settings!$K$4))))</f>
        <v/>
      </c>
      <c r="N64">
        <f>IF($A64="","",IF(F64="Contract Workman",IF(AND(MOD(M64,1)&gt;=8/24,MOD(M64,1)&lt;20/24),"Shift S1","Shift S2"),IF(AND(MOD(M64,1)&gt;=7/24,MOD(M64,1)&lt;15/24),"Shift A",IF(AND(MOD(M64,1)&gt;=15/24,MOD(M64,1)&lt;23/24),"Shift B","Shift C"))))</f>
        <v/>
      </c>
      <c r="O64">
        <f>IF(B64="","",IF(IFERROR(ISNUMBER(SEARCH(TEXT(B64,"0"),VLOOKUP(E64,Machine_List!$B:$J,9,0))),FALSE),"✅ "&amp; E64,"❌ Sug: "&amp;IFERROR(INDEX(Machine_List!$B$82:$B$86,MATCH(1,(Machine_List!$H$82:$H$86&lt;=IFERROR(VLOOKUP($B64,OPR_BR1!$A$4:$K$18,10,0),0))*(Machine_List!$I$82:$I$86&gt;=IFERROR(VLOOKUP($B64,OPR_BR1!$A$4:$K$18,11,0),9999)),0)),"?")))</f>
        <v/>
      </c>
      <c r="P64">
        <f>IF(AND($A64&lt;&gt;"",P$3&gt;=$J64,P$3&lt;=$M64),1,"")</f>
        <v/>
      </c>
      <c r="Q64">
        <f>IF(AND($A64&lt;&gt;"",Q$3&gt;=$J64,Q$3&lt;=$M64),1,"")</f>
        <v/>
      </c>
      <c r="R64">
        <f>IF(AND($A64&lt;&gt;"",R$3&gt;=$J64,R$3&lt;=$M64),1,"")</f>
        <v/>
      </c>
      <c r="S64">
        <f>IF(AND($A64&lt;&gt;"",S$3&gt;=$J64,S$3&lt;=$M64),1,"")</f>
        <v/>
      </c>
      <c r="T64">
        <f>IF(AND($A64&lt;&gt;"",T$3&gt;=$J64,T$3&lt;=$M64),1,"")</f>
        <v/>
      </c>
      <c r="U64">
        <f>IF(AND($A64&lt;&gt;"",U$3&gt;=$J64,U$3&lt;=$M64),1,"")</f>
        <v/>
      </c>
      <c r="V64">
        <f>IF(AND($A64&lt;&gt;"",V$3&gt;=$J64,V$3&lt;=$M64),1,"")</f>
        <v/>
      </c>
      <c r="W64">
        <f>IF(AND($A64&lt;&gt;"",W$3&gt;=$J64,W$3&lt;=$M64),1,"")</f>
        <v/>
      </c>
      <c r="X64">
        <f>IF(AND($A64&lt;&gt;"",X$3&gt;=$J64,X$3&lt;=$M64),1,"")</f>
        <v/>
      </c>
      <c r="Y64">
        <f>IF(AND($A64&lt;&gt;"",Y$3&gt;=$J64,Y$3&lt;=$M64),1,"")</f>
        <v/>
      </c>
      <c r="Z64">
        <f>IF(AND($A64&lt;&gt;"",Z$3&gt;=$J64,Z$3&lt;=$M64),1,"")</f>
        <v/>
      </c>
      <c r="AA64">
        <f>IF(AND($A64&lt;&gt;"",AA$3&gt;=$J64,AA$3&lt;=$M64),1,"")</f>
        <v/>
      </c>
      <c r="AB64">
        <f>IF(AND($A64&lt;&gt;"",AB$3&gt;=$J64,AB$3&lt;=$M64),1,"")</f>
        <v/>
      </c>
      <c r="AC64">
        <f>IF(AND($A64&lt;&gt;"",AC$3&gt;=$J64,AC$3&lt;=$M64),1,"")</f>
        <v/>
      </c>
      <c r="AD64">
        <f>IF(AND($A64&lt;&gt;"",AD$3&gt;=$J64,AD$3&lt;=$M64),1,"")</f>
        <v/>
      </c>
      <c r="AE64">
        <f>IF(AND($A64&lt;&gt;"",AE$3&gt;=$J64,AE$3&lt;=$M64),1,"")</f>
        <v/>
      </c>
      <c r="AF64">
        <f>IF(AND($A64&lt;&gt;"",AF$3&gt;=$J64,AF$3&lt;=$M64),1,"")</f>
        <v/>
      </c>
      <c r="AG64">
        <f>IF(AND($A64&lt;&gt;"",AG$3&gt;=$J64,AG$3&lt;=$M64),1,"")</f>
        <v/>
      </c>
      <c r="AH64">
        <f>IF(AND($A64&lt;&gt;"",AH$3&gt;=$J64,AH$3&lt;=$M64),1,"")</f>
        <v/>
      </c>
      <c r="AI64">
        <f>IF(AND($A64&lt;&gt;"",AI$3&gt;=$J64,AI$3&lt;=$M64),1,"")</f>
        <v/>
      </c>
      <c r="AJ64">
        <f>IF(AND($A64&lt;&gt;"",AJ$3&gt;=$J64,AJ$3&lt;=$M64),1,"")</f>
        <v/>
      </c>
      <c r="AK64">
        <f>IF(AND($A64&lt;&gt;"",AK$3&gt;=$J64,AK$3&lt;=$M64),1,"")</f>
        <v/>
      </c>
      <c r="AL64">
        <f>IF(AND($A64&lt;&gt;"",AL$3&gt;=$J64,AL$3&lt;=$M64),1,"")</f>
        <v/>
      </c>
      <c r="AM64">
        <f>IF(AND($A64&lt;&gt;"",AM$3&gt;=$J64,AM$3&lt;=$M64),1,"")</f>
        <v/>
      </c>
      <c r="AN64">
        <f>IF(AND($A64&lt;&gt;"",AN$3&gt;=$J64,AN$3&lt;=$M64),1,"")</f>
        <v/>
      </c>
      <c r="AO64">
        <f>IF(AND($A64&lt;&gt;"",AO$3&gt;=$J64,AO$3&lt;=$M64),1,"")</f>
        <v/>
      </c>
      <c r="AP64">
        <f>IF(AND($A64&lt;&gt;"",AP$3&gt;=$J64,AP$3&lt;=$M64),1,"")</f>
        <v/>
      </c>
      <c r="AQ64">
        <f>IF(AND($A64&lt;&gt;"",AQ$3&gt;=$J64,AQ$3&lt;=$M64),1,"")</f>
        <v/>
      </c>
      <c r="AR64">
        <f>IF(AND($A64&lt;&gt;"",AR$3&gt;=$J64,AR$3&lt;=$M64),1,"")</f>
        <v/>
      </c>
      <c r="AS64">
        <f>IF(AND($A64&lt;&gt;"",AS$3&gt;=$J64,AS$3&lt;=$M64),1,"")</f>
        <v/>
      </c>
      <c r="AT64">
        <f>IF(AND($A64&lt;&gt;"",AT$3&gt;=$J64,AT$3&lt;=$M64),1,"")</f>
        <v/>
      </c>
      <c r="AU64">
        <f>IF(AND($A64&lt;&gt;"",AU$3&gt;=$J64,AU$3&lt;=$M64),1,"")</f>
        <v/>
      </c>
      <c r="AV64">
        <f>IF(AND($A64&lt;&gt;"",AV$3&gt;=$J64,AV$3&lt;=$M64),1,"")</f>
        <v/>
      </c>
      <c r="AW64">
        <f>IF(AND($A64&lt;&gt;"",AW$3&gt;=$J64,AW$3&lt;=$M64),1,"")</f>
        <v/>
      </c>
      <c r="AX64">
        <f>IF(AND($A64&lt;&gt;"",AX$3&gt;=$J64,AX$3&lt;=$M64),1,"")</f>
        <v/>
      </c>
      <c r="AY64">
        <f>IF(AND($A64&lt;&gt;"",AY$3&gt;=$J64,AY$3&lt;=$M64),1,"")</f>
        <v/>
      </c>
      <c r="AZ64">
        <f>IF(AND($A64&lt;&gt;"",AZ$3&gt;=$J64,AZ$3&lt;=$M64),1,"")</f>
        <v/>
      </c>
      <c r="BA64">
        <f>IF(AND($A64&lt;&gt;"",BA$3&gt;=$J64,BA$3&lt;=$M64),1,"")</f>
        <v/>
      </c>
      <c r="BB64">
        <f>IF(AND($A64&lt;&gt;"",BB$3&gt;=$J64,BB$3&lt;=$M64),1,"")</f>
        <v/>
      </c>
      <c r="BC64">
        <f>IF(AND($A64&lt;&gt;"",BC$3&gt;=$J64,BC$3&lt;=$M64),1,"")</f>
        <v/>
      </c>
      <c r="BD64">
        <f>IF(AND($A64&lt;&gt;"",BD$3&gt;=$J64,BD$3&lt;=$M64),1,"")</f>
        <v/>
      </c>
      <c r="BE64">
        <f>IF(AND($A64&lt;&gt;"",BE$3&gt;=$J64,BE$3&lt;=$M64),1,"")</f>
        <v/>
      </c>
      <c r="BF64">
        <f>IF(AND($A64&lt;&gt;"",BF$3&gt;=$J64,BF$3&lt;=$M64),1,"")</f>
        <v/>
      </c>
      <c r="BG64">
        <f>IF(AND($A64&lt;&gt;"",BG$3&gt;=$J64,BG$3&lt;=$M64),1,"")</f>
        <v/>
      </c>
      <c r="BH64">
        <f>IF(AND($A64&lt;&gt;"",BH$3&gt;=$J64,BH$3&lt;=$M64),1,"")</f>
        <v/>
      </c>
      <c r="BI64">
        <f>IF(AND($A64&lt;&gt;"",BI$3&gt;=$J64,BI$3&lt;=$M64),1,"")</f>
        <v/>
      </c>
      <c r="BJ64">
        <f>IF(AND($A64&lt;&gt;"",BJ$3&gt;=$J64,BJ$3&lt;=$M64),1,"")</f>
        <v/>
      </c>
      <c r="BK64">
        <f>IF(AND($A64&lt;&gt;"",BK$3&gt;=$J64,BK$3&lt;=$M64),1,"")</f>
        <v/>
      </c>
      <c r="BL64">
        <f>IF(AND($A64&lt;&gt;"",BL$3&gt;=$J64,BL$3&lt;=$M64),1,"")</f>
        <v/>
      </c>
      <c r="BM64">
        <f>IF(AND($A64&lt;&gt;"",BM$3&gt;=$J64,BM$3&lt;=$M64),1,"")</f>
        <v/>
      </c>
      <c r="BN64">
        <f>IF(AND($A64&lt;&gt;"",BN$3&gt;=$J64,BN$3&lt;=$M64),1,"")</f>
        <v/>
      </c>
      <c r="BO64">
        <f>IF(AND($A64&lt;&gt;"",BO$3&gt;=$J64,BO$3&lt;=$M64),1,"")</f>
        <v/>
      </c>
      <c r="BP64">
        <f>IF(AND($A64&lt;&gt;"",BP$3&gt;=$J64,BP$3&lt;=$M64),1,"")</f>
        <v/>
      </c>
      <c r="BQ64">
        <f>IF(AND($A64&lt;&gt;"",BQ$3&gt;=$J64,BQ$3&lt;=$M64),1,"")</f>
        <v/>
      </c>
      <c r="BR64">
        <f>IF(AND($A64&lt;&gt;"",BR$3&gt;=$J64,BR$3&lt;=$M64),1,"")</f>
        <v/>
      </c>
      <c r="BS64">
        <f>IF(AND($A64&lt;&gt;"",BS$3&gt;=$J64,BS$3&lt;=$M64),1,"")</f>
        <v/>
      </c>
      <c r="BT64">
        <f>IF(AND($A64&lt;&gt;"",BT$3&gt;=$J64,BT$3&lt;=$M64),1,"")</f>
        <v/>
      </c>
      <c r="BU64">
        <f>IF(AND($A64&lt;&gt;"",BU$3&gt;=$J64,BU$3&lt;=$M64),1,"")</f>
        <v/>
      </c>
      <c r="BV64">
        <f>IF(AND($A64&lt;&gt;"",BV$3&gt;=$J64,BV$3&lt;=$M64),1,"")</f>
        <v/>
      </c>
    </row>
    <row r="65">
      <c r="A65">
        <f>IF(Job_Master_Ring!$A65="","",Job_Master_Ring!$A65)</f>
        <v/>
      </c>
      <c r="B65">
        <f>IF($A65="","",Job_Master_Ring!B65)</f>
        <v/>
      </c>
      <c r="C65">
        <f>IF($A65="","",Job_Master_Ring!C65)</f>
        <v/>
      </c>
      <c r="D65">
        <f>IF($A65="","",Job_Master_Ring!D65)</f>
        <v/>
      </c>
      <c r="E65">
        <f>IF($A65="","",IF($I65&lt;&gt;"",$I65,IFERROR(INDEX(Machine_List!$B$82:$B$86,MATCH(1,(Machine_List!$H$82:$H$86&lt;=IFERROR(VLOOKUP($B65,CHOOSE(MATCH($C65,Settings!$L$4:$L$10,0),OPR_BR1!$A$4:$K$18,OPR_BR2!$A$4:$K$18,OPR_CR2!$A$4:$K$18,OPR_CR3!$A$4:$K$18,OPR_CR4!$A$4:$K$18,OPR_RIM!$A$4:$K$18,OPR_BPR!$A$4:$K$18),10,0),0))*(Machine_List!$I$82:$I$86&gt;=IFERROR(VLOOKUP($B65,CHOOSE(MATCH($C65,Settings!$L$4:$L$10,0),OPR_BR1!$A$4:$K$18,OPR_BR2!$A$4:$K$18,OPR_CR2!$A$4:$K$18,OPR_CR3!$A$4:$K$18,OPR_CR4!$A$4:$K$18,OPR_RIM!$A$4:$K$18,OPR_BPR!$A$4:$K$18),11,0),9999)),0)),"NO COMPATIBLE MACHINE")))</f>
        <v/>
      </c>
      <c r="F65">
        <f>IF($E65="","",IFERROR(VLOOKUP($E65,Machine_List!$B:$G,6,0),""))</f>
        <v/>
      </c>
      <c r="G65" s="17">
        <f>IF($E65="","",IFERROR(VLOOKUP($E65,Machine_List!$B:$C,2,0),""))</f>
        <v/>
      </c>
      <c r="H65">
        <f>IF($E65="","",IFERROR(VLOOKUP($E65,Machine_List!$B:$D,3,0),""))</f>
        <v/>
      </c>
      <c r="J65" s="16">
        <f>IF($A65="","",IF($I65&lt;&gt;"",$I65,MAX(FID_Plan!$M65,IFERROR(LOOKUP(2,1/($E$3:INDIRECT("E"&amp;(ROW()-1))=$E65),$M$3:INDIRECT("M"&amp;(ROW()-1))),FID_Plan!$M65))))</f>
        <v/>
      </c>
      <c r="K65">
        <f>IF($A65="","",IFERROR(VLOOKUP(B65,CHOOSE(MATCH($C65,Settings!$L$4:$L$10,0),OPR_BR1!$A$4:$I$18,OPR_BR2!$A$4:$I$18,OPR_CR2!$A$4:$I$18,OPR_CR3!$A$4:$I$18,OPR_CR4!$A$4:$I$18,OPR_RIM!$A$4:$I$18,OPR_BPR!$A$4:$I$18),9,0),0))</f>
        <v/>
      </c>
      <c r="L65">
        <f>IF($A65="","",K65*D65)</f>
        <v/>
      </c>
      <c r="M65" s="16">
        <f>IF($A65=""," ",$J65+($L65/(IF(F65="Contract Workman",Settings!$K$5,Settings!$K$4))))</f>
        <v/>
      </c>
      <c r="N65">
        <f>IF($A65="","",IF(F65="Contract Workman",IF(AND(MOD(M65,1)&gt;=8/24,MOD(M65,1)&lt;20/24),"Shift S1","Shift S2"),IF(AND(MOD(M65,1)&gt;=7/24,MOD(M65,1)&lt;15/24),"Shift A",IF(AND(MOD(M65,1)&gt;=15/24,MOD(M65,1)&lt;23/24),"Shift B","Shift C"))))</f>
        <v/>
      </c>
      <c r="O65">
        <f>IF(B65="","",IF(IFERROR(ISNUMBER(SEARCH(TEXT(B65,"0"),VLOOKUP(E65,Machine_List!$B:$J,9,0))),FALSE),"✅ "&amp; E65,"❌ Sug: "&amp;IFERROR(INDEX(Machine_List!$B$82:$B$86,MATCH(1,(Machine_List!$H$82:$H$86&lt;=IFERROR(VLOOKUP($B65,OPR_BR1!$A$4:$K$18,10,0),0))*(Machine_List!$I$82:$I$86&gt;=IFERROR(VLOOKUP($B65,OPR_BR1!$A$4:$K$18,11,0),9999)),0)),"?")))</f>
        <v/>
      </c>
      <c r="P65">
        <f>IF(AND($A65&lt;&gt;"",P$3&gt;=$J65,P$3&lt;=$M65),1,"")</f>
        <v/>
      </c>
      <c r="Q65">
        <f>IF(AND($A65&lt;&gt;"",Q$3&gt;=$J65,Q$3&lt;=$M65),1,"")</f>
        <v/>
      </c>
      <c r="R65">
        <f>IF(AND($A65&lt;&gt;"",R$3&gt;=$J65,R$3&lt;=$M65),1,"")</f>
        <v/>
      </c>
      <c r="S65">
        <f>IF(AND($A65&lt;&gt;"",S$3&gt;=$J65,S$3&lt;=$M65),1,"")</f>
        <v/>
      </c>
      <c r="T65">
        <f>IF(AND($A65&lt;&gt;"",T$3&gt;=$J65,T$3&lt;=$M65),1,"")</f>
        <v/>
      </c>
      <c r="U65">
        <f>IF(AND($A65&lt;&gt;"",U$3&gt;=$J65,U$3&lt;=$M65),1,"")</f>
        <v/>
      </c>
      <c r="V65">
        <f>IF(AND($A65&lt;&gt;"",V$3&gt;=$J65,V$3&lt;=$M65),1,"")</f>
        <v/>
      </c>
      <c r="W65">
        <f>IF(AND($A65&lt;&gt;"",W$3&gt;=$J65,W$3&lt;=$M65),1,"")</f>
        <v/>
      </c>
      <c r="X65">
        <f>IF(AND($A65&lt;&gt;"",X$3&gt;=$J65,X$3&lt;=$M65),1,"")</f>
        <v/>
      </c>
      <c r="Y65">
        <f>IF(AND($A65&lt;&gt;"",Y$3&gt;=$J65,Y$3&lt;=$M65),1,"")</f>
        <v/>
      </c>
      <c r="Z65">
        <f>IF(AND($A65&lt;&gt;"",Z$3&gt;=$J65,Z$3&lt;=$M65),1,"")</f>
        <v/>
      </c>
      <c r="AA65">
        <f>IF(AND($A65&lt;&gt;"",AA$3&gt;=$J65,AA$3&lt;=$M65),1,"")</f>
        <v/>
      </c>
      <c r="AB65">
        <f>IF(AND($A65&lt;&gt;"",AB$3&gt;=$J65,AB$3&lt;=$M65),1,"")</f>
        <v/>
      </c>
      <c r="AC65">
        <f>IF(AND($A65&lt;&gt;"",AC$3&gt;=$J65,AC$3&lt;=$M65),1,"")</f>
        <v/>
      </c>
      <c r="AD65">
        <f>IF(AND($A65&lt;&gt;"",AD$3&gt;=$J65,AD$3&lt;=$M65),1,"")</f>
        <v/>
      </c>
      <c r="AE65">
        <f>IF(AND($A65&lt;&gt;"",AE$3&gt;=$J65,AE$3&lt;=$M65),1,"")</f>
        <v/>
      </c>
      <c r="AF65">
        <f>IF(AND($A65&lt;&gt;"",AF$3&gt;=$J65,AF$3&lt;=$M65),1,"")</f>
        <v/>
      </c>
      <c r="AG65">
        <f>IF(AND($A65&lt;&gt;"",AG$3&gt;=$J65,AG$3&lt;=$M65),1,"")</f>
        <v/>
      </c>
      <c r="AH65">
        <f>IF(AND($A65&lt;&gt;"",AH$3&gt;=$J65,AH$3&lt;=$M65),1,"")</f>
        <v/>
      </c>
      <c r="AI65">
        <f>IF(AND($A65&lt;&gt;"",AI$3&gt;=$J65,AI$3&lt;=$M65),1,"")</f>
        <v/>
      </c>
      <c r="AJ65">
        <f>IF(AND($A65&lt;&gt;"",AJ$3&gt;=$J65,AJ$3&lt;=$M65),1,"")</f>
        <v/>
      </c>
      <c r="AK65">
        <f>IF(AND($A65&lt;&gt;"",AK$3&gt;=$J65,AK$3&lt;=$M65),1,"")</f>
        <v/>
      </c>
      <c r="AL65">
        <f>IF(AND($A65&lt;&gt;"",AL$3&gt;=$J65,AL$3&lt;=$M65),1,"")</f>
        <v/>
      </c>
      <c r="AM65">
        <f>IF(AND($A65&lt;&gt;"",AM$3&gt;=$J65,AM$3&lt;=$M65),1,"")</f>
        <v/>
      </c>
      <c r="AN65">
        <f>IF(AND($A65&lt;&gt;"",AN$3&gt;=$J65,AN$3&lt;=$M65),1,"")</f>
        <v/>
      </c>
      <c r="AO65">
        <f>IF(AND($A65&lt;&gt;"",AO$3&gt;=$J65,AO$3&lt;=$M65),1,"")</f>
        <v/>
      </c>
      <c r="AP65">
        <f>IF(AND($A65&lt;&gt;"",AP$3&gt;=$J65,AP$3&lt;=$M65),1,"")</f>
        <v/>
      </c>
      <c r="AQ65">
        <f>IF(AND($A65&lt;&gt;"",AQ$3&gt;=$J65,AQ$3&lt;=$M65),1,"")</f>
        <v/>
      </c>
      <c r="AR65">
        <f>IF(AND($A65&lt;&gt;"",AR$3&gt;=$J65,AR$3&lt;=$M65),1,"")</f>
        <v/>
      </c>
      <c r="AS65">
        <f>IF(AND($A65&lt;&gt;"",AS$3&gt;=$J65,AS$3&lt;=$M65),1,"")</f>
        <v/>
      </c>
      <c r="AT65">
        <f>IF(AND($A65&lt;&gt;"",AT$3&gt;=$J65,AT$3&lt;=$M65),1,"")</f>
        <v/>
      </c>
      <c r="AU65">
        <f>IF(AND($A65&lt;&gt;"",AU$3&gt;=$J65,AU$3&lt;=$M65),1,"")</f>
        <v/>
      </c>
      <c r="AV65">
        <f>IF(AND($A65&lt;&gt;"",AV$3&gt;=$J65,AV$3&lt;=$M65),1,"")</f>
        <v/>
      </c>
      <c r="AW65">
        <f>IF(AND($A65&lt;&gt;"",AW$3&gt;=$J65,AW$3&lt;=$M65),1,"")</f>
        <v/>
      </c>
      <c r="AX65">
        <f>IF(AND($A65&lt;&gt;"",AX$3&gt;=$J65,AX$3&lt;=$M65),1,"")</f>
        <v/>
      </c>
      <c r="AY65">
        <f>IF(AND($A65&lt;&gt;"",AY$3&gt;=$J65,AY$3&lt;=$M65),1,"")</f>
        <v/>
      </c>
      <c r="AZ65">
        <f>IF(AND($A65&lt;&gt;"",AZ$3&gt;=$J65,AZ$3&lt;=$M65),1,"")</f>
        <v/>
      </c>
      <c r="BA65">
        <f>IF(AND($A65&lt;&gt;"",BA$3&gt;=$J65,BA$3&lt;=$M65),1,"")</f>
        <v/>
      </c>
      <c r="BB65">
        <f>IF(AND($A65&lt;&gt;"",BB$3&gt;=$J65,BB$3&lt;=$M65),1,"")</f>
        <v/>
      </c>
      <c r="BC65">
        <f>IF(AND($A65&lt;&gt;"",BC$3&gt;=$J65,BC$3&lt;=$M65),1,"")</f>
        <v/>
      </c>
      <c r="BD65">
        <f>IF(AND($A65&lt;&gt;"",BD$3&gt;=$J65,BD$3&lt;=$M65),1,"")</f>
        <v/>
      </c>
      <c r="BE65">
        <f>IF(AND($A65&lt;&gt;"",BE$3&gt;=$J65,BE$3&lt;=$M65),1,"")</f>
        <v/>
      </c>
      <c r="BF65">
        <f>IF(AND($A65&lt;&gt;"",BF$3&gt;=$J65,BF$3&lt;=$M65),1,"")</f>
        <v/>
      </c>
      <c r="BG65">
        <f>IF(AND($A65&lt;&gt;"",BG$3&gt;=$J65,BG$3&lt;=$M65),1,"")</f>
        <v/>
      </c>
      <c r="BH65">
        <f>IF(AND($A65&lt;&gt;"",BH$3&gt;=$J65,BH$3&lt;=$M65),1,"")</f>
        <v/>
      </c>
      <c r="BI65">
        <f>IF(AND($A65&lt;&gt;"",BI$3&gt;=$J65,BI$3&lt;=$M65),1,"")</f>
        <v/>
      </c>
      <c r="BJ65">
        <f>IF(AND($A65&lt;&gt;"",BJ$3&gt;=$J65,BJ$3&lt;=$M65),1,"")</f>
        <v/>
      </c>
      <c r="BK65">
        <f>IF(AND($A65&lt;&gt;"",BK$3&gt;=$J65,BK$3&lt;=$M65),1,"")</f>
        <v/>
      </c>
      <c r="BL65">
        <f>IF(AND($A65&lt;&gt;"",BL$3&gt;=$J65,BL$3&lt;=$M65),1,"")</f>
        <v/>
      </c>
      <c r="BM65">
        <f>IF(AND($A65&lt;&gt;"",BM$3&gt;=$J65,BM$3&lt;=$M65),1,"")</f>
        <v/>
      </c>
      <c r="BN65">
        <f>IF(AND($A65&lt;&gt;"",BN$3&gt;=$J65,BN$3&lt;=$M65),1,"")</f>
        <v/>
      </c>
      <c r="BO65">
        <f>IF(AND($A65&lt;&gt;"",BO$3&gt;=$J65,BO$3&lt;=$M65),1,"")</f>
        <v/>
      </c>
      <c r="BP65">
        <f>IF(AND($A65&lt;&gt;"",BP$3&gt;=$J65,BP$3&lt;=$M65),1,"")</f>
        <v/>
      </c>
      <c r="BQ65">
        <f>IF(AND($A65&lt;&gt;"",BQ$3&gt;=$J65,BQ$3&lt;=$M65),1,"")</f>
        <v/>
      </c>
      <c r="BR65">
        <f>IF(AND($A65&lt;&gt;"",BR$3&gt;=$J65,BR$3&lt;=$M65),1,"")</f>
        <v/>
      </c>
      <c r="BS65">
        <f>IF(AND($A65&lt;&gt;"",BS$3&gt;=$J65,BS$3&lt;=$M65),1,"")</f>
        <v/>
      </c>
      <c r="BT65">
        <f>IF(AND($A65&lt;&gt;"",BT$3&gt;=$J65,BT$3&lt;=$M65),1,"")</f>
        <v/>
      </c>
      <c r="BU65">
        <f>IF(AND($A65&lt;&gt;"",BU$3&gt;=$J65,BU$3&lt;=$M65),1,"")</f>
        <v/>
      </c>
      <c r="BV65">
        <f>IF(AND($A65&lt;&gt;"",BV$3&gt;=$J65,BV$3&lt;=$M65),1,"")</f>
        <v/>
      </c>
    </row>
    <row r="66">
      <c r="A66">
        <f>IF(Job_Master_Ring!$A66="","",Job_Master_Ring!$A66)</f>
        <v/>
      </c>
      <c r="B66">
        <f>IF($A66="","",Job_Master_Ring!B66)</f>
        <v/>
      </c>
      <c r="C66">
        <f>IF($A66="","",Job_Master_Ring!C66)</f>
        <v/>
      </c>
      <c r="D66">
        <f>IF($A66="","",Job_Master_Ring!D66)</f>
        <v/>
      </c>
      <c r="E66">
        <f>IF($A66="","",IF($I66&lt;&gt;"",$I66,IFERROR(INDEX(Machine_List!$B$82:$B$86,MATCH(1,(Machine_List!$H$82:$H$86&lt;=IFERROR(VLOOKUP($B66,CHOOSE(MATCH($C66,Settings!$L$4:$L$10,0),OPR_BR1!$A$4:$K$18,OPR_BR2!$A$4:$K$18,OPR_CR2!$A$4:$K$18,OPR_CR3!$A$4:$K$18,OPR_CR4!$A$4:$K$18,OPR_RIM!$A$4:$K$18,OPR_BPR!$A$4:$K$18),10,0),0))*(Machine_List!$I$82:$I$86&gt;=IFERROR(VLOOKUP($B66,CHOOSE(MATCH($C66,Settings!$L$4:$L$10,0),OPR_BR1!$A$4:$K$18,OPR_BR2!$A$4:$K$18,OPR_CR2!$A$4:$K$18,OPR_CR3!$A$4:$K$18,OPR_CR4!$A$4:$K$18,OPR_RIM!$A$4:$K$18,OPR_BPR!$A$4:$K$18),11,0),9999)),0)),"NO COMPATIBLE MACHINE")))</f>
        <v/>
      </c>
      <c r="F66">
        <f>IF($E66="","",IFERROR(VLOOKUP($E66,Machine_List!$B:$G,6,0),""))</f>
        <v/>
      </c>
      <c r="G66" s="17">
        <f>IF($E66="","",IFERROR(VLOOKUP($E66,Machine_List!$B:$C,2,0),""))</f>
        <v/>
      </c>
      <c r="H66">
        <f>IF($E66="","",IFERROR(VLOOKUP($E66,Machine_List!$B:$D,3,0),""))</f>
        <v/>
      </c>
      <c r="J66" s="16">
        <f>IF($A66="","",IF($I66&lt;&gt;"",$I66,MAX(FID_Plan!$M66,IFERROR(LOOKUP(2,1/($E$3:INDIRECT("E"&amp;(ROW()-1))=$E66),$M$3:INDIRECT("M"&amp;(ROW()-1))),FID_Plan!$M66))))</f>
        <v/>
      </c>
      <c r="K66">
        <f>IF($A66="","",IFERROR(VLOOKUP(B66,CHOOSE(MATCH($C66,Settings!$L$4:$L$10,0),OPR_BR1!$A$4:$I$18,OPR_BR2!$A$4:$I$18,OPR_CR2!$A$4:$I$18,OPR_CR3!$A$4:$I$18,OPR_CR4!$A$4:$I$18,OPR_RIM!$A$4:$I$18,OPR_BPR!$A$4:$I$18),9,0),0))</f>
        <v/>
      </c>
      <c r="L66">
        <f>IF($A66="","",K66*D66)</f>
        <v/>
      </c>
      <c r="M66" s="16">
        <f>IF($A66=""," ",$J66+($L66/(IF(F66="Contract Workman",Settings!$K$5,Settings!$K$4))))</f>
        <v/>
      </c>
      <c r="N66">
        <f>IF($A66="","",IF(F66="Contract Workman",IF(AND(MOD(M66,1)&gt;=8/24,MOD(M66,1)&lt;20/24),"Shift S1","Shift S2"),IF(AND(MOD(M66,1)&gt;=7/24,MOD(M66,1)&lt;15/24),"Shift A",IF(AND(MOD(M66,1)&gt;=15/24,MOD(M66,1)&lt;23/24),"Shift B","Shift C"))))</f>
        <v/>
      </c>
      <c r="O66">
        <f>IF(B66="","",IF(IFERROR(ISNUMBER(SEARCH(TEXT(B66,"0"),VLOOKUP(E66,Machine_List!$B:$J,9,0))),FALSE),"✅ "&amp; E66,"❌ Sug: "&amp;IFERROR(INDEX(Machine_List!$B$82:$B$86,MATCH(1,(Machine_List!$H$82:$H$86&lt;=IFERROR(VLOOKUP($B66,OPR_BR1!$A$4:$K$18,10,0),0))*(Machine_List!$I$82:$I$86&gt;=IFERROR(VLOOKUP($B66,OPR_BR1!$A$4:$K$18,11,0),9999)),0)),"?")))</f>
        <v/>
      </c>
      <c r="P66">
        <f>IF(AND($A66&lt;&gt;"",P$3&gt;=$J66,P$3&lt;=$M66),1,"")</f>
        <v/>
      </c>
      <c r="Q66">
        <f>IF(AND($A66&lt;&gt;"",Q$3&gt;=$J66,Q$3&lt;=$M66),1,"")</f>
        <v/>
      </c>
      <c r="R66">
        <f>IF(AND($A66&lt;&gt;"",R$3&gt;=$J66,R$3&lt;=$M66),1,"")</f>
        <v/>
      </c>
      <c r="S66">
        <f>IF(AND($A66&lt;&gt;"",S$3&gt;=$J66,S$3&lt;=$M66),1,"")</f>
        <v/>
      </c>
      <c r="T66">
        <f>IF(AND($A66&lt;&gt;"",T$3&gt;=$J66,T$3&lt;=$M66),1,"")</f>
        <v/>
      </c>
      <c r="U66">
        <f>IF(AND($A66&lt;&gt;"",U$3&gt;=$J66,U$3&lt;=$M66),1,"")</f>
        <v/>
      </c>
      <c r="V66">
        <f>IF(AND($A66&lt;&gt;"",V$3&gt;=$J66,V$3&lt;=$M66),1,"")</f>
        <v/>
      </c>
      <c r="W66">
        <f>IF(AND($A66&lt;&gt;"",W$3&gt;=$J66,W$3&lt;=$M66),1,"")</f>
        <v/>
      </c>
      <c r="X66">
        <f>IF(AND($A66&lt;&gt;"",X$3&gt;=$J66,X$3&lt;=$M66),1,"")</f>
        <v/>
      </c>
      <c r="Y66">
        <f>IF(AND($A66&lt;&gt;"",Y$3&gt;=$J66,Y$3&lt;=$M66),1,"")</f>
        <v/>
      </c>
      <c r="Z66">
        <f>IF(AND($A66&lt;&gt;"",Z$3&gt;=$J66,Z$3&lt;=$M66),1,"")</f>
        <v/>
      </c>
      <c r="AA66">
        <f>IF(AND($A66&lt;&gt;"",AA$3&gt;=$J66,AA$3&lt;=$M66),1,"")</f>
        <v/>
      </c>
      <c r="AB66">
        <f>IF(AND($A66&lt;&gt;"",AB$3&gt;=$J66,AB$3&lt;=$M66),1,"")</f>
        <v/>
      </c>
      <c r="AC66">
        <f>IF(AND($A66&lt;&gt;"",AC$3&gt;=$J66,AC$3&lt;=$M66),1,"")</f>
        <v/>
      </c>
      <c r="AD66">
        <f>IF(AND($A66&lt;&gt;"",AD$3&gt;=$J66,AD$3&lt;=$M66),1,"")</f>
        <v/>
      </c>
      <c r="AE66">
        <f>IF(AND($A66&lt;&gt;"",AE$3&gt;=$J66,AE$3&lt;=$M66),1,"")</f>
        <v/>
      </c>
      <c r="AF66">
        <f>IF(AND($A66&lt;&gt;"",AF$3&gt;=$J66,AF$3&lt;=$M66),1,"")</f>
        <v/>
      </c>
      <c r="AG66">
        <f>IF(AND($A66&lt;&gt;"",AG$3&gt;=$J66,AG$3&lt;=$M66),1,"")</f>
        <v/>
      </c>
      <c r="AH66">
        <f>IF(AND($A66&lt;&gt;"",AH$3&gt;=$J66,AH$3&lt;=$M66),1,"")</f>
        <v/>
      </c>
      <c r="AI66">
        <f>IF(AND($A66&lt;&gt;"",AI$3&gt;=$J66,AI$3&lt;=$M66),1,"")</f>
        <v/>
      </c>
      <c r="AJ66">
        <f>IF(AND($A66&lt;&gt;"",AJ$3&gt;=$J66,AJ$3&lt;=$M66),1,"")</f>
        <v/>
      </c>
      <c r="AK66">
        <f>IF(AND($A66&lt;&gt;"",AK$3&gt;=$J66,AK$3&lt;=$M66),1,"")</f>
        <v/>
      </c>
      <c r="AL66">
        <f>IF(AND($A66&lt;&gt;"",AL$3&gt;=$J66,AL$3&lt;=$M66),1,"")</f>
        <v/>
      </c>
      <c r="AM66">
        <f>IF(AND($A66&lt;&gt;"",AM$3&gt;=$J66,AM$3&lt;=$M66),1,"")</f>
        <v/>
      </c>
      <c r="AN66">
        <f>IF(AND($A66&lt;&gt;"",AN$3&gt;=$J66,AN$3&lt;=$M66),1,"")</f>
        <v/>
      </c>
      <c r="AO66">
        <f>IF(AND($A66&lt;&gt;"",AO$3&gt;=$J66,AO$3&lt;=$M66),1,"")</f>
        <v/>
      </c>
      <c r="AP66">
        <f>IF(AND($A66&lt;&gt;"",AP$3&gt;=$J66,AP$3&lt;=$M66),1,"")</f>
        <v/>
      </c>
      <c r="AQ66">
        <f>IF(AND($A66&lt;&gt;"",AQ$3&gt;=$J66,AQ$3&lt;=$M66),1,"")</f>
        <v/>
      </c>
      <c r="AR66">
        <f>IF(AND($A66&lt;&gt;"",AR$3&gt;=$J66,AR$3&lt;=$M66),1,"")</f>
        <v/>
      </c>
      <c r="AS66">
        <f>IF(AND($A66&lt;&gt;"",AS$3&gt;=$J66,AS$3&lt;=$M66),1,"")</f>
        <v/>
      </c>
      <c r="AT66">
        <f>IF(AND($A66&lt;&gt;"",AT$3&gt;=$J66,AT$3&lt;=$M66),1,"")</f>
        <v/>
      </c>
      <c r="AU66">
        <f>IF(AND($A66&lt;&gt;"",AU$3&gt;=$J66,AU$3&lt;=$M66),1,"")</f>
        <v/>
      </c>
      <c r="AV66">
        <f>IF(AND($A66&lt;&gt;"",AV$3&gt;=$J66,AV$3&lt;=$M66),1,"")</f>
        <v/>
      </c>
      <c r="AW66">
        <f>IF(AND($A66&lt;&gt;"",AW$3&gt;=$J66,AW$3&lt;=$M66),1,"")</f>
        <v/>
      </c>
      <c r="AX66">
        <f>IF(AND($A66&lt;&gt;"",AX$3&gt;=$J66,AX$3&lt;=$M66),1,"")</f>
        <v/>
      </c>
      <c r="AY66">
        <f>IF(AND($A66&lt;&gt;"",AY$3&gt;=$J66,AY$3&lt;=$M66),1,"")</f>
        <v/>
      </c>
      <c r="AZ66">
        <f>IF(AND($A66&lt;&gt;"",AZ$3&gt;=$J66,AZ$3&lt;=$M66),1,"")</f>
        <v/>
      </c>
      <c r="BA66">
        <f>IF(AND($A66&lt;&gt;"",BA$3&gt;=$J66,BA$3&lt;=$M66),1,"")</f>
        <v/>
      </c>
      <c r="BB66">
        <f>IF(AND($A66&lt;&gt;"",BB$3&gt;=$J66,BB$3&lt;=$M66),1,"")</f>
        <v/>
      </c>
      <c r="BC66">
        <f>IF(AND($A66&lt;&gt;"",BC$3&gt;=$J66,BC$3&lt;=$M66),1,"")</f>
        <v/>
      </c>
      <c r="BD66">
        <f>IF(AND($A66&lt;&gt;"",BD$3&gt;=$J66,BD$3&lt;=$M66),1,"")</f>
        <v/>
      </c>
      <c r="BE66">
        <f>IF(AND($A66&lt;&gt;"",BE$3&gt;=$J66,BE$3&lt;=$M66),1,"")</f>
        <v/>
      </c>
      <c r="BF66">
        <f>IF(AND($A66&lt;&gt;"",BF$3&gt;=$J66,BF$3&lt;=$M66),1,"")</f>
        <v/>
      </c>
      <c r="BG66">
        <f>IF(AND($A66&lt;&gt;"",BG$3&gt;=$J66,BG$3&lt;=$M66),1,"")</f>
        <v/>
      </c>
      <c r="BH66">
        <f>IF(AND($A66&lt;&gt;"",BH$3&gt;=$J66,BH$3&lt;=$M66),1,"")</f>
        <v/>
      </c>
      <c r="BI66">
        <f>IF(AND($A66&lt;&gt;"",BI$3&gt;=$J66,BI$3&lt;=$M66),1,"")</f>
        <v/>
      </c>
      <c r="BJ66">
        <f>IF(AND($A66&lt;&gt;"",BJ$3&gt;=$J66,BJ$3&lt;=$M66),1,"")</f>
        <v/>
      </c>
      <c r="BK66">
        <f>IF(AND($A66&lt;&gt;"",BK$3&gt;=$J66,BK$3&lt;=$M66),1,"")</f>
        <v/>
      </c>
      <c r="BL66">
        <f>IF(AND($A66&lt;&gt;"",BL$3&gt;=$J66,BL$3&lt;=$M66),1,"")</f>
        <v/>
      </c>
      <c r="BM66">
        <f>IF(AND($A66&lt;&gt;"",BM$3&gt;=$J66,BM$3&lt;=$M66),1,"")</f>
        <v/>
      </c>
      <c r="BN66">
        <f>IF(AND($A66&lt;&gt;"",BN$3&gt;=$J66,BN$3&lt;=$M66),1,"")</f>
        <v/>
      </c>
      <c r="BO66">
        <f>IF(AND($A66&lt;&gt;"",BO$3&gt;=$J66,BO$3&lt;=$M66),1,"")</f>
        <v/>
      </c>
      <c r="BP66">
        <f>IF(AND($A66&lt;&gt;"",BP$3&gt;=$J66,BP$3&lt;=$M66),1,"")</f>
        <v/>
      </c>
      <c r="BQ66">
        <f>IF(AND($A66&lt;&gt;"",BQ$3&gt;=$J66,BQ$3&lt;=$M66),1,"")</f>
        <v/>
      </c>
      <c r="BR66">
        <f>IF(AND($A66&lt;&gt;"",BR$3&gt;=$J66,BR$3&lt;=$M66),1,"")</f>
        <v/>
      </c>
      <c r="BS66">
        <f>IF(AND($A66&lt;&gt;"",BS$3&gt;=$J66,BS$3&lt;=$M66),1,"")</f>
        <v/>
      </c>
      <c r="BT66">
        <f>IF(AND($A66&lt;&gt;"",BT$3&gt;=$J66,BT$3&lt;=$M66),1,"")</f>
        <v/>
      </c>
      <c r="BU66">
        <f>IF(AND($A66&lt;&gt;"",BU$3&gt;=$J66,BU$3&lt;=$M66),1,"")</f>
        <v/>
      </c>
      <c r="BV66">
        <f>IF(AND($A66&lt;&gt;"",BV$3&gt;=$J66,BV$3&lt;=$M66),1,"")</f>
        <v/>
      </c>
    </row>
    <row r="67">
      <c r="A67">
        <f>IF(Job_Master_Ring!$A67="","",Job_Master_Ring!$A67)</f>
        <v/>
      </c>
      <c r="B67">
        <f>IF($A67="","",Job_Master_Ring!B67)</f>
        <v/>
      </c>
      <c r="C67">
        <f>IF($A67="","",Job_Master_Ring!C67)</f>
        <v/>
      </c>
      <c r="D67">
        <f>IF($A67="","",Job_Master_Ring!D67)</f>
        <v/>
      </c>
      <c r="E67">
        <f>IF($A67="","",IF($I67&lt;&gt;"",$I67,IFERROR(INDEX(Machine_List!$B$82:$B$86,MATCH(1,(Machine_List!$H$82:$H$86&lt;=IFERROR(VLOOKUP($B67,CHOOSE(MATCH($C67,Settings!$L$4:$L$10,0),OPR_BR1!$A$4:$K$18,OPR_BR2!$A$4:$K$18,OPR_CR2!$A$4:$K$18,OPR_CR3!$A$4:$K$18,OPR_CR4!$A$4:$K$18,OPR_RIM!$A$4:$K$18,OPR_BPR!$A$4:$K$18),10,0),0))*(Machine_List!$I$82:$I$86&gt;=IFERROR(VLOOKUP($B67,CHOOSE(MATCH($C67,Settings!$L$4:$L$10,0),OPR_BR1!$A$4:$K$18,OPR_BR2!$A$4:$K$18,OPR_CR2!$A$4:$K$18,OPR_CR3!$A$4:$K$18,OPR_CR4!$A$4:$K$18,OPR_RIM!$A$4:$K$18,OPR_BPR!$A$4:$K$18),11,0),9999)),0)),"NO COMPATIBLE MACHINE")))</f>
        <v/>
      </c>
      <c r="F67">
        <f>IF($E67="","",IFERROR(VLOOKUP($E67,Machine_List!$B:$G,6,0),""))</f>
        <v/>
      </c>
      <c r="G67" s="17">
        <f>IF($E67="","",IFERROR(VLOOKUP($E67,Machine_List!$B:$C,2,0),""))</f>
        <v/>
      </c>
      <c r="H67">
        <f>IF($E67="","",IFERROR(VLOOKUP($E67,Machine_List!$B:$D,3,0),""))</f>
        <v/>
      </c>
      <c r="J67" s="16">
        <f>IF($A67="","",IF($I67&lt;&gt;"",$I67,MAX(FID_Plan!$M67,IFERROR(LOOKUP(2,1/($E$3:INDIRECT("E"&amp;(ROW()-1))=$E67),$M$3:INDIRECT("M"&amp;(ROW()-1))),FID_Plan!$M67))))</f>
        <v/>
      </c>
      <c r="K67">
        <f>IF($A67="","",IFERROR(VLOOKUP(B67,CHOOSE(MATCH($C67,Settings!$L$4:$L$10,0),OPR_BR1!$A$4:$I$18,OPR_BR2!$A$4:$I$18,OPR_CR2!$A$4:$I$18,OPR_CR3!$A$4:$I$18,OPR_CR4!$A$4:$I$18,OPR_RIM!$A$4:$I$18,OPR_BPR!$A$4:$I$18),9,0),0))</f>
        <v/>
      </c>
      <c r="L67">
        <f>IF($A67="","",K67*D67)</f>
        <v/>
      </c>
      <c r="M67" s="16">
        <f>IF($A67=""," ",$J67+($L67/(IF(F67="Contract Workman",Settings!$K$5,Settings!$K$4))))</f>
        <v/>
      </c>
      <c r="N67">
        <f>IF($A67="","",IF(F67="Contract Workman",IF(AND(MOD(M67,1)&gt;=8/24,MOD(M67,1)&lt;20/24),"Shift S1","Shift S2"),IF(AND(MOD(M67,1)&gt;=7/24,MOD(M67,1)&lt;15/24),"Shift A",IF(AND(MOD(M67,1)&gt;=15/24,MOD(M67,1)&lt;23/24),"Shift B","Shift C"))))</f>
        <v/>
      </c>
      <c r="O67">
        <f>IF(B67="","",IF(IFERROR(ISNUMBER(SEARCH(TEXT(B67,"0"),VLOOKUP(E67,Machine_List!$B:$J,9,0))),FALSE),"✅ "&amp; E67,"❌ Sug: "&amp;IFERROR(INDEX(Machine_List!$B$82:$B$86,MATCH(1,(Machine_List!$H$82:$H$86&lt;=IFERROR(VLOOKUP($B67,OPR_BR1!$A$4:$K$18,10,0),0))*(Machine_List!$I$82:$I$86&gt;=IFERROR(VLOOKUP($B67,OPR_BR1!$A$4:$K$18,11,0),9999)),0)),"?")))</f>
        <v/>
      </c>
      <c r="P67">
        <f>IF(AND($A67&lt;&gt;"",P$3&gt;=$J67,P$3&lt;=$M67),1,"")</f>
        <v/>
      </c>
      <c r="Q67">
        <f>IF(AND($A67&lt;&gt;"",Q$3&gt;=$J67,Q$3&lt;=$M67),1,"")</f>
        <v/>
      </c>
      <c r="R67">
        <f>IF(AND($A67&lt;&gt;"",R$3&gt;=$J67,R$3&lt;=$M67),1,"")</f>
        <v/>
      </c>
      <c r="S67">
        <f>IF(AND($A67&lt;&gt;"",S$3&gt;=$J67,S$3&lt;=$M67),1,"")</f>
        <v/>
      </c>
      <c r="T67">
        <f>IF(AND($A67&lt;&gt;"",T$3&gt;=$J67,T$3&lt;=$M67),1,"")</f>
        <v/>
      </c>
      <c r="U67">
        <f>IF(AND($A67&lt;&gt;"",U$3&gt;=$J67,U$3&lt;=$M67),1,"")</f>
        <v/>
      </c>
      <c r="V67">
        <f>IF(AND($A67&lt;&gt;"",V$3&gt;=$J67,V$3&lt;=$M67),1,"")</f>
        <v/>
      </c>
      <c r="W67">
        <f>IF(AND($A67&lt;&gt;"",W$3&gt;=$J67,W$3&lt;=$M67),1,"")</f>
        <v/>
      </c>
      <c r="X67">
        <f>IF(AND($A67&lt;&gt;"",X$3&gt;=$J67,X$3&lt;=$M67),1,"")</f>
        <v/>
      </c>
      <c r="Y67">
        <f>IF(AND($A67&lt;&gt;"",Y$3&gt;=$J67,Y$3&lt;=$M67),1,"")</f>
        <v/>
      </c>
      <c r="Z67">
        <f>IF(AND($A67&lt;&gt;"",Z$3&gt;=$J67,Z$3&lt;=$M67),1,"")</f>
        <v/>
      </c>
      <c r="AA67">
        <f>IF(AND($A67&lt;&gt;"",AA$3&gt;=$J67,AA$3&lt;=$M67),1,"")</f>
        <v/>
      </c>
      <c r="AB67">
        <f>IF(AND($A67&lt;&gt;"",AB$3&gt;=$J67,AB$3&lt;=$M67),1,"")</f>
        <v/>
      </c>
      <c r="AC67">
        <f>IF(AND($A67&lt;&gt;"",AC$3&gt;=$J67,AC$3&lt;=$M67),1,"")</f>
        <v/>
      </c>
      <c r="AD67">
        <f>IF(AND($A67&lt;&gt;"",AD$3&gt;=$J67,AD$3&lt;=$M67),1,"")</f>
        <v/>
      </c>
      <c r="AE67">
        <f>IF(AND($A67&lt;&gt;"",AE$3&gt;=$J67,AE$3&lt;=$M67),1,"")</f>
        <v/>
      </c>
      <c r="AF67">
        <f>IF(AND($A67&lt;&gt;"",AF$3&gt;=$J67,AF$3&lt;=$M67),1,"")</f>
        <v/>
      </c>
      <c r="AG67">
        <f>IF(AND($A67&lt;&gt;"",AG$3&gt;=$J67,AG$3&lt;=$M67),1,"")</f>
        <v/>
      </c>
      <c r="AH67">
        <f>IF(AND($A67&lt;&gt;"",AH$3&gt;=$J67,AH$3&lt;=$M67),1,"")</f>
        <v/>
      </c>
      <c r="AI67">
        <f>IF(AND($A67&lt;&gt;"",AI$3&gt;=$J67,AI$3&lt;=$M67),1,"")</f>
        <v/>
      </c>
      <c r="AJ67">
        <f>IF(AND($A67&lt;&gt;"",AJ$3&gt;=$J67,AJ$3&lt;=$M67),1,"")</f>
        <v/>
      </c>
      <c r="AK67">
        <f>IF(AND($A67&lt;&gt;"",AK$3&gt;=$J67,AK$3&lt;=$M67),1,"")</f>
        <v/>
      </c>
      <c r="AL67">
        <f>IF(AND($A67&lt;&gt;"",AL$3&gt;=$J67,AL$3&lt;=$M67),1,"")</f>
        <v/>
      </c>
      <c r="AM67">
        <f>IF(AND($A67&lt;&gt;"",AM$3&gt;=$J67,AM$3&lt;=$M67),1,"")</f>
        <v/>
      </c>
      <c r="AN67">
        <f>IF(AND($A67&lt;&gt;"",AN$3&gt;=$J67,AN$3&lt;=$M67),1,"")</f>
        <v/>
      </c>
      <c r="AO67">
        <f>IF(AND($A67&lt;&gt;"",AO$3&gt;=$J67,AO$3&lt;=$M67),1,"")</f>
        <v/>
      </c>
      <c r="AP67">
        <f>IF(AND($A67&lt;&gt;"",AP$3&gt;=$J67,AP$3&lt;=$M67),1,"")</f>
        <v/>
      </c>
      <c r="AQ67">
        <f>IF(AND($A67&lt;&gt;"",AQ$3&gt;=$J67,AQ$3&lt;=$M67),1,"")</f>
        <v/>
      </c>
      <c r="AR67">
        <f>IF(AND($A67&lt;&gt;"",AR$3&gt;=$J67,AR$3&lt;=$M67),1,"")</f>
        <v/>
      </c>
      <c r="AS67">
        <f>IF(AND($A67&lt;&gt;"",AS$3&gt;=$J67,AS$3&lt;=$M67),1,"")</f>
        <v/>
      </c>
      <c r="AT67">
        <f>IF(AND($A67&lt;&gt;"",AT$3&gt;=$J67,AT$3&lt;=$M67),1,"")</f>
        <v/>
      </c>
      <c r="AU67">
        <f>IF(AND($A67&lt;&gt;"",AU$3&gt;=$J67,AU$3&lt;=$M67),1,"")</f>
        <v/>
      </c>
      <c r="AV67">
        <f>IF(AND($A67&lt;&gt;"",AV$3&gt;=$J67,AV$3&lt;=$M67),1,"")</f>
        <v/>
      </c>
      <c r="AW67">
        <f>IF(AND($A67&lt;&gt;"",AW$3&gt;=$J67,AW$3&lt;=$M67),1,"")</f>
        <v/>
      </c>
      <c r="AX67">
        <f>IF(AND($A67&lt;&gt;"",AX$3&gt;=$J67,AX$3&lt;=$M67),1,"")</f>
        <v/>
      </c>
      <c r="AY67">
        <f>IF(AND($A67&lt;&gt;"",AY$3&gt;=$J67,AY$3&lt;=$M67),1,"")</f>
        <v/>
      </c>
      <c r="AZ67">
        <f>IF(AND($A67&lt;&gt;"",AZ$3&gt;=$J67,AZ$3&lt;=$M67),1,"")</f>
        <v/>
      </c>
      <c r="BA67">
        <f>IF(AND($A67&lt;&gt;"",BA$3&gt;=$J67,BA$3&lt;=$M67),1,"")</f>
        <v/>
      </c>
      <c r="BB67">
        <f>IF(AND($A67&lt;&gt;"",BB$3&gt;=$J67,BB$3&lt;=$M67),1,"")</f>
        <v/>
      </c>
      <c r="BC67">
        <f>IF(AND($A67&lt;&gt;"",BC$3&gt;=$J67,BC$3&lt;=$M67),1,"")</f>
        <v/>
      </c>
      <c r="BD67">
        <f>IF(AND($A67&lt;&gt;"",BD$3&gt;=$J67,BD$3&lt;=$M67),1,"")</f>
        <v/>
      </c>
      <c r="BE67">
        <f>IF(AND($A67&lt;&gt;"",BE$3&gt;=$J67,BE$3&lt;=$M67),1,"")</f>
        <v/>
      </c>
      <c r="BF67">
        <f>IF(AND($A67&lt;&gt;"",BF$3&gt;=$J67,BF$3&lt;=$M67),1,"")</f>
        <v/>
      </c>
      <c r="BG67">
        <f>IF(AND($A67&lt;&gt;"",BG$3&gt;=$J67,BG$3&lt;=$M67),1,"")</f>
        <v/>
      </c>
      <c r="BH67">
        <f>IF(AND($A67&lt;&gt;"",BH$3&gt;=$J67,BH$3&lt;=$M67),1,"")</f>
        <v/>
      </c>
      <c r="BI67">
        <f>IF(AND($A67&lt;&gt;"",BI$3&gt;=$J67,BI$3&lt;=$M67),1,"")</f>
        <v/>
      </c>
      <c r="BJ67">
        <f>IF(AND($A67&lt;&gt;"",BJ$3&gt;=$J67,BJ$3&lt;=$M67),1,"")</f>
        <v/>
      </c>
      <c r="BK67">
        <f>IF(AND($A67&lt;&gt;"",BK$3&gt;=$J67,BK$3&lt;=$M67),1,"")</f>
        <v/>
      </c>
      <c r="BL67">
        <f>IF(AND($A67&lt;&gt;"",BL$3&gt;=$J67,BL$3&lt;=$M67),1,"")</f>
        <v/>
      </c>
      <c r="BM67">
        <f>IF(AND($A67&lt;&gt;"",BM$3&gt;=$J67,BM$3&lt;=$M67),1,"")</f>
        <v/>
      </c>
      <c r="BN67">
        <f>IF(AND($A67&lt;&gt;"",BN$3&gt;=$J67,BN$3&lt;=$M67),1,"")</f>
        <v/>
      </c>
      <c r="BO67">
        <f>IF(AND($A67&lt;&gt;"",BO$3&gt;=$J67,BO$3&lt;=$M67),1,"")</f>
        <v/>
      </c>
      <c r="BP67">
        <f>IF(AND($A67&lt;&gt;"",BP$3&gt;=$J67,BP$3&lt;=$M67),1,"")</f>
        <v/>
      </c>
      <c r="BQ67">
        <f>IF(AND($A67&lt;&gt;"",BQ$3&gt;=$J67,BQ$3&lt;=$M67),1,"")</f>
        <v/>
      </c>
      <c r="BR67">
        <f>IF(AND($A67&lt;&gt;"",BR$3&gt;=$J67,BR$3&lt;=$M67),1,"")</f>
        <v/>
      </c>
      <c r="BS67">
        <f>IF(AND($A67&lt;&gt;"",BS$3&gt;=$J67,BS$3&lt;=$M67),1,"")</f>
        <v/>
      </c>
      <c r="BT67">
        <f>IF(AND($A67&lt;&gt;"",BT$3&gt;=$J67,BT$3&lt;=$M67),1,"")</f>
        <v/>
      </c>
      <c r="BU67">
        <f>IF(AND($A67&lt;&gt;"",BU$3&gt;=$J67,BU$3&lt;=$M67),1,"")</f>
        <v/>
      </c>
      <c r="BV67">
        <f>IF(AND($A67&lt;&gt;"",BV$3&gt;=$J67,BV$3&lt;=$M67),1,"")</f>
        <v/>
      </c>
    </row>
    <row r="68">
      <c r="A68">
        <f>IF(Job_Master_Ring!$A68="","",Job_Master_Ring!$A68)</f>
        <v/>
      </c>
      <c r="B68">
        <f>IF($A68="","",Job_Master_Ring!B68)</f>
        <v/>
      </c>
      <c r="C68">
        <f>IF($A68="","",Job_Master_Ring!C68)</f>
        <v/>
      </c>
      <c r="D68">
        <f>IF($A68="","",Job_Master_Ring!D68)</f>
        <v/>
      </c>
      <c r="E68">
        <f>IF($A68="","",IF($I68&lt;&gt;"",$I68,IFERROR(INDEX(Machine_List!$B$82:$B$86,MATCH(1,(Machine_List!$H$82:$H$86&lt;=IFERROR(VLOOKUP($B68,CHOOSE(MATCH($C68,Settings!$L$4:$L$10,0),OPR_BR1!$A$4:$K$18,OPR_BR2!$A$4:$K$18,OPR_CR2!$A$4:$K$18,OPR_CR3!$A$4:$K$18,OPR_CR4!$A$4:$K$18,OPR_RIM!$A$4:$K$18,OPR_BPR!$A$4:$K$18),10,0),0))*(Machine_List!$I$82:$I$86&gt;=IFERROR(VLOOKUP($B68,CHOOSE(MATCH($C68,Settings!$L$4:$L$10,0),OPR_BR1!$A$4:$K$18,OPR_BR2!$A$4:$K$18,OPR_CR2!$A$4:$K$18,OPR_CR3!$A$4:$K$18,OPR_CR4!$A$4:$K$18,OPR_RIM!$A$4:$K$18,OPR_BPR!$A$4:$K$18),11,0),9999)),0)),"NO COMPATIBLE MACHINE")))</f>
        <v/>
      </c>
      <c r="F68">
        <f>IF($E68="","",IFERROR(VLOOKUP($E68,Machine_List!$B:$G,6,0),""))</f>
        <v/>
      </c>
      <c r="G68" s="17">
        <f>IF($E68="","",IFERROR(VLOOKUP($E68,Machine_List!$B:$C,2,0),""))</f>
        <v/>
      </c>
      <c r="H68">
        <f>IF($E68="","",IFERROR(VLOOKUP($E68,Machine_List!$B:$D,3,0),""))</f>
        <v/>
      </c>
      <c r="J68" s="16">
        <f>IF($A68="","",IF($I68&lt;&gt;"",$I68,MAX(FID_Plan!$M68,IFERROR(LOOKUP(2,1/($E$3:INDIRECT("E"&amp;(ROW()-1))=$E68),$M$3:INDIRECT("M"&amp;(ROW()-1))),FID_Plan!$M68))))</f>
        <v/>
      </c>
      <c r="K68">
        <f>IF($A68="","",IFERROR(VLOOKUP(B68,CHOOSE(MATCH($C68,Settings!$L$4:$L$10,0),OPR_BR1!$A$4:$I$18,OPR_BR2!$A$4:$I$18,OPR_CR2!$A$4:$I$18,OPR_CR3!$A$4:$I$18,OPR_CR4!$A$4:$I$18,OPR_RIM!$A$4:$I$18,OPR_BPR!$A$4:$I$18),9,0),0))</f>
        <v/>
      </c>
      <c r="L68">
        <f>IF($A68="","",K68*D68)</f>
        <v/>
      </c>
      <c r="M68" s="16">
        <f>IF($A68=""," ",$J68+($L68/(IF(F68="Contract Workman",Settings!$K$5,Settings!$K$4))))</f>
        <v/>
      </c>
      <c r="N68">
        <f>IF($A68="","",IF(F68="Contract Workman",IF(AND(MOD(M68,1)&gt;=8/24,MOD(M68,1)&lt;20/24),"Shift S1","Shift S2"),IF(AND(MOD(M68,1)&gt;=7/24,MOD(M68,1)&lt;15/24),"Shift A",IF(AND(MOD(M68,1)&gt;=15/24,MOD(M68,1)&lt;23/24),"Shift B","Shift C"))))</f>
        <v/>
      </c>
      <c r="O68">
        <f>IF(B68="","",IF(IFERROR(ISNUMBER(SEARCH(TEXT(B68,"0"),VLOOKUP(E68,Machine_List!$B:$J,9,0))),FALSE),"✅ "&amp; E68,"❌ Sug: "&amp;IFERROR(INDEX(Machine_List!$B$82:$B$86,MATCH(1,(Machine_List!$H$82:$H$86&lt;=IFERROR(VLOOKUP($B68,OPR_BR1!$A$4:$K$18,10,0),0))*(Machine_List!$I$82:$I$86&gt;=IFERROR(VLOOKUP($B68,OPR_BR1!$A$4:$K$18,11,0),9999)),0)),"?")))</f>
        <v/>
      </c>
      <c r="P68">
        <f>IF(AND($A68&lt;&gt;"",P$3&gt;=$J68,P$3&lt;=$M68),1,"")</f>
        <v/>
      </c>
      <c r="Q68">
        <f>IF(AND($A68&lt;&gt;"",Q$3&gt;=$J68,Q$3&lt;=$M68),1,"")</f>
        <v/>
      </c>
      <c r="R68">
        <f>IF(AND($A68&lt;&gt;"",R$3&gt;=$J68,R$3&lt;=$M68),1,"")</f>
        <v/>
      </c>
      <c r="S68">
        <f>IF(AND($A68&lt;&gt;"",S$3&gt;=$J68,S$3&lt;=$M68),1,"")</f>
        <v/>
      </c>
      <c r="T68">
        <f>IF(AND($A68&lt;&gt;"",T$3&gt;=$J68,T$3&lt;=$M68),1,"")</f>
        <v/>
      </c>
      <c r="U68">
        <f>IF(AND($A68&lt;&gt;"",U$3&gt;=$J68,U$3&lt;=$M68),1,"")</f>
        <v/>
      </c>
      <c r="V68">
        <f>IF(AND($A68&lt;&gt;"",V$3&gt;=$J68,V$3&lt;=$M68),1,"")</f>
        <v/>
      </c>
      <c r="W68">
        <f>IF(AND($A68&lt;&gt;"",W$3&gt;=$J68,W$3&lt;=$M68),1,"")</f>
        <v/>
      </c>
      <c r="X68">
        <f>IF(AND($A68&lt;&gt;"",X$3&gt;=$J68,X$3&lt;=$M68),1,"")</f>
        <v/>
      </c>
      <c r="Y68">
        <f>IF(AND($A68&lt;&gt;"",Y$3&gt;=$J68,Y$3&lt;=$M68),1,"")</f>
        <v/>
      </c>
      <c r="Z68">
        <f>IF(AND($A68&lt;&gt;"",Z$3&gt;=$J68,Z$3&lt;=$M68),1,"")</f>
        <v/>
      </c>
      <c r="AA68">
        <f>IF(AND($A68&lt;&gt;"",AA$3&gt;=$J68,AA$3&lt;=$M68),1,"")</f>
        <v/>
      </c>
      <c r="AB68">
        <f>IF(AND($A68&lt;&gt;"",AB$3&gt;=$J68,AB$3&lt;=$M68),1,"")</f>
        <v/>
      </c>
      <c r="AC68">
        <f>IF(AND($A68&lt;&gt;"",AC$3&gt;=$J68,AC$3&lt;=$M68),1,"")</f>
        <v/>
      </c>
      <c r="AD68">
        <f>IF(AND($A68&lt;&gt;"",AD$3&gt;=$J68,AD$3&lt;=$M68),1,"")</f>
        <v/>
      </c>
      <c r="AE68">
        <f>IF(AND($A68&lt;&gt;"",AE$3&gt;=$J68,AE$3&lt;=$M68),1,"")</f>
        <v/>
      </c>
      <c r="AF68">
        <f>IF(AND($A68&lt;&gt;"",AF$3&gt;=$J68,AF$3&lt;=$M68),1,"")</f>
        <v/>
      </c>
      <c r="AG68">
        <f>IF(AND($A68&lt;&gt;"",AG$3&gt;=$J68,AG$3&lt;=$M68),1,"")</f>
        <v/>
      </c>
      <c r="AH68">
        <f>IF(AND($A68&lt;&gt;"",AH$3&gt;=$J68,AH$3&lt;=$M68),1,"")</f>
        <v/>
      </c>
      <c r="AI68">
        <f>IF(AND($A68&lt;&gt;"",AI$3&gt;=$J68,AI$3&lt;=$M68),1,"")</f>
        <v/>
      </c>
      <c r="AJ68">
        <f>IF(AND($A68&lt;&gt;"",AJ$3&gt;=$J68,AJ$3&lt;=$M68),1,"")</f>
        <v/>
      </c>
      <c r="AK68">
        <f>IF(AND($A68&lt;&gt;"",AK$3&gt;=$J68,AK$3&lt;=$M68),1,"")</f>
        <v/>
      </c>
      <c r="AL68">
        <f>IF(AND($A68&lt;&gt;"",AL$3&gt;=$J68,AL$3&lt;=$M68),1,"")</f>
        <v/>
      </c>
      <c r="AM68">
        <f>IF(AND($A68&lt;&gt;"",AM$3&gt;=$J68,AM$3&lt;=$M68),1,"")</f>
        <v/>
      </c>
      <c r="AN68">
        <f>IF(AND($A68&lt;&gt;"",AN$3&gt;=$J68,AN$3&lt;=$M68),1,"")</f>
        <v/>
      </c>
      <c r="AO68">
        <f>IF(AND($A68&lt;&gt;"",AO$3&gt;=$J68,AO$3&lt;=$M68),1,"")</f>
        <v/>
      </c>
      <c r="AP68">
        <f>IF(AND($A68&lt;&gt;"",AP$3&gt;=$J68,AP$3&lt;=$M68),1,"")</f>
        <v/>
      </c>
      <c r="AQ68">
        <f>IF(AND($A68&lt;&gt;"",AQ$3&gt;=$J68,AQ$3&lt;=$M68),1,"")</f>
        <v/>
      </c>
      <c r="AR68">
        <f>IF(AND($A68&lt;&gt;"",AR$3&gt;=$J68,AR$3&lt;=$M68),1,"")</f>
        <v/>
      </c>
      <c r="AS68">
        <f>IF(AND($A68&lt;&gt;"",AS$3&gt;=$J68,AS$3&lt;=$M68),1,"")</f>
        <v/>
      </c>
      <c r="AT68">
        <f>IF(AND($A68&lt;&gt;"",AT$3&gt;=$J68,AT$3&lt;=$M68),1,"")</f>
        <v/>
      </c>
      <c r="AU68">
        <f>IF(AND($A68&lt;&gt;"",AU$3&gt;=$J68,AU$3&lt;=$M68),1,"")</f>
        <v/>
      </c>
      <c r="AV68">
        <f>IF(AND($A68&lt;&gt;"",AV$3&gt;=$J68,AV$3&lt;=$M68),1,"")</f>
        <v/>
      </c>
      <c r="AW68">
        <f>IF(AND($A68&lt;&gt;"",AW$3&gt;=$J68,AW$3&lt;=$M68),1,"")</f>
        <v/>
      </c>
      <c r="AX68">
        <f>IF(AND($A68&lt;&gt;"",AX$3&gt;=$J68,AX$3&lt;=$M68),1,"")</f>
        <v/>
      </c>
      <c r="AY68">
        <f>IF(AND($A68&lt;&gt;"",AY$3&gt;=$J68,AY$3&lt;=$M68),1,"")</f>
        <v/>
      </c>
      <c r="AZ68">
        <f>IF(AND($A68&lt;&gt;"",AZ$3&gt;=$J68,AZ$3&lt;=$M68),1,"")</f>
        <v/>
      </c>
      <c r="BA68">
        <f>IF(AND($A68&lt;&gt;"",BA$3&gt;=$J68,BA$3&lt;=$M68),1,"")</f>
        <v/>
      </c>
      <c r="BB68">
        <f>IF(AND($A68&lt;&gt;"",BB$3&gt;=$J68,BB$3&lt;=$M68),1,"")</f>
        <v/>
      </c>
      <c r="BC68">
        <f>IF(AND($A68&lt;&gt;"",BC$3&gt;=$J68,BC$3&lt;=$M68),1,"")</f>
        <v/>
      </c>
      <c r="BD68">
        <f>IF(AND($A68&lt;&gt;"",BD$3&gt;=$J68,BD$3&lt;=$M68),1,"")</f>
        <v/>
      </c>
      <c r="BE68">
        <f>IF(AND($A68&lt;&gt;"",BE$3&gt;=$J68,BE$3&lt;=$M68),1,"")</f>
        <v/>
      </c>
      <c r="BF68">
        <f>IF(AND($A68&lt;&gt;"",BF$3&gt;=$J68,BF$3&lt;=$M68),1,"")</f>
        <v/>
      </c>
      <c r="BG68">
        <f>IF(AND($A68&lt;&gt;"",BG$3&gt;=$J68,BG$3&lt;=$M68),1,"")</f>
        <v/>
      </c>
      <c r="BH68">
        <f>IF(AND($A68&lt;&gt;"",BH$3&gt;=$J68,BH$3&lt;=$M68),1,"")</f>
        <v/>
      </c>
      <c r="BI68">
        <f>IF(AND($A68&lt;&gt;"",BI$3&gt;=$J68,BI$3&lt;=$M68),1,"")</f>
        <v/>
      </c>
      <c r="BJ68">
        <f>IF(AND($A68&lt;&gt;"",BJ$3&gt;=$J68,BJ$3&lt;=$M68),1,"")</f>
        <v/>
      </c>
      <c r="BK68">
        <f>IF(AND($A68&lt;&gt;"",BK$3&gt;=$J68,BK$3&lt;=$M68),1,"")</f>
        <v/>
      </c>
      <c r="BL68">
        <f>IF(AND($A68&lt;&gt;"",BL$3&gt;=$J68,BL$3&lt;=$M68),1,"")</f>
        <v/>
      </c>
      <c r="BM68">
        <f>IF(AND($A68&lt;&gt;"",BM$3&gt;=$J68,BM$3&lt;=$M68),1,"")</f>
        <v/>
      </c>
      <c r="BN68">
        <f>IF(AND($A68&lt;&gt;"",BN$3&gt;=$J68,BN$3&lt;=$M68),1,"")</f>
        <v/>
      </c>
      <c r="BO68">
        <f>IF(AND($A68&lt;&gt;"",BO$3&gt;=$J68,BO$3&lt;=$M68),1,"")</f>
        <v/>
      </c>
      <c r="BP68">
        <f>IF(AND($A68&lt;&gt;"",BP$3&gt;=$J68,BP$3&lt;=$M68),1,"")</f>
        <v/>
      </c>
      <c r="BQ68">
        <f>IF(AND($A68&lt;&gt;"",BQ$3&gt;=$J68,BQ$3&lt;=$M68),1,"")</f>
        <v/>
      </c>
      <c r="BR68">
        <f>IF(AND($A68&lt;&gt;"",BR$3&gt;=$J68,BR$3&lt;=$M68),1,"")</f>
        <v/>
      </c>
      <c r="BS68">
        <f>IF(AND($A68&lt;&gt;"",BS$3&gt;=$J68,BS$3&lt;=$M68),1,"")</f>
        <v/>
      </c>
      <c r="BT68">
        <f>IF(AND($A68&lt;&gt;"",BT$3&gt;=$J68,BT$3&lt;=$M68),1,"")</f>
        <v/>
      </c>
      <c r="BU68">
        <f>IF(AND($A68&lt;&gt;"",BU$3&gt;=$J68,BU$3&lt;=$M68),1,"")</f>
        <v/>
      </c>
      <c r="BV68">
        <f>IF(AND($A68&lt;&gt;"",BV$3&gt;=$J68,BV$3&lt;=$M68),1,"")</f>
        <v/>
      </c>
    </row>
    <row r="69">
      <c r="A69">
        <f>IF(Job_Master_Ring!$A69="","",Job_Master_Ring!$A69)</f>
        <v/>
      </c>
      <c r="B69">
        <f>IF($A69="","",Job_Master_Ring!B69)</f>
        <v/>
      </c>
      <c r="C69">
        <f>IF($A69="","",Job_Master_Ring!C69)</f>
        <v/>
      </c>
      <c r="D69">
        <f>IF($A69="","",Job_Master_Ring!D69)</f>
        <v/>
      </c>
      <c r="E69">
        <f>IF($A69="","",IF($I69&lt;&gt;"",$I69,IFERROR(INDEX(Machine_List!$B$82:$B$86,MATCH(1,(Machine_List!$H$82:$H$86&lt;=IFERROR(VLOOKUP($B69,CHOOSE(MATCH($C69,Settings!$L$4:$L$10,0),OPR_BR1!$A$4:$K$18,OPR_BR2!$A$4:$K$18,OPR_CR2!$A$4:$K$18,OPR_CR3!$A$4:$K$18,OPR_CR4!$A$4:$K$18,OPR_RIM!$A$4:$K$18,OPR_BPR!$A$4:$K$18),10,0),0))*(Machine_List!$I$82:$I$86&gt;=IFERROR(VLOOKUP($B69,CHOOSE(MATCH($C69,Settings!$L$4:$L$10,0),OPR_BR1!$A$4:$K$18,OPR_BR2!$A$4:$K$18,OPR_CR2!$A$4:$K$18,OPR_CR3!$A$4:$K$18,OPR_CR4!$A$4:$K$18,OPR_RIM!$A$4:$K$18,OPR_BPR!$A$4:$K$18),11,0),9999)),0)),"NO COMPATIBLE MACHINE")))</f>
        <v/>
      </c>
      <c r="F69">
        <f>IF($E69="","",IFERROR(VLOOKUP($E69,Machine_List!$B:$G,6,0),""))</f>
        <v/>
      </c>
      <c r="G69" s="17">
        <f>IF($E69="","",IFERROR(VLOOKUP($E69,Machine_List!$B:$C,2,0),""))</f>
        <v/>
      </c>
      <c r="H69">
        <f>IF($E69="","",IFERROR(VLOOKUP($E69,Machine_List!$B:$D,3,0),""))</f>
        <v/>
      </c>
      <c r="J69" s="16">
        <f>IF($A69="","",IF($I69&lt;&gt;"",$I69,MAX(FID_Plan!$M69,IFERROR(LOOKUP(2,1/($E$3:INDIRECT("E"&amp;(ROW()-1))=$E69),$M$3:INDIRECT("M"&amp;(ROW()-1))),FID_Plan!$M69))))</f>
        <v/>
      </c>
      <c r="K69">
        <f>IF($A69="","",IFERROR(VLOOKUP(B69,CHOOSE(MATCH($C69,Settings!$L$4:$L$10,0),OPR_BR1!$A$4:$I$18,OPR_BR2!$A$4:$I$18,OPR_CR2!$A$4:$I$18,OPR_CR3!$A$4:$I$18,OPR_CR4!$A$4:$I$18,OPR_RIM!$A$4:$I$18,OPR_BPR!$A$4:$I$18),9,0),0))</f>
        <v/>
      </c>
      <c r="L69">
        <f>IF($A69="","",K69*D69)</f>
        <v/>
      </c>
      <c r="M69" s="16">
        <f>IF($A69=""," ",$J69+($L69/(IF(F69="Contract Workman",Settings!$K$5,Settings!$K$4))))</f>
        <v/>
      </c>
      <c r="N69">
        <f>IF($A69="","",IF(F69="Contract Workman",IF(AND(MOD(M69,1)&gt;=8/24,MOD(M69,1)&lt;20/24),"Shift S1","Shift S2"),IF(AND(MOD(M69,1)&gt;=7/24,MOD(M69,1)&lt;15/24),"Shift A",IF(AND(MOD(M69,1)&gt;=15/24,MOD(M69,1)&lt;23/24),"Shift B","Shift C"))))</f>
        <v/>
      </c>
      <c r="O69">
        <f>IF(B69="","",IF(IFERROR(ISNUMBER(SEARCH(TEXT(B69,"0"),VLOOKUP(E69,Machine_List!$B:$J,9,0))),FALSE),"✅ "&amp; E69,"❌ Sug: "&amp;IFERROR(INDEX(Machine_List!$B$82:$B$86,MATCH(1,(Machine_List!$H$82:$H$86&lt;=IFERROR(VLOOKUP($B69,OPR_BR1!$A$4:$K$18,10,0),0))*(Machine_List!$I$82:$I$86&gt;=IFERROR(VLOOKUP($B69,OPR_BR1!$A$4:$K$18,11,0),9999)),0)),"?")))</f>
        <v/>
      </c>
      <c r="P69">
        <f>IF(AND($A69&lt;&gt;"",P$3&gt;=$J69,P$3&lt;=$M69),1,"")</f>
        <v/>
      </c>
      <c r="Q69">
        <f>IF(AND($A69&lt;&gt;"",Q$3&gt;=$J69,Q$3&lt;=$M69),1,"")</f>
        <v/>
      </c>
      <c r="R69">
        <f>IF(AND($A69&lt;&gt;"",R$3&gt;=$J69,R$3&lt;=$M69),1,"")</f>
        <v/>
      </c>
      <c r="S69">
        <f>IF(AND($A69&lt;&gt;"",S$3&gt;=$J69,S$3&lt;=$M69),1,"")</f>
        <v/>
      </c>
      <c r="T69">
        <f>IF(AND($A69&lt;&gt;"",T$3&gt;=$J69,T$3&lt;=$M69),1,"")</f>
        <v/>
      </c>
      <c r="U69">
        <f>IF(AND($A69&lt;&gt;"",U$3&gt;=$J69,U$3&lt;=$M69),1,"")</f>
        <v/>
      </c>
      <c r="V69">
        <f>IF(AND($A69&lt;&gt;"",V$3&gt;=$J69,V$3&lt;=$M69),1,"")</f>
        <v/>
      </c>
      <c r="W69">
        <f>IF(AND($A69&lt;&gt;"",W$3&gt;=$J69,W$3&lt;=$M69),1,"")</f>
        <v/>
      </c>
      <c r="X69">
        <f>IF(AND($A69&lt;&gt;"",X$3&gt;=$J69,X$3&lt;=$M69),1,"")</f>
        <v/>
      </c>
      <c r="Y69">
        <f>IF(AND($A69&lt;&gt;"",Y$3&gt;=$J69,Y$3&lt;=$M69),1,"")</f>
        <v/>
      </c>
      <c r="Z69">
        <f>IF(AND($A69&lt;&gt;"",Z$3&gt;=$J69,Z$3&lt;=$M69),1,"")</f>
        <v/>
      </c>
      <c r="AA69">
        <f>IF(AND($A69&lt;&gt;"",AA$3&gt;=$J69,AA$3&lt;=$M69),1,"")</f>
        <v/>
      </c>
      <c r="AB69">
        <f>IF(AND($A69&lt;&gt;"",AB$3&gt;=$J69,AB$3&lt;=$M69),1,"")</f>
        <v/>
      </c>
      <c r="AC69">
        <f>IF(AND($A69&lt;&gt;"",AC$3&gt;=$J69,AC$3&lt;=$M69),1,"")</f>
        <v/>
      </c>
      <c r="AD69">
        <f>IF(AND($A69&lt;&gt;"",AD$3&gt;=$J69,AD$3&lt;=$M69),1,"")</f>
        <v/>
      </c>
      <c r="AE69">
        <f>IF(AND($A69&lt;&gt;"",AE$3&gt;=$J69,AE$3&lt;=$M69),1,"")</f>
        <v/>
      </c>
      <c r="AF69">
        <f>IF(AND($A69&lt;&gt;"",AF$3&gt;=$J69,AF$3&lt;=$M69),1,"")</f>
        <v/>
      </c>
      <c r="AG69">
        <f>IF(AND($A69&lt;&gt;"",AG$3&gt;=$J69,AG$3&lt;=$M69),1,"")</f>
        <v/>
      </c>
      <c r="AH69">
        <f>IF(AND($A69&lt;&gt;"",AH$3&gt;=$J69,AH$3&lt;=$M69),1,"")</f>
        <v/>
      </c>
      <c r="AI69">
        <f>IF(AND($A69&lt;&gt;"",AI$3&gt;=$J69,AI$3&lt;=$M69),1,"")</f>
        <v/>
      </c>
      <c r="AJ69">
        <f>IF(AND($A69&lt;&gt;"",AJ$3&gt;=$J69,AJ$3&lt;=$M69),1,"")</f>
        <v/>
      </c>
      <c r="AK69">
        <f>IF(AND($A69&lt;&gt;"",AK$3&gt;=$J69,AK$3&lt;=$M69),1,"")</f>
        <v/>
      </c>
      <c r="AL69">
        <f>IF(AND($A69&lt;&gt;"",AL$3&gt;=$J69,AL$3&lt;=$M69),1,"")</f>
        <v/>
      </c>
      <c r="AM69">
        <f>IF(AND($A69&lt;&gt;"",AM$3&gt;=$J69,AM$3&lt;=$M69),1,"")</f>
        <v/>
      </c>
      <c r="AN69">
        <f>IF(AND($A69&lt;&gt;"",AN$3&gt;=$J69,AN$3&lt;=$M69),1,"")</f>
        <v/>
      </c>
      <c r="AO69">
        <f>IF(AND($A69&lt;&gt;"",AO$3&gt;=$J69,AO$3&lt;=$M69),1,"")</f>
        <v/>
      </c>
      <c r="AP69">
        <f>IF(AND($A69&lt;&gt;"",AP$3&gt;=$J69,AP$3&lt;=$M69),1,"")</f>
        <v/>
      </c>
      <c r="AQ69">
        <f>IF(AND($A69&lt;&gt;"",AQ$3&gt;=$J69,AQ$3&lt;=$M69),1,"")</f>
        <v/>
      </c>
      <c r="AR69">
        <f>IF(AND($A69&lt;&gt;"",AR$3&gt;=$J69,AR$3&lt;=$M69),1,"")</f>
        <v/>
      </c>
      <c r="AS69">
        <f>IF(AND($A69&lt;&gt;"",AS$3&gt;=$J69,AS$3&lt;=$M69),1,"")</f>
        <v/>
      </c>
      <c r="AT69">
        <f>IF(AND($A69&lt;&gt;"",AT$3&gt;=$J69,AT$3&lt;=$M69),1,"")</f>
        <v/>
      </c>
      <c r="AU69">
        <f>IF(AND($A69&lt;&gt;"",AU$3&gt;=$J69,AU$3&lt;=$M69),1,"")</f>
        <v/>
      </c>
      <c r="AV69">
        <f>IF(AND($A69&lt;&gt;"",AV$3&gt;=$J69,AV$3&lt;=$M69),1,"")</f>
        <v/>
      </c>
      <c r="AW69">
        <f>IF(AND($A69&lt;&gt;"",AW$3&gt;=$J69,AW$3&lt;=$M69),1,"")</f>
        <v/>
      </c>
      <c r="AX69">
        <f>IF(AND($A69&lt;&gt;"",AX$3&gt;=$J69,AX$3&lt;=$M69),1,"")</f>
        <v/>
      </c>
      <c r="AY69">
        <f>IF(AND($A69&lt;&gt;"",AY$3&gt;=$J69,AY$3&lt;=$M69),1,"")</f>
        <v/>
      </c>
      <c r="AZ69">
        <f>IF(AND($A69&lt;&gt;"",AZ$3&gt;=$J69,AZ$3&lt;=$M69),1,"")</f>
        <v/>
      </c>
      <c r="BA69">
        <f>IF(AND($A69&lt;&gt;"",BA$3&gt;=$J69,BA$3&lt;=$M69),1,"")</f>
        <v/>
      </c>
      <c r="BB69">
        <f>IF(AND($A69&lt;&gt;"",BB$3&gt;=$J69,BB$3&lt;=$M69),1,"")</f>
        <v/>
      </c>
      <c r="BC69">
        <f>IF(AND($A69&lt;&gt;"",BC$3&gt;=$J69,BC$3&lt;=$M69),1,"")</f>
        <v/>
      </c>
      <c r="BD69">
        <f>IF(AND($A69&lt;&gt;"",BD$3&gt;=$J69,BD$3&lt;=$M69),1,"")</f>
        <v/>
      </c>
      <c r="BE69">
        <f>IF(AND($A69&lt;&gt;"",BE$3&gt;=$J69,BE$3&lt;=$M69),1,"")</f>
        <v/>
      </c>
      <c r="BF69">
        <f>IF(AND($A69&lt;&gt;"",BF$3&gt;=$J69,BF$3&lt;=$M69),1,"")</f>
        <v/>
      </c>
      <c r="BG69">
        <f>IF(AND($A69&lt;&gt;"",BG$3&gt;=$J69,BG$3&lt;=$M69),1,"")</f>
        <v/>
      </c>
      <c r="BH69">
        <f>IF(AND($A69&lt;&gt;"",BH$3&gt;=$J69,BH$3&lt;=$M69),1,"")</f>
        <v/>
      </c>
      <c r="BI69">
        <f>IF(AND($A69&lt;&gt;"",BI$3&gt;=$J69,BI$3&lt;=$M69),1,"")</f>
        <v/>
      </c>
      <c r="BJ69">
        <f>IF(AND($A69&lt;&gt;"",BJ$3&gt;=$J69,BJ$3&lt;=$M69),1,"")</f>
        <v/>
      </c>
      <c r="BK69">
        <f>IF(AND($A69&lt;&gt;"",BK$3&gt;=$J69,BK$3&lt;=$M69),1,"")</f>
        <v/>
      </c>
      <c r="BL69">
        <f>IF(AND($A69&lt;&gt;"",BL$3&gt;=$J69,BL$3&lt;=$M69),1,"")</f>
        <v/>
      </c>
      <c r="BM69">
        <f>IF(AND($A69&lt;&gt;"",BM$3&gt;=$J69,BM$3&lt;=$M69),1,"")</f>
        <v/>
      </c>
      <c r="BN69">
        <f>IF(AND($A69&lt;&gt;"",BN$3&gt;=$J69,BN$3&lt;=$M69),1,"")</f>
        <v/>
      </c>
      <c r="BO69">
        <f>IF(AND($A69&lt;&gt;"",BO$3&gt;=$J69,BO$3&lt;=$M69),1,"")</f>
        <v/>
      </c>
      <c r="BP69">
        <f>IF(AND($A69&lt;&gt;"",BP$3&gt;=$J69,BP$3&lt;=$M69),1,"")</f>
        <v/>
      </c>
      <c r="BQ69">
        <f>IF(AND($A69&lt;&gt;"",BQ$3&gt;=$J69,BQ$3&lt;=$M69),1,"")</f>
        <v/>
      </c>
      <c r="BR69">
        <f>IF(AND($A69&lt;&gt;"",BR$3&gt;=$J69,BR$3&lt;=$M69),1,"")</f>
        <v/>
      </c>
      <c r="BS69">
        <f>IF(AND($A69&lt;&gt;"",BS$3&gt;=$J69,BS$3&lt;=$M69),1,"")</f>
        <v/>
      </c>
      <c r="BT69">
        <f>IF(AND($A69&lt;&gt;"",BT$3&gt;=$J69,BT$3&lt;=$M69),1,"")</f>
        <v/>
      </c>
      <c r="BU69">
        <f>IF(AND($A69&lt;&gt;"",BU$3&gt;=$J69,BU$3&lt;=$M69),1,"")</f>
        <v/>
      </c>
      <c r="BV69">
        <f>IF(AND($A69&lt;&gt;"",BV$3&gt;=$J69,BV$3&lt;=$M69),1,"")</f>
        <v/>
      </c>
    </row>
    <row r="70">
      <c r="A70">
        <f>IF(Job_Master_Ring!$A70="","",Job_Master_Ring!$A70)</f>
        <v/>
      </c>
      <c r="B70">
        <f>IF($A70="","",Job_Master_Ring!B70)</f>
        <v/>
      </c>
      <c r="C70">
        <f>IF($A70="","",Job_Master_Ring!C70)</f>
        <v/>
      </c>
      <c r="D70">
        <f>IF($A70="","",Job_Master_Ring!D70)</f>
        <v/>
      </c>
      <c r="E70">
        <f>IF($A70="","",IF($I70&lt;&gt;"",$I70,IFERROR(INDEX(Machine_List!$B$82:$B$86,MATCH(1,(Machine_List!$H$82:$H$86&lt;=IFERROR(VLOOKUP($B70,CHOOSE(MATCH($C70,Settings!$L$4:$L$10,0),OPR_BR1!$A$4:$K$18,OPR_BR2!$A$4:$K$18,OPR_CR2!$A$4:$K$18,OPR_CR3!$A$4:$K$18,OPR_CR4!$A$4:$K$18,OPR_RIM!$A$4:$K$18,OPR_BPR!$A$4:$K$18),10,0),0))*(Machine_List!$I$82:$I$86&gt;=IFERROR(VLOOKUP($B70,CHOOSE(MATCH($C70,Settings!$L$4:$L$10,0),OPR_BR1!$A$4:$K$18,OPR_BR2!$A$4:$K$18,OPR_CR2!$A$4:$K$18,OPR_CR3!$A$4:$K$18,OPR_CR4!$A$4:$K$18,OPR_RIM!$A$4:$K$18,OPR_BPR!$A$4:$K$18),11,0),9999)),0)),"NO COMPATIBLE MACHINE")))</f>
        <v/>
      </c>
      <c r="F70">
        <f>IF($E70="","",IFERROR(VLOOKUP($E70,Machine_List!$B:$G,6,0),""))</f>
        <v/>
      </c>
      <c r="G70" s="17">
        <f>IF($E70="","",IFERROR(VLOOKUP($E70,Machine_List!$B:$C,2,0),""))</f>
        <v/>
      </c>
      <c r="H70">
        <f>IF($E70="","",IFERROR(VLOOKUP($E70,Machine_List!$B:$D,3,0),""))</f>
        <v/>
      </c>
      <c r="J70" s="16">
        <f>IF($A70="","",IF($I70&lt;&gt;"",$I70,MAX(FID_Plan!$M70,IFERROR(LOOKUP(2,1/($E$3:INDIRECT("E"&amp;(ROW()-1))=$E70),$M$3:INDIRECT("M"&amp;(ROW()-1))),FID_Plan!$M70))))</f>
        <v/>
      </c>
      <c r="K70">
        <f>IF($A70="","",IFERROR(VLOOKUP(B70,CHOOSE(MATCH($C70,Settings!$L$4:$L$10,0),OPR_BR1!$A$4:$I$18,OPR_BR2!$A$4:$I$18,OPR_CR2!$A$4:$I$18,OPR_CR3!$A$4:$I$18,OPR_CR4!$A$4:$I$18,OPR_RIM!$A$4:$I$18,OPR_BPR!$A$4:$I$18),9,0),0))</f>
        <v/>
      </c>
      <c r="L70">
        <f>IF($A70="","",K70*D70)</f>
        <v/>
      </c>
      <c r="M70" s="16">
        <f>IF($A70=""," ",$J70+($L70/(IF(F70="Contract Workman",Settings!$K$5,Settings!$K$4))))</f>
        <v/>
      </c>
      <c r="N70">
        <f>IF($A70="","",IF(F70="Contract Workman",IF(AND(MOD(M70,1)&gt;=8/24,MOD(M70,1)&lt;20/24),"Shift S1","Shift S2"),IF(AND(MOD(M70,1)&gt;=7/24,MOD(M70,1)&lt;15/24),"Shift A",IF(AND(MOD(M70,1)&gt;=15/24,MOD(M70,1)&lt;23/24),"Shift B","Shift C"))))</f>
        <v/>
      </c>
      <c r="O70">
        <f>IF(B70="","",IF(IFERROR(ISNUMBER(SEARCH(TEXT(B70,"0"),VLOOKUP(E70,Machine_List!$B:$J,9,0))),FALSE),"✅ "&amp; E70,"❌ Sug: "&amp;IFERROR(INDEX(Machine_List!$B$82:$B$86,MATCH(1,(Machine_List!$H$82:$H$86&lt;=IFERROR(VLOOKUP($B70,OPR_BR1!$A$4:$K$18,10,0),0))*(Machine_List!$I$82:$I$86&gt;=IFERROR(VLOOKUP($B70,OPR_BR1!$A$4:$K$18,11,0),9999)),0)),"?")))</f>
        <v/>
      </c>
      <c r="P70">
        <f>IF(AND($A70&lt;&gt;"",P$3&gt;=$J70,P$3&lt;=$M70),1,"")</f>
        <v/>
      </c>
      <c r="Q70">
        <f>IF(AND($A70&lt;&gt;"",Q$3&gt;=$J70,Q$3&lt;=$M70),1,"")</f>
        <v/>
      </c>
      <c r="R70">
        <f>IF(AND($A70&lt;&gt;"",R$3&gt;=$J70,R$3&lt;=$M70),1,"")</f>
        <v/>
      </c>
      <c r="S70">
        <f>IF(AND($A70&lt;&gt;"",S$3&gt;=$J70,S$3&lt;=$M70),1,"")</f>
        <v/>
      </c>
      <c r="T70">
        <f>IF(AND($A70&lt;&gt;"",T$3&gt;=$J70,T$3&lt;=$M70),1,"")</f>
        <v/>
      </c>
      <c r="U70">
        <f>IF(AND($A70&lt;&gt;"",U$3&gt;=$J70,U$3&lt;=$M70),1,"")</f>
        <v/>
      </c>
      <c r="V70">
        <f>IF(AND($A70&lt;&gt;"",V$3&gt;=$J70,V$3&lt;=$M70),1,"")</f>
        <v/>
      </c>
      <c r="W70">
        <f>IF(AND($A70&lt;&gt;"",W$3&gt;=$J70,W$3&lt;=$M70),1,"")</f>
        <v/>
      </c>
      <c r="X70">
        <f>IF(AND($A70&lt;&gt;"",X$3&gt;=$J70,X$3&lt;=$M70),1,"")</f>
        <v/>
      </c>
      <c r="Y70">
        <f>IF(AND($A70&lt;&gt;"",Y$3&gt;=$J70,Y$3&lt;=$M70),1,"")</f>
        <v/>
      </c>
      <c r="Z70">
        <f>IF(AND($A70&lt;&gt;"",Z$3&gt;=$J70,Z$3&lt;=$M70),1,"")</f>
        <v/>
      </c>
      <c r="AA70">
        <f>IF(AND($A70&lt;&gt;"",AA$3&gt;=$J70,AA$3&lt;=$M70),1,"")</f>
        <v/>
      </c>
      <c r="AB70">
        <f>IF(AND($A70&lt;&gt;"",AB$3&gt;=$J70,AB$3&lt;=$M70),1,"")</f>
        <v/>
      </c>
      <c r="AC70">
        <f>IF(AND($A70&lt;&gt;"",AC$3&gt;=$J70,AC$3&lt;=$M70),1,"")</f>
        <v/>
      </c>
      <c r="AD70">
        <f>IF(AND($A70&lt;&gt;"",AD$3&gt;=$J70,AD$3&lt;=$M70),1,"")</f>
        <v/>
      </c>
      <c r="AE70">
        <f>IF(AND($A70&lt;&gt;"",AE$3&gt;=$J70,AE$3&lt;=$M70),1,"")</f>
        <v/>
      </c>
      <c r="AF70">
        <f>IF(AND($A70&lt;&gt;"",AF$3&gt;=$J70,AF$3&lt;=$M70),1,"")</f>
        <v/>
      </c>
      <c r="AG70">
        <f>IF(AND($A70&lt;&gt;"",AG$3&gt;=$J70,AG$3&lt;=$M70),1,"")</f>
        <v/>
      </c>
      <c r="AH70">
        <f>IF(AND($A70&lt;&gt;"",AH$3&gt;=$J70,AH$3&lt;=$M70),1,"")</f>
        <v/>
      </c>
      <c r="AI70">
        <f>IF(AND($A70&lt;&gt;"",AI$3&gt;=$J70,AI$3&lt;=$M70),1,"")</f>
        <v/>
      </c>
      <c r="AJ70">
        <f>IF(AND($A70&lt;&gt;"",AJ$3&gt;=$J70,AJ$3&lt;=$M70),1,"")</f>
        <v/>
      </c>
      <c r="AK70">
        <f>IF(AND($A70&lt;&gt;"",AK$3&gt;=$J70,AK$3&lt;=$M70),1,"")</f>
        <v/>
      </c>
      <c r="AL70">
        <f>IF(AND($A70&lt;&gt;"",AL$3&gt;=$J70,AL$3&lt;=$M70),1,"")</f>
        <v/>
      </c>
      <c r="AM70">
        <f>IF(AND($A70&lt;&gt;"",AM$3&gt;=$J70,AM$3&lt;=$M70),1,"")</f>
        <v/>
      </c>
      <c r="AN70">
        <f>IF(AND($A70&lt;&gt;"",AN$3&gt;=$J70,AN$3&lt;=$M70),1,"")</f>
        <v/>
      </c>
      <c r="AO70">
        <f>IF(AND($A70&lt;&gt;"",AO$3&gt;=$J70,AO$3&lt;=$M70),1,"")</f>
        <v/>
      </c>
      <c r="AP70">
        <f>IF(AND($A70&lt;&gt;"",AP$3&gt;=$J70,AP$3&lt;=$M70),1,"")</f>
        <v/>
      </c>
      <c r="AQ70">
        <f>IF(AND($A70&lt;&gt;"",AQ$3&gt;=$J70,AQ$3&lt;=$M70),1,"")</f>
        <v/>
      </c>
      <c r="AR70">
        <f>IF(AND($A70&lt;&gt;"",AR$3&gt;=$J70,AR$3&lt;=$M70),1,"")</f>
        <v/>
      </c>
      <c r="AS70">
        <f>IF(AND($A70&lt;&gt;"",AS$3&gt;=$J70,AS$3&lt;=$M70),1,"")</f>
        <v/>
      </c>
      <c r="AT70">
        <f>IF(AND($A70&lt;&gt;"",AT$3&gt;=$J70,AT$3&lt;=$M70),1,"")</f>
        <v/>
      </c>
      <c r="AU70">
        <f>IF(AND($A70&lt;&gt;"",AU$3&gt;=$J70,AU$3&lt;=$M70),1,"")</f>
        <v/>
      </c>
      <c r="AV70">
        <f>IF(AND($A70&lt;&gt;"",AV$3&gt;=$J70,AV$3&lt;=$M70),1,"")</f>
        <v/>
      </c>
      <c r="AW70">
        <f>IF(AND($A70&lt;&gt;"",AW$3&gt;=$J70,AW$3&lt;=$M70),1,"")</f>
        <v/>
      </c>
      <c r="AX70">
        <f>IF(AND($A70&lt;&gt;"",AX$3&gt;=$J70,AX$3&lt;=$M70),1,"")</f>
        <v/>
      </c>
      <c r="AY70">
        <f>IF(AND($A70&lt;&gt;"",AY$3&gt;=$J70,AY$3&lt;=$M70),1,"")</f>
        <v/>
      </c>
      <c r="AZ70">
        <f>IF(AND($A70&lt;&gt;"",AZ$3&gt;=$J70,AZ$3&lt;=$M70),1,"")</f>
        <v/>
      </c>
      <c r="BA70">
        <f>IF(AND($A70&lt;&gt;"",BA$3&gt;=$J70,BA$3&lt;=$M70),1,"")</f>
        <v/>
      </c>
      <c r="BB70">
        <f>IF(AND($A70&lt;&gt;"",BB$3&gt;=$J70,BB$3&lt;=$M70),1,"")</f>
        <v/>
      </c>
      <c r="BC70">
        <f>IF(AND($A70&lt;&gt;"",BC$3&gt;=$J70,BC$3&lt;=$M70),1,"")</f>
        <v/>
      </c>
      <c r="BD70">
        <f>IF(AND($A70&lt;&gt;"",BD$3&gt;=$J70,BD$3&lt;=$M70),1,"")</f>
        <v/>
      </c>
      <c r="BE70">
        <f>IF(AND($A70&lt;&gt;"",BE$3&gt;=$J70,BE$3&lt;=$M70),1,"")</f>
        <v/>
      </c>
      <c r="BF70">
        <f>IF(AND($A70&lt;&gt;"",BF$3&gt;=$J70,BF$3&lt;=$M70),1,"")</f>
        <v/>
      </c>
      <c r="BG70">
        <f>IF(AND($A70&lt;&gt;"",BG$3&gt;=$J70,BG$3&lt;=$M70),1,"")</f>
        <v/>
      </c>
      <c r="BH70">
        <f>IF(AND($A70&lt;&gt;"",BH$3&gt;=$J70,BH$3&lt;=$M70),1,"")</f>
        <v/>
      </c>
      <c r="BI70">
        <f>IF(AND($A70&lt;&gt;"",BI$3&gt;=$J70,BI$3&lt;=$M70),1,"")</f>
        <v/>
      </c>
      <c r="BJ70">
        <f>IF(AND($A70&lt;&gt;"",BJ$3&gt;=$J70,BJ$3&lt;=$M70),1,"")</f>
        <v/>
      </c>
      <c r="BK70">
        <f>IF(AND($A70&lt;&gt;"",BK$3&gt;=$J70,BK$3&lt;=$M70),1,"")</f>
        <v/>
      </c>
      <c r="BL70">
        <f>IF(AND($A70&lt;&gt;"",BL$3&gt;=$J70,BL$3&lt;=$M70),1,"")</f>
        <v/>
      </c>
      <c r="BM70">
        <f>IF(AND($A70&lt;&gt;"",BM$3&gt;=$J70,BM$3&lt;=$M70),1,"")</f>
        <v/>
      </c>
      <c r="BN70">
        <f>IF(AND($A70&lt;&gt;"",BN$3&gt;=$J70,BN$3&lt;=$M70),1,"")</f>
        <v/>
      </c>
      <c r="BO70">
        <f>IF(AND($A70&lt;&gt;"",BO$3&gt;=$J70,BO$3&lt;=$M70),1,"")</f>
        <v/>
      </c>
      <c r="BP70">
        <f>IF(AND($A70&lt;&gt;"",BP$3&gt;=$J70,BP$3&lt;=$M70),1,"")</f>
        <v/>
      </c>
      <c r="BQ70">
        <f>IF(AND($A70&lt;&gt;"",BQ$3&gt;=$J70,BQ$3&lt;=$M70),1,"")</f>
        <v/>
      </c>
      <c r="BR70">
        <f>IF(AND($A70&lt;&gt;"",BR$3&gt;=$J70,BR$3&lt;=$M70),1,"")</f>
        <v/>
      </c>
      <c r="BS70">
        <f>IF(AND($A70&lt;&gt;"",BS$3&gt;=$J70,BS$3&lt;=$M70),1,"")</f>
        <v/>
      </c>
      <c r="BT70">
        <f>IF(AND($A70&lt;&gt;"",BT$3&gt;=$J70,BT$3&lt;=$M70),1,"")</f>
        <v/>
      </c>
      <c r="BU70">
        <f>IF(AND($A70&lt;&gt;"",BU$3&gt;=$J70,BU$3&lt;=$M70),1,"")</f>
        <v/>
      </c>
      <c r="BV70">
        <f>IF(AND($A70&lt;&gt;"",BV$3&gt;=$J70,BV$3&lt;=$M70),1,"")</f>
        <v/>
      </c>
    </row>
    <row r="71">
      <c r="A71">
        <f>IF(Job_Master_Ring!$A71="","",Job_Master_Ring!$A71)</f>
        <v/>
      </c>
      <c r="B71">
        <f>IF($A71="","",Job_Master_Ring!B71)</f>
        <v/>
      </c>
      <c r="C71">
        <f>IF($A71="","",Job_Master_Ring!C71)</f>
        <v/>
      </c>
      <c r="D71">
        <f>IF($A71="","",Job_Master_Ring!D71)</f>
        <v/>
      </c>
      <c r="E71">
        <f>IF($A71="","",IF($I71&lt;&gt;"",$I71,IFERROR(INDEX(Machine_List!$B$82:$B$86,MATCH(1,(Machine_List!$H$82:$H$86&lt;=IFERROR(VLOOKUP($B71,CHOOSE(MATCH($C71,Settings!$L$4:$L$10,0),OPR_BR1!$A$4:$K$18,OPR_BR2!$A$4:$K$18,OPR_CR2!$A$4:$K$18,OPR_CR3!$A$4:$K$18,OPR_CR4!$A$4:$K$18,OPR_RIM!$A$4:$K$18,OPR_BPR!$A$4:$K$18),10,0),0))*(Machine_List!$I$82:$I$86&gt;=IFERROR(VLOOKUP($B71,CHOOSE(MATCH($C71,Settings!$L$4:$L$10,0),OPR_BR1!$A$4:$K$18,OPR_BR2!$A$4:$K$18,OPR_CR2!$A$4:$K$18,OPR_CR3!$A$4:$K$18,OPR_CR4!$A$4:$K$18,OPR_RIM!$A$4:$K$18,OPR_BPR!$A$4:$K$18),11,0),9999)),0)),"NO COMPATIBLE MACHINE")))</f>
        <v/>
      </c>
      <c r="F71">
        <f>IF($E71="","",IFERROR(VLOOKUP($E71,Machine_List!$B:$G,6,0),""))</f>
        <v/>
      </c>
      <c r="G71" s="17">
        <f>IF($E71="","",IFERROR(VLOOKUP($E71,Machine_List!$B:$C,2,0),""))</f>
        <v/>
      </c>
      <c r="H71">
        <f>IF($E71="","",IFERROR(VLOOKUP($E71,Machine_List!$B:$D,3,0),""))</f>
        <v/>
      </c>
      <c r="J71" s="16">
        <f>IF($A71="","",IF($I71&lt;&gt;"",$I71,MAX(FID_Plan!$M71,IFERROR(LOOKUP(2,1/($E$3:INDIRECT("E"&amp;(ROW()-1))=$E71),$M$3:INDIRECT("M"&amp;(ROW()-1))),FID_Plan!$M71))))</f>
        <v/>
      </c>
      <c r="K71">
        <f>IF($A71="","",IFERROR(VLOOKUP(B71,CHOOSE(MATCH($C71,Settings!$L$4:$L$10,0),OPR_BR1!$A$4:$I$18,OPR_BR2!$A$4:$I$18,OPR_CR2!$A$4:$I$18,OPR_CR3!$A$4:$I$18,OPR_CR4!$A$4:$I$18,OPR_RIM!$A$4:$I$18,OPR_BPR!$A$4:$I$18),9,0),0))</f>
        <v/>
      </c>
      <c r="L71">
        <f>IF($A71="","",K71*D71)</f>
        <v/>
      </c>
      <c r="M71" s="16">
        <f>IF($A71=""," ",$J71+($L71/(IF(F71="Contract Workman",Settings!$K$5,Settings!$K$4))))</f>
        <v/>
      </c>
      <c r="N71">
        <f>IF($A71="","",IF(F71="Contract Workman",IF(AND(MOD(M71,1)&gt;=8/24,MOD(M71,1)&lt;20/24),"Shift S1","Shift S2"),IF(AND(MOD(M71,1)&gt;=7/24,MOD(M71,1)&lt;15/24),"Shift A",IF(AND(MOD(M71,1)&gt;=15/24,MOD(M71,1)&lt;23/24),"Shift B","Shift C"))))</f>
        <v/>
      </c>
      <c r="O71">
        <f>IF(B71="","",IF(IFERROR(ISNUMBER(SEARCH(TEXT(B71,"0"),VLOOKUP(E71,Machine_List!$B:$J,9,0))),FALSE),"✅ "&amp; E71,"❌ Sug: "&amp;IFERROR(INDEX(Machine_List!$B$82:$B$86,MATCH(1,(Machine_List!$H$82:$H$86&lt;=IFERROR(VLOOKUP($B71,OPR_BR1!$A$4:$K$18,10,0),0))*(Machine_List!$I$82:$I$86&gt;=IFERROR(VLOOKUP($B71,OPR_BR1!$A$4:$K$18,11,0),9999)),0)),"?")))</f>
        <v/>
      </c>
      <c r="P71">
        <f>IF(AND($A71&lt;&gt;"",P$3&gt;=$J71,P$3&lt;=$M71),1,"")</f>
        <v/>
      </c>
      <c r="Q71">
        <f>IF(AND($A71&lt;&gt;"",Q$3&gt;=$J71,Q$3&lt;=$M71),1,"")</f>
        <v/>
      </c>
      <c r="R71">
        <f>IF(AND($A71&lt;&gt;"",R$3&gt;=$J71,R$3&lt;=$M71),1,"")</f>
        <v/>
      </c>
      <c r="S71">
        <f>IF(AND($A71&lt;&gt;"",S$3&gt;=$J71,S$3&lt;=$M71),1,"")</f>
        <v/>
      </c>
      <c r="T71">
        <f>IF(AND($A71&lt;&gt;"",T$3&gt;=$J71,T$3&lt;=$M71),1,"")</f>
        <v/>
      </c>
      <c r="U71">
        <f>IF(AND($A71&lt;&gt;"",U$3&gt;=$J71,U$3&lt;=$M71),1,"")</f>
        <v/>
      </c>
      <c r="V71">
        <f>IF(AND($A71&lt;&gt;"",V$3&gt;=$J71,V$3&lt;=$M71),1,"")</f>
        <v/>
      </c>
      <c r="W71">
        <f>IF(AND($A71&lt;&gt;"",W$3&gt;=$J71,W$3&lt;=$M71),1,"")</f>
        <v/>
      </c>
      <c r="X71">
        <f>IF(AND($A71&lt;&gt;"",X$3&gt;=$J71,X$3&lt;=$M71),1,"")</f>
        <v/>
      </c>
      <c r="Y71">
        <f>IF(AND($A71&lt;&gt;"",Y$3&gt;=$J71,Y$3&lt;=$M71),1,"")</f>
        <v/>
      </c>
      <c r="Z71">
        <f>IF(AND($A71&lt;&gt;"",Z$3&gt;=$J71,Z$3&lt;=$M71),1,"")</f>
        <v/>
      </c>
      <c r="AA71">
        <f>IF(AND($A71&lt;&gt;"",AA$3&gt;=$J71,AA$3&lt;=$M71),1,"")</f>
        <v/>
      </c>
      <c r="AB71">
        <f>IF(AND($A71&lt;&gt;"",AB$3&gt;=$J71,AB$3&lt;=$M71),1,"")</f>
        <v/>
      </c>
      <c r="AC71">
        <f>IF(AND($A71&lt;&gt;"",AC$3&gt;=$J71,AC$3&lt;=$M71),1,"")</f>
        <v/>
      </c>
      <c r="AD71">
        <f>IF(AND($A71&lt;&gt;"",AD$3&gt;=$J71,AD$3&lt;=$M71),1,"")</f>
        <v/>
      </c>
      <c r="AE71">
        <f>IF(AND($A71&lt;&gt;"",AE$3&gt;=$J71,AE$3&lt;=$M71),1,"")</f>
        <v/>
      </c>
      <c r="AF71">
        <f>IF(AND($A71&lt;&gt;"",AF$3&gt;=$J71,AF$3&lt;=$M71),1,"")</f>
        <v/>
      </c>
      <c r="AG71">
        <f>IF(AND($A71&lt;&gt;"",AG$3&gt;=$J71,AG$3&lt;=$M71),1,"")</f>
        <v/>
      </c>
      <c r="AH71">
        <f>IF(AND($A71&lt;&gt;"",AH$3&gt;=$J71,AH$3&lt;=$M71),1,"")</f>
        <v/>
      </c>
      <c r="AI71">
        <f>IF(AND($A71&lt;&gt;"",AI$3&gt;=$J71,AI$3&lt;=$M71),1,"")</f>
        <v/>
      </c>
      <c r="AJ71">
        <f>IF(AND($A71&lt;&gt;"",AJ$3&gt;=$J71,AJ$3&lt;=$M71),1,"")</f>
        <v/>
      </c>
      <c r="AK71">
        <f>IF(AND($A71&lt;&gt;"",AK$3&gt;=$J71,AK$3&lt;=$M71),1,"")</f>
        <v/>
      </c>
      <c r="AL71">
        <f>IF(AND($A71&lt;&gt;"",AL$3&gt;=$J71,AL$3&lt;=$M71),1,"")</f>
        <v/>
      </c>
      <c r="AM71">
        <f>IF(AND($A71&lt;&gt;"",AM$3&gt;=$J71,AM$3&lt;=$M71),1,"")</f>
        <v/>
      </c>
      <c r="AN71">
        <f>IF(AND($A71&lt;&gt;"",AN$3&gt;=$J71,AN$3&lt;=$M71),1,"")</f>
        <v/>
      </c>
      <c r="AO71">
        <f>IF(AND($A71&lt;&gt;"",AO$3&gt;=$J71,AO$3&lt;=$M71),1,"")</f>
        <v/>
      </c>
      <c r="AP71">
        <f>IF(AND($A71&lt;&gt;"",AP$3&gt;=$J71,AP$3&lt;=$M71),1,"")</f>
        <v/>
      </c>
      <c r="AQ71">
        <f>IF(AND($A71&lt;&gt;"",AQ$3&gt;=$J71,AQ$3&lt;=$M71),1,"")</f>
        <v/>
      </c>
      <c r="AR71">
        <f>IF(AND($A71&lt;&gt;"",AR$3&gt;=$J71,AR$3&lt;=$M71),1,"")</f>
        <v/>
      </c>
      <c r="AS71">
        <f>IF(AND($A71&lt;&gt;"",AS$3&gt;=$J71,AS$3&lt;=$M71),1,"")</f>
        <v/>
      </c>
      <c r="AT71">
        <f>IF(AND($A71&lt;&gt;"",AT$3&gt;=$J71,AT$3&lt;=$M71),1,"")</f>
        <v/>
      </c>
      <c r="AU71">
        <f>IF(AND($A71&lt;&gt;"",AU$3&gt;=$J71,AU$3&lt;=$M71),1,"")</f>
        <v/>
      </c>
      <c r="AV71">
        <f>IF(AND($A71&lt;&gt;"",AV$3&gt;=$J71,AV$3&lt;=$M71),1,"")</f>
        <v/>
      </c>
      <c r="AW71">
        <f>IF(AND($A71&lt;&gt;"",AW$3&gt;=$J71,AW$3&lt;=$M71),1,"")</f>
        <v/>
      </c>
      <c r="AX71">
        <f>IF(AND($A71&lt;&gt;"",AX$3&gt;=$J71,AX$3&lt;=$M71),1,"")</f>
        <v/>
      </c>
      <c r="AY71">
        <f>IF(AND($A71&lt;&gt;"",AY$3&gt;=$J71,AY$3&lt;=$M71),1,"")</f>
        <v/>
      </c>
      <c r="AZ71">
        <f>IF(AND($A71&lt;&gt;"",AZ$3&gt;=$J71,AZ$3&lt;=$M71),1,"")</f>
        <v/>
      </c>
      <c r="BA71">
        <f>IF(AND($A71&lt;&gt;"",BA$3&gt;=$J71,BA$3&lt;=$M71),1,"")</f>
        <v/>
      </c>
      <c r="BB71">
        <f>IF(AND($A71&lt;&gt;"",BB$3&gt;=$J71,BB$3&lt;=$M71),1,"")</f>
        <v/>
      </c>
      <c r="BC71">
        <f>IF(AND($A71&lt;&gt;"",BC$3&gt;=$J71,BC$3&lt;=$M71),1,"")</f>
        <v/>
      </c>
      <c r="BD71">
        <f>IF(AND($A71&lt;&gt;"",BD$3&gt;=$J71,BD$3&lt;=$M71),1,"")</f>
        <v/>
      </c>
      <c r="BE71">
        <f>IF(AND($A71&lt;&gt;"",BE$3&gt;=$J71,BE$3&lt;=$M71),1,"")</f>
        <v/>
      </c>
      <c r="BF71">
        <f>IF(AND($A71&lt;&gt;"",BF$3&gt;=$J71,BF$3&lt;=$M71),1,"")</f>
        <v/>
      </c>
      <c r="BG71">
        <f>IF(AND($A71&lt;&gt;"",BG$3&gt;=$J71,BG$3&lt;=$M71),1,"")</f>
        <v/>
      </c>
      <c r="BH71">
        <f>IF(AND($A71&lt;&gt;"",BH$3&gt;=$J71,BH$3&lt;=$M71),1,"")</f>
        <v/>
      </c>
      <c r="BI71">
        <f>IF(AND($A71&lt;&gt;"",BI$3&gt;=$J71,BI$3&lt;=$M71),1,"")</f>
        <v/>
      </c>
      <c r="BJ71">
        <f>IF(AND($A71&lt;&gt;"",BJ$3&gt;=$J71,BJ$3&lt;=$M71),1,"")</f>
        <v/>
      </c>
      <c r="BK71">
        <f>IF(AND($A71&lt;&gt;"",BK$3&gt;=$J71,BK$3&lt;=$M71),1,"")</f>
        <v/>
      </c>
      <c r="BL71">
        <f>IF(AND($A71&lt;&gt;"",BL$3&gt;=$J71,BL$3&lt;=$M71),1,"")</f>
        <v/>
      </c>
      <c r="BM71">
        <f>IF(AND($A71&lt;&gt;"",BM$3&gt;=$J71,BM$3&lt;=$M71),1,"")</f>
        <v/>
      </c>
      <c r="BN71">
        <f>IF(AND($A71&lt;&gt;"",BN$3&gt;=$J71,BN$3&lt;=$M71),1,"")</f>
        <v/>
      </c>
      <c r="BO71">
        <f>IF(AND($A71&lt;&gt;"",BO$3&gt;=$J71,BO$3&lt;=$M71),1,"")</f>
        <v/>
      </c>
      <c r="BP71">
        <f>IF(AND($A71&lt;&gt;"",BP$3&gt;=$J71,BP$3&lt;=$M71),1,"")</f>
        <v/>
      </c>
      <c r="BQ71">
        <f>IF(AND($A71&lt;&gt;"",BQ$3&gt;=$J71,BQ$3&lt;=$M71),1,"")</f>
        <v/>
      </c>
      <c r="BR71">
        <f>IF(AND($A71&lt;&gt;"",BR$3&gt;=$J71,BR$3&lt;=$M71),1,"")</f>
        <v/>
      </c>
      <c r="BS71">
        <f>IF(AND($A71&lt;&gt;"",BS$3&gt;=$J71,BS$3&lt;=$M71),1,"")</f>
        <v/>
      </c>
      <c r="BT71">
        <f>IF(AND($A71&lt;&gt;"",BT$3&gt;=$J71,BT$3&lt;=$M71),1,"")</f>
        <v/>
      </c>
      <c r="BU71">
        <f>IF(AND($A71&lt;&gt;"",BU$3&gt;=$J71,BU$3&lt;=$M71),1,"")</f>
        <v/>
      </c>
      <c r="BV71">
        <f>IF(AND($A71&lt;&gt;"",BV$3&gt;=$J71,BV$3&lt;=$M71),1,"")</f>
        <v/>
      </c>
    </row>
    <row r="72">
      <c r="A72">
        <f>IF(Job_Master_Ring!$A72="","",Job_Master_Ring!$A72)</f>
        <v/>
      </c>
      <c r="B72">
        <f>IF($A72="","",Job_Master_Ring!B72)</f>
        <v/>
      </c>
      <c r="C72">
        <f>IF($A72="","",Job_Master_Ring!C72)</f>
        <v/>
      </c>
      <c r="D72">
        <f>IF($A72="","",Job_Master_Ring!D72)</f>
        <v/>
      </c>
      <c r="E72">
        <f>IF($A72="","",IF($I72&lt;&gt;"",$I72,IFERROR(INDEX(Machine_List!$B$82:$B$86,MATCH(1,(Machine_List!$H$82:$H$86&lt;=IFERROR(VLOOKUP($B72,CHOOSE(MATCH($C72,Settings!$L$4:$L$10,0),OPR_BR1!$A$4:$K$18,OPR_BR2!$A$4:$K$18,OPR_CR2!$A$4:$K$18,OPR_CR3!$A$4:$K$18,OPR_CR4!$A$4:$K$18,OPR_RIM!$A$4:$K$18,OPR_BPR!$A$4:$K$18),10,0),0))*(Machine_List!$I$82:$I$86&gt;=IFERROR(VLOOKUP($B72,CHOOSE(MATCH($C72,Settings!$L$4:$L$10,0),OPR_BR1!$A$4:$K$18,OPR_BR2!$A$4:$K$18,OPR_CR2!$A$4:$K$18,OPR_CR3!$A$4:$K$18,OPR_CR4!$A$4:$K$18,OPR_RIM!$A$4:$K$18,OPR_BPR!$A$4:$K$18),11,0),9999)),0)),"NO COMPATIBLE MACHINE")))</f>
        <v/>
      </c>
      <c r="F72">
        <f>IF($E72="","",IFERROR(VLOOKUP($E72,Machine_List!$B:$G,6,0),""))</f>
        <v/>
      </c>
      <c r="G72" s="17">
        <f>IF($E72="","",IFERROR(VLOOKUP($E72,Machine_List!$B:$C,2,0),""))</f>
        <v/>
      </c>
      <c r="H72">
        <f>IF($E72="","",IFERROR(VLOOKUP($E72,Machine_List!$B:$D,3,0),""))</f>
        <v/>
      </c>
      <c r="J72" s="16">
        <f>IF($A72="","",IF($I72&lt;&gt;"",$I72,MAX(FID_Plan!$M72,IFERROR(LOOKUP(2,1/($E$3:INDIRECT("E"&amp;(ROW()-1))=$E72),$M$3:INDIRECT("M"&amp;(ROW()-1))),FID_Plan!$M72))))</f>
        <v/>
      </c>
      <c r="K72">
        <f>IF($A72="","",IFERROR(VLOOKUP(B72,CHOOSE(MATCH($C72,Settings!$L$4:$L$10,0),OPR_BR1!$A$4:$I$18,OPR_BR2!$A$4:$I$18,OPR_CR2!$A$4:$I$18,OPR_CR3!$A$4:$I$18,OPR_CR4!$A$4:$I$18,OPR_RIM!$A$4:$I$18,OPR_BPR!$A$4:$I$18),9,0),0))</f>
        <v/>
      </c>
      <c r="L72">
        <f>IF($A72="","",K72*D72)</f>
        <v/>
      </c>
      <c r="M72" s="16">
        <f>IF($A72=""," ",$J72+($L72/(IF(F72="Contract Workman",Settings!$K$5,Settings!$K$4))))</f>
        <v/>
      </c>
      <c r="N72">
        <f>IF($A72="","",IF(F72="Contract Workman",IF(AND(MOD(M72,1)&gt;=8/24,MOD(M72,1)&lt;20/24),"Shift S1","Shift S2"),IF(AND(MOD(M72,1)&gt;=7/24,MOD(M72,1)&lt;15/24),"Shift A",IF(AND(MOD(M72,1)&gt;=15/24,MOD(M72,1)&lt;23/24),"Shift B","Shift C"))))</f>
        <v/>
      </c>
      <c r="O72">
        <f>IF(B72="","",IF(IFERROR(ISNUMBER(SEARCH(TEXT(B72,"0"),VLOOKUP(E72,Machine_List!$B:$J,9,0))),FALSE),"✅ "&amp; E72,"❌ Sug: "&amp;IFERROR(INDEX(Machine_List!$B$82:$B$86,MATCH(1,(Machine_List!$H$82:$H$86&lt;=IFERROR(VLOOKUP($B72,OPR_BR1!$A$4:$K$18,10,0),0))*(Machine_List!$I$82:$I$86&gt;=IFERROR(VLOOKUP($B72,OPR_BR1!$A$4:$K$18,11,0),9999)),0)),"?")))</f>
        <v/>
      </c>
      <c r="P72">
        <f>IF(AND($A72&lt;&gt;"",P$3&gt;=$J72,P$3&lt;=$M72),1,"")</f>
        <v/>
      </c>
      <c r="Q72">
        <f>IF(AND($A72&lt;&gt;"",Q$3&gt;=$J72,Q$3&lt;=$M72),1,"")</f>
        <v/>
      </c>
      <c r="R72">
        <f>IF(AND($A72&lt;&gt;"",R$3&gt;=$J72,R$3&lt;=$M72),1,"")</f>
        <v/>
      </c>
      <c r="S72">
        <f>IF(AND($A72&lt;&gt;"",S$3&gt;=$J72,S$3&lt;=$M72),1,"")</f>
        <v/>
      </c>
      <c r="T72">
        <f>IF(AND($A72&lt;&gt;"",T$3&gt;=$J72,T$3&lt;=$M72),1,"")</f>
        <v/>
      </c>
      <c r="U72">
        <f>IF(AND($A72&lt;&gt;"",U$3&gt;=$J72,U$3&lt;=$M72),1,"")</f>
        <v/>
      </c>
      <c r="V72">
        <f>IF(AND($A72&lt;&gt;"",V$3&gt;=$J72,V$3&lt;=$M72),1,"")</f>
        <v/>
      </c>
      <c r="W72">
        <f>IF(AND($A72&lt;&gt;"",W$3&gt;=$J72,W$3&lt;=$M72),1,"")</f>
        <v/>
      </c>
      <c r="X72">
        <f>IF(AND($A72&lt;&gt;"",X$3&gt;=$J72,X$3&lt;=$M72),1,"")</f>
        <v/>
      </c>
      <c r="Y72">
        <f>IF(AND($A72&lt;&gt;"",Y$3&gt;=$J72,Y$3&lt;=$M72),1,"")</f>
        <v/>
      </c>
      <c r="Z72">
        <f>IF(AND($A72&lt;&gt;"",Z$3&gt;=$J72,Z$3&lt;=$M72),1,"")</f>
        <v/>
      </c>
      <c r="AA72">
        <f>IF(AND($A72&lt;&gt;"",AA$3&gt;=$J72,AA$3&lt;=$M72),1,"")</f>
        <v/>
      </c>
      <c r="AB72">
        <f>IF(AND($A72&lt;&gt;"",AB$3&gt;=$J72,AB$3&lt;=$M72),1,"")</f>
        <v/>
      </c>
      <c r="AC72">
        <f>IF(AND($A72&lt;&gt;"",AC$3&gt;=$J72,AC$3&lt;=$M72),1,"")</f>
        <v/>
      </c>
      <c r="AD72">
        <f>IF(AND($A72&lt;&gt;"",AD$3&gt;=$J72,AD$3&lt;=$M72),1,"")</f>
        <v/>
      </c>
      <c r="AE72">
        <f>IF(AND($A72&lt;&gt;"",AE$3&gt;=$J72,AE$3&lt;=$M72),1,"")</f>
        <v/>
      </c>
      <c r="AF72">
        <f>IF(AND($A72&lt;&gt;"",AF$3&gt;=$J72,AF$3&lt;=$M72),1,"")</f>
        <v/>
      </c>
      <c r="AG72">
        <f>IF(AND($A72&lt;&gt;"",AG$3&gt;=$J72,AG$3&lt;=$M72),1,"")</f>
        <v/>
      </c>
      <c r="AH72">
        <f>IF(AND($A72&lt;&gt;"",AH$3&gt;=$J72,AH$3&lt;=$M72),1,"")</f>
        <v/>
      </c>
      <c r="AI72">
        <f>IF(AND($A72&lt;&gt;"",AI$3&gt;=$J72,AI$3&lt;=$M72),1,"")</f>
        <v/>
      </c>
      <c r="AJ72">
        <f>IF(AND($A72&lt;&gt;"",AJ$3&gt;=$J72,AJ$3&lt;=$M72),1,"")</f>
        <v/>
      </c>
      <c r="AK72">
        <f>IF(AND($A72&lt;&gt;"",AK$3&gt;=$J72,AK$3&lt;=$M72),1,"")</f>
        <v/>
      </c>
      <c r="AL72">
        <f>IF(AND($A72&lt;&gt;"",AL$3&gt;=$J72,AL$3&lt;=$M72),1,"")</f>
        <v/>
      </c>
      <c r="AM72">
        <f>IF(AND($A72&lt;&gt;"",AM$3&gt;=$J72,AM$3&lt;=$M72),1,"")</f>
        <v/>
      </c>
      <c r="AN72">
        <f>IF(AND($A72&lt;&gt;"",AN$3&gt;=$J72,AN$3&lt;=$M72),1,"")</f>
        <v/>
      </c>
      <c r="AO72">
        <f>IF(AND($A72&lt;&gt;"",AO$3&gt;=$J72,AO$3&lt;=$M72),1,"")</f>
        <v/>
      </c>
      <c r="AP72">
        <f>IF(AND($A72&lt;&gt;"",AP$3&gt;=$J72,AP$3&lt;=$M72),1,"")</f>
        <v/>
      </c>
      <c r="AQ72">
        <f>IF(AND($A72&lt;&gt;"",AQ$3&gt;=$J72,AQ$3&lt;=$M72),1,"")</f>
        <v/>
      </c>
      <c r="AR72">
        <f>IF(AND($A72&lt;&gt;"",AR$3&gt;=$J72,AR$3&lt;=$M72),1,"")</f>
        <v/>
      </c>
      <c r="AS72">
        <f>IF(AND($A72&lt;&gt;"",AS$3&gt;=$J72,AS$3&lt;=$M72),1,"")</f>
        <v/>
      </c>
      <c r="AT72">
        <f>IF(AND($A72&lt;&gt;"",AT$3&gt;=$J72,AT$3&lt;=$M72),1,"")</f>
        <v/>
      </c>
      <c r="AU72">
        <f>IF(AND($A72&lt;&gt;"",AU$3&gt;=$J72,AU$3&lt;=$M72),1,"")</f>
        <v/>
      </c>
      <c r="AV72">
        <f>IF(AND($A72&lt;&gt;"",AV$3&gt;=$J72,AV$3&lt;=$M72),1,"")</f>
        <v/>
      </c>
      <c r="AW72">
        <f>IF(AND($A72&lt;&gt;"",AW$3&gt;=$J72,AW$3&lt;=$M72),1,"")</f>
        <v/>
      </c>
      <c r="AX72">
        <f>IF(AND($A72&lt;&gt;"",AX$3&gt;=$J72,AX$3&lt;=$M72),1,"")</f>
        <v/>
      </c>
      <c r="AY72">
        <f>IF(AND($A72&lt;&gt;"",AY$3&gt;=$J72,AY$3&lt;=$M72),1,"")</f>
        <v/>
      </c>
      <c r="AZ72">
        <f>IF(AND($A72&lt;&gt;"",AZ$3&gt;=$J72,AZ$3&lt;=$M72),1,"")</f>
        <v/>
      </c>
      <c r="BA72">
        <f>IF(AND($A72&lt;&gt;"",BA$3&gt;=$J72,BA$3&lt;=$M72),1,"")</f>
        <v/>
      </c>
      <c r="BB72">
        <f>IF(AND($A72&lt;&gt;"",BB$3&gt;=$J72,BB$3&lt;=$M72),1,"")</f>
        <v/>
      </c>
      <c r="BC72">
        <f>IF(AND($A72&lt;&gt;"",BC$3&gt;=$J72,BC$3&lt;=$M72),1,"")</f>
        <v/>
      </c>
      <c r="BD72">
        <f>IF(AND($A72&lt;&gt;"",BD$3&gt;=$J72,BD$3&lt;=$M72),1,"")</f>
        <v/>
      </c>
      <c r="BE72">
        <f>IF(AND($A72&lt;&gt;"",BE$3&gt;=$J72,BE$3&lt;=$M72),1,"")</f>
        <v/>
      </c>
      <c r="BF72">
        <f>IF(AND($A72&lt;&gt;"",BF$3&gt;=$J72,BF$3&lt;=$M72),1,"")</f>
        <v/>
      </c>
      <c r="BG72">
        <f>IF(AND($A72&lt;&gt;"",BG$3&gt;=$J72,BG$3&lt;=$M72),1,"")</f>
        <v/>
      </c>
      <c r="BH72">
        <f>IF(AND($A72&lt;&gt;"",BH$3&gt;=$J72,BH$3&lt;=$M72),1,"")</f>
        <v/>
      </c>
      <c r="BI72">
        <f>IF(AND($A72&lt;&gt;"",BI$3&gt;=$J72,BI$3&lt;=$M72),1,"")</f>
        <v/>
      </c>
      <c r="BJ72">
        <f>IF(AND($A72&lt;&gt;"",BJ$3&gt;=$J72,BJ$3&lt;=$M72),1,"")</f>
        <v/>
      </c>
      <c r="BK72">
        <f>IF(AND($A72&lt;&gt;"",BK$3&gt;=$J72,BK$3&lt;=$M72),1,"")</f>
        <v/>
      </c>
      <c r="BL72">
        <f>IF(AND($A72&lt;&gt;"",BL$3&gt;=$J72,BL$3&lt;=$M72),1,"")</f>
        <v/>
      </c>
      <c r="BM72">
        <f>IF(AND($A72&lt;&gt;"",BM$3&gt;=$J72,BM$3&lt;=$M72),1,"")</f>
        <v/>
      </c>
      <c r="BN72">
        <f>IF(AND($A72&lt;&gt;"",BN$3&gt;=$J72,BN$3&lt;=$M72),1,"")</f>
        <v/>
      </c>
      <c r="BO72">
        <f>IF(AND($A72&lt;&gt;"",BO$3&gt;=$J72,BO$3&lt;=$M72),1,"")</f>
        <v/>
      </c>
      <c r="BP72">
        <f>IF(AND($A72&lt;&gt;"",BP$3&gt;=$J72,BP$3&lt;=$M72),1,"")</f>
        <v/>
      </c>
      <c r="BQ72">
        <f>IF(AND($A72&lt;&gt;"",BQ$3&gt;=$J72,BQ$3&lt;=$M72),1,"")</f>
        <v/>
      </c>
      <c r="BR72">
        <f>IF(AND($A72&lt;&gt;"",BR$3&gt;=$J72,BR$3&lt;=$M72),1,"")</f>
        <v/>
      </c>
      <c r="BS72">
        <f>IF(AND($A72&lt;&gt;"",BS$3&gt;=$J72,BS$3&lt;=$M72),1,"")</f>
        <v/>
      </c>
      <c r="BT72">
        <f>IF(AND($A72&lt;&gt;"",BT$3&gt;=$J72,BT$3&lt;=$M72),1,"")</f>
        <v/>
      </c>
      <c r="BU72">
        <f>IF(AND($A72&lt;&gt;"",BU$3&gt;=$J72,BU$3&lt;=$M72),1,"")</f>
        <v/>
      </c>
      <c r="BV72">
        <f>IF(AND($A72&lt;&gt;"",BV$3&gt;=$J72,BV$3&lt;=$M72),1,"")</f>
        <v/>
      </c>
    </row>
    <row r="73">
      <c r="A73">
        <f>IF(Job_Master_Ring!$A73="","",Job_Master_Ring!$A73)</f>
        <v/>
      </c>
      <c r="B73">
        <f>IF($A73="","",Job_Master_Ring!B73)</f>
        <v/>
      </c>
      <c r="C73">
        <f>IF($A73="","",Job_Master_Ring!C73)</f>
        <v/>
      </c>
      <c r="D73">
        <f>IF($A73="","",Job_Master_Ring!D73)</f>
        <v/>
      </c>
      <c r="E73">
        <f>IF($A73="","",IF($I73&lt;&gt;"",$I73,IFERROR(INDEX(Machine_List!$B$82:$B$86,MATCH(1,(Machine_List!$H$82:$H$86&lt;=IFERROR(VLOOKUP($B73,CHOOSE(MATCH($C73,Settings!$L$4:$L$10,0),OPR_BR1!$A$4:$K$18,OPR_BR2!$A$4:$K$18,OPR_CR2!$A$4:$K$18,OPR_CR3!$A$4:$K$18,OPR_CR4!$A$4:$K$18,OPR_RIM!$A$4:$K$18,OPR_BPR!$A$4:$K$18),10,0),0))*(Machine_List!$I$82:$I$86&gt;=IFERROR(VLOOKUP($B73,CHOOSE(MATCH($C73,Settings!$L$4:$L$10,0),OPR_BR1!$A$4:$K$18,OPR_BR2!$A$4:$K$18,OPR_CR2!$A$4:$K$18,OPR_CR3!$A$4:$K$18,OPR_CR4!$A$4:$K$18,OPR_RIM!$A$4:$K$18,OPR_BPR!$A$4:$K$18),11,0),9999)),0)),"NO COMPATIBLE MACHINE")))</f>
        <v/>
      </c>
      <c r="F73">
        <f>IF($E73="","",IFERROR(VLOOKUP($E73,Machine_List!$B:$G,6,0),""))</f>
        <v/>
      </c>
      <c r="G73" s="17">
        <f>IF($E73="","",IFERROR(VLOOKUP($E73,Machine_List!$B:$C,2,0),""))</f>
        <v/>
      </c>
      <c r="H73">
        <f>IF($E73="","",IFERROR(VLOOKUP($E73,Machine_List!$B:$D,3,0),""))</f>
        <v/>
      </c>
      <c r="J73" s="16">
        <f>IF($A73="","",IF($I73&lt;&gt;"",$I73,MAX(FID_Plan!$M73,IFERROR(LOOKUP(2,1/($E$3:INDIRECT("E"&amp;(ROW()-1))=$E73),$M$3:INDIRECT("M"&amp;(ROW()-1))),FID_Plan!$M73))))</f>
        <v/>
      </c>
      <c r="K73">
        <f>IF($A73="","",IFERROR(VLOOKUP(B73,CHOOSE(MATCH($C73,Settings!$L$4:$L$10,0),OPR_BR1!$A$4:$I$18,OPR_BR2!$A$4:$I$18,OPR_CR2!$A$4:$I$18,OPR_CR3!$A$4:$I$18,OPR_CR4!$A$4:$I$18,OPR_RIM!$A$4:$I$18,OPR_BPR!$A$4:$I$18),9,0),0))</f>
        <v/>
      </c>
      <c r="L73">
        <f>IF($A73="","",K73*D73)</f>
        <v/>
      </c>
      <c r="M73" s="16">
        <f>IF($A73=""," ",$J73+($L73/(IF(F73="Contract Workman",Settings!$K$5,Settings!$K$4))))</f>
        <v/>
      </c>
      <c r="N73">
        <f>IF($A73="","",IF(F73="Contract Workman",IF(AND(MOD(M73,1)&gt;=8/24,MOD(M73,1)&lt;20/24),"Shift S1","Shift S2"),IF(AND(MOD(M73,1)&gt;=7/24,MOD(M73,1)&lt;15/24),"Shift A",IF(AND(MOD(M73,1)&gt;=15/24,MOD(M73,1)&lt;23/24),"Shift B","Shift C"))))</f>
        <v/>
      </c>
      <c r="O73">
        <f>IF(B73="","",IF(IFERROR(ISNUMBER(SEARCH(TEXT(B73,"0"),VLOOKUP(E73,Machine_List!$B:$J,9,0))),FALSE),"✅ "&amp; E73,"❌ Sug: "&amp;IFERROR(INDEX(Machine_List!$B$82:$B$86,MATCH(1,(Machine_List!$H$82:$H$86&lt;=IFERROR(VLOOKUP($B73,OPR_BR1!$A$4:$K$18,10,0),0))*(Machine_List!$I$82:$I$86&gt;=IFERROR(VLOOKUP($B73,OPR_BR1!$A$4:$K$18,11,0),9999)),0)),"?")))</f>
        <v/>
      </c>
      <c r="P73">
        <f>IF(AND($A73&lt;&gt;"",P$3&gt;=$J73,P$3&lt;=$M73),1,"")</f>
        <v/>
      </c>
      <c r="Q73">
        <f>IF(AND($A73&lt;&gt;"",Q$3&gt;=$J73,Q$3&lt;=$M73),1,"")</f>
        <v/>
      </c>
      <c r="R73">
        <f>IF(AND($A73&lt;&gt;"",R$3&gt;=$J73,R$3&lt;=$M73),1,"")</f>
        <v/>
      </c>
      <c r="S73">
        <f>IF(AND($A73&lt;&gt;"",S$3&gt;=$J73,S$3&lt;=$M73),1,"")</f>
        <v/>
      </c>
      <c r="T73">
        <f>IF(AND($A73&lt;&gt;"",T$3&gt;=$J73,T$3&lt;=$M73),1,"")</f>
        <v/>
      </c>
      <c r="U73">
        <f>IF(AND($A73&lt;&gt;"",U$3&gt;=$J73,U$3&lt;=$M73),1,"")</f>
        <v/>
      </c>
      <c r="V73">
        <f>IF(AND($A73&lt;&gt;"",V$3&gt;=$J73,V$3&lt;=$M73),1,"")</f>
        <v/>
      </c>
      <c r="W73">
        <f>IF(AND($A73&lt;&gt;"",W$3&gt;=$J73,W$3&lt;=$M73),1,"")</f>
        <v/>
      </c>
      <c r="X73">
        <f>IF(AND($A73&lt;&gt;"",X$3&gt;=$J73,X$3&lt;=$M73),1,"")</f>
        <v/>
      </c>
      <c r="Y73">
        <f>IF(AND($A73&lt;&gt;"",Y$3&gt;=$J73,Y$3&lt;=$M73),1,"")</f>
        <v/>
      </c>
      <c r="Z73">
        <f>IF(AND($A73&lt;&gt;"",Z$3&gt;=$J73,Z$3&lt;=$M73),1,"")</f>
        <v/>
      </c>
      <c r="AA73">
        <f>IF(AND($A73&lt;&gt;"",AA$3&gt;=$J73,AA$3&lt;=$M73),1,"")</f>
        <v/>
      </c>
      <c r="AB73">
        <f>IF(AND($A73&lt;&gt;"",AB$3&gt;=$J73,AB$3&lt;=$M73),1,"")</f>
        <v/>
      </c>
      <c r="AC73">
        <f>IF(AND($A73&lt;&gt;"",AC$3&gt;=$J73,AC$3&lt;=$M73),1,"")</f>
        <v/>
      </c>
      <c r="AD73">
        <f>IF(AND($A73&lt;&gt;"",AD$3&gt;=$J73,AD$3&lt;=$M73),1,"")</f>
        <v/>
      </c>
      <c r="AE73">
        <f>IF(AND($A73&lt;&gt;"",AE$3&gt;=$J73,AE$3&lt;=$M73),1,"")</f>
        <v/>
      </c>
      <c r="AF73">
        <f>IF(AND($A73&lt;&gt;"",AF$3&gt;=$J73,AF$3&lt;=$M73),1,"")</f>
        <v/>
      </c>
      <c r="AG73">
        <f>IF(AND($A73&lt;&gt;"",AG$3&gt;=$J73,AG$3&lt;=$M73),1,"")</f>
        <v/>
      </c>
      <c r="AH73">
        <f>IF(AND($A73&lt;&gt;"",AH$3&gt;=$J73,AH$3&lt;=$M73),1,"")</f>
        <v/>
      </c>
      <c r="AI73">
        <f>IF(AND($A73&lt;&gt;"",AI$3&gt;=$J73,AI$3&lt;=$M73),1,"")</f>
        <v/>
      </c>
      <c r="AJ73">
        <f>IF(AND($A73&lt;&gt;"",AJ$3&gt;=$J73,AJ$3&lt;=$M73),1,"")</f>
        <v/>
      </c>
      <c r="AK73">
        <f>IF(AND($A73&lt;&gt;"",AK$3&gt;=$J73,AK$3&lt;=$M73),1,"")</f>
        <v/>
      </c>
      <c r="AL73">
        <f>IF(AND($A73&lt;&gt;"",AL$3&gt;=$J73,AL$3&lt;=$M73),1,"")</f>
        <v/>
      </c>
      <c r="AM73">
        <f>IF(AND($A73&lt;&gt;"",AM$3&gt;=$J73,AM$3&lt;=$M73),1,"")</f>
        <v/>
      </c>
      <c r="AN73">
        <f>IF(AND($A73&lt;&gt;"",AN$3&gt;=$J73,AN$3&lt;=$M73),1,"")</f>
        <v/>
      </c>
      <c r="AO73">
        <f>IF(AND($A73&lt;&gt;"",AO$3&gt;=$J73,AO$3&lt;=$M73),1,"")</f>
        <v/>
      </c>
      <c r="AP73">
        <f>IF(AND($A73&lt;&gt;"",AP$3&gt;=$J73,AP$3&lt;=$M73),1,"")</f>
        <v/>
      </c>
      <c r="AQ73">
        <f>IF(AND($A73&lt;&gt;"",AQ$3&gt;=$J73,AQ$3&lt;=$M73),1,"")</f>
        <v/>
      </c>
      <c r="AR73">
        <f>IF(AND($A73&lt;&gt;"",AR$3&gt;=$J73,AR$3&lt;=$M73),1,"")</f>
        <v/>
      </c>
      <c r="AS73">
        <f>IF(AND($A73&lt;&gt;"",AS$3&gt;=$J73,AS$3&lt;=$M73),1,"")</f>
        <v/>
      </c>
      <c r="AT73">
        <f>IF(AND($A73&lt;&gt;"",AT$3&gt;=$J73,AT$3&lt;=$M73),1,"")</f>
        <v/>
      </c>
      <c r="AU73">
        <f>IF(AND($A73&lt;&gt;"",AU$3&gt;=$J73,AU$3&lt;=$M73),1,"")</f>
        <v/>
      </c>
      <c r="AV73">
        <f>IF(AND($A73&lt;&gt;"",AV$3&gt;=$J73,AV$3&lt;=$M73),1,"")</f>
        <v/>
      </c>
      <c r="AW73">
        <f>IF(AND($A73&lt;&gt;"",AW$3&gt;=$J73,AW$3&lt;=$M73),1,"")</f>
        <v/>
      </c>
      <c r="AX73">
        <f>IF(AND($A73&lt;&gt;"",AX$3&gt;=$J73,AX$3&lt;=$M73),1,"")</f>
        <v/>
      </c>
      <c r="AY73">
        <f>IF(AND($A73&lt;&gt;"",AY$3&gt;=$J73,AY$3&lt;=$M73),1,"")</f>
        <v/>
      </c>
      <c r="AZ73">
        <f>IF(AND($A73&lt;&gt;"",AZ$3&gt;=$J73,AZ$3&lt;=$M73),1,"")</f>
        <v/>
      </c>
      <c r="BA73">
        <f>IF(AND($A73&lt;&gt;"",BA$3&gt;=$J73,BA$3&lt;=$M73),1,"")</f>
        <v/>
      </c>
      <c r="BB73">
        <f>IF(AND($A73&lt;&gt;"",BB$3&gt;=$J73,BB$3&lt;=$M73),1,"")</f>
        <v/>
      </c>
      <c r="BC73">
        <f>IF(AND($A73&lt;&gt;"",BC$3&gt;=$J73,BC$3&lt;=$M73),1,"")</f>
        <v/>
      </c>
      <c r="BD73">
        <f>IF(AND($A73&lt;&gt;"",BD$3&gt;=$J73,BD$3&lt;=$M73),1,"")</f>
        <v/>
      </c>
      <c r="BE73">
        <f>IF(AND($A73&lt;&gt;"",BE$3&gt;=$J73,BE$3&lt;=$M73),1,"")</f>
        <v/>
      </c>
      <c r="BF73">
        <f>IF(AND($A73&lt;&gt;"",BF$3&gt;=$J73,BF$3&lt;=$M73),1,"")</f>
        <v/>
      </c>
      <c r="BG73">
        <f>IF(AND($A73&lt;&gt;"",BG$3&gt;=$J73,BG$3&lt;=$M73),1,"")</f>
        <v/>
      </c>
      <c r="BH73">
        <f>IF(AND($A73&lt;&gt;"",BH$3&gt;=$J73,BH$3&lt;=$M73),1,"")</f>
        <v/>
      </c>
      <c r="BI73">
        <f>IF(AND($A73&lt;&gt;"",BI$3&gt;=$J73,BI$3&lt;=$M73),1,"")</f>
        <v/>
      </c>
      <c r="BJ73">
        <f>IF(AND($A73&lt;&gt;"",BJ$3&gt;=$J73,BJ$3&lt;=$M73),1,"")</f>
        <v/>
      </c>
      <c r="BK73">
        <f>IF(AND($A73&lt;&gt;"",BK$3&gt;=$J73,BK$3&lt;=$M73),1,"")</f>
        <v/>
      </c>
      <c r="BL73">
        <f>IF(AND($A73&lt;&gt;"",BL$3&gt;=$J73,BL$3&lt;=$M73),1,"")</f>
        <v/>
      </c>
      <c r="BM73">
        <f>IF(AND($A73&lt;&gt;"",BM$3&gt;=$J73,BM$3&lt;=$M73),1,"")</f>
        <v/>
      </c>
      <c r="BN73">
        <f>IF(AND($A73&lt;&gt;"",BN$3&gt;=$J73,BN$3&lt;=$M73),1,"")</f>
        <v/>
      </c>
      <c r="BO73">
        <f>IF(AND($A73&lt;&gt;"",BO$3&gt;=$J73,BO$3&lt;=$M73),1,"")</f>
        <v/>
      </c>
      <c r="BP73">
        <f>IF(AND($A73&lt;&gt;"",BP$3&gt;=$J73,BP$3&lt;=$M73),1,"")</f>
        <v/>
      </c>
      <c r="BQ73">
        <f>IF(AND($A73&lt;&gt;"",BQ$3&gt;=$J73,BQ$3&lt;=$M73),1,"")</f>
        <v/>
      </c>
      <c r="BR73">
        <f>IF(AND($A73&lt;&gt;"",BR$3&gt;=$J73,BR$3&lt;=$M73),1,"")</f>
        <v/>
      </c>
      <c r="BS73">
        <f>IF(AND($A73&lt;&gt;"",BS$3&gt;=$J73,BS$3&lt;=$M73),1,"")</f>
        <v/>
      </c>
      <c r="BT73">
        <f>IF(AND($A73&lt;&gt;"",BT$3&gt;=$J73,BT$3&lt;=$M73),1,"")</f>
        <v/>
      </c>
      <c r="BU73">
        <f>IF(AND($A73&lt;&gt;"",BU$3&gt;=$J73,BU$3&lt;=$M73),1,"")</f>
        <v/>
      </c>
      <c r="BV73">
        <f>IF(AND($A73&lt;&gt;"",BV$3&gt;=$J73,BV$3&lt;=$M73),1,"")</f>
        <v/>
      </c>
    </row>
    <row r="74">
      <c r="A74">
        <f>IF(Job_Master_Ring!$A74="","",Job_Master_Ring!$A74)</f>
        <v/>
      </c>
      <c r="B74">
        <f>IF($A74="","",Job_Master_Ring!B74)</f>
        <v/>
      </c>
      <c r="C74">
        <f>IF($A74="","",Job_Master_Ring!C74)</f>
        <v/>
      </c>
      <c r="D74">
        <f>IF($A74="","",Job_Master_Ring!D74)</f>
        <v/>
      </c>
      <c r="E74">
        <f>IF($A74="","",IF($I74&lt;&gt;"",$I74,IFERROR(INDEX(Machine_List!$B$82:$B$86,MATCH(1,(Machine_List!$H$82:$H$86&lt;=IFERROR(VLOOKUP($B74,CHOOSE(MATCH($C74,Settings!$L$4:$L$10,0),OPR_BR1!$A$4:$K$18,OPR_BR2!$A$4:$K$18,OPR_CR2!$A$4:$K$18,OPR_CR3!$A$4:$K$18,OPR_CR4!$A$4:$K$18,OPR_RIM!$A$4:$K$18,OPR_BPR!$A$4:$K$18),10,0),0))*(Machine_List!$I$82:$I$86&gt;=IFERROR(VLOOKUP($B74,CHOOSE(MATCH($C74,Settings!$L$4:$L$10,0),OPR_BR1!$A$4:$K$18,OPR_BR2!$A$4:$K$18,OPR_CR2!$A$4:$K$18,OPR_CR3!$A$4:$K$18,OPR_CR4!$A$4:$K$18,OPR_RIM!$A$4:$K$18,OPR_BPR!$A$4:$K$18),11,0),9999)),0)),"NO COMPATIBLE MACHINE")))</f>
        <v/>
      </c>
      <c r="F74">
        <f>IF($E74="","",IFERROR(VLOOKUP($E74,Machine_List!$B:$G,6,0),""))</f>
        <v/>
      </c>
      <c r="G74" s="17">
        <f>IF($E74="","",IFERROR(VLOOKUP($E74,Machine_List!$B:$C,2,0),""))</f>
        <v/>
      </c>
      <c r="H74">
        <f>IF($E74="","",IFERROR(VLOOKUP($E74,Machine_List!$B:$D,3,0),""))</f>
        <v/>
      </c>
      <c r="J74" s="16">
        <f>IF($A74="","",IF($I74&lt;&gt;"",$I74,MAX(FID_Plan!$M74,IFERROR(LOOKUP(2,1/($E$3:INDIRECT("E"&amp;(ROW()-1))=$E74),$M$3:INDIRECT("M"&amp;(ROW()-1))),FID_Plan!$M74))))</f>
        <v/>
      </c>
      <c r="K74">
        <f>IF($A74="","",IFERROR(VLOOKUP(B74,CHOOSE(MATCH($C74,Settings!$L$4:$L$10,0),OPR_BR1!$A$4:$I$18,OPR_BR2!$A$4:$I$18,OPR_CR2!$A$4:$I$18,OPR_CR3!$A$4:$I$18,OPR_CR4!$A$4:$I$18,OPR_RIM!$A$4:$I$18,OPR_BPR!$A$4:$I$18),9,0),0))</f>
        <v/>
      </c>
      <c r="L74">
        <f>IF($A74="","",K74*D74)</f>
        <v/>
      </c>
      <c r="M74" s="16">
        <f>IF($A74=""," ",$J74+($L74/(IF(F74="Contract Workman",Settings!$K$5,Settings!$K$4))))</f>
        <v/>
      </c>
      <c r="N74">
        <f>IF($A74="","",IF(F74="Contract Workman",IF(AND(MOD(M74,1)&gt;=8/24,MOD(M74,1)&lt;20/24),"Shift S1","Shift S2"),IF(AND(MOD(M74,1)&gt;=7/24,MOD(M74,1)&lt;15/24),"Shift A",IF(AND(MOD(M74,1)&gt;=15/24,MOD(M74,1)&lt;23/24),"Shift B","Shift C"))))</f>
        <v/>
      </c>
      <c r="O74">
        <f>IF(B74="","",IF(IFERROR(ISNUMBER(SEARCH(TEXT(B74,"0"),VLOOKUP(E74,Machine_List!$B:$J,9,0))),FALSE),"✅ "&amp; E74,"❌ Sug: "&amp;IFERROR(INDEX(Machine_List!$B$82:$B$86,MATCH(1,(Machine_List!$H$82:$H$86&lt;=IFERROR(VLOOKUP($B74,OPR_BR1!$A$4:$K$18,10,0),0))*(Machine_List!$I$82:$I$86&gt;=IFERROR(VLOOKUP($B74,OPR_BR1!$A$4:$K$18,11,0),9999)),0)),"?")))</f>
        <v/>
      </c>
      <c r="P74">
        <f>IF(AND($A74&lt;&gt;"",P$3&gt;=$J74,P$3&lt;=$M74),1,"")</f>
        <v/>
      </c>
      <c r="Q74">
        <f>IF(AND($A74&lt;&gt;"",Q$3&gt;=$J74,Q$3&lt;=$M74),1,"")</f>
        <v/>
      </c>
      <c r="R74">
        <f>IF(AND($A74&lt;&gt;"",R$3&gt;=$J74,R$3&lt;=$M74),1,"")</f>
        <v/>
      </c>
      <c r="S74">
        <f>IF(AND($A74&lt;&gt;"",S$3&gt;=$J74,S$3&lt;=$M74),1,"")</f>
        <v/>
      </c>
      <c r="T74">
        <f>IF(AND($A74&lt;&gt;"",T$3&gt;=$J74,T$3&lt;=$M74),1,"")</f>
        <v/>
      </c>
      <c r="U74">
        <f>IF(AND($A74&lt;&gt;"",U$3&gt;=$J74,U$3&lt;=$M74),1,"")</f>
        <v/>
      </c>
      <c r="V74">
        <f>IF(AND($A74&lt;&gt;"",V$3&gt;=$J74,V$3&lt;=$M74),1,"")</f>
        <v/>
      </c>
      <c r="W74">
        <f>IF(AND($A74&lt;&gt;"",W$3&gt;=$J74,W$3&lt;=$M74),1,"")</f>
        <v/>
      </c>
      <c r="X74">
        <f>IF(AND($A74&lt;&gt;"",X$3&gt;=$J74,X$3&lt;=$M74),1,"")</f>
        <v/>
      </c>
      <c r="Y74">
        <f>IF(AND($A74&lt;&gt;"",Y$3&gt;=$J74,Y$3&lt;=$M74),1,"")</f>
        <v/>
      </c>
      <c r="Z74">
        <f>IF(AND($A74&lt;&gt;"",Z$3&gt;=$J74,Z$3&lt;=$M74),1,"")</f>
        <v/>
      </c>
      <c r="AA74">
        <f>IF(AND($A74&lt;&gt;"",AA$3&gt;=$J74,AA$3&lt;=$M74),1,"")</f>
        <v/>
      </c>
      <c r="AB74">
        <f>IF(AND($A74&lt;&gt;"",AB$3&gt;=$J74,AB$3&lt;=$M74),1,"")</f>
        <v/>
      </c>
      <c r="AC74">
        <f>IF(AND($A74&lt;&gt;"",AC$3&gt;=$J74,AC$3&lt;=$M74),1,"")</f>
        <v/>
      </c>
      <c r="AD74">
        <f>IF(AND($A74&lt;&gt;"",AD$3&gt;=$J74,AD$3&lt;=$M74),1,"")</f>
        <v/>
      </c>
      <c r="AE74">
        <f>IF(AND($A74&lt;&gt;"",AE$3&gt;=$J74,AE$3&lt;=$M74),1,"")</f>
        <v/>
      </c>
      <c r="AF74">
        <f>IF(AND($A74&lt;&gt;"",AF$3&gt;=$J74,AF$3&lt;=$M74),1,"")</f>
        <v/>
      </c>
      <c r="AG74">
        <f>IF(AND($A74&lt;&gt;"",AG$3&gt;=$J74,AG$3&lt;=$M74),1,"")</f>
        <v/>
      </c>
      <c r="AH74">
        <f>IF(AND($A74&lt;&gt;"",AH$3&gt;=$J74,AH$3&lt;=$M74),1,"")</f>
        <v/>
      </c>
      <c r="AI74">
        <f>IF(AND($A74&lt;&gt;"",AI$3&gt;=$J74,AI$3&lt;=$M74),1,"")</f>
        <v/>
      </c>
      <c r="AJ74">
        <f>IF(AND($A74&lt;&gt;"",AJ$3&gt;=$J74,AJ$3&lt;=$M74),1,"")</f>
        <v/>
      </c>
      <c r="AK74">
        <f>IF(AND($A74&lt;&gt;"",AK$3&gt;=$J74,AK$3&lt;=$M74),1,"")</f>
        <v/>
      </c>
      <c r="AL74">
        <f>IF(AND($A74&lt;&gt;"",AL$3&gt;=$J74,AL$3&lt;=$M74),1,"")</f>
        <v/>
      </c>
      <c r="AM74">
        <f>IF(AND($A74&lt;&gt;"",AM$3&gt;=$J74,AM$3&lt;=$M74),1,"")</f>
        <v/>
      </c>
      <c r="AN74">
        <f>IF(AND($A74&lt;&gt;"",AN$3&gt;=$J74,AN$3&lt;=$M74),1,"")</f>
        <v/>
      </c>
      <c r="AO74">
        <f>IF(AND($A74&lt;&gt;"",AO$3&gt;=$J74,AO$3&lt;=$M74),1,"")</f>
        <v/>
      </c>
      <c r="AP74">
        <f>IF(AND($A74&lt;&gt;"",AP$3&gt;=$J74,AP$3&lt;=$M74),1,"")</f>
        <v/>
      </c>
      <c r="AQ74">
        <f>IF(AND($A74&lt;&gt;"",AQ$3&gt;=$J74,AQ$3&lt;=$M74),1,"")</f>
        <v/>
      </c>
      <c r="AR74">
        <f>IF(AND($A74&lt;&gt;"",AR$3&gt;=$J74,AR$3&lt;=$M74),1,"")</f>
        <v/>
      </c>
      <c r="AS74">
        <f>IF(AND($A74&lt;&gt;"",AS$3&gt;=$J74,AS$3&lt;=$M74),1,"")</f>
        <v/>
      </c>
      <c r="AT74">
        <f>IF(AND($A74&lt;&gt;"",AT$3&gt;=$J74,AT$3&lt;=$M74),1,"")</f>
        <v/>
      </c>
      <c r="AU74">
        <f>IF(AND($A74&lt;&gt;"",AU$3&gt;=$J74,AU$3&lt;=$M74),1,"")</f>
        <v/>
      </c>
      <c r="AV74">
        <f>IF(AND($A74&lt;&gt;"",AV$3&gt;=$J74,AV$3&lt;=$M74),1,"")</f>
        <v/>
      </c>
      <c r="AW74">
        <f>IF(AND($A74&lt;&gt;"",AW$3&gt;=$J74,AW$3&lt;=$M74),1,"")</f>
        <v/>
      </c>
      <c r="AX74">
        <f>IF(AND($A74&lt;&gt;"",AX$3&gt;=$J74,AX$3&lt;=$M74),1,"")</f>
        <v/>
      </c>
      <c r="AY74">
        <f>IF(AND($A74&lt;&gt;"",AY$3&gt;=$J74,AY$3&lt;=$M74),1,"")</f>
        <v/>
      </c>
      <c r="AZ74">
        <f>IF(AND($A74&lt;&gt;"",AZ$3&gt;=$J74,AZ$3&lt;=$M74),1,"")</f>
        <v/>
      </c>
      <c r="BA74">
        <f>IF(AND($A74&lt;&gt;"",BA$3&gt;=$J74,BA$3&lt;=$M74),1,"")</f>
        <v/>
      </c>
      <c r="BB74">
        <f>IF(AND($A74&lt;&gt;"",BB$3&gt;=$J74,BB$3&lt;=$M74),1,"")</f>
        <v/>
      </c>
      <c r="BC74">
        <f>IF(AND($A74&lt;&gt;"",BC$3&gt;=$J74,BC$3&lt;=$M74),1,"")</f>
        <v/>
      </c>
      <c r="BD74">
        <f>IF(AND($A74&lt;&gt;"",BD$3&gt;=$J74,BD$3&lt;=$M74),1,"")</f>
        <v/>
      </c>
      <c r="BE74">
        <f>IF(AND($A74&lt;&gt;"",BE$3&gt;=$J74,BE$3&lt;=$M74),1,"")</f>
        <v/>
      </c>
      <c r="BF74">
        <f>IF(AND($A74&lt;&gt;"",BF$3&gt;=$J74,BF$3&lt;=$M74),1,"")</f>
        <v/>
      </c>
      <c r="BG74">
        <f>IF(AND($A74&lt;&gt;"",BG$3&gt;=$J74,BG$3&lt;=$M74),1,"")</f>
        <v/>
      </c>
      <c r="BH74">
        <f>IF(AND($A74&lt;&gt;"",BH$3&gt;=$J74,BH$3&lt;=$M74),1,"")</f>
        <v/>
      </c>
      <c r="BI74">
        <f>IF(AND($A74&lt;&gt;"",BI$3&gt;=$J74,BI$3&lt;=$M74),1,"")</f>
        <v/>
      </c>
      <c r="BJ74">
        <f>IF(AND($A74&lt;&gt;"",BJ$3&gt;=$J74,BJ$3&lt;=$M74),1,"")</f>
        <v/>
      </c>
      <c r="BK74">
        <f>IF(AND($A74&lt;&gt;"",BK$3&gt;=$J74,BK$3&lt;=$M74),1,"")</f>
        <v/>
      </c>
      <c r="BL74">
        <f>IF(AND($A74&lt;&gt;"",BL$3&gt;=$J74,BL$3&lt;=$M74),1,"")</f>
        <v/>
      </c>
      <c r="BM74">
        <f>IF(AND($A74&lt;&gt;"",BM$3&gt;=$J74,BM$3&lt;=$M74),1,"")</f>
        <v/>
      </c>
      <c r="BN74">
        <f>IF(AND($A74&lt;&gt;"",BN$3&gt;=$J74,BN$3&lt;=$M74),1,"")</f>
        <v/>
      </c>
      <c r="BO74">
        <f>IF(AND($A74&lt;&gt;"",BO$3&gt;=$J74,BO$3&lt;=$M74),1,"")</f>
        <v/>
      </c>
      <c r="BP74">
        <f>IF(AND($A74&lt;&gt;"",BP$3&gt;=$J74,BP$3&lt;=$M74),1,"")</f>
        <v/>
      </c>
      <c r="BQ74">
        <f>IF(AND($A74&lt;&gt;"",BQ$3&gt;=$J74,BQ$3&lt;=$M74),1,"")</f>
        <v/>
      </c>
      <c r="BR74">
        <f>IF(AND($A74&lt;&gt;"",BR$3&gt;=$J74,BR$3&lt;=$M74),1,"")</f>
        <v/>
      </c>
      <c r="BS74">
        <f>IF(AND($A74&lt;&gt;"",BS$3&gt;=$J74,BS$3&lt;=$M74),1,"")</f>
        <v/>
      </c>
      <c r="BT74">
        <f>IF(AND($A74&lt;&gt;"",BT$3&gt;=$J74,BT$3&lt;=$M74),1,"")</f>
        <v/>
      </c>
      <c r="BU74">
        <f>IF(AND($A74&lt;&gt;"",BU$3&gt;=$J74,BU$3&lt;=$M74),1,"")</f>
        <v/>
      </c>
      <c r="BV74">
        <f>IF(AND($A74&lt;&gt;"",BV$3&gt;=$J74,BV$3&lt;=$M74),1,"")</f>
        <v/>
      </c>
    </row>
    <row r="75">
      <c r="A75">
        <f>IF(Job_Master_Ring!$A75="","",Job_Master_Ring!$A75)</f>
        <v/>
      </c>
      <c r="B75">
        <f>IF($A75="","",Job_Master_Ring!B75)</f>
        <v/>
      </c>
      <c r="C75">
        <f>IF($A75="","",Job_Master_Ring!C75)</f>
        <v/>
      </c>
      <c r="D75">
        <f>IF($A75="","",Job_Master_Ring!D75)</f>
        <v/>
      </c>
      <c r="E75">
        <f>IF($A75="","",IF($I75&lt;&gt;"",$I75,IFERROR(INDEX(Machine_List!$B$82:$B$86,MATCH(1,(Machine_List!$H$82:$H$86&lt;=IFERROR(VLOOKUP($B75,CHOOSE(MATCH($C75,Settings!$L$4:$L$10,0),OPR_BR1!$A$4:$K$18,OPR_BR2!$A$4:$K$18,OPR_CR2!$A$4:$K$18,OPR_CR3!$A$4:$K$18,OPR_CR4!$A$4:$K$18,OPR_RIM!$A$4:$K$18,OPR_BPR!$A$4:$K$18),10,0),0))*(Machine_List!$I$82:$I$86&gt;=IFERROR(VLOOKUP($B75,CHOOSE(MATCH($C75,Settings!$L$4:$L$10,0),OPR_BR1!$A$4:$K$18,OPR_BR2!$A$4:$K$18,OPR_CR2!$A$4:$K$18,OPR_CR3!$A$4:$K$18,OPR_CR4!$A$4:$K$18,OPR_RIM!$A$4:$K$18,OPR_BPR!$A$4:$K$18),11,0),9999)),0)),"NO COMPATIBLE MACHINE")))</f>
        <v/>
      </c>
      <c r="F75">
        <f>IF($E75="","",IFERROR(VLOOKUP($E75,Machine_List!$B:$G,6,0),""))</f>
        <v/>
      </c>
      <c r="G75" s="17">
        <f>IF($E75="","",IFERROR(VLOOKUP($E75,Machine_List!$B:$C,2,0),""))</f>
        <v/>
      </c>
      <c r="H75">
        <f>IF($E75="","",IFERROR(VLOOKUP($E75,Machine_List!$B:$D,3,0),""))</f>
        <v/>
      </c>
      <c r="J75" s="16">
        <f>IF($A75="","",IF($I75&lt;&gt;"",$I75,MAX(FID_Plan!$M75,IFERROR(LOOKUP(2,1/($E$3:INDIRECT("E"&amp;(ROW()-1))=$E75),$M$3:INDIRECT("M"&amp;(ROW()-1))),FID_Plan!$M75))))</f>
        <v/>
      </c>
      <c r="K75">
        <f>IF($A75="","",IFERROR(VLOOKUP(B75,CHOOSE(MATCH($C75,Settings!$L$4:$L$10,0),OPR_BR1!$A$4:$I$18,OPR_BR2!$A$4:$I$18,OPR_CR2!$A$4:$I$18,OPR_CR3!$A$4:$I$18,OPR_CR4!$A$4:$I$18,OPR_RIM!$A$4:$I$18,OPR_BPR!$A$4:$I$18),9,0),0))</f>
        <v/>
      </c>
      <c r="L75">
        <f>IF($A75="","",K75*D75)</f>
        <v/>
      </c>
      <c r="M75" s="16">
        <f>IF($A75=""," ",$J75+($L75/(IF(F75="Contract Workman",Settings!$K$5,Settings!$K$4))))</f>
        <v/>
      </c>
      <c r="N75">
        <f>IF($A75="","",IF(F75="Contract Workman",IF(AND(MOD(M75,1)&gt;=8/24,MOD(M75,1)&lt;20/24),"Shift S1","Shift S2"),IF(AND(MOD(M75,1)&gt;=7/24,MOD(M75,1)&lt;15/24),"Shift A",IF(AND(MOD(M75,1)&gt;=15/24,MOD(M75,1)&lt;23/24),"Shift B","Shift C"))))</f>
        <v/>
      </c>
      <c r="O75">
        <f>IF(B75="","",IF(IFERROR(ISNUMBER(SEARCH(TEXT(B75,"0"),VLOOKUP(E75,Machine_List!$B:$J,9,0))),FALSE),"✅ "&amp; E75,"❌ Sug: "&amp;IFERROR(INDEX(Machine_List!$B$82:$B$86,MATCH(1,(Machine_List!$H$82:$H$86&lt;=IFERROR(VLOOKUP($B75,OPR_BR1!$A$4:$K$18,10,0),0))*(Machine_List!$I$82:$I$86&gt;=IFERROR(VLOOKUP($B75,OPR_BR1!$A$4:$K$18,11,0),9999)),0)),"?")))</f>
        <v/>
      </c>
      <c r="P75">
        <f>IF(AND($A75&lt;&gt;"",P$3&gt;=$J75,P$3&lt;=$M75),1,"")</f>
        <v/>
      </c>
      <c r="Q75">
        <f>IF(AND($A75&lt;&gt;"",Q$3&gt;=$J75,Q$3&lt;=$M75),1,"")</f>
        <v/>
      </c>
      <c r="R75">
        <f>IF(AND($A75&lt;&gt;"",R$3&gt;=$J75,R$3&lt;=$M75),1,"")</f>
        <v/>
      </c>
      <c r="S75">
        <f>IF(AND($A75&lt;&gt;"",S$3&gt;=$J75,S$3&lt;=$M75),1,"")</f>
        <v/>
      </c>
      <c r="T75">
        <f>IF(AND($A75&lt;&gt;"",T$3&gt;=$J75,T$3&lt;=$M75),1,"")</f>
        <v/>
      </c>
      <c r="U75">
        <f>IF(AND($A75&lt;&gt;"",U$3&gt;=$J75,U$3&lt;=$M75),1,"")</f>
        <v/>
      </c>
      <c r="V75">
        <f>IF(AND($A75&lt;&gt;"",V$3&gt;=$J75,V$3&lt;=$M75),1,"")</f>
        <v/>
      </c>
      <c r="W75">
        <f>IF(AND($A75&lt;&gt;"",W$3&gt;=$J75,W$3&lt;=$M75),1,"")</f>
        <v/>
      </c>
      <c r="X75">
        <f>IF(AND($A75&lt;&gt;"",X$3&gt;=$J75,X$3&lt;=$M75),1,"")</f>
        <v/>
      </c>
      <c r="Y75">
        <f>IF(AND($A75&lt;&gt;"",Y$3&gt;=$J75,Y$3&lt;=$M75),1,"")</f>
        <v/>
      </c>
      <c r="Z75">
        <f>IF(AND($A75&lt;&gt;"",Z$3&gt;=$J75,Z$3&lt;=$M75),1,"")</f>
        <v/>
      </c>
      <c r="AA75">
        <f>IF(AND($A75&lt;&gt;"",AA$3&gt;=$J75,AA$3&lt;=$M75),1,"")</f>
        <v/>
      </c>
      <c r="AB75">
        <f>IF(AND($A75&lt;&gt;"",AB$3&gt;=$J75,AB$3&lt;=$M75),1,"")</f>
        <v/>
      </c>
      <c r="AC75">
        <f>IF(AND($A75&lt;&gt;"",AC$3&gt;=$J75,AC$3&lt;=$M75),1,"")</f>
        <v/>
      </c>
      <c r="AD75">
        <f>IF(AND($A75&lt;&gt;"",AD$3&gt;=$J75,AD$3&lt;=$M75),1,"")</f>
        <v/>
      </c>
      <c r="AE75">
        <f>IF(AND($A75&lt;&gt;"",AE$3&gt;=$J75,AE$3&lt;=$M75),1,"")</f>
        <v/>
      </c>
      <c r="AF75">
        <f>IF(AND($A75&lt;&gt;"",AF$3&gt;=$J75,AF$3&lt;=$M75),1,"")</f>
        <v/>
      </c>
      <c r="AG75">
        <f>IF(AND($A75&lt;&gt;"",AG$3&gt;=$J75,AG$3&lt;=$M75),1,"")</f>
        <v/>
      </c>
      <c r="AH75">
        <f>IF(AND($A75&lt;&gt;"",AH$3&gt;=$J75,AH$3&lt;=$M75),1,"")</f>
        <v/>
      </c>
      <c r="AI75">
        <f>IF(AND($A75&lt;&gt;"",AI$3&gt;=$J75,AI$3&lt;=$M75),1,"")</f>
        <v/>
      </c>
      <c r="AJ75">
        <f>IF(AND($A75&lt;&gt;"",AJ$3&gt;=$J75,AJ$3&lt;=$M75),1,"")</f>
        <v/>
      </c>
      <c r="AK75">
        <f>IF(AND($A75&lt;&gt;"",AK$3&gt;=$J75,AK$3&lt;=$M75),1,"")</f>
        <v/>
      </c>
      <c r="AL75">
        <f>IF(AND($A75&lt;&gt;"",AL$3&gt;=$J75,AL$3&lt;=$M75),1,"")</f>
        <v/>
      </c>
      <c r="AM75">
        <f>IF(AND($A75&lt;&gt;"",AM$3&gt;=$J75,AM$3&lt;=$M75),1,"")</f>
        <v/>
      </c>
      <c r="AN75">
        <f>IF(AND($A75&lt;&gt;"",AN$3&gt;=$J75,AN$3&lt;=$M75),1,"")</f>
        <v/>
      </c>
      <c r="AO75">
        <f>IF(AND($A75&lt;&gt;"",AO$3&gt;=$J75,AO$3&lt;=$M75),1,"")</f>
        <v/>
      </c>
      <c r="AP75">
        <f>IF(AND($A75&lt;&gt;"",AP$3&gt;=$J75,AP$3&lt;=$M75),1,"")</f>
        <v/>
      </c>
      <c r="AQ75">
        <f>IF(AND($A75&lt;&gt;"",AQ$3&gt;=$J75,AQ$3&lt;=$M75),1,"")</f>
        <v/>
      </c>
      <c r="AR75">
        <f>IF(AND($A75&lt;&gt;"",AR$3&gt;=$J75,AR$3&lt;=$M75),1,"")</f>
        <v/>
      </c>
      <c r="AS75">
        <f>IF(AND($A75&lt;&gt;"",AS$3&gt;=$J75,AS$3&lt;=$M75),1,"")</f>
        <v/>
      </c>
      <c r="AT75">
        <f>IF(AND($A75&lt;&gt;"",AT$3&gt;=$J75,AT$3&lt;=$M75),1,"")</f>
        <v/>
      </c>
      <c r="AU75">
        <f>IF(AND($A75&lt;&gt;"",AU$3&gt;=$J75,AU$3&lt;=$M75),1,"")</f>
        <v/>
      </c>
      <c r="AV75">
        <f>IF(AND($A75&lt;&gt;"",AV$3&gt;=$J75,AV$3&lt;=$M75),1,"")</f>
        <v/>
      </c>
      <c r="AW75">
        <f>IF(AND($A75&lt;&gt;"",AW$3&gt;=$J75,AW$3&lt;=$M75),1,"")</f>
        <v/>
      </c>
      <c r="AX75">
        <f>IF(AND($A75&lt;&gt;"",AX$3&gt;=$J75,AX$3&lt;=$M75),1,"")</f>
        <v/>
      </c>
      <c r="AY75">
        <f>IF(AND($A75&lt;&gt;"",AY$3&gt;=$J75,AY$3&lt;=$M75),1,"")</f>
        <v/>
      </c>
      <c r="AZ75">
        <f>IF(AND($A75&lt;&gt;"",AZ$3&gt;=$J75,AZ$3&lt;=$M75),1,"")</f>
        <v/>
      </c>
      <c r="BA75">
        <f>IF(AND($A75&lt;&gt;"",BA$3&gt;=$J75,BA$3&lt;=$M75),1,"")</f>
        <v/>
      </c>
      <c r="BB75">
        <f>IF(AND($A75&lt;&gt;"",BB$3&gt;=$J75,BB$3&lt;=$M75),1,"")</f>
        <v/>
      </c>
      <c r="BC75">
        <f>IF(AND($A75&lt;&gt;"",BC$3&gt;=$J75,BC$3&lt;=$M75),1,"")</f>
        <v/>
      </c>
      <c r="BD75">
        <f>IF(AND($A75&lt;&gt;"",BD$3&gt;=$J75,BD$3&lt;=$M75),1,"")</f>
        <v/>
      </c>
      <c r="BE75">
        <f>IF(AND($A75&lt;&gt;"",BE$3&gt;=$J75,BE$3&lt;=$M75),1,"")</f>
        <v/>
      </c>
      <c r="BF75">
        <f>IF(AND($A75&lt;&gt;"",BF$3&gt;=$J75,BF$3&lt;=$M75),1,"")</f>
        <v/>
      </c>
      <c r="BG75">
        <f>IF(AND($A75&lt;&gt;"",BG$3&gt;=$J75,BG$3&lt;=$M75),1,"")</f>
        <v/>
      </c>
      <c r="BH75">
        <f>IF(AND($A75&lt;&gt;"",BH$3&gt;=$J75,BH$3&lt;=$M75),1,"")</f>
        <v/>
      </c>
      <c r="BI75">
        <f>IF(AND($A75&lt;&gt;"",BI$3&gt;=$J75,BI$3&lt;=$M75),1,"")</f>
        <v/>
      </c>
      <c r="BJ75">
        <f>IF(AND($A75&lt;&gt;"",BJ$3&gt;=$J75,BJ$3&lt;=$M75),1,"")</f>
        <v/>
      </c>
      <c r="BK75">
        <f>IF(AND($A75&lt;&gt;"",BK$3&gt;=$J75,BK$3&lt;=$M75),1,"")</f>
        <v/>
      </c>
      <c r="BL75">
        <f>IF(AND($A75&lt;&gt;"",BL$3&gt;=$J75,BL$3&lt;=$M75),1,"")</f>
        <v/>
      </c>
      <c r="BM75">
        <f>IF(AND($A75&lt;&gt;"",BM$3&gt;=$J75,BM$3&lt;=$M75),1,"")</f>
        <v/>
      </c>
      <c r="BN75">
        <f>IF(AND($A75&lt;&gt;"",BN$3&gt;=$J75,BN$3&lt;=$M75),1,"")</f>
        <v/>
      </c>
      <c r="BO75">
        <f>IF(AND($A75&lt;&gt;"",BO$3&gt;=$J75,BO$3&lt;=$M75),1,"")</f>
        <v/>
      </c>
      <c r="BP75">
        <f>IF(AND($A75&lt;&gt;"",BP$3&gt;=$J75,BP$3&lt;=$M75),1,"")</f>
        <v/>
      </c>
      <c r="BQ75">
        <f>IF(AND($A75&lt;&gt;"",BQ$3&gt;=$J75,BQ$3&lt;=$M75),1,"")</f>
        <v/>
      </c>
      <c r="BR75">
        <f>IF(AND($A75&lt;&gt;"",BR$3&gt;=$J75,BR$3&lt;=$M75),1,"")</f>
        <v/>
      </c>
      <c r="BS75">
        <f>IF(AND($A75&lt;&gt;"",BS$3&gt;=$J75,BS$3&lt;=$M75),1,"")</f>
        <v/>
      </c>
      <c r="BT75">
        <f>IF(AND($A75&lt;&gt;"",BT$3&gt;=$J75,BT$3&lt;=$M75),1,"")</f>
        <v/>
      </c>
      <c r="BU75">
        <f>IF(AND($A75&lt;&gt;"",BU$3&gt;=$J75,BU$3&lt;=$M75),1,"")</f>
        <v/>
      </c>
      <c r="BV75">
        <f>IF(AND($A75&lt;&gt;"",BV$3&gt;=$J75,BV$3&lt;=$M75),1,"")</f>
        <v/>
      </c>
    </row>
    <row r="76">
      <c r="A76">
        <f>IF(Job_Master_Ring!$A76="","",Job_Master_Ring!$A76)</f>
        <v/>
      </c>
      <c r="B76">
        <f>IF($A76="","",Job_Master_Ring!B76)</f>
        <v/>
      </c>
      <c r="C76">
        <f>IF($A76="","",Job_Master_Ring!C76)</f>
        <v/>
      </c>
      <c r="D76">
        <f>IF($A76="","",Job_Master_Ring!D76)</f>
        <v/>
      </c>
      <c r="E76">
        <f>IF($A76="","",IF($I76&lt;&gt;"",$I76,IFERROR(INDEX(Machine_List!$B$82:$B$86,MATCH(1,(Machine_List!$H$82:$H$86&lt;=IFERROR(VLOOKUP($B76,CHOOSE(MATCH($C76,Settings!$L$4:$L$10,0),OPR_BR1!$A$4:$K$18,OPR_BR2!$A$4:$K$18,OPR_CR2!$A$4:$K$18,OPR_CR3!$A$4:$K$18,OPR_CR4!$A$4:$K$18,OPR_RIM!$A$4:$K$18,OPR_BPR!$A$4:$K$18),10,0),0))*(Machine_List!$I$82:$I$86&gt;=IFERROR(VLOOKUP($B76,CHOOSE(MATCH($C76,Settings!$L$4:$L$10,0),OPR_BR1!$A$4:$K$18,OPR_BR2!$A$4:$K$18,OPR_CR2!$A$4:$K$18,OPR_CR3!$A$4:$K$18,OPR_CR4!$A$4:$K$18,OPR_RIM!$A$4:$K$18,OPR_BPR!$A$4:$K$18),11,0),9999)),0)),"NO COMPATIBLE MACHINE")))</f>
        <v/>
      </c>
      <c r="F76">
        <f>IF($E76="","",IFERROR(VLOOKUP($E76,Machine_List!$B:$G,6,0),""))</f>
        <v/>
      </c>
      <c r="G76" s="17">
        <f>IF($E76="","",IFERROR(VLOOKUP($E76,Machine_List!$B:$C,2,0),""))</f>
        <v/>
      </c>
      <c r="H76">
        <f>IF($E76="","",IFERROR(VLOOKUP($E76,Machine_List!$B:$D,3,0),""))</f>
        <v/>
      </c>
      <c r="J76" s="16">
        <f>IF($A76="","",IF($I76&lt;&gt;"",$I76,MAX(FID_Plan!$M76,IFERROR(LOOKUP(2,1/($E$3:INDIRECT("E"&amp;(ROW()-1))=$E76),$M$3:INDIRECT("M"&amp;(ROW()-1))),FID_Plan!$M76))))</f>
        <v/>
      </c>
      <c r="K76">
        <f>IF($A76="","",IFERROR(VLOOKUP(B76,CHOOSE(MATCH($C76,Settings!$L$4:$L$10,0),OPR_BR1!$A$4:$I$18,OPR_BR2!$A$4:$I$18,OPR_CR2!$A$4:$I$18,OPR_CR3!$A$4:$I$18,OPR_CR4!$A$4:$I$18,OPR_RIM!$A$4:$I$18,OPR_BPR!$A$4:$I$18),9,0),0))</f>
        <v/>
      </c>
      <c r="L76">
        <f>IF($A76="","",K76*D76)</f>
        <v/>
      </c>
      <c r="M76" s="16">
        <f>IF($A76=""," ",$J76+($L76/(IF(F76="Contract Workman",Settings!$K$5,Settings!$K$4))))</f>
        <v/>
      </c>
      <c r="N76">
        <f>IF($A76="","",IF(F76="Contract Workman",IF(AND(MOD(M76,1)&gt;=8/24,MOD(M76,1)&lt;20/24),"Shift S1","Shift S2"),IF(AND(MOD(M76,1)&gt;=7/24,MOD(M76,1)&lt;15/24),"Shift A",IF(AND(MOD(M76,1)&gt;=15/24,MOD(M76,1)&lt;23/24),"Shift B","Shift C"))))</f>
        <v/>
      </c>
      <c r="O76">
        <f>IF(B76="","",IF(IFERROR(ISNUMBER(SEARCH(TEXT(B76,"0"),VLOOKUP(E76,Machine_List!$B:$J,9,0))),FALSE),"✅ "&amp; E76,"❌ Sug: "&amp;IFERROR(INDEX(Machine_List!$B$82:$B$86,MATCH(1,(Machine_List!$H$82:$H$86&lt;=IFERROR(VLOOKUP($B76,OPR_BR1!$A$4:$K$18,10,0),0))*(Machine_List!$I$82:$I$86&gt;=IFERROR(VLOOKUP($B76,OPR_BR1!$A$4:$K$18,11,0),9999)),0)),"?")))</f>
        <v/>
      </c>
      <c r="P76">
        <f>IF(AND($A76&lt;&gt;"",P$3&gt;=$J76,P$3&lt;=$M76),1,"")</f>
        <v/>
      </c>
      <c r="Q76">
        <f>IF(AND($A76&lt;&gt;"",Q$3&gt;=$J76,Q$3&lt;=$M76),1,"")</f>
        <v/>
      </c>
      <c r="R76">
        <f>IF(AND($A76&lt;&gt;"",R$3&gt;=$J76,R$3&lt;=$M76),1,"")</f>
        <v/>
      </c>
      <c r="S76">
        <f>IF(AND($A76&lt;&gt;"",S$3&gt;=$J76,S$3&lt;=$M76),1,"")</f>
        <v/>
      </c>
      <c r="T76">
        <f>IF(AND($A76&lt;&gt;"",T$3&gt;=$J76,T$3&lt;=$M76),1,"")</f>
        <v/>
      </c>
      <c r="U76">
        <f>IF(AND($A76&lt;&gt;"",U$3&gt;=$J76,U$3&lt;=$M76),1,"")</f>
        <v/>
      </c>
      <c r="V76">
        <f>IF(AND($A76&lt;&gt;"",V$3&gt;=$J76,V$3&lt;=$M76),1,"")</f>
        <v/>
      </c>
      <c r="W76">
        <f>IF(AND($A76&lt;&gt;"",W$3&gt;=$J76,W$3&lt;=$M76),1,"")</f>
        <v/>
      </c>
      <c r="X76">
        <f>IF(AND($A76&lt;&gt;"",X$3&gt;=$J76,X$3&lt;=$M76),1,"")</f>
        <v/>
      </c>
      <c r="Y76">
        <f>IF(AND($A76&lt;&gt;"",Y$3&gt;=$J76,Y$3&lt;=$M76),1,"")</f>
        <v/>
      </c>
      <c r="Z76">
        <f>IF(AND($A76&lt;&gt;"",Z$3&gt;=$J76,Z$3&lt;=$M76),1,"")</f>
        <v/>
      </c>
      <c r="AA76">
        <f>IF(AND($A76&lt;&gt;"",AA$3&gt;=$J76,AA$3&lt;=$M76),1,"")</f>
        <v/>
      </c>
      <c r="AB76">
        <f>IF(AND($A76&lt;&gt;"",AB$3&gt;=$J76,AB$3&lt;=$M76),1,"")</f>
        <v/>
      </c>
      <c r="AC76">
        <f>IF(AND($A76&lt;&gt;"",AC$3&gt;=$J76,AC$3&lt;=$M76),1,"")</f>
        <v/>
      </c>
      <c r="AD76">
        <f>IF(AND($A76&lt;&gt;"",AD$3&gt;=$J76,AD$3&lt;=$M76),1,"")</f>
        <v/>
      </c>
      <c r="AE76">
        <f>IF(AND($A76&lt;&gt;"",AE$3&gt;=$J76,AE$3&lt;=$M76),1,"")</f>
        <v/>
      </c>
      <c r="AF76">
        <f>IF(AND($A76&lt;&gt;"",AF$3&gt;=$J76,AF$3&lt;=$M76),1,"")</f>
        <v/>
      </c>
      <c r="AG76">
        <f>IF(AND($A76&lt;&gt;"",AG$3&gt;=$J76,AG$3&lt;=$M76),1,"")</f>
        <v/>
      </c>
      <c r="AH76">
        <f>IF(AND($A76&lt;&gt;"",AH$3&gt;=$J76,AH$3&lt;=$M76),1,"")</f>
        <v/>
      </c>
      <c r="AI76">
        <f>IF(AND($A76&lt;&gt;"",AI$3&gt;=$J76,AI$3&lt;=$M76),1,"")</f>
        <v/>
      </c>
      <c r="AJ76">
        <f>IF(AND($A76&lt;&gt;"",AJ$3&gt;=$J76,AJ$3&lt;=$M76),1,"")</f>
        <v/>
      </c>
      <c r="AK76">
        <f>IF(AND($A76&lt;&gt;"",AK$3&gt;=$J76,AK$3&lt;=$M76),1,"")</f>
        <v/>
      </c>
      <c r="AL76">
        <f>IF(AND($A76&lt;&gt;"",AL$3&gt;=$J76,AL$3&lt;=$M76),1,"")</f>
        <v/>
      </c>
      <c r="AM76">
        <f>IF(AND($A76&lt;&gt;"",AM$3&gt;=$J76,AM$3&lt;=$M76),1,"")</f>
        <v/>
      </c>
      <c r="AN76">
        <f>IF(AND($A76&lt;&gt;"",AN$3&gt;=$J76,AN$3&lt;=$M76),1,"")</f>
        <v/>
      </c>
      <c r="AO76">
        <f>IF(AND($A76&lt;&gt;"",AO$3&gt;=$J76,AO$3&lt;=$M76),1,"")</f>
        <v/>
      </c>
      <c r="AP76">
        <f>IF(AND($A76&lt;&gt;"",AP$3&gt;=$J76,AP$3&lt;=$M76),1,"")</f>
        <v/>
      </c>
      <c r="AQ76">
        <f>IF(AND($A76&lt;&gt;"",AQ$3&gt;=$J76,AQ$3&lt;=$M76),1,"")</f>
        <v/>
      </c>
      <c r="AR76">
        <f>IF(AND($A76&lt;&gt;"",AR$3&gt;=$J76,AR$3&lt;=$M76),1,"")</f>
        <v/>
      </c>
      <c r="AS76">
        <f>IF(AND($A76&lt;&gt;"",AS$3&gt;=$J76,AS$3&lt;=$M76),1,"")</f>
        <v/>
      </c>
      <c r="AT76">
        <f>IF(AND($A76&lt;&gt;"",AT$3&gt;=$J76,AT$3&lt;=$M76),1,"")</f>
        <v/>
      </c>
      <c r="AU76">
        <f>IF(AND($A76&lt;&gt;"",AU$3&gt;=$J76,AU$3&lt;=$M76),1,"")</f>
        <v/>
      </c>
      <c r="AV76">
        <f>IF(AND($A76&lt;&gt;"",AV$3&gt;=$J76,AV$3&lt;=$M76),1,"")</f>
        <v/>
      </c>
      <c r="AW76">
        <f>IF(AND($A76&lt;&gt;"",AW$3&gt;=$J76,AW$3&lt;=$M76),1,"")</f>
        <v/>
      </c>
      <c r="AX76">
        <f>IF(AND($A76&lt;&gt;"",AX$3&gt;=$J76,AX$3&lt;=$M76),1,"")</f>
        <v/>
      </c>
      <c r="AY76">
        <f>IF(AND($A76&lt;&gt;"",AY$3&gt;=$J76,AY$3&lt;=$M76),1,"")</f>
        <v/>
      </c>
      <c r="AZ76">
        <f>IF(AND($A76&lt;&gt;"",AZ$3&gt;=$J76,AZ$3&lt;=$M76),1,"")</f>
        <v/>
      </c>
      <c r="BA76">
        <f>IF(AND($A76&lt;&gt;"",BA$3&gt;=$J76,BA$3&lt;=$M76),1,"")</f>
        <v/>
      </c>
      <c r="BB76">
        <f>IF(AND($A76&lt;&gt;"",BB$3&gt;=$J76,BB$3&lt;=$M76),1,"")</f>
        <v/>
      </c>
      <c r="BC76">
        <f>IF(AND($A76&lt;&gt;"",BC$3&gt;=$J76,BC$3&lt;=$M76),1,"")</f>
        <v/>
      </c>
      <c r="BD76">
        <f>IF(AND($A76&lt;&gt;"",BD$3&gt;=$J76,BD$3&lt;=$M76),1,"")</f>
        <v/>
      </c>
      <c r="BE76">
        <f>IF(AND($A76&lt;&gt;"",BE$3&gt;=$J76,BE$3&lt;=$M76),1,"")</f>
        <v/>
      </c>
      <c r="BF76">
        <f>IF(AND($A76&lt;&gt;"",BF$3&gt;=$J76,BF$3&lt;=$M76),1,"")</f>
        <v/>
      </c>
      <c r="BG76">
        <f>IF(AND($A76&lt;&gt;"",BG$3&gt;=$J76,BG$3&lt;=$M76),1,"")</f>
        <v/>
      </c>
      <c r="BH76">
        <f>IF(AND($A76&lt;&gt;"",BH$3&gt;=$J76,BH$3&lt;=$M76),1,"")</f>
        <v/>
      </c>
      <c r="BI76">
        <f>IF(AND($A76&lt;&gt;"",BI$3&gt;=$J76,BI$3&lt;=$M76),1,"")</f>
        <v/>
      </c>
      <c r="BJ76">
        <f>IF(AND($A76&lt;&gt;"",BJ$3&gt;=$J76,BJ$3&lt;=$M76),1,"")</f>
        <v/>
      </c>
      <c r="BK76">
        <f>IF(AND($A76&lt;&gt;"",BK$3&gt;=$J76,BK$3&lt;=$M76),1,"")</f>
        <v/>
      </c>
      <c r="BL76">
        <f>IF(AND($A76&lt;&gt;"",BL$3&gt;=$J76,BL$3&lt;=$M76),1,"")</f>
        <v/>
      </c>
      <c r="BM76">
        <f>IF(AND($A76&lt;&gt;"",BM$3&gt;=$J76,BM$3&lt;=$M76),1,"")</f>
        <v/>
      </c>
      <c r="BN76">
        <f>IF(AND($A76&lt;&gt;"",BN$3&gt;=$J76,BN$3&lt;=$M76),1,"")</f>
        <v/>
      </c>
      <c r="BO76">
        <f>IF(AND($A76&lt;&gt;"",BO$3&gt;=$J76,BO$3&lt;=$M76),1,"")</f>
        <v/>
      </c>
      <c r="BP76">
        <f>IF(AND($A76&lt;&gt;"",BP$3&gt;=$J76,BP$3&lt;=$M76),1,"")</f>
        <v/>
      </c>
      <c r="BQ76">
        <f>IF(AND($A76&lt;&gt;"",BQ$3&gt;=$J76,BQ$3&lt;=$M76),1,"")</f>
        <v/>
      </c>
      <c r="BR76">
        <f>IF(AND($A76&lt;&gt;"",BR$3&gt;=$J76,BR$3&lt;=$M76),1,"")</f>
        <v/>
      </c>
      <c r="BS76">
        <f>IF(AND($A76&lt;&gt;"",BS$3&gt;=$J76,BS$3&lt;=$M76),1,"")</f>
        <v/>
      </c>
      <c r="BT76">
        <f>IF(AND($A76&lt;&gt;"",BT$3&gt;=$J76,BT$3&lt;=$M76),1,"")</f>
        <v/>
      </c>
      <c r="BU76">
        <f>IF(AND($A76&lt;&gt;"",BU$3&gt;=$J76,BU$3&lt;=$M76),1,"")</f>
        <v/>
      </c>
      <c r="BV76">
        <f>IF(AND($A76&lt;&gt;"",BV$3&gt;=$J76,BV$3&lt;=$M76),1,"")</f>
        <v/>
      </c>
    </row>
    <row r="77">
      <c r="A77">
        <f>IF(Job_Master_Ring!$A77="","",Job_Master_Ring!$A77)</f>
        <v/>
      </c>
      <c r="B77">
        <f>IF($A77="","",Job_Master_Ring!B77)</f>
        <v/>
      </c>
      <c r="C77">
        <f>IF($A77="","",Job_Master_Ring!C77)</f>
        <v/>
      </c>
      <c r="D77">
        <f>IF($A77="","",Job_Master_Ring!D77)</f>
        <v/>
      </c>
      <c r="E77">
        <f>IF($A77="","",IF($I77&lt;&gt;"",$I77,IFERROR(INDEX(Machine_List!$B$82:$B$86,MATCH(1,(Machine_List!$H$82:$H$86&lt;=IFERROR(VLOOKUP($B77,CHOOSE(MATCH($C77,Settings!$L$4:$L$10,0),OPR_BR1!$A$4:$K$18,OPR_BR2!$A$4:$K$18,OPR_CR2!$A$4:$K$18,OPR_CR3!$A$4:$K$18,OPR_CR4!$A$4:$K$18,OPR_RIM!$A$4:$K$18,OPR_BPR!$A$4:$K$18),10,0),0))*(Machine_List!$I$82:$I$86&gt;=IFERROR(VLOOKUP($B77,CHOOSE(MATCH($C77,Settings!$L$4:$L$10,0),OPR_BR1!$A$4:$K$18,OPR_BR2!$A$4:$K$18,OPR_CR2!$A$4:$K$18,OPR_CR3!$A$4:$K$18,OPR_CR4!$A$4:$K$18,OPR_RIM!$A$4:$K$18,OPR_BPR!$A$4:$K$18),11,0),9999)),0)),"NO COMPATIBLE MACHINE")))</f>
        <v/>
      </c>
      <c r="F77">
        <f>IF($E77="","",IFERROR(VLOOKUP($E77,Machine_List!$B:$G,6,0),""))</f>
        <v/>
      </c>
      <c r="G77" s="17">
        <f>IF($E77="","",IFERROR(VLOOKUP($E77,Machine_List!$B:$C,2,0),""))</f>
        <v/>
      </c>
      <c r="H77">
        <f>IF($E77="","",IFERROR(VLOOKUP($E77,Machine_List!$B:$D,3,0),""))</f>
        <v/>
      </c>
      <c r="J77" s="16">
        <f>IF($A77="","",IF($I77&lt;&gt;"",$I77,MAX(FID_Plan!$M77,IFERROR(LOOKUP(2,1/($E$3:INDIRECT("E"&amp;(ROW()-1))=$E77),$M$3:INDIRECT("M"&amp;(ROW()-1))),FID_Plan!$M77))))</f>
        <v/>
      </c>
      <c r="K77">
        <f>IF($A77="","",IFERROR(VLOOKUP(B77,CHOOSE(MATCH($C77,Settings!$L$4:$L$10,0),OPR_BR1!$A$4:$I$18,OPR_BR2!$A$4:$I$18,OPR_CR2!$A$4:$I$18,OPR_CR3!$A$4:$I$18,OPR_CR4!$A$4:$I$18,OPR_RIM!$A$4:$I$18,OPR_BPR!$A$4:$I$18),9,0),0))</f>
        <v/>
      </c>
      <c r="L77">
        <f>IF($A77="","",K77*D77)</f>
        <v/>
      </c>
      <c r="M77" s="16">
        <f>IF($A77=""," ",$J77+($L77/(IF(F77="Contract Workman",Settings!$K$5,Settings!$K$4))))</f>
        <v/>
      </c>
      <c r="N77">
        <f>IF($A77="","",IF(F77="Contract Workman",IF(AND(MOD(M77,1)&gt;=8/24,MOD(M77,1)&lt;20/24),"Shift S1","Shift S2"),IF(AND(MOD(M77,1)&gt;=7/24,MOD(M77,1)&lt;15/24),"Shift A",IF(AND(MOD(M77,1)&gt;=15/24,MOD(M77,1)&lt;23/24),"Shift B","Shift C"))))</f>
        <v/>
      </c>
      <c r="O77">
        <f>IF(B77="","",IF(IFERROR(ISNUMBER(SEARCH(TEXT(B77,"0"),VLOOKUP(E77,Machine_List!$B:$J,9,0))),FALSE),"✅ "&amp; E77,"❌ Sug: "&amp;IFERROR(INDEX(Machine_List!$B$82:$B$86,MATCH(1,(Machine_List!$H$82:$H$86&lt;=IFERROR(VLOOKUP($B77,OPR_BR1!$A$4:$K$18,10,0),0))*(Machine_List!$I$82:$I$86&gt;=IFERROR(VLOOKUP($B77,OPR_BR1!$A$4:$K$18,11,0),9999)),0)),"?")))</f>
        <v/>
      </c>
      <c r="P77">
        <f>IF(AND($A77&lt;&gt;"",P$3&gt;=$J77,P$3&lt;=$M77),1,"")</f>
        <v/>
      </c>
      <c r="Q77">
        <f>IF(AND($A77&lt;&gt;"",Q$3&gt;=$J77,Q$3&lt;=$M77),1,"")</f>
        <v/>
      </c>
      <c r="R77">
        <f>IF(AND($A77&lt;&gt;"",R$3&gt;=$J77,R$3&lt;=$M77),1,"")</f>
        <v/>
      </c>
      <c r="S77">
        <f>IF(AND($A77&lt;&gt;"",S$3&gt;=$J77,S$3&lt;=$M77),1,"")</f>
        <v/>
      </c>
      <c r="T77">
        <f>IF(AND($A77&lt;&gt;"",T$3&gt;=$J77,T$3&lt;=$M77),1,"")</f>
        <v/>
      </c>
      <c r="U77">
        <f>IF(AND($A77&lt;&gt;"",U$3&gt;=$J77,U$3&lt;=$M77),1,"")</f>
        <v/>
      </c>
      <c r="V77">
        <f>IF(AND($A77&lt;&gt;"",V$3&gt;=$J77,V$3&lt;=$M77),1,"")</f>
        <v/>
      </c>
      <c r="W77">
        <f>IF(AND($A77&lt;&gt;"",W$3&gt;=$J77,W$3&lt;=$M77),1,"")</f>
        <v/>
      </c>
      <c r="X77">
        <f>IF(AND($A77&lt;&gt;"",X$3&gt;=$J77,X$3&lt;=$M77),1,"")</f>
        <v/>
      </c>
      <c r="Y77">
        <f>IF(AND($A77&lt;&gt;"",Y$3&gt;=$J77,Y$3&lt;=$M77),1,"")</f>
        <v/>
      </c>
      <c r="Z77">
        <f>IF(AND($A77&lt;&gt;"",Z$3&gt;=$J77,Z$3&lt;=$M77),1,"")</f>
        <v/>
      </c>
      <c r="AA77">
        <f>IF(AND($A77&lt;&gt;"",AA$3&gt;=$J77,AA$3&lt;=$M77),1,"")</f>
        <v/>
      </c>
      <c r="AB77">
        <f>IF(AND($A77&lt;&gt;"",AB$3&gt;=$J77,AB$3&lt;=$M77),1,"")</f>
        <v/>
      </c>
      <c r="AC77">
        <f>IF(AND($A77&lt;&gt;"",AC$3&gt;=$J77,AC$3&lt;=$M77),1,"")</f>
        <v/>
      </c>
      <c r="AD77">
        <f>IF(AND($A77&lt;&gt;"",AD$3&gt;=$J77,AD$3&lt;=$M77),1,"")</f>
        <v/>
      </c>
      <c r="AE77">
        <f>IF(AND($A77&lt;&gt;"",AE$3&gt;=$J77,AE$3&lt;=$M77),1,"")</f>
        <v/>
      </c>
      <c r="AF77">
        <f>IF(AND($A77&lt;&gt;"",AF$3&gt;=$J77,AF$3&lt;=$M77),1,"")</f>
        <v/>
      </c>
      <c r="AG77">
        <f>IF(AND($A77&lt;&gt;"",AG$3&gt;=$J77,AG$3&lt;=$M77),1,"")</f>
        <v/>
      </c>
      <c r="AH77">
        <f>IF(AND($A77&lt;&gt;"",AH$3&gt;=$J77,AH$3&lt;=$M77),1,"")</f>
        <v/>
      </c>
      <c r="AI77">
        <f>IF(AND($A77&lt;&gt;"",AI$3&gt;=$J77,AI$3&lt;=$M77),1,"")</f>
        <v/>
      </c>
      <c r="AJ77">
        <f>IF(AND($A77&lt;&gt;"",AJ$3&gt;=$J77,AJ$3&lt;=$M77),1,"")</f>
        <v/>
      </c>
      <c r="AK77">
        <f>IF(AND($A77&lt;&gt;"",AK$3&gt;=$J77,AK$3&lt;=$M77),1,"")</f>
        <v/>
      </c>
      <c r="AL77">
        <f>IF(AND($A77&lt;&gt;"",AL$3&gt;=$J77,AL$3&lt;=$M77),1,"")</f>
        <v/>
      </c>
      <c r="AM77">
        <f>IF(AND($A77&lt;&gt;"",AM$3&gt;=$J77,AM$3&lt;=$M77),1,"")</f>
        <v/>
      </c>
      <c r="AN77">
        <f>IF(AND($A77&lt;&gt;"",AN$3&gt;=$J77,AN$3&lt;=$M77),1,"")</f>
        <v/>
      </c>
      <c r="AO77">
        <f>IF(AND($A77&lt;&gt;"",AO$3&gt;=$J77,AO$3&lt;=$M77),1,"")</f>
        <v/>
      </c>
      <c r="AP77">
        <f>IF(AND($A77&lt;&gt;"",AP$3&gt;=$J77,AP$3&lt;=$M77),1,"")</f>
        <v/>
      </c>
      <c r="AQ77">
        <f>IF(AND($A77&lt;&gt;"",AQ$3&gt;=$J77,AQ$3&lt;=$M77),1,"")</f>
        <v/>
      </c>
      <c r="AR77">
        <f>IF(AND($A77&lt;&gt;"",AR$3&gt;=$J77,AR$3&lt;=$M77),1,"")</f>
        <v/>
      </c>
      <c r="AS77">
        <f>IF(AND($A77&lt;&gt;"",AS$3&gt;=$J77,AS$3&lt;=$M77),1,"")</f>
        <v/>
      </c>
      <c r="AT77">
        <f>IF(AND($A77&lt;&gt;"",AT$3&gt;=$J77,AT$3&lt;=$M77),1,"")</f>
        <v/>
      </c>
      <c r="AU77">
        <f>IF(AND($A77&lt;&gt;"",AU$3&gt;=$J77,AU$3&lt;=$M77),1,"")</f>
        <v/>
      </c>
      <c r="AV77">
        <f>IF(AND($A77&lt;&gt;"",AV$3&gt;=$J77,AV$3&lt;=$M77),1,"")</f>
        <v/>
      </c>
      <c r="AW77">
        <f>IF(AND($A77&lt;&gt;"",AW$3&gt;=$J77,AW$3&lt;=$M77),1,"")</f>
        <v/>
      </c>
      <c r="AX77">
        <f>IF(AND($A77&lt;&gt;"",AX$3&gt;=$J77,AX$3&lt;=$M77),1,"")</f>
        <v/>
      </c>
      <c r="AY77">
        <f>IF(AND($A77&lt;&gt;"",AY$3&gt;=$J77,AY$3&lt;=$M77),1,"")</f>
        <v/>
      </c>
      <c r="AZ77">
        <f>IF(AND($A77&lt;&gt;"",AZ$3&gt;=$J77,AZ$3&lt;=$M77),1,"")</f>
        <v/>
      </c>
      <c r="BA77">
        <f>IF(AND($A77&lt;&gt;"",BA$3&gt;=$J77,BA$3&lt;=$M77),1,"")</f>
        <v/>
      </c>
      <c r="BB77">
        <f>IF(AND($A77&lt;&gt;"",BB$3&gt;=$J77,BB$3&lt;=$M77),1,"")</f>
        <v/>
      </c>
      <c r="BC77">
        <f>IF(AND($A77&lt;&gt;"",BC$3&gt;=$J77,BC$3&lt;=$M77),1,"")</f>
        <v/>
      </c>
      <c r="BD77">
        <f>IF(AND($A77&lt;&gt;"",BD$3&gt;=$J77,BD$3&lt;=$M77),1,"")</f>
        <v/>
      </c>
      <c r="BE77">
        <f>IF(AND($A77&lt;&gt;"",BE$3&gt;=$J77,BE$3&lt;=$M77),1,"")</f>
        <v/>
      </c>
      <c r="BF77">
        <f>IF(AND($A77&lt;&gt;"",BF$3&gt;=$J77,BF$3&lt;=$M77),1,"")</f>
        <v/>
      </c>
      <c r="BG77">
        <f>IF(AND($A77&lt;&gt;"",BG$3&gt;=$J77,BG$3&lt;=$M77),1,"")</f>
        <v/>
      </c>
      <c r="BH77">
        <f>IF(AND($A77&lt;&gt;"",BH$3&gt;=$J77,BH$3&lt;=$M77),1,"")</f>
        <v/>
      </c>
      <c r="BI77">
        <f>IF(AND($A77&lt;&gt;"",BI$3&gt;=$J77,BI$3&lt;=$M77),1,"")</f>
        <v/>
      </c>
      <c r="BJ77">
        <f>IF(AND($A77&lt;&gt;"",BJ$3&gt;=$J77,BJ$3&lt;=$M77),1,"")</f>
        <v/>
      </c>
      <c r="BK77">
        <f>IF(AND($A77&lt;&gt;"",BK$3&gt;=$J77,BK$3&lt;=$M77),1,"")</f>
        <v/>
      </c>
      <c r="BL77">
        <f>IF(AND($A77&lt;&gt;"",BL$3&gt;=$J77,BL$3&lt;=$M77),1,"")</f>
        <v/>
      </c>
      <c r="BM77">
        <f>IF(AND($A77&lt;&gt;"",BM$3&gt;=$J77,BM$3&lt;=$M77),1,"")</f>
        <v/>
      </c>
      <c r="BN77">
        <f>IF(AND($A77&lt;&gt;"",BN$3&gt;=$J77,BN$3&lt;=$M77),1,"")</f>
        <v/>
      </c>
      <c r="BO77">
        <f>IF(AND($A77&lt;&gt;"",BO$3&gt;=$J77,BO$3&lt;=$M77),1,"")</f>
        <v/>
      </c>
      <c r="BP77">
        <f>IF(AND($A77&lt;&gt;"",BP$3&gt;=$J77,BP$3&lt;=$M77),1,"")</f>
        <v/>
      </c>
      <c r="BQ77">
        <f>IF(AND($A77&lt;&gt;"",BQ$3&gt;=$J77,BQ$3&lt;=$M77),1,"")</f>
        <v/>
      </c>
      <c r="BR77">
        <f>IF(AND($A77&lt;&gt;"",BR$3&gt;=$J77,BR$3&lt;=$M77),1,"")</f>
        <v/>
      </c>
      <c r="BS77">
        <f>IF(AND($A77&lt;&gt;"",BS$3&gt;=$J77,BS$3&lt;=$M77),1,"")</f>
        <v/>
      </c>
      <c r="BT77">
        <f>IF(AND($A77&lt;&gt;"",BT$3&gt;=$J77,BT$3&lt;=$M77),1,"")</f>
        <v/>
      </c>
      <c r="BU77">
        <f>IF(AND($A77&lt;&gt;"",BU$3&gt;=$J77,BU$3&lt;=$M77),1,"")</f>
        <v/>
      </c>
      <c r="BV77">
        <f>IF(AND($A77&lt;&gt;"",BV$3&gt;=$J77,BV$3&lt;=$M77),1,"")</f>
        <v/>
      </c>
    </row>
    <row r="78">
      <c r="A78">
        <f>IF(Job_Master_Ring!$A78="","",Job_Master_Ring!$A78)</f>
        <v/>
      </c>
      <c r="B78">
        <f>IF($A78="","",Job_Master_Ring!B78)</f>
        <v/>
      </c>
      <c r="C78">
        <f>IF($A78="","",Job_Master_Ring!C78)</f>
        <v/>
      </c>
      <c r="D78">
        <f>IF($A78="","",Job_Master_Ring!D78)</f>
        <v/>
      </c>
      <c r="E78">
        <f>IF($A78="","",IF($I78&lt;&gt;"",$I78,IFERROR(INDEX(Machine_List!$B$82:$B$86,MATCH(1,(Machine_List!$H$82:$H$86&lt;=IFERROR(VLOOKUP($B78,CHOOSE(MATCH($C78,Settings!$L$4:$L$10,0),OPR_BR1!$A$4:$K$18,OPR_BR2!$A$4:$K$18,OPR_CR2!$A$4:$K$18,OPR_CR3!$A$4:$K$18,OPR_CR4!$A$4:$K$18,OPR_RIM!$A$4:$K$18,OPR_BPR!$A$4:$K$18),10,0),0))*(Machine_List!$I$82:$I$86&gt;=IFERROR(VLOOKUP($B78,CHOOSE(MATCH($C78,Settings!$L$4:$L$10,0),OPR_BR1!$A$4:$K$18,OPR_BR2!$A$4:$K$18,OPR_CR2!$A$4:$K$18,OPR_CR3!$A$4:$K$18,OPR_CR4!$A$4:$K$18,OPR_RIM!$A$4:$K$18,OPR_BPR!$A$4:$K$18),11,0),9999)),0)),"NO COMPATIBLE MACHINE")))</f>
        <v/>
      </c>
      <c r="F78">
        <f>IF($E78="","",IFERROR(VLOOKUP($E78,Machine_List!$B:$G,6,0),""))</f>
        <v/>
      </c>
      <c r="G78" s="17">
        <f>IF($E78="","",IFERROR(VLOOKUP($E78,Machine_List!$B:$C,2,0),""))</f>
        <v/>
      </c>
      <c r="H78">
        <f>IF($E78="","",IFERROR(VLOOKUP($E78,Machine_List!$B:$D,3,0),""))</f>
        <v/>
      </c>
      <c r="J78" s="16">
        <f>IF($A78="","",IF($I78&lt;&gt;"",$I78,MAX(FID_Plan!$M78,IFERROR(LOOKUP(2,1/($E$3:INDIRECT("E"&amp;(ROW()-1))=$E78),$M$3:INDIRECT("M"&amp;(ROW()-1))),FID_Plan!$M78))))</f>
        <v/>
      </c>
      <c r="K78">
        <f>IF($A78="","",IFERROR(VLOOKUP(B78,CHOOSE(MATCH($C78,Settings!$L$4:$L$10,0),OPR_BR1!$A$4:$I$18,OPR_BR2!$A$4:$I$18,OPR_CR2!$A$4:$I$18,OPR_CR3!$A$4:$I$18,OPR_CR4!$A$4:$I$18,OPR_RIM!$A$4:$I$18,OPR_BPR!$A$4:$I$18),9,0),0))</f>
        <v/>
      </c>
      <c r="L78">
        <f>IF($A78="","",K78*D78)</f>
        <v/>
      </c>
      <c r="M78" s="16">
        <f>IF($A78=""," ",$J78+($L78/(IF(F78="Contract Workman",Settings!$K$5,Settings!$K$4))))</f>
        <v/>
      </c>
      <c r="N78">
        <f>IF($A78="","",IF(F78="Contract Workman",IF(AND(MOD(M78,1)&gt;=8/24,MOD(M78,1)&lt;20/24),"Shift S1","Shift S2"),IF(AND(MOD(M78,1)&gt;=7/24,MOD(M78,1)&lt;15/24),"Shift A",IF(AND(MOD(M78,1)&gt;=15/24,MOD(M78,1)&lt;23/24),"Shift B","Shift C"))))</f>
        <v/>
      </c>
      <c r="O78">
        <f>IF(B78="","",IF(IFERROR(ISNUMBER(SEARCH(TEXT(B78,"0"),VLOOKUP(E78,Machine_List!$B:$J,9,0))),FALSE),"✅ "&amp; E78,"❌ Sug: "&amp;IFERROR(INDEX(Machine_List!$B$82:$B$86,MATCH(1,(Machine_List!$H$82:$H$86&lt;=IFERROR(VLOOKUP($B78,OPR_BR1!$A$4:$K$18,10,0),0))*(Machine_List!$I$82:$I$86&gt;=IFERROR(VLOOKUP($B78,OPR_BR1!$A$4:$K$18,11,0),9999)),0)),"?")))</f>
        <v/>
      </c>
      <c r="P78">
        <f>IF(AND($A78&lt;&gt;"",P$3&gt;=$J78,P$3&lt;=$M78),1,"")</f>
        <v/>
      </c>
      <c r="Q78">
        <f>IF(AND($A78&lt;&gt;"",Q$3&gt;=$J78,Q$3&lt;=$M78),1,"")</f>
        <v/>
      </c>
      <c r="R78">
        <f>IF(AND($A78&lt;&gt;"",R$3&gt;=$J78,R$3&lt;=$M78),1,"")</f>
        <v/>
      </c>
      <c r="S78">
        <f>IF(AND($A78&lt;&gt;"",S$3&gt;=$J78,S$3&lt;=$M78),1,"")</f>
        <v/>
      </c>
      <c r="T78">
        <f>IF(AND($A78&lt;&gt;"",T$3&gt;=$J78,T$3&lt;=$M78),1,"")</f>
        <v/>
      </c>
      <c r="U78">
        <f>IF(AND($A78&lt;&gt;"",U$3&gt;=$J78,U$3&lt;=$M78),1,"")</f>
        <v/>
      </c>
      <c r="V78">
        <f>IF(AND($A78&lt;&gt;"",V$3&gt;=$J78,V$3&lt;=$M78),1,"")</f>
        <v/>
      </c>
      <c r="W78">
        <f>IF(AND($A78&lt;&gt;"",W$3&gt;=$J78,W$3&lt;=$M78),1,"")</f>
        <v/>
      </c>
      <c r="X78">
        <f>IF(AND($A78&lt;&gt;"",X$3&gt;=$J78,X$3&lt;=$M78),1,"")</f>
        <v/>
      </c>
      <c r="Y78">
        <f>IF(AND($A78&lt;&gt;"",Y$3&gt;=$J78,Y$3&lt;=$M78),1,"")</f>
        <v/>
      </c>
      <c r="Z78">
        <f>IF(AND($A78&lt;&gt;"",Z$3&gt;=$J78,Z$3&lt;=$M78),1,"")</f>
        <v/>
      </c>
      <c r="AA78">
        <f>IF(AND($A78&lt;&gt;"",AA$3&gt;=$J78,AA$3&lt;=$M78),1,"")</f>
        <v/>
      </c>
      <c r="AB78">
        <f>IF(AND($A78&lt;&gt;"",AB$3&gt;=$J78,AB$3&lt;=$M78),1,"")</f>
        <v/>
      </c>
      <c r="AC78">
        <f>IF(AND($A78&lt;&gt;"",AC$3&gt;=$J78,AC$3&lt;=$M78),1,"")</f>
        <v/>
      </c>
      <c r="AD78">
        <f>IF(AND($A78&lt;&gt;"",AD$3&gt;=$J78,AD$3&lt;=$M78),1,"")</f>
        <v/>
      </c>
      <c r="AE78">
        <f>IF(AND($A78&lt;&gt;"",AE$3&gt;=$J78,AE$3&lt;=$M78),1,"")</f>
        <v/>
      </c>
      <c r="AF78">
        <f>IF(AND($A78&lt;&gt;"",AF$3&gt;=$J78,AF$3&lt;=$M78),1,"")</f>
        <v/>
      </c>
      <c r="AG78">
        <f>IF(AND($A78&lt;&gt;"",AG$3&gt;=$J78,AG$3&lt;=$M78),1,"")</f>
        <v/>
      </c>
      <c r="AH78">
        <f>IF(AND($A78&lt;&gt;"",AH$3&gt;=$J78,AH$3&lt;=$M78),1,"")</f>
        <v/>
      </c>
      <c r="AI78">
        <f>IF(AND($A78&lt;&gt;"",AI$3&gt;=$J78,AI$3&lt;=$M78),1,"")</f>
        <v/>
      </c>
      <c r="AJ78">
        <f>IF(AND($A78&lt;&gt;"",AJ$3&gt;=$J78,AJ$3&lt;=$M78),1,"")</f>
        <v/>
      </c>
      <c r="AK78">
        <f>IF(AND($A78&lt;&gt;"",AK$3&gt;=$J78,AK$3&lt;=$M78),1,"")</f>
        <v/>
      </c>
      <c r="AL78">
        <f>IF(AND($A78&lt;&gt;"",AL$3&gt;=$J78,AL$3&lt;=$M78),1,"")</f>
        <v/>
      </c>
      <c r="AM78">
        <f>IF(AND($A78&lt;&gt;"",AM$3&gt;=$J78,AM$3&lt;=$M78),1,"")</f>
        <v/>
      </c>
      <c r="AN78">
        <f>IF(AND($A78&lt;&gt;"",AN$3&gt;=$J78,AN$3&lt;=$M78),1,"")</f>
        <v/>
      </c>
      <c r="AO78">
        <f>IF(AND($A78&lt;&gt;"",AO$3&gt;=$J78,AO$3&lt;=$M78),1,"")</f>
        <v/>
      </c>
      <c r="AP78">
        <f>IF(AND($A78&lt;&gt;"",AP$3&gt;=$J78,AP$3&lt;=$M78),1,"")</f>
        <v/>
      </c>
      <c r="AQ78">
        <f>IF(AND($A78&lt;&gt;"",AQ$3&gt;=$J78,AQ$3&lt;=$M78),1,"")</f>
        <v/>
      </c>
      <c r="AR78">
        <f>IF(AND($A78&lt;&gt;"",AR$3&gt;=$J78,AR$3&lt;=$M78),1,"")</f>
        <v/>
      </c>
      <c r="AS78">
        <f>IF(AND($A78&lt;&gt;"",AS$3&gt;=$J78,AS$3&lt;=$M78),1,"")</f>
        <v/>
      </c>
      <c r="AT78">
        <f>IF(AND($A78&lt;&gt;"",AT$3&gt;=$J78,AT$3&lt;=$M78),1,"")</f>
        <v/>
      </c>
      <c r="AU78">
        <f>IF(AND($A78&lt;&gt;"",AU$3&gt;=$J78,AU$3&lt;=$M78),1,"")</f>
        <v/>
      </c>
      <c r="AV78">
        <f>IF(AND($A78&lt;&gt;"",AV$3&gt;=$J78,AV$3&lt;=$M78),1,"")</f>
        <v/>
      </c>
      <c r="AW78">
        <f>IF(AND($A78&lt;&gt;"",AW$3&gt;=$J78,AW$3&lt;=$M78),1,"")</f>
        <v/>
      </c>
      <c r="AX78">
        <f>IF(AND($A78&lt;&gt;"",AX$3&gt;=$J78,AX$3&lt;=$M78),1,"")</f>
        <v/>
      </c>
      <c r="AY78">
        <f>IF(AND($A78&lt;&gt;"",AY$3&gt;=$J78,AY$3&lt;=$M78),1,"")</f>
        <v/>
      </c>
      <c r="AZ78">
        <f>IF(AND($A78&lt;&gt;"",AZ$3&gt;=$J78,AZ$3&lt;=$M78),1,"")</f>
        <v/>
      </c>
      <c r="BA78">
        <f>IF(AND($A78&lt;&gt;"",BA$3&gt;=$J78,BA$3&lt;=$M78),1,"")</f>
        <v/>
      </c>
      <c r="BB78">
        <f>IF(AND($A78&lt;&gt;"",BB$3&gt;=$J78,BB$3&lt;=$M78),1,"")</f>
        <v/>
      </c>
      <c r="BC78">
        <f>IF(AND($A78&lt;&gt;"",BC$3&gt;=$J78,BC$3&lt;=$M78),1,"")</f>
        <v/>
      </c>
      <c r="BD78">
        <f>IF(AND($A78&lt;&gt;"",BD$3&gt;=$J78,BD$3&lt;=$M78),1,"")</f>
        <v/>
      </c>
      <c r="BE78">
        <f>IF(AND($A78&lt;&gt;"",BE$3&gt;=$J78,BE$3&lt;=$M78),1,"")</f>
        <v/>
      </c>
      <c r="BF78">
        <f>IF(AND($A78&lt;&gt;"",BF$3&gt;=$J78,BF$3&lt;=$M78),1,"")</f>
        <v/>
      </c>
      <c r="BG78">
        <f>IF(AND($A78&lt;&gt;"",BG$3&gt;=$J78,BG$3&lt;=$M78),1,"")</f>
        <v/>
      </c>
      <c r="BH78">
        <f>IF(AND($A78&lt;&gt;"",BH$3&gt;=$J78,BH$3&lt;=$M78),1,"")</f>
        <v/>
      </c>
      <c r="BI78">
        <f>IF(AND($A78&lt;&gt;"",BI$3&gt;=$J78,BI$3&lt;=$M78),1,"")</f>
        <v/>
      </c>
      <c r="BJ78">
        <f>IF(AND($A78&lt;&gt;"",BJ$3&gt;=$J78,BJ$3&lt;=$M78),1,"")</f>
        <v/>
      </c>
      <c r="BK78">
        <f>IF(AND($A78&lt;&gt;"",BK$3&gt;=$J78,BK$3&lt;=$M78),1,"")</f>
        <v/>
      </c>
      <c r="BL78">
        <f>IF(AND($A78&lt;&gt;"",BL$3&gt;=$J78,BL$3&lt;=$M78),1,"")</f>
        <v/>
      </c>
      <c r="BM78">
        <f>IF(AND($A78&lt;&gt;"",BM$3&gt;=$J78,BM$3&lt;=$M78),1,"")</f>
        <v/>
      </c>
      <c r="BN78">
        <f>IF(AND($A78&lt;&gt;"",BN$3&gt;=$J78,BN$3&lt;=$M78),1,"")</f>
        <v/>
      </c>
      <c r="BO78">
        <f>IF(AND($A78&lt;&gt;"",BO$3&gt;=$J78,BO$3&lt;=$M78),1,"")</f>
        <v/>
      </c>
      <c r="BP78">
        <f>IF(AND($A78&lt;&gt;"",BP$3&gt;=$J78,BP$3&lt;=$M78),1,"")</f>
        <v/>
      </c>
      <c r="BQ78">
        <f>IF(AND($A78&lt;&gt;"",BQ$3&gt;=$J78,BQ$3&lt;=$M78),1,"")</f>
        <v/>
      </c>
      <c r="BR78">
        <f>IF(AND($A78&lt;&gt;"",BR$3&gt;=$J78,BR$3&lt;=$M78),1,"")</f>
        <v/>
      </c>
      <c r="BS78">
        <f>IF(AND($A78&lt;&gt;"",BS$3&gt;=$J78,BS$3&lt;=$M78),1,"")</f>
        <v/>
      </c>
      <c r="BT78">
        <f>IF(AND($A78&lt;&gt;"",BT$3&gt;=$J78,BT$3&lt;=$M78),1,"")</f>
        <v/>
      </c>
      <c r="BU78">
        <f>IF(AND($A78&lt;&gt;"",BU$3&gt;=$J78,BU$3&lt;=$M78),1,"")</f>
        <v/>
      </c>
      <c r="BV78">
        <f>IF(AND($A78&lt;&gt;"",BV$3&gt;=$J78,BV$3&lt;=$M78),1,"")</f>
        <v/>
      </c>
    </row>
    <row r="79">
      <c r="A79">
        <f>IF(Job_Master_Ring!$A79="","",Job_Master_Ring!$A79)</f>
        <v/>
      </c>
      <c r="B79">
        <f>IF($A79="","",Job_Master_Ring!B79)</f>
        <v/>
      </c>
      <c r="C79">
        <f>IF($A79="","",Job_Master_Ring!C79)</f>
        <v/>
      </c>
      <c r="D79">
        <f>IF($A79="","",Job_Master_Ring!D79)</f>
        <v/>
      </c>
      <c r="E79">
        <f>IF($A79="","",IF($I79&lt;&gt;"",$I79,IFERROR(INDEX(Machine_List!$B$82:$B$86,MATCH(1,(Machine_List!$H$82:$H$86&lt;=IFERROR(VLOOKUP($B79,CHOOSE(MATCH($C79,Settings!$L$4:$L$10,0),OPR_BR1!$A$4:$K$18,OPR_BR2!$A$4:$K$18,OPR_CR2!$A$4:$K$18,OPR_CR3!$A$4:$K$18,OPR_CR4!$A$4:$K$18,OPR_RIM!$A$4:$K$18,OPR_BPR!$A$4:$K$18),10,0),0))*(Machine_List!$I$82:$I$86&gt;=IFERROR(VLOOKUP($B79,CHOOSE(MATCH($C79,Settings!$L$4:$L$10,0),OPR_BR1!$A$4:$K$18,OPR_BR2!$A$4:$K$18,OPR_CR2!$A$4:$K$18,OPR_CR3!$A$4:$K$18,OPR_CR4!$A$4:$K$18,OPR_RIM!$A$4:$K$18,OPR_BPR!$A$4:$K$18),11,0),9999)),0)),"NO COMPATIBLE MACHINE")))</f>
        <v/>
      </c>
      <c r="F79">
        <f>IF($E79="","",IFERROR(VLOOKUP($E79,Machine_List!$B:$G,6,0),""))</f>
        <v/>
      </c>
      <c r="G79" s="17">
        <f>IF($E79="","",IFERROR(VLOOKUP($E79,Machine_List!$B:$C,2,0),""))</f>
        <v/>
      </c>
      <c r="H79">
        <f>IF($E79="","",IFERROR(VLOOKUP($E79,Machine_List!$B:$D,3,0),""))</f>
        <v/>
      </c>
      <c r="J79" s="16">
        <f>IF($A79="","",IF($I79&lt;&gt;"",$I79,MAX(FID_Plan!$M79,IFERROR(LOOKUP(2,1/($E$3:INDIRECT("E"&amp;(ROW()-1))=$E79),$M$3:INDIRECT("M"&amp;(ROW()-1))),FID_Plan!$M79))))</f>
        <v/>
      </c>
      <c r="K79">
        <f>IF($A79="","",IFERROR(VLOOKUP(B79,CHOOSE(MATCH($C79,Settings!$L$4:$L$10,0),OPR_BR1!$A$4:$I$18,OPR_BR2!$A$4:$I$18,OPR_CR2!$A$4:$I$18,OPR_CR3!$A$4:$I$18,OPR_CR4!$A$4:$I$18,OPR_RIM!$A$4:$I$18,OPR_BPR!$A$4:$I$18),9,0),0))</f>
        <v/>
      </c>
      <c r="L79">
        <f>IF($A79="","",K79*D79)</f>
        <v/>
      </c>
      <c r="M79" s="16">
        <f>IF($A79=""," ",$J79+($L79/(IF(F79="Contract Workman",Settings!$K$5,Settings!$K$4))))</f>
        <v/>
      </c>
      <c r="N79">
        <f>IF($A79="","",IF(F79="Contract Workman",IF(AND(MOD(M79,1)&gt;=8/24,MOD(M79,1)&lt;20/24),"Shift S1","Shift S2"),IF(AND(MOD(M79,1)&gt;=7/24,MOD(M79,1)&lt;15/24),"Shift A",IF(AND(MOD(M79,1)&gt;=15/24,MOD(M79,1)&lt;23/24),"Shift B","Shift C"))))</f>
        <v/>
      </c>
      <c r="O79">
        <f>IF(B79="","",IF(IFERROR(ISNUMBER(SEARCH(TEXT(B79,"0"),VLOOKUP(E79,Machine_List!$B:$J,9,0))),FALSE),"✅ "&amp; E79,"❌ Sug: "&amp;IFERROR(INDEX(Machine_List!$B$82:$B$86,MATCH(1,(Machine_List!$H$82:$H$86&lt;=IFERROR(VLOOKUP($B79,OPR_BR1!$A$4:$K$18,10,0),0))*(Machine_List!$I$82:$I$86&gt;=IFERROR(VLOOKUP($B79,OPR_BR1!$A$4:$K$18,11,0),9999)),0)),"?")))</f>
        <v/>
      </c>
      <c r="P79">
        <f>IF(AND($A79&lt;&gt;"",P$3&gt;=$J79,P$3&lt;=$M79),1,"")</f>
        <v/>
      </c>
      <c r="Q79">
        <f>IF(AND($A79&lt;&gt;"",Q$3&gt;=$J79,Q$3&lt;=$M79),1,"")</f>
        <v/>
      </c>
      <c r="R79">
        <f>IF(AND($A79&lt;&gt;"",R$3&gt;=$J79,R$3&lt;=$M79),1,"")</f>
        <v/>
      </c>
      <c r="S79">
        <f>IF(AND($A79&lt;&gt;"",S$3&gt;=$J79,S$3&lt;=$M79),1,"")</f>
        <v/>
      </c>
      <c r="T79">
        <f>IF(AND($A79&lt;&gt;"",T$3&gt;=$J79,T$3&lt;=$M79),1,"")</f>
        <v/>
      </c>
      <c r="U79">
        <f>IF(AND($A79&lt;&gt;"",U$3&gt;=$J79,U$3&lt;=$M79),1,"")</f>
        <v/>
      </c>
      <c r="V79">
        <f>IF(AND($A79&lt;&gt;"",V$3&gt;=$J79,V$3&lt;=$M79),1,"")</f>
        <v/>
      </c>
      <c r="W79">
        <f>IF(AND($A79&lt;&gt;"",W$3&gt;=$J79,W$3&lt;=$M79),1,"")</f>
        <v/>
      </c>
      <c r="X79">
        <f>IF(AND($A79&lt;&gt;"",X$3&gt;=$J79,X$3&lt;=$M79),1,"")</f>
        <v/>
      </c>
      <c r="Y79">
        <f>IF(AND($A79&lt;&gt;"",Y$3&gt;=$J79,Y$3&lt;=$M79),1,"")</f>
        <v/>
      </c>
      <c r="Z79">
        <f>IF(AND($A79&lt;&gt;"",Z$3&gt;=$J79,Z$3&lt;=$M79),1,"")</f>
        <v/>
      </c>
      <c r="AA79">
        <f>IF(AND($A79&lt;&gt;"",AA$3&gt;=$J79,AA$3&lt;=$M79),1,"")</f>
        <v/>
      </c>
      <c r="AB79">
        <f>IF(AND($A79&lt;&gt;"",AB$3&gt;=$J79,AB$3&lt;=$M79),1,"")</f>
        <v/>
      </c>
      <c r="AC79">
        <f>IF(AND($A79&lt;&gt;"",AC$3&gt;=$J79,AC$3&lt;=$M79),1,"")</f>
        <v/>
      </c>
      <c r="AD79">
        <f>IF(AND($A79&lt;&gt;"",AD$3&gt;=$J79,AD$3&lt;=$M79),1,"")</f>
        <v/>
      </c>
      <c r="AE79">
        <f>IF(AND($A79&lt;&gt;"",AE$3&gt;=$J79,AE$3&lt;=$M79),1,"")</f>
        <v/>
      </c>
      <c r="AF79">
        <f>IF(AND($A79&lt;&gt;"",AF$3&gt;=$J79,AF$3&lt;=$M79),1,"")</f>
        <v/>
      </c>
      <c r="AG79">
        <f>IF(AND($A79&lt;&gt;"",AG$3&gt;=$J79,AG$3&lt;=$M79),1,"")</f>
        <v/>
      </c>
      <c r="AH79">
        <f>IF(AND($A79&lt;&gt;"",AH$3&gt;=$J79,AH$3&lt;=$M79),1,"")</f>
        <v/>
      </c>
      <c r="AI79">
        <f>IF(AND($A79&lt;&gt;"",AI$3&gt;=$J79,AI$3&lt;=$M79),1,"")</f>
        <v/>
      </c>
      <c r="AJ79">
        <f>IF(AND($A79&lt;&gt;"",AJ$3&gt;=$J79,AJ$3&lt;=$M79),1,"")</f>
        <v/>
      </c>
      <c r="AK79">
        <f>IF(AND($A79&lt;&gt;"",AK$3&gt;=$J79,AK$3&lt;=$M79),1,"")</f>
        <v/>
      </c>
      <c r="AL79">
        <f>IF(AND($A79&lt;&gt;"",AL$3&gt;=$J79,AL$3&lt;=$M79),1,"")</f>
        <v/>
      </c>
      <c r="AM79">
        <f>IF(AND($A79&lt;&gt;"",AM$3&gt;=$J79,AM$3&lt;=$M79),1,"")</f>
        <v/>
      </c>
      <c r="AN79">
        <f>IF(AND($A79&lt;&gt;"",AN$3&gt;=$J79,AN$3&lt;=$M79),1,"")</f>
        <v/>
      </c>
      <c r="AO79">
        <f>IF(AND($A79&lt;&gt;"",AO$3&gt;=$J79,AO$3&lt;=$M79),1,"")</f>
        <v/>
      </c>
      <c r="AP79">
        <f>IF(AND($A79&lt;&gt;"",AP$3&gt;=$J79,AP$3&lt;=$M79),1,"")</f>
        <v/>
      </c>
      <c r="AQ79">
        <f>IF(AND($A79&lt;&gt;"",AQ$3&gt;=$J79,AQ$3&lt;=$M79),1,"")</f>
        <v/>
      </c>
      <c r="AR79">
        <f>IF(AND($A79&lt;&gt;"",AR$3&gt;=$J79,AR$3&lt;=$M79),1,"")</f>
        <v/>
      </c>
      <c r="AS79">
        <f>IF(AND($A79&lt;&gt;"",AS$3&gt;=$J79,AS$3&lt;=$M79),1,"")</f>
        <v/>
      </c>
      <c r="AT79">
        <f>IF(AND($A79&lt;&gt;"",AT$3&gt;=$J79,AT$3&lt;=$M79),1,"")</f>
        <v/>
      </c>
      <c r="AU79">
        <f>IF(AND($A79&lt;&gt;"",AU$3&gt;=$J79,AU$3&lt;=$M79),1,"")</f>
        <v/>
      </c>
      <c r="AV79">
        <f>IF(AND($A79&lt;&gt;"",AV$3&gt;=$J79,AV$3&lt;=$M79),1,"")</f>
        <v/>
      </c>
      <c r="AW79">
        <f>IF(AND($A79&lt;&gt;"",AW$3&gt;=$J79,AW$3&lt;=$M79),1,"")</f>
        <v/>
      </c>
      <c r="AX79">
        <f>IF(AND($A79&lt;&gt;"",AX$3&gt;=$J79,AX$3&lt;=$M79),1,"")</f>
        <v/>
      </c>
      <c r="AY79">
        <f>IF(AND($A79&lt;&gt;"",AY$3&gt;=$J79,AY$3&lt;=$M79),1,"")</f>
        <v/>
      </c>
      <c r="AZ79">
        <f>IF(AND($A79&lt;&gt;"",AZ$3&gt;=$J79,AZ$3&lt;=$M79),1,"")</f>
        <v/>
      </c>
      <c r="BA79">
        <f>IF(AND($A79&lt;&gt;"",BA$3&gt;=$J79,BA$3&lt;=$M79),1,"")</f>
        <v/>
      </c>
      <c r="BB79">
        <f>IF(AND($A79&lt;&gt;"",BB$3&gt;=$J79,BB$3&lt;=$M79),1,"")</f>
        <v/>
      </c>
      <c r="BC79">
        <f>IF(AND($A79&lt;&gt;"",BC$3&gt;=$J79,BC$3&lt;=$M79),1,"")</f>
        <v/>
      </c>
      <c r="BD79">
        <f>IF(AND($A79&lt;&gt;"",BD$3&gt;=$J79,BD$3&lt;=$M79),1,"")</f>
        <v/>
      </c>
      <c r="BE79">
        <f>IF(AND($A79&lt;&gt;"",BE$3&gt;=$J79,BE$3&lt;=$M79),1,"")</f>
        <v/>
      </c>
      <c r="BF79">
        <f>IF(AND($A79&lt;&gt;"",BF$3&gt;=$J79,BF$3&lt;=$M79),1,"")</f>
        <v/>
      </c>
      <c r="BG79">
        <f>IF(AND($A79&lt;&gt;"",BG$3&gt;=$J79,BG$3&lt;=$M79),1,"")</f>
        <v/>
      </c>
      <c r="BH79">
        <f>IF(AND($A79&lt;&gt;"",BH$3&gt;=$J79,BH$3&lt;=$M79),1,"")</f>
        <v/>
      </c>
      <c r="BI79">
        <f>IF(AND($A79&lt;&gt;"",BI$3&gt;=$J79,BI$3&lt;=$M79),1,"")</f>
        <v/>
      </c>
      <c r="BJ79">
        <f>IF(AND($A79&lt;&gt;"",BJ$3&gt;=$J79,BJ$3&lt;=$M79),1,"")</f>
        <v/>
      </c>
      <c r="BK79">
        <f>IF(AND($A79&lt;&gt;"",BK$3&gt;=$J79,BK$3&lt;=$M79),1,"")</f>
        <v/>
      </c>
      <c r="BL79">
        <f>IF(AND($A79&lt;&gt;"",BL$3&gt;=$J79,BL$3&lt;=$M79),1,"")</f>
        <v/>
      </c>
      <c r="BM79">
        <f>IF(AND($A79&lt;&gt;"",BM$3&gt;=$J79,BM$3&lt;=$M79),1,"")</f>
        <v/>
      </c>
      <c r="BN79">
        <f>IF(AND($A79&lt;&gt;"",BN$3&gt;=$J79,BN$3&lt;=$M79),1,"")</f>
        <v/>
      </c>
      <c r="BO79">
        <f>IF(AND($A79&lt;&gt;"",BO$3&gt;=$J79,BO$3&lt;=$M79),1,"")</f>
        <v/>
      </c>
      <c r="BP79">
        <f>IF(AND($A79&lt;&gt;"",BP$3&gt;=$J79,BP$3&lt;=$M79),1,"")</f>
        <v/>
      </c>
      <c r="BQ79">
        <f>IF(AND($A79&lt;&gt;"",BQ$3&gt;=$J79,BQ$3&lt;=$M79),1,"")</f>
        <v/>
      </c>
      <c r="BR79">
        <f>IF(AND($A79&lt;&gt;"",BR$3&gt;=$J79,BR$3&lt;=$M79),1,"")</f>
        <v/>
      </c>
      <c r="BS79">
        <f>IF(AND($A79&lt;&gt;"",BS$3&gt;=$J79,BS$3&lt;=$M79),1,"")</f>
        <v/>
      </c>
      <c r="BT79">
        <f>IF(AND($A79&lt;&gt;"",BT$3&gt;=$J79,BT$3&lt;=$M79),1,"")</f>
        <v/>
      </c>
      <c r="BU79">
        <f>IF(AND($A79&lt;&gt;"",BU$3&gt;=$J79,BU$3&lt;=$M79),1,"")</f>
        <v/>
      </c>
      <c r="BV79">
        <f>IF(AND($A79&lt;&gt;"",BV$3&gt;=$J79,BV$3&lt;=$M79),1,"")</f>
        <v/>
      </c>
    </row>
    <row r="80">
      <c r="A80">
        <f>IF(Job_Master_Ring!$A80="","",Job_Master_Ring!$A80)</f>
        <v/>
      </c>
      <c r="B80">
        <f>IF($A80="","",Job_Master_Ring!B80)</f>
        <v/>
      </c>
      <c r="C80">
        <f>IF($A80="","",Job_Master_Ring!C80)</f>
        <v/>
      </c>
      <c r="D80">
        <f>IF($A80="","",Job_Master_Ring!D80)</f>
        <v/>
      </c>
      <c r="E80">
        <f>IF($A80="","",IF($I80&lt;&gt;"",$I80,IFERROR(INDEX(Machine_List!$B$82:$B$86,MATCH(1,(Machine_List!$H$82:$H$86&lt;=IFERROR(VLOOKUP($B80,CHOOSE(MATCH($C80,Settings!$L$4:$L$10,0),OPR_BR1!$A$4:$K$18,OPR_BR2!$A$4:$K$18,OPR_CR2!$A$4:$K$18,OPR_CR3!$A$4:$K$18,OPR_CR4!$A$4:$K$18,OPR_RIM!$A$4:$K$18,OPR_BPR!$A$4:$K$18),10,0),0))*(Machine_List!$I$82:$I$86&gt;=IFERROR(VLOOKUP($B80,CHOOSE(MATCH($C80,Settings!$L$4:$L$10,0),OPR_BR1!$A$4:$K$18,OPR_BR2!$A$4:$K$18,OPR_CR2!$A$4:$K$18,OPR_CR3!$A$4:$K$18,OPR_CR4!$A$4:$K$18,OPR_RIM!$A$4:$K$18,OPR_BPR!$A$4:$K$18),11,0),9999)),0)),"NO COMPATIBLE MACHINE")))</f>
        <v/>
      </c>
      <c r="F80">
        <f>IF($E80="","",IFERROR(VLOOKUP($E80,Machine_List!$B:$G,6,0),""))</f>
        <v/>
      </c>
      <c r="G80" s="17">
        <f>IF($E80="","",IFERROR(VLOOKUP($E80,Machine_List!$B:$C,2,0),""))</f>
        <v/>
      </c>
      <c r="H80">
        <f>IF($E80="","",IFERROR(VLOOKUP($E80,Machine_List!$B:$D,3,0),""))</f>
        <v/>
      </c>
      <c r="J80" s="16">
        <f>IF($A80="","",IF($I80&lt;&gt;"",$I80,MAX(FID_Plan!$M80,IFERROR(LOOKUP(2,1/($E$3:INDIRECT("E"&amp;(ROW()-1))=$E80),$M$3:INDIRECT("M"&amp;(ROW()-1))),FID_Plan!$M80))))</f>
        <v/>
      </c>
      <c r="K80">
        <f>IF($A80="","",IFERROR(VLOOKUP(B80,CHOOSE(MATCH($C80,Settings!$L$4:$L$10,0),OPR_BR1!$A$4:$I$18,OPR_BR2!$A$4:$I$18,OPR_CR2!$A$4:$I$18,OPR_CR3!$A$4:$I$18,OPR_CR4!$A$4:$I$18,OPR_RIM!$A$4:$I$18,OPR_BPR!$A$4:$I$18),9,0),0))</f>
        <v/>
      </c>
      <c r="L80">
        <f>IF($A80="","",K80*D80)</f>
        <v/>
      </c>
      <c r="M80" s="16">
        <f>IF($A80=""," ",$J80+($L80/(IF(F80="Contract Workman",Settings!$K$5,Settings!$K$4))))</f>
        <v/>
      </c>
      <c r="N80">
        <f>IF($A80="","",IF(F80="Contract Workman",IF(AND(MOD(M80,1)&gt;=8/24,MOD(M80,1)&lt;20/24),"Shift S1","Shift S2"),IF(AND(MOD(M80,1)&gt;=7/24,MOD(M80,1)&lt;15/24),"Shift A",IF(AND(MOD(M80,1)&gt;=15/24,MOD(M80,1)&lt;23/24),"Shift B","Shift C"))))</f>
        <v/>
      </c>
      <c r="O80">
        <f>IF(B80="","",IF(IFERROR(ISNUMBER(SEARCH(TEXT(B80,"0"),VLOOKUP(E80,Machine_List!$B:$J,9,0))),FALSE),"✅ "&amp; E80,"❌ Sug: "&amp;IFERROR(INDEX(Machine_List!$B$82:$B$86,MATCH(1,(Machine_List!$H$82:$H$86&lt;=IFERROR(VLOOKUP($B80,OPR_BR1!$A$4:$K$18,10,0),0))*(Machine_List!$I$82:$I$86&gt;=IFERROR(VLOOKUP($B80,OPR_BR1!$A$4:$K$18,11,0),9999)),0)),"?")))</f>
        <v/>
      </c>
      <c r="P80">
        <f>IF(AND($A80&lt;&gt;"",P$3&gt;=$J80,P$3&lt;=$M80),1,"")</f>
        <v/>
      </c>
      <c r="Q80">
        <f>IF(AND($A80&lt;&gt;"",Q$3&gt;=$J80,Q$3&lt;=$M80),1,"")</f>
        <v/>
      </c>
      <c r="R80">
        <f>IF(AND($A80&lt;&gt;"",R$3&gt;=$J80,R$3&lt;=$M80),1,"")</f>
        <v/>
      </c>
      <c r="S80">
        <f>IF(AND($A80&lt;&gt;"",S$3&gt;=$J80,S$3&lt;=$M80),1,"")</f>
        <v/>
      </c>
      <c r="T80">
        <f>IF(AND($A80&lt;&gt;"",T$3&gt;=$J80,T$3&lt;=$M80),1,"")</f>
        <v/>
      </c>
      <c r="U80">
        <f>IF(AND($A80&lt;&gt;"",U$3&gt;=$J80,U$3&lt;=$M80),1,"")</f>
        <v/>
      </c>
      <c r="V80">
        <f>IF(AND($A80&lt;&gt;"",V$3&gt;=$J80,V$3&lt;=$M80),1,"")</f>
        <v/>
      </c>
      <c r="W80">
        <f>IF(AND($A80&lt;&gt;"",W$3&gt;=$J80,W$3&lt;=$M80),1,"")</f>
        <v/>
      </c>
      <c r="X80">
        <f>IF(AND($A80&lt;&gt;"",X$3&gt;=$J80,X$3&lt;=$M80),1,"")</f>
        <v/>
      </c>
      <c r="Y80">
        <f>IF(AND($A80&lt;&gt;"",Y$3&gt;=$J80,Y$3&lt;=$M80),1,"")</f>
        <v/>
      </c>
      <c r="Z80">
        <f>IF(AND($A80&lt;&gt;"",Z$3&gt;=$J80,Z$3&lt;=$M80),1,"")</f>
        <v/>
      </c>
      <c r="AA80">
        <f>IF(AND($A80&lt;&gt;"",AA$3&gt;=$J80,AA$3&lt;=$M80),1,"")</f>
        <v/>
      </c>
      <c r="AB80">
        <f>IF(AND($A80&lt;&gt;"",AB$3&gt;=$J80,AB$3&lt;=$M80),1,"")</f>
        <v/>
      </c>
      <c r="AC80">
        <f>IF(AND($A80&lt;&gt;"",AC$3&gt;=$J80,AC$3&lt;=$M80),1,"")</f>
        <v/>
      </c>
      <c r="AD80">
        <f>IF(AND($A80&lt;&gt;"",AD$3&gt;=$J80,AD$3&lt;=$M80),1,"")</f>
        <v/>
      </c>
      <c r="AE80">
        <f>IF(AND($A80&lt;&gt;"",AE$3&gt;=$J80,AE$3&lt;=$M80),1,"")</f>
        <v/>
      </c>
      <c r="AF80">
        <f>IF(AND($A80&lt;&gt;"",AF$3&gt;=$J80,AF$3&lt;=$M80),1,"")</f>
        <v/>
      </c>
      <c r="AG80">
        <f>IF(AND($A80&lt;&gt;"",AG$3&gt;=$J80,AG$3&lt;=$M80),1,"")</f>
        <v/>
      </c>
      <c r="AH80">
        <f>IF(AND($A80&lt;&gt;"",AH$3&gt;=$J80,AH$3&lt;=$M80),1,"")</f>
        <v/>
      </c>
      <c r="AI80">
        <f>IF(AND($A80&lt;&gt;"",AI$3&gt;=$J80,AI$3&lt;=$M80),1,"")</f>
        <v/>
      </c>
      <c r="AJ80">
        <f>IF(AND($A80&lt;&gt;"",AJ$3&gt;=$J80,AJ$3&lt;=$M80),1,"")</f>
        <v/>
      </c>
      <c r="AK80">
        <f>IF(AND($A80&lt;&gt;"",AK$3&gt;=$J80,AK$3&lt;=$M80),1,"")</f>
        <v/>
      </c>
      <c r="AL80">
        <f>IF(AND($A80&lt;&gt;"",AL$3&gt;=$J80,AL$3&lt;=$M80),1,"")</f>
        <v/>
      </c>
      <c r="AM80">
        <f>IF(AND($A80&lt;&gt;"",AM$3&gt;=$J80,AM$3&lt;=$M80),1,"")</f>
        <v/>
      </c>
      <c r="AN80">
        <f>IF(AND($A80&lt;&gt;"",AN$3&gt;=$J80,AN$3&lt;=$M80),1,"")</f>
        <v/>
      </c>
      <c r="AO80">
        <f>IF(AND($A80&lt;&gt;"",AO$3&gt;=$J80,AO$3&lt;=$M80),1,"")</f>
        <v/>
      </c>
      <c r="AP80">
        <f>IF(AND($A80&lt;&gt;"",AP$3&gt;=$J80,AP$3&lt;=$M80),1,"")</f>
        <v/>
      </c>
      <c r="AQ80">
        <f>IF(AND($A80&lt;&gt;"",AQ$3&gt;=$J80,AQ$3&lt;=$M80),1,"")</f>
        <v/>
      </c>
      <c r="AR80">
        <f>IF(AND($A80&lt;&gt;"",AR$3&gt;=$J80,AR$3&lt;=$M80),1,"")</f>
        <v/>
      </c>
      <c r="AS80">
        <f>IF(AND($A80&lt;&gt;"",AS$3&gt;=$J80,AS$3&lt;=$M80),1,"")</f>
        <v/>
      </c>
      <c r="AT80">
        <f>IF(AND($A80&lt;&gt;"",AT$3&gt;=$J80,AT$3&lt;=$M80),1,"")</f>
        <v/>
      </c>
      <c r="AU80">
        <f>IF(AND($A80&lt;&gt;"",AU$3&gt;=$J80,AU$3&lt;=$M80),1,"")</f>
        <v/>
      </c>
      <c r="AV80">
        <f>IF(AND($A80&lt;&gt;"",AV$3&gt;=$J80,AV$3&lt;=$M80),1,"")</f>
        <v/>
      </c>
      <c r="AW80">
        <f>IF(AND($A80&lt;&gt;"",AW$3&gt;=$J80,AW$3&lt;=$M80),1,"")</f>
        <v/>
      </c>
      <c r="AX80">
        <f>IF(AND($A80&lt;&gt;"",AX$3&gt;=$J80,AX$3&lt;=$M80),1,"")</f>
        <v/>
      </c>
      <c r="AY80">
        <f>IF(AND($A80&lt;&gt;"",AY$3&gt;=$J80,AY$3&lt;=$M80),1,"")</f>
        <v/>
      </c>
      <c r="AZ80">
        <f>IF(AND($A80&lt;&gt;"",AZ$3&gt;=$J80,AZ$3&lt;=$M80),1,"")</f>
        <v/>
      </c>
      <c r="BA80">
        <f>IF(AND($A80&lt;&gt;"",BA$3&gt;=$J80,BA$3&lt;=$M80),1,"")</f>
        <v/>
      </c>
      <c r="BB80">
        <f>IF(AND($A80&lt;&gt;"",BB$3&gt;=$J80,BB$3&lt;=$M80),1,"")</f>
        <v/>
      </c>
      <c r="BC80">
        <f>IF(AND($A80&lt;&gt;"",BC$3&gt;=$J80,BC$3&lt;=$M80),1,"")</f>
        <v/>
      </c>
      <c r="BD80">
        <f>IF(AND($A80&lt;&gt;"",BD$3&gt;=$J80,BD$3&lt;=$M80),1,"")</f>
        <v/>
      </c>
      <c r="BE80">
        <f>IF(AND($A80&lt;&gt;"",BE$3&gt;=$J80,BE$3&lt;=$M80),1,"")</f>
        <v/>
      </c>
      <c r="BF80">
        <f>IF(AND($A80&lt;&gt;"",BF$3&gt;=$J80,BF$3&lt;=$M80),1,"")</f>
        <v/>
      </c>
      <c r="BG80">
        <f>IF(AND($A80&lt;&gt;"",BG$3&gt;=$J80,BG$3&lt;=$M80),1,"")</f>
        <v/>
      </c>
      <c r="BH80">
        <f>IF(AND($A80&lt;&gt;"",BH$3&gt;=$J80,BH$3&lt;=$M80),1,"")</f>
        <v/>
      </c>
      <c r="BI80">
        <f>IF(AND($A80&lt;&gt;"",BI$3&gt;=$J80,BI$3&lt;=$M80),1,"")</f>
        <v/>
      </c>
      <c r="BJ80">
        <f>IF(AND($A80&lt;&gt;"",BJ$3&gt;=$J80,BJ$3&lt;=$M80),1,"")</f>
        <v/>
      </c>
      <c r="BK80">
        <f>IF(AND($A80&lt;&gt;"",BK$3&gt;=$J80,BK$3&lt;=$M80),1,"")</f>
        <v/>
      </c>
      <c r="BL80">
        <f>IF(AND($A80&lt;&gt;"",BL$3&gt;=$J80,BL$3&lt;=$M80),1,"")</f>
        <v/>
      </c>
      <c r="BM80">
        <f>IF(AND($A80&lt;&gt;"",BM$3&gt;=$J80,BM$3&lt;=$M80),1,"")</f>
        <v/>
      </c>
      <c r="BN80">
        <f>IF(AND($A80&lt;&gt;"",BN$3&gt;=$J80,BN$3&lt;=$M80),1,"")</f>
        <v/>
      </c>
      <c r="BO80">
        <f>IF(AND($A80&lt;&gt;"",BO$3&gt;=$J80,BO$3&lt;=$M80),1,"")</f>
        <v/>
      </c>
      <c r="BP80">
        <f>IF(AND($A80&lt;&gt;"",BP$3&gt;=$J80,BP$3&lt;=$M80),1,"")</f>
        <v/>
      </c>
      <c r="BQ80">
        <f>IF(AND($A80&lt;&gt;"",BQ$3&gt;=$J80,BQ$3&lt;=$M80),1,"")</f>
        <v/>
      </c>
      <c r="BR80">
        <f>IF(AND($A80&lt;&gt;"",BR$3&gt;=$J80,BR$3&lt;=$M80),1,"")</f>
        <v/>
      </c>
      <c r="BS80">
        <f>IF(AND($A80&lt;&gt;"",BS$3&gt;=$J80,BS$3&lt;=$M80),1,"")</f>
        <v/>
      </c>
      <c r="BT80">
        <f>IF(AND($A80&lt;&gt;"",BT$3&gt;=$J80,BT$3&lt;=$M80),1,"")</f>
        <v/>
      </c>
      <c r="BU80">
        <f>IF(AND($A80&lt;&gt;"",BU$3&gt;=$J80,BU$3&lt;=$M80),1,"")</f>
        <v/>
      </c>
      <c r="BV80">
        <f>IF(AND($A80&lt;&gt;"",BV$3&gt;=$J80,BV$3&lt;=$M80),1,"")</f>
        <v/>
      </c>
    </row>
    <row r="81">
      <c r="A81">
        <f>IF(Job_Master_Ring!$A81="","",Job_Master_Ring!$A81)</f>
        <v/>
      </c>
      <c r="B81">
        <f>IF($A81="","",Job_Master_Ring!B81)</f>
        <v/>
      </c>
      <c r="C81">
        <f>IF($A81="","",Job_Master_Ring!C81)</f>
        <v/>
      </c>
      <c r="D81">
        <f>IF($A81="","",Job_Master_Ring!D81)</f>
        <v/>
      </c>
      <c r="E81">
        <f>IF($A81="","",IF($I81&lt;&gt;"",$I81,IFERROR(INDEX(Machine_List!$B$82:$B$86,MATCH(1,(Machine_List!$H$82:$H$86&lt;=IFERROR(VLOOKUP($B81,CHOOSE(MATCH($C81,Settings!$L$4:$L$10,0),OPR_BR1!$A$4:$K$18,OPR_BR2!$A$4:$K$18,OPR_CR2!$A$4:$K$18,OPR_CR3!$A$4:$K$18,OPR_CR4!$A$4:$K$18,OPR_RIM!$A$4:$K$18,OPR_BPR!$A$4:$K$18),10,0),0))*(Machine_List!$I$82:$I$86&gt;=IFERROR(VLOOKUP($B81,CHOOSE(MATCH($C81,Settings!$L$4:$L$10,0),OPR_BR1!$A$4:$K$18,OPR_BR2!$A$4:$K$18,OPR_CR2!$A$4:$K$18,OPR_CR3!$A$4:$K$18,OPR_CR4!$A$4:$K$18,OPR_RIM!$A$4:$K$18,OPR_BPR!$A$4:$K$18),11,0),9999)),0)),"NO COMPATIBLE MACHINE")))</f>
        <v/>
      </c>
      <c r="F81">
        <f>IF($E81="","",IFERROR(VLOOKUP($E81,Machine_List!$B:$G,6,0),""))</f>
        <v/>
      </c>
      <c r="G81" s="17">
        <f>IF($E81="","",IFERROR(VLOOKUP($E81,Machine_List!$B:$C,2,0),""))</f>
        <v/>
      </c>
      <c r="H81">
        <f>IF($E81="","",IFERROR(VLOOKUP($E81,Machine_List!$B:$D,3,0),""))</f>
        <v/>
      </c>
      <c r="J81" s="16">
        <f>IF($A81="","",IF($I81&lt;&gt;"",$I81,MAX(FID_Plan!$M81,IFERROR(LOOKUP(2,1/($E$3:INDIRECT("E"&amp;(ROW()-1))=$E81),$M$3:INDIRECT("M"&amp;(ROW()-1))),FID_Plan!$M81))))</f>
        <v/>
      </c>
      <c r="K81">
        <f>IF($A81="","",IFERROR(VLOOKUP(B81,CHOOSE(MATCH($C81,Settings!$L$4:$L$10,0),OPR_BR1!$A$4:$I$18,OPR_BR2!$A$4:$I$18,OPR_CR2!$A$4:$I$18,OPR_CR3!$A$4:$I$18,OPR_CR4!$A$4:$I$18,OPR_RIM!$A$4:$I$18,OPR_BPR!$A$4:$I$18),9,0),0))</f>
        <v/>
      </c>
      <c r="L81">
        <f>IF($A81="","",K81*D81)</f>
        <v/>
      </c>
      <c r="M81" s="16">
        <f>IF($A81=""," ",$J81+($L81/(IF(F81="Contract Workman",Settings!$K$5,Settings!$K$4))))</f>
        <v/>
      </c>
      <c r="N81">
        <f>IF($A81="","",IF(F81="Contract Workman",IF(AND(MOD(M81,1)&gt;=8/24,MOD(M81,1)&lt;20/24),"Shift S1","Shift S2"),IF(AND(MOD(M81,1)&gt;=7/24,MOD(M81,1)&lt;15/24),"Shift A",IF(AND(MOD(M81,1)&gt;=15/24,MOD(M81,1)&lt;23/24),"Shift B","Shift C"))))</f>
        <v/>
      </c>
      <c r="O81">
        <f>IF(B81="","",IF(IFERROR(ISNUMBER(SEARCH(TEXT(B81,"0"),VLOOKUP(E81,Machine_List!$B:$J,9,0))),FALSE),"✅ "&amp; E81,"❌ Sug: "&amp;IFERROR(INDEX(Machine_List!$B$82:$B$86,MATCH(1,(Machine_List!$H$82:$H$86&lt;=IFERROR(VLOOKUP($B81,OPR_BR1!$A$4:$K$18,10,0),0))*(Machine_List!$I$82:$I$86&gt;=IFERROR(VLOOKUP($B81,OPR_BR1!$A$4:$K$18,11,0),9999)),0)),"?")))</f>
        <v/>
      </c>
      <c r="P81">
        <f>IF(AND($A81&lt;&gt;"",P$3&gt;=$J81,P$3&lt;=$M81),1,"")</f>
        <v/>
      </c>
      <c r="Q81">
        <f>IF(AND($A81&lt;&gt;"",Q$3&gt;=$J81,Q$3&lt;=$M81),1,"")</f>
        <v/>
      </c>
      <c r="R81">
        <f>IF(AND($A81&lt;&gt;"",R$3&gt;=$J81,R$3&lt;=$M81),1,"")</f>
        <v/>
      </c>
      <c r="S81">
        <f>IF(AND($A81&lt;&gt;"",S$3&gt;=$J81,S$3&lt;=$M81),1,"")</f>
        <v/>
      </c>
      <c r="T81">
        <f>IF(AND($A81&lt;&gt;"",T$3&gt;=$J81,T$3&lt;=$M81),1,"")</f>
        <v/>
      </c>
      <c r="U81">
        <f>IF(AND($A81&lt;&gt;"",U$3&gt;=$J81,U$3&lt;=$M81),1,"")</f>
        <v/>
      </c>
      <c r="V81">
        <f>IF(AND($A81&lt;&gt;"",V$3&gt;=$J81,V$3&lt;=$M81),1,"")</f>
        <v/>
      </c>
      <c r="W81">
        <f>IF(AND($A81&lt;&gt;"",W$3&gt;=$J81,W$3&lt;=$M81),1,"")</f>
        <v/>
      </c>
      <c r="X81">
        <f>IF(AND($A81&lt;&gt;"",X$3&gt;=$J81,X$3&lt;=$M81),1,"")</f>
        <v/>
      </c>
      <c r="Y81">
        <f>IF(AND($A81&lt;&gt;"",Y$3&gt;=$J81,Y$3&lt;=$M81),1,"")</f>
        <v/>
      </c>
      <c r="Z81">
        <f>IF(AND($A81&lt;&gt;"",Z$3&gt;=$J81,Z$3&lt;=$M81),1,"")</f>
        <v/>
      </c>
      <c r="AA81">
        <f>IF(AND($A81&lt;&gt;"",AA$3&gt;=$J81,AA$3&lt;=$M81),1,"")</f>
        <v/>
      </c>
      <c r="AB81">
        <f>IF(AND($A81&lt;&gt;"",AB$3&gt;=$J81,AB$3&lt;=$M81),1,"")</f>
        <v/>
      </c>
      <c r="AC81">
        <f>IF(AND($A81&lt;&gt;"",AC$3&gt;=$J81,AC$3&lt;=$M81),1,"")</f>
        <v/>
      </c>
      <c r="AD81">
        <f>IF(AND($A81&lt;&gt;"",AD$3&gt;=$J81,AD$3&lt;=$M81),1,"")</f>
        <v/>
      </c>
      <c r="AE81">
        <f>IF(AND($A81&lt;&gt;"",AE$3&gt;=$J81,AE$3&lt;=$M81),1,"")</f>
        <v/>
      </c>
      <c r="AF81">
        <f>IF(AND($A81&lt;&gt;"",AF$3&gt;=$J81,AF$3&lt;=$M81),1,"")</f>
        <v/>
      </c>
      <c r="AG81">
        <f>IF(AND($A81&lt;&gt;"",AG$3&gt;=$J81,AG$3&lt;=$M81),1,"")</f>
        <v/>
      </c>
      <c r="AH81">
        <f>IF(AND($A81&lt;&gt;"",AH$3&gt;=$J81,AH$3&lt;=$M81),1,"")</f>
        <v/>
      </c>
      <c r="AI81">
        <f>IF(AND($A81&lt;&gt;"",AI$3&gt;=$J81,AI$3&lt;=$M81),1,"")</f>
        <v/>
      </c>
      <c r="AJ81">
        <f>IF(AND($A81&lt;&gt;"",AJ$3&gt;=$J81,AJ$3&lt;=$M81),1,"")</f>
        <v/>
      </c>
      <c r="AK81">
        <f>IF(AND($A81&lt;&gt;"",AK$3&gt;=$J81,AK$3&lt;=$M81),1,"")</f>
        <v/>
      </c>
      <c r="AL81">
        <f>IF(AND($A81&lt;&gt;"",AL$3&gt;=$J81,AL$3&lt;=$M81),1,"")</f>
        <v/>
      </c>
      <c r="AM81">
        <f>IF(AND($A81&lt;&gt;"",AM$3&gt;=$J81,AM$3&lt;=$M81),1,"")</f>
        <v/>
      </c>
      <c r="AN81">
        <f>IF(AND($A81&lt;&gt;"",AN$3&gt;=$J81,AN$3&lt;=$M81),1,"")</f>
        <v/>
      </c>
      <c r="AO81">
        <f>IF(AND($A81&lt;&gt;"",AO$3&gt;=$J81,AO$3&lt;=$M81),1,"")</f>
        <v/>
      </c>
      <c r="AP81">
        <f>IF(AND($A81&lt;&gt;"",AP$3&gt;=$J81,AP$3&lt;=$M81),1,"")</f>
        <v/>
      </c>
      <c r="AQ81">
        <f>IF(AND($A81&lt;&gt;"",AQ$3&gt;=$J81,AQ$3&lt;=$M81),1,"")</f>
        <v/>
      </c>
      <c r="AR81">
        <f>IF(AND($A81&lt;&gt;"",AR$3&gt;=$J81,AR$3&lt;=$M81),1,"")</f>
        <v/>
      </c>
      <c r="AS81">
        <f>IF(AND($A81&lt;&gt;"",AS$3&gt;=$J81,AS$3&lt;=$M81),1,"")</f>
        <v/>
      </c>
      <c r="AT81">
        <f>IF(AND($A81&lt;&gt;"",AT$3&gt;=$J81,AT$3&lt;=$M81),1,"")</f>
        <v/>
      </c>
      <c r="AU81">
        <f>IF(AND($A81&lt;&gt;"",AU$3&gt;=$J81,AU$3&lt;=$M81),1,"")</f>
        <v/>
      </c>
      <c r="AV81">
        <f>IF(AND($A81&lt;&gt;"",AV$3&gt;=$J81,AV$3&lt;=$M81),1,"")</f>
        <v/>
      </c>
      <c r="AW81">
        <f>IF(AND($A81&lt;&gt;"",AW$3&gt;=$J81,AW$3&lt;=$M81),1,"")</f>
        <v/>
      </c>
      <c r="AX81">
        <f>IF(AND($A81&lt;&gt;"",AX$3&gt;=$J81,AX$3&lt;=$M81),1,"")</f>
        <v/>
      </c>
      <c r="AY81">
        <f>IF(AND($A81&lt;&gt;"",AY$3&gt;=$J81,AY$3&lt;=$M81),1,"")</f>
        <v/>
      </c>
      <c r="AZ81">
        <f>IF(AND($A81&lt;&gt;"",AZ$3&gt;=$J81,AZ$3&lt;=$M81),1,"")</f>
        <v/>
      </c>
      <c r="BA81">
        <f>IF(AND($A81&lt;&gt;"",BA$3&gt;=$J81,BA$3&lt;=$M81),1,"")</f>
        <v/>
      </c>
      <c r="BB81">
        <f>IF(AND($A81&lt;&gt;"",BB$3&gt;=$J81,BB$3&lt;=$M81),1,"")</f>
        <v/>
      </c>
      <c r="BC81">
        <f>IF(AND($A81&lt;&gt;"",BC$3&gt;=$J81,BC$3&lt;=$M81),1,"")</f>
        <v/>
      </c>
      <c r="BD81">
        <f>IF(AND($A81&lt;&gt;"",BD$3&gt;=$J81,BD$3&lt;=$M81),1,"")</f>
        <v/>
      </c>
      <c r="BE81">
        <f>IF(AND($A81&lt;&gt;"",BE$3&gt;=$J81,BE$3&lt;=$M81),1,"")</f>
        <v/>
      </c>
      <c r="BF81">
        <f>IF(AND($A81&lt;&gt;"",BF$3&gt;=$J81,BF$3&lt;=$M81),1,"")</f>
        <v/>
      </c>
      <c r="BG81">
        <f>IF(AND($A81&lt;&gt;"",BG$3&gt;=$J81,BG$3&lt;=$M81),1,"")</f>
        <v/>
      </c>
      <c r="BH81">
        <f>IF(AND($A81&lt;&gt;"",BH$3&gt;=$J81,BH$3&lt;=$M81),1,"")</f>
        <v/>
      </c>
      <c r="BI81">
        <f>IF(AND($A81&lt;&gt;"",BI$3&gt;=$J81,BI$3&lt;=$M81),1,"")</f>
        <v/>
      </c>
      <c r="BJ81">
        <f>IF(AND($A81&lt;&gt;"",BJ$3&gt;=$J81,BJ$3&lt;=$M81),1,"")</f>
        <v/>
      </c>
      <c r="BK81">
        <f>IF(AND($A81&lt;&gt;"",BK$3&gt;=$J81,BK$3&lt;=$M81),1,"")</f>
        <v/>
      </c>
      <c r="BL81">
        <f>IF(AND($A81&lt;&gt;"",BL$3&gt;=$J81,BL$3&lt;=$M81),1,"")</f>
        <v/>
      </c>
      <c r="BM81">
        <f>IF(AND($A81&lt;&gt;"",BM$3&gt;=$J81,BM$3&lt;=$M81),1,"")</f>
        <v/>
      </c>
      <c r="BN81">
        <f>IF(AND($A81&lt;&gt;"",BN$3&gt;=$J81,BN$3&lt;=$M81),1,"")</f>
        <v/>
      </c>
      <c r="BO81">
        <f>IF(AND($A81&lt;&gt;"",BO$3&gt;=$J81,BO$3&lt;=$M81),1,"")</f>
        <v/>
      </c>
      <c r="BP81">
        <f>IF(AND($A81&lt;&gt;"",BP$3&gt;=$J81,BP$3&lt;=$M81),1,"")</f>
        <v/>
      </c>
      <c r="BQ81">
        <f>IF(AND($A81&lt;&gt;"",BQ$3&gt;=$J81,BQ$3&lt;=$M81),1,"")</f>
        <v/>
      </c>
      <c r="BR81">
        <f>IF(AND($A81&lt;&gt;"",BR$3&gt;=$J81,BR$3&lt;=$M81),1,"")</f>
        <v/>
      </c>
      <c r="BS81">
        <f>IF(AND($A81&lt;&gt;"",BS$3&gt;=$J81,BS$3&lt;=$M81),1,"")</f>
        <v/>
      </c>
      <c r="BT81">
        <f>IF(AND($A81&lt;&gt;"",BT$3&gt;=$J81,BT$3&lt;=$M81),1,"")</f>
        <v/>
      </c>
      <c r="BU81">
        <f>IF(AND($A81&lt;&gt;"",BU$3&gt;=$J81,BU$3&lt;=$M81),1,"")</f>
        <v/>
      </c>
      <c r="BV81">
        <f>IF(AND($A81&lt;&gt;"",BV$3&gt;=$J81,BV$3&lt;=$M81),1,"")</f>
        <v/>
      </c>
    </row>
    <row r="82">
      <c r="A82">
        <f>IF(Job_Master_Ring!$A82="","",Job_Master_Ring!$A82)</f>
        <v/>
      </c>
      <c r="B82">
        <f>IF($A82="","",Job_Master_Ring!B82)</f>
        <v/>
      </c>
      <c r="C82">
        <f>IF($A82="","",Job_Master_Ring!C82)</f>
        <v/>
      </c>
      <c r="D82">
        <f>IF($A82="","",Job_Master_Ring!D82)</f>
        <v/>
      </c>
      <c r="E82">
        <f>IF($A82="","",IF($I82&lt;&gt;"",$I82,IFERROR(INDEX(Machine_List!$B$82:$B$86,MATCH(1,(Machine_List!$H$82:$H$86&lt;=IFERROR(VLOOKUP($B82,CHOOSE(MATCH($C82,Settings!$L$4:$L$10,0),OPR_BR1!$A$4:$K$18,OPR_BR2!$A$4:$K$18,OPR_CR2!$A$4:$K$18,OPR_CR3!$A$4:$K$18,OPR_CR4!$A$4:$K$18,OPR_RIM!$A$4:$K$18,OPR_BPR!$A$4:$K$18),10,0),0))*(Machine_List!$I$82:$I$86&gt;=IFERROR(VLOOKUP($B82,CHOOSE(MATCH($C82,Settings!$L$4:$L$10,0),OPR_BR1!$A$4:$K$18,OPR_BR2!$A$4:$K$18,OPR_CR2!$A$4:$K$18,OPR_CR3!$A$4:$K$18,OPR_CR4!$A$4:$K$18,OPR_RIM!$A$4:$K$18,OPR_BPR!$A$4:$K$18),11,0),9999)),0)),"NO COMPATIBLE MACHINE")))</f>
        <v/>
      </c>
      <c r="F82">
        <f>IF($E82="","",IFERROR(VLOOKUP($E82,Machine_List!$B:$G,6,0),""))</f>
        <v/>
      </c>
      <c r="G82" s="17">
        <f>IF($E82="","",IFERROR(VLOOKUP($E82,Machine_List!$B:$C,2,0),""))</f>
        <v/>
      </c>
      <c r="H82">
        <f>IF($E82="","",IFERROR(VLOOKUP($E82,Machine_List!$B:$D,3,0),""))</f>
        <v/>
      </c>
      <c r="J82" s="16">
        <f>IF($A82="","",IF($I82&lt;&gt;"",$I82,MAX(FID_Plan!$M82,IFERROR(LOOKUP(2,1/($E$3:INDIRECT("E"&amp;(ROW()-1))=$E82),$M$3:INDIRECT("M"&amp;(ROW()-1))),FID_Plan!$M82))))</f>
        <v/>
      </c>
      <c r="K82">
        <f>IF($A82="","",IFERROR(VLOOKUP(B82,CHOOSE(MATCH($C82,Settings!$L$4:$L$10,0),OPR_BR1!$A$4:$I$18,OPR_BR2!$A$4:$I$18,OPR_CR2!$A$4:$I$18,OPR_CR3!$A$4:$I$18,OPR_CR4!$A$4:$I$18,OPR_RIM!$A$4:$I$18,OPR_BPR!$A$4:$I$18),9,0),0))</f>
        <v/>
      </c>
      <c r="L82">
        <f>IF($A82="","",K82*D82)</f>
        <v/>
      </c>
      <c r="M82" s="16">
        <f>IF($A82=""," ",$J82+($L82/(IF(F82="Contract Workman",Settings!$K$5,Settings!$K$4))))</f>
        <v/>
      </c>
      <c r="N82">
        <f>IF($A82="","",IF(F82="Contract Workman",IF(AND(MOD(M82,1)&gt;=8/24,MOD(M82,1)&lt;20/24),"Shift S1","Shift S2"),IF(AND(MOD(M82,1)&gt;=7/24,MOD(M82,1)&lt;15/24),"Shift A",IF(AND(MOD(M82,1)&gt;=15/24,MOD(M82,1)&lt;23/24),"Shift B","Shift C"))))</f>
        <v/>
      </c>
      <c r="O82">
        <f>IF(B82="","",IF(IFERROR(ISNUMBER(SEARCH(TEXT(B82,"0"),VLOOKUP(E82,Machine_List!$B:$J,9,0))),FALSE),"✅ "&amp; E82,"❌ Sug: "&amp;IFERROR(INDEX(Machine_List!$B$82:$B$86,MATCH(1,(Machine_List!$H$82:$H$86&lt;=IFERROR(VLOOKUP($B82,OPR_BR1!$A$4:$K$18,10,0),0))*(Machine_List!$I$82:$I$86&gt;=IFERROR(VLOOKUP($B82,OPR_BR1!$A$4:$K$18,11,0),9999)),0)),"?")))</f>
        <v/>
      </c>
      <c r="P82">
        <f>IF(AND($A82&lt;&gt;"",P$3&gt;=$J82,P$3&lt;=$M82),1,"")</f>
        <v/>
      </c>
      <c r="Q82">
        <f>IF(AND($A82&lt;&gt;"",Q$3&gt;=$J82,Q$3&lt;=$M82),1,"")</f>
        <v/>
      </c>
      <c r="R82">
        <f>IF(AND($A82&lt;&gt;"",R$3&gt;=$J82,R$3&lt;=$M82),1,"")</f>
        <v/>
      </c>
      <c r="S82">
        <f>IF(AND($A82&lt;&gt;"",S$3&gt;=$J82,S$3&lt;=$M82),1,"")</f>
        <v/>
      </c>
      <c r="T82">
        <f>IF(AND($A82&lt;&gt;"",T$3&gt;=$J82,T$3&lt;=$M82),1,"")</f>
        <v/>
      </c>
      <c r="U82">
        <f>IF(AND($A82&lt;&gt;"",U$3&gt;=$J82,U$3&lt;=$M82),1,"")</f>
        <v/>
      </c>
      <c r="V82">
        <f>IF(AND($A82&lt;&gt;"",V$3&gt;=$J82,V$3&lt;=$M82),1,"")</f>
        <v/>
      </c>
      <c r="W82">
        <f>IF(AND($A82&lt;&gt;"",W$3&gt;=$J82,W$3&lt;=$M82),1,"")</f>
        <v/>
      </c>
      <c r="X82">
        <f>IF(AND($A82&lt;&gt;"",X$3&gt;=$J82,X$3&lt;=$M82),1,"")</f>
        <v/>
      </c>
      <c r="Y82">
        <f>IF(AND($A82&lt;&gt;"",Y$3&gt;=$J82,Y$3&lt;=$M82),1,"")</f>
        <v/>
      </c>
      <c r="Z82">
        <f>IF(AND($A82&lt;&gt;"",Z$3&gt;=$J82,Z$3&lt;=$M82),1,"")</f>
        <v/>
      </c>
      <c r="AA82">
        <f>IF(AND($A82&lt;&gt;"",AA$3&gt;=$J82,AA$3&lt;=$M82),1,"")</f>
        <v/>
      </c>
      <c r="AB82">
        <f>IF(AND($A82&lt;&gt;"",AB$3&gt;=$J82,AB$3&lt;=$M82),1,"")</f>
        <v/>
      </c>
      <c r="AC82">
        <f>IF(AND($A82&lt;&gt;"",AC$3&gt;=$J82,AC$3&lt;=$M82),1,"")</f>
        <v/>
      </c>
      <c r="AD82">
        <f>IF(AND($A82&lt;&gt;"",AD$3&gt;=$J82,AD$3&lt;=$M82),1,"")</f>
        <v/>
      </c>
      <c r="AE82">
        <f>IF(AND($A82&lt;&gt;"",AE$3&gt;=$J82,AE$3&lt;=$M82),1,"")</f>
        <v/>
      </c>
      <c r="AF82">
        <f>IF(AND($A82&lt;&gt;"",AF$3&gt;=$J82,AF$3&lt;=$M82),1,"")</f>
        <v/>
      </c>
      <c r="AG82">
        <f>IF(AND($A82&lt;&gt;"",AG$3&gt;=$J82,AG$3&lt;=$M82),1,"")</f>
        <v/>
      </c>
      <c r="AH82">
        <f>IF(AND($A82&lt;&gt;"",AH$3&gt;=$J82,AH$3&lt;=$M82),1,"")</f>
        <v/>
      </c>
      <c r="AI82">
        <f>IF(AND($A82&lt;&gt;"",AI$3&gt;=$J82,AI$3&lt;=$M82),1,"")</f>
        <v/>
      </c>
      <c r="AJ82">
        <f>IF(AND($A82&lt;&gt;"",AJ$3&gt;=$J82,AJ$3&lt;=$M82),1,"")</f>
        <v/>
      </c>
      <c r="AK82">
        <f>IF(AND($A82&lt;&gt;"",AK$3&gt;=$J82,AK$3&lt;=$M82),1,"")</f>
        <v/>
      </c>
      <c r="AL82">
        <f>IF(AND($A82&lt;&gt;"",AL$3&gt;=$J82,AL$3&lt;=$M82),1,"")</f>
        <v/>
      </c>
      <c r="AM82">
        <f>IF(AND($A82&lt;&gt;"",AM$3&gt;=$J82,AM$3&lt;=$M82),1,"")</f>
        <v/>
      </c>
      <c r="AN82">
        <f>IF(AND($A82&lt;&gt;"",AN$3&gt;=$J82,AN$3&lt;=$M82),1,"")</f>
        <v/>
      </c>
      <c r="AO82">
        <f>IF(AND($A82&lt;&gt;"",AO$3&gt;=$J82,AO$3&lt;=$M82),1,"")</f>
        <v/>
      </c>
      <c r="AP82">
        <f>IF(AND($A82&lt;&gt;"",AP$3&gt;=$J82,AP$3&lt;=$M82),1,"")</f>
        <v/>
      </c>
      <c r="AQ82">
        <f>IF(AND($A82&lt;&gt;"",AQ$3&gt;=$J82,AQ$3&lt;=$M82),1,"")</f>
        <v/>
      </c>
      <c r="AR82">
        <f>IF(AND($A82&lt;&gt;"",AR$3&gt;=$J82,AR$3&lt;=$M82),1,"")</f>
        <v/>
      </c>
      <c r="AS82">
        <f>IF(AND($A82&lt;&gt;"",AS$3&gt;=$J82,AS$3&lt;=$M82),1,"")</f>
        <v/>
      </c>
      <c r="AT82">
        <f>IF(AND($A82&lt;&gt;"",AT$3&gt;=$J82,AT$3&lt;=$M82),1,"")</f>
        <v/>
      </c>
      <c r="AU82">
        <f>IF(AND($A82&lt;&gt;"",AU$3&gt;=$J82,AU$3&lt;=$M82),1,"")</f>
        <v/>
      </c>
      <c r="AV82">
        <f>IF(AND($A82&lt;&gt;"",AV$3&gt;=$J82,AV$3&lt;=$M82),1,"")</f>
        <v/>
      </c>
      <c r="AW82">
        <f>IF(AND($A82&lt;&gt;"",AW$3&gt;=$J82,AW$3&lt;=$M82),1,"")</f>
        <v/>
      </c>
      <c r="AX82">
        <f>IF(AND($A82&lt;&gt;"",AX$3&gt;=$J82,AX$3&lt;=$M82),1,"")</f>
        <v/>
      </c>
      <c r="AY82">
        <f>IF(AND($A82&lt;&gt;"",AY$3&gt;=$J82,AY$3&lt;=$M82),1,"")</f>
        <v/>
      </c>
      <c r="AZ82">
        <f>IF(AND($A82&lt;&gt;"",AZ$3&gt;=$J82,AZ$3&lt;=$M82),1,"")</f>
        <v/>
      </c>
      <c r="BA82">
        <f>IF(AND($A82&lt;&gt;"",BA$3&gt;=$J82,BA$3&lt;=$M82),1,"")</f>
        <v/>
      </c>
      <c r="BB82">
        <f>IF(AND($A82&lt;&gt;"",BB$3&gt;=$J82,BB$3&lt;=$M82),1,"")</f>
        <v/>
      </c>
      <c r="BC82">
        <f>IF(AND($A82&lt;&gt;"",BC$3&gt;=$J82,BC$3&lt;=$M82),1,"")</f>
        <v/>
      </c>
      <c r="BD82">
        <f>IF(AND($A82&lt;&gt;"",BD$3&gt;=$J82,BD$3&lt;=$M82),1,"")</f>
        <v/>
      </c>
      <c r="BE82">
        <f>IF(AND($A82&lt;&gt;"",BE$3&gt;=$J82,BE$3&lt;=$M82),1,"")</f>
        <v/>
      </c>
      <c r="BF82">
        <f>IF(AND($A82&lt;&gt;"",BF$3&gt;=$J82,BF$3&lt;=$M82),1,"")</f>
        <v/>
      </c>
      <c r="BG82">
        <f>IF(AND($A82&lt;&gt;"",BG$3&gt;=$J82,BG$3&lt;=$M82),1,"")</f>
        <v/>
      </c>
      <c r="BH82">
        <f>IF(AND($A82&lt;&gt;"",BH$3&gt;=$J82,BH$3&lt;=$M82),1,"")</f>
        <v/>
      </c>
      <c r="BI82">
        <f>IF(AND($A82&lt;&gt;"",BI$3&gt;=$J82,BI$3&lt;=$M82),1,"")</f>
        <v/>
      </c>
      <c r="BJ82">
        <f>IF(AND($A82&lt;&gt;"",BJ$3&gt;=$J82,BJ$3&lt;=$M82),1,"")</f>
        <v/>
      </c>
      <c r="BK82">
        <f>IF(AND($A82&lt;&gt;"",BK$3&gt;=$J82,BK$3&lt;=$M82),1,"")</f>
        <v/>
      </c>
      <c r="BL82">
        <f>IF(AND($A82&lt;&gt;"",BL$3&gt;=$J82,BL$3&lt;=$M82),1,"")</f>
        <v/>
      </c>
      <c r="BM82">
        <f>IF(AND($A82&lt;&gt;"",BM$3&gt;=$J82,BM$3&lt;=$M82),1,"")</f>
        <v/>
      </c>
      <c r="BN82">
        <f>IF(AND($A82&lt;&gt;"",BN$3&gt;=$J82,BN$3&lt;=$M82),1,"")</f>
        <v/>
      </c>
      <c r="BO82">
        <f>IF(AND($A82&lt;&gt;"",BO$3&gt;=$J82,BO$3&lt;=$M82),1,"")</f>
        <v/>
      </c>
      <c r="BP82">
        <f>IF(AND($A82&lt;&gt;"",BP$3&gt;=$J82,BP$3&lt;=$M82),1,"")</f>
        <v/>
      </c>
      <c r="BQ82">
        <f>IF(AND($A82&lt;&gt;"",BQ$3&gt;=$J82,BQ$3&lt;=$M82),1,"")</f>
        <v/>
      </c>
      <c r="BR82">
        <f>IF(AND($A82&lt;&gt;"",BR$3&gt;=$J82,BR$3&lt;=$M82),1,"")</f>
        <v/>
      </c>
      <c r="BS82">
        <f>IF(AND($A82&lt;&gt;"",BS$3&gt;=$J82,BS$3&lt;=$M82),1,"")</f>
        <v/>
      </c>
      <c r="BT82">
        <f>IF(AND($A82&lt;&gt;"",BT$3&gt;=$J82,BT$3&lt;=$M82),1,"")</f>
        <v/>
      </c>
      <c r="BU82">
        <f>IF(AND($A82&lt;&gt;"",BU$3&gt;=$J82,BU$3&lt;=$M82),1,"")</f>
        <v/>
      </c>
      <c r="BV82">
        <f>IF(AND($A82&lt;&gt;"",BV$3&gt;=$J82,BV$3&lt;=$M82),1,"")</f>
        <v/>
      </c>
    </row>
    <row r="83">
      <c r="A83">
        <f>IF(Job_Master_Ring!$A83="","",Job_Master_Ring!$A83)</f>
        <v/>
      </c>
      <c r="B83">
        <f>IF($A83="","",Job_Master_Ring!B83)</f>
        <v/>
      </c>
      <c r="C83">
        <f>IF($A83="","",Job_Master_Ring!C83)</f>
        <v/>
      </c>
      <c r="D83">
        <f>IF($A83="","",Job_Master_Ring!D83)</f>
        <v/>
      </c>
      <c r="E83">
        <f>IF($A83="","",IF($I83&lt;&gt;"",$I83,IFERROR(INDEX(Machine_List!$B$82:$B$86,MATCH(1,(Machine_List!$H$82:$H$86&lt;=IFERROR(VLOOKUP($B83,CHOOSE(MATCH($C83,Settings!$L$4:$L$10,0),OPR_BR1!$A$4:$K$18,OPR_BR2!$A$4:$K$18,OPR_CR2!$A$4:$K$18,OPR_CR3!$A$4:$K$18,OPR_CR4!$A$4:$K$18,OPR_RIM!$A$4:$K$18,OPR_BPR!$A$4:$K$18),10,0),0))*(Machine_List!$I$82:$I$86&gt;=IFERROR(VLOOKUP($B83,CHOOSE(MATCH($C83,Settings!$L$4:$L$10,0),OPR_BR1!$A$4:$K$18,OPR_BR2!$A$4:$K$18,OPR_CR2!$A$4:$K$18,OPR_CR3!$A$4:$K$18,OPR_CR4!$A$4:$K$18,OPR_RIM!$A$4:$K$18,OPR_BPR!$A$4:$K$18),11,0),9999)),0)),"NO COMPATIBLE MACHINE")))</f>
        <v/>
      </c>
      <c r="F83">
        <f>IF($E83="","",IFERROR(VLOOKUP($E83,Machine_List!$B:$G,6,0),""))</f>
        <v/>
      </c>
      <c r="G83" s="17">
        <f>IF($E83="","",IFERROR(VLOOKUP($E83,Machine_List!$B:$C,2,0),""))</f>
        <v/>
      </c>
      <c r="H83">
        <f>IF($E83="","",IFERROR(VLOOKUP($E83,Machine_List!$B:$D,3,0),""))</f>
        <v/>
      </c>
      <c r="J83" s="16">
        <f>IF($A83="","",IF($I83&lt;&gt;"",$I83,MAX(FID_Plan!$M83,IFERROR(LOOKUP(2,1/($E$3:INDIRECT("E"&amp;(ROW()-1))=$E83),$M$3:INDIRECT("M"&amp;(ROW()-1))),FID_Plan!$M83))))</f>
        <v/>
      </c>
      <c r="K83">
        <f>IF($A83="","",IFERROR(VLOOKUP(B83,CHOOSE(MATCH($C83,Settings!$L$4:$L$10,0),OPR_BR1!$A$4:$I$18,OPR_BR2!$A$4:$I$18,OPR_CR2!$A$4:$I$18,OPR_CR3!$A$4:$I$18,OPR_CR4!$A$4:$I$18,OPR_RIM!$A$4:$I$18,OPR_BPR!$A$4:$I$18),9,0),0))</f>
        <v/>
      </c>
      <c r="L83">
        <f>IF($A83="","",K83*D83)</f>
        <v/>
      </c>
      <c r="M83" s="16">
        <f>IF($A83=""," ",$J83+($L83/(IF(F83="Contract Workman",Settings!$K$5,Settings!$K$4))))</f>
        <v/>
      </c>
      <c r="N83">
        <f>IF($A83="","",IF(F83="Contract Workman",IF(AND(MOD(M83,1)&gt;=8/24,MOD(M83,1)&lt;20/24),"Shift S1","Shift S2"),IF(AND(MOD(M83,1)&gt;=7/24,MOD(M83,1)&lt;15/24),"Shift A",IF(AND(MOD(M83,1)&gt;=15/24,MOD(M83,1)&lt;23/24),"Shift B","Shift C"))))</f>
        <v/>
      </c>
      <c r="O83">
        <f>IF(B83="","",IF(IFERROR(ISNUMBER(SEARCH(TEXT(B83,"0"),VLOOKUP(E83,Machine_List!$B:$J,9,0))),FALSE),"✅ "&amp; E83,"❌ Sug: "&amp;IFERROR(INDEX(Machine_List!$B$82:$B$86,MATCH(1,(Machine_List!$H$82:$H$86&lt;=IFERROR(VLOOKUP($B83,OPR_BR1!$A$4:$K$18,10,0),0))*(Machine_List!$I$82:$I$86&gt;=IFERROR(VLOOKUP($B83,OPR_BR1!$A$4:$K$18,11,0),9999)),0)),"?")))</f>
        <v/>
      </c>
      <c r="P83">
        <f>IF(AND($A83&lt;&gt;"",P$3&gt;=$J83,P$3&lt;=$M83),1,"")</f>
        <v/>
      </c>
      <c r="Q83">
        <f>IF(AND($A83&lt;&gt;"",Q$3&gt;=$J83,Q$3&lt;=$M83),1,"")</f>
        <v/>
      </c>
      <c r="R83">
        <f>IF(AND($A83&lt;&gt;"",R$3&gt;=$J83,R$3&lt;=$M83),1,"")</f>
        <v/>
      </c>
      <c r="S83">
        <f>IF(AND($A83&lt;&gt;"",S$3&gt;=$J83,S$3&lt;=$M83),1,"")</f>
        <v/>
      </c>
      <c r="T83">
        <f>IF(AND($A83&lt;&gt;"",T$3&gt;=$J83,T$3&lt;=$M83),1,"")</f>
        <v/>
      </c>
      <c r="U83">
        <f>IF(AND($A83&lt;&gt;"",U$3&gt;=$J83,U$3&lt;=$M83),1,"")</f>
        <v/>
      </c>
      <c r="V83">
        <f>IF(AND($A83&lt;&gt;"",V$3&gt;=$J83,V$3&lt;=$M83),1,"")</f>
        <v/>
      </c>
      <c r="W83">
        <f>IF(AND($A83&lt;&gt;"",W$3&gt;=$J83,W$3&lt;=$M83),1,"")</f>
        <v/>
      </c>
      <c r="X83">
        <f>IF(AND($A83&lt;&gt;"",X$3&gt;=$J83,X$3&lt;=$M83),1,"")</f>
        <v/>
      </c>
      <c r="Y83">
        <f>IF(AND($A83&lt;&gt;"",Y$3&gt;=$J83,Y$3&lt;=$M83),1,"")</f>
        <v/>
      </c>
      <c r="Z83">
        <f>IF(AND($A83&lt;&gt;"",Z$3&gt;=$J83,Z$3&lt;=$M83),1,"")</f>
        <v/>
      </c>
      <c r="AA83">
        <f>IF(AND($A83&lt;&gt;"",AA$3&gt;=$J83,AA$3&lt;=$M83),1,"")</f>
        <v/>
      </c>
      <c r="AB83">
        <f>IF(AND($A83&lt;&gt;"",AB$3&gt;=$J83,AB$3&lt;=$M83),1,"")</f>
        <v/>
      </c>
      <c r="AC83">
        <f>IF(AND($A83&lt;&gt;"",AC$3&gt;=$J83,AC$3&lt;=$M83),1,"")</f>
        <v/>
      </c>
      <c r="AD83">
        <f>IF(AND($A83&lt;&gt;"",AD$3&gt;=$J83,AD$3&lt;=$M83),1,"")</f>
        <v/>
      </c>
      <c r="AE83">
        <f>IF(AND($A83&lt;&gt;"",AE$3&gt;=$J83,AE$3&lt;=$M83),1,"")</f>
        <v/>
      </c>
      <c r="AF83">
        <f>IF(AND($A83&lt;&gt;"",AF$3&gt;=$J83,AF$3&lt;=$M83),1,"")</f>
        <v/>
      </c>
      <c r="AG83">
        <f>IF(AND($A83&lt;&gt;"",AG$3&gt;=$J83,AG$3&lt;=$M83),1,"")</f>
        <v/>
      </c>
      <c r="AH83">
        <f>IF(AND($A83&lt;&gt;"",AH$3&gt;=$J83,AH$3&lt;=$M83),1,"")</f>
        <v/>
      </c>
      <c r="AI83">
        <f>IF(AND($A83&lt;&gt;"",AI$3&gt;=$J83,AI$3&lt;=$M83),1,"")</f>
        <v/>
      </c>
      <c r="AJ83">
        <f>IF(AND($A83&lt;&gt;"",AJ$3&gt;=$J83,AJ$3&lt;=$M83),1,"")</f>
        <v/>
      </c>
      <c r="AK83">
        <f>IF(AND($A83&lt;&gt;"",AK$3&gt;=$J83,AK$3&lt;=$M83),1,"")</f>
        <v/>
      </c>
      <c r="AL83">
        <f>IF(AND($A83&lt;&gt;"",AL$3&gt;=$J83,AL$3&lt;=$M83),1,"")</f>
        <v/>
      </c>
      <c r="AM83">
        <f>IF(AND($A83&lt;&gt;"",AM$3&gt;=$J83,AM$3&lt;=$M83),1,"")</f>
        <v/>
      </c>
      <c r="AN83">
        <f>IF(AND($A83&lt;&gt;"",AN$3&gt;=$J83,AN$3&lt;=$M83),1,"")</f>
        <v/>
      </c>
      <c r="AO83">
        <f>IF(AND($A83&lt;&gt;"",AO$3&gt;=$J83,AO$3&lt;=$M83),1,"")</f>
        <v/>
      </c>
      <c r="AP83">
        <f>IF(AND($A83&lt;&gt;"",AP$3&gt;=$J83,AP$3&lt;=$M83),1,"")</f>
        <v/>
      </c>
      <c r="AQ83">
        <f>IF(AND($A83&lt;&gt;"",AQ$3&gt;=$J83,AQ$3&lt;=$M83),1,"")</f>
        <v/>
      </c>
      <c r="AR83">
        <f>IF(AND($A83&lt;&gt;"",AR$3&gt;=$J83,AR$3&lt;=$M83),1,"")</f>
        <v/>
      </c>
      <c r="AS83">
        <f>IF(AND($A83&lt;&gt;"",AS$3&gt;=$J83,AS$3&lt;=$M83),1,"")</f>
        <v/>
      </c>
      <c r="AT83">
        <f>IF(AND($A83&lt;&gt;"",AT$3&gt;=$J83,AT$3&lt;=$M83),1,"")</f>
        <v/>
      </c>
      <c r="AU83">
        <f>IF(AND($A83&lt;&gt;"",AU$3&gt;=$J83,AU$3&lt;=$M83),1,"")</f>
        <v/>
      </c>
      <c r="AV83">
        <f>IF(AND($A83&lt;&gt;"",AV$3&gt;=$J83,AV$3&lt;=$M83),1,"")</f>
        <v/>
      </c>
      <c r="AW83">
        <f>IF(AND($A83&lt;&gt;"",AW$3&gt;=$J83,AW$3&lt;=$M83),1,"")</f>
        <v/>
      </c>
      <c r="AX83">
        <f>IF(AND($A83&lt;&gt;"",AX$3&gt;=$J83,AX$3&lt;=$M83),1,"")</f>
        <v/>
      </c>
      <c r="AY83">
        <f>IF(AND($A83&lt;&gt;"",AY$3&gt;=$J83,AY$3&lt;=$M83),1,"")</f>
        <v/>
      </c>
      <c r="AZ83">
        <f>IF(AND($A83&lt;&gt;"",AZ$3&gt;=$J83,AZ$3&lt;=$M83),1,"")</f>
        <v/>
      </c>
      <c r="BA83">
        <f>IF(AND($A83&lt;&gt;"",BA$3&gt;=$J83,BA$3&lt;=$M83),1,"")</f>
        <v/>
      </c>
      <c r="BB83">
        <f>IF(AND($A83&lt;&gt;"",BB$3&gt;=$J83,BB$3&lt;=$M83),1,"")</f>
        <v/>
      </c>
      <c r="BC83">
        <f>IF(AND($A83&lt;&gt;"",BC$3&gt;=$J83,BC$3&lt;=$M83),1,"")</f>
        <v/>
      </c>
      <c r="BD83">
        <f>IF(AND($A83&lt;&gt;"",BD$3&gt;=$J83,BD$3&lt;=$M83),1,"")</f>
        <v/>
      </c>
      <c r="BE83">
        <f>IF(AND($A83&lt;&gt;"",BE$3&gt;=$J83,BE$3&lt;=$M83),1,"")</f>
        <v/>
      </c>
      <c r="BF83">
        <f>IF(AND($A83&lt;&gt;"",BF$3&gt;=$J83,BF$3&lt;=$M83),1,"")</f>
        <v/>
      </c>
      <c r="BG83">
        <f>IF(AND($A83&lt;&gt;"",BG$3&gt;=$J83,BG$3&lt;=$M83),1,"")</f>
        <v/>
      </c>
      <c r="BH83">
        <f>IF(AND($A83&lt;&gt;"",BH$3&gt;=$J83,BH$3&lt;=$M83),1,"")</f>
        <v/>
      </c>
      <c r="BI83">
        <f>IF(AND($A83&lt;&gt;"",BI$3&gt;=$J83,BI$3&lt;=$M83),1,"")</f>
        <v/>
      </c>
      <c r="BJ83">
        <f>IF(AND($A83&lt;&gt;"",BJ$3&gt;=$J83,BJ$3&lt;=$M83),1,"")</f>
        <v/>
      </c>
      <c r="BK83">
        <f>IF(AND($A83&lt;&gt;"",BK$3&gt;=$J83,BK$3&lt;=$M83),1,"")</f>
        <v/>
      </c>
      <c r="BL83">
        <f>IF(AND($A83&lt;&gt;"",BL$3&gt;=$J83,BL$3&lt;=$M83),1,"")</f>
        <v/>
      </c>
      <c r="BM83">
        <f>IF(AND($A83&lt;&gt;"",BM$3&gt;=$J83,BM$3&lt;=$M83),1,"")</f>
        <v/>
      </c>
      <c r="BN83">
        <f>IF(AND($A83&lt;&gt;"",BN$3&gt;=$J83,BN$3&lt;=$M83),1,"")</f>
        <v/>
      </c>
      <c r="BO83">
        <f>IF(AND($A83&lt;&gt;"",BO$3&gt;=$J83,BO$3&lt;=$M83),1,"")</f>
        <v/>
      </c>
      <c r="BP83">
        <f>IF(AND($A83&lt;&gt;"",BP$3&gt;=$J83,BP$3&lt;=$M83),1,"")</f>
        <v/>
      </c>
      <c r="BQ83">
        <f>IF(AND($A83&lt;&gt;"",BQ$3&gt;=$J83,BQ$3&lt;=$M83),1,"")</f>
        <v/>
      </c>
      <c r="BR83">
        <f>IF(AND($A83&lt;&gt;"",BR$3&gt;=$J83,BR$3&lt;=$M83),1,"")</f>
        <v/>
      </c>
      <c r="BS83">
        <f>IF(AND($A83&lt;&gt;"",BS$3&gt;=$J83,BS$3&lt;=$M83),1,"")</f>
        <v/>
      </c>
      <c r="BT83">
        <f>IF(AND($A83&lt;&gt;"",BT$3&gt;=$J83,BT$3&lt;=$M83),1,"")</f>
        <v/>
      </c>
      <c r="BU83">
        <f>IF(AND($A83&lt;&gt;"",BU$3&gt;=$J83,BU$3&lt;=$M83),1,"")</f>
        <v/>
      </c>
      <c r="BV83">
        <f>IF(AND($A83&lt;&gt;"",BV$3&gt;=$J83,BV$3&lt;=$M83),1,"")</f>
        <v/>
      </c>
    </row>
    <row r="84">
      <c r="A84">
        <f>IF(Job_Master_Ring!$A84="","",Job_Master_Ring!$A84)</f>
        <v/>
      </c>
      <c r="B84">
        <f>IF($A84="","",Job_Master_Ring!B84)</f>
        <v/>
      </c>
      <c r="C84">
        <f>IF($A84="","",Job_Master_Ring!C84)</f>
        <v/>
      </c>
      <c r="D84">
        <f>IF($A84="","",Job_Master_Ring!D84)</f>
        <v/>
      </c>
      <c r="E84">
        <f>IF($A84="","",IF($I84&lt;&gt;"",$I84,IFERROR(INDEX(Machine_List!$B$82:$B$86,MATCH(1,(Machine_List!$H$82:$H$86&lt;=IFERROR(VLOOKUP($B84,CHOOSE(MATCH($C84,Settings!$L$4:$L$10,0),OPR_BR1!$A$4:$K$18,OPR_BR2!$A$4:$K$18,OPR_CR2!$A$4:$K$18,OPR_CR3!$A$4:$K$18,OPR_CR4!$A$4:$K$18,OPR_RIM!$A$4:$K$18,OPR_BPR!$A$4:$K$18),10,0),0))*(Machine_List!$I$82:$I$86&gt;=IFERROR(VLOOKUP($B84,CHOOSE(MATCH($C84,Settings!$L$4:$L$10,0),OPR_BR1!$A$4:$K$18,OPR_BR2!$A$4:$K$18,OPR_CR2!$A$4:$K$18,OPR_CR3!$A$4:$K$18,OPR_CR4!$A$4:$K$18,OPR_RIM!$A$4:$K$18,OPR_BPR!$A$4:$K$18),11,0),9999)),0)),"NO COMPATIBLE MACHINE")))</f>
        <v/>
      </c>
      <c r="F84">
        <f>IF($E84="","",IFERROR(VLOOKUP($E84,Machine_List!$B:$G,6,0),""))</f>
        <v/>
      </c>
      <c r="G84" s="17">
        <f>IF($E84="","",IFERROR(VLOOKUP($E84,Machine_List!$B:$C,2,0),""))</f>
        <v/>
      </c>
      <c r="H84">
        <f>IF($E84="","",IFERROR(VLOOKUP($E84,Machine_List!$B:$D,3,0),""))</f>
        <v/>
      </c>
      <c r="J84" s="16">
        <f>IF($A84="","",IF($I84&lt;&gt;"",$I84,MAX(FID_Plan!$M84,IFERROR(LOOKUP(2,1/($E$3:INDIRECT("E"&amp;(ROW()-1))=$E84),$M$3:INDIRECT("M"&amp;(ROW()-1))),FID_Plan!$M84))))</f>
        <v/>
      </c>
      <c r="K84">
        <f>IF($A84="","",IFERROR(VLOOKUP(B84,CHOOSE(MATCH($C84,Settings!$L$4:$L$10,0),OPR_BR1!$A$4:$I$18,OPR_BR2!$A$4:$I$18,OPR_CR2!$A$4:$I$18,OPR_CR3!$A$4:$I$18,OPR_CR4!$A$4:$I$18,OPR_RIM!$A$4:$I$18,OPR_BPR!$A$4:$I$18),9,0),0))</f>
        <v/>
      </c>
      <c r="L84">
        <f>IF($A84="","",K84*D84)</f>
        <v/>
      </c>
      <c r="M84" s="16">
        <f>IF($A84=""," ",$J84+($L84/(IF(F84="Contract Workman",Settings!$K$5,Settings!$K$4))))</f>
        <v/>
      </c>
      <c r="N84">
        <f>IF($A84="","",IF(F84="Contract Workman",IF(AND(MOD(M84,1)&gt;=8/24,MOD(M84,1)&lt;20/24),"Shift S1","Shift S2"),IF(AND(MOD(M84,1)&gt;=7/24,MOD(M84,1)&lt;15/24),"Shift A",IF(AND(MOD(M84,1)&gt;=15/24,MOD(M84,1)&lt;23/24),"Shift B","Shift C"))))</f>
        <v/>
      </c>
      <c r="O84">
        <f>IF(B84="","",IF(IFERROR(ISNUMBER(SEARCH(TEXT(B84,"0"),VLOOKUP(E84,Machine_List!$B:$J,9,0))),FALSE),"✅ "&amp; E84,"❌ Sug: "&amp;IFERROR(INDEX(Machine_List!$B$82:$B$86,MATCH(1,(Machine_List!$H$82:$H$86&lt;=IFERROR(VLOOKUP($B84,OPR_BR1!$A$4:$K$18,10,0),0))*(Machine_List!$I$82:$I$86&gt;=IFERROR(VLOOKUP($B84,OPR_BR1!$A$4:$K$18,11,0),9999)),0)),"?")))</f>
        <v/>
      </c>
      <c r="P84">
        <f>IF(AND($A84&lt;&gt;"",P$3&gt;=$J84,P$3&lt;=$M84),1,"")</f>
        <v/>
      </c>
      <c r="Q84">
        <f>IF(AND($A84&lt;&gt;"",Q$3&gt;=$J84,Q$3&lt;=$M84),1,"")</f>
        <v/>
      </c>
      <c r="R84">
        <f>IF(AND($A84&lt;&gt;"",R$3&gt;=$J84,R$3&lt;=$M84),1,"")</f>
        <v/>
      </c>
      <c r="S84">
        <f>IF(AND($A84&lt;&gt;"",S$3&gt;=$J84,S$3&lt;=$M84),1,"")</f>
        <v/>
      </c>
      <c r="T84">
        <f>IF(AND($A84&lt;&gt;"",T$3&gt;=$J84,T$3&lt;=$M84),1,"")</f>
        <v/>
      </c>
      <c r="U84">
        <f>IF(AND($A84&lt;&gt;"",U$3&gt;=$J84,U$3&lt;=$M84),1,"")</f>
        <v/>
      </c>
      <c r="V84">
        <f>IF(AND($A84&lt;&gt;"",V$3&gt;=$J84,V$3&lt;=$M84),1,"")</f>
        <v/>
      </c>
      <c r="W84">
        <f>IF(AND($A84&lt;&gt;"",W$3&gt;=$J84,W$3&lt;=$M84),1,"")</f>
        <v/>
      </c>
      <c r="X84">
        <f>IF(AND($A84&lt;&gt;"",X$3&gt;=$J84,X$3&lt;=$M84),1,"")</f>
        <v/>
      </c>
      <c r="Y84">
        <f>IF(AND($A84&lt;&gt;"",Y$3&gt;=$J84,Y$3&lt;=$M84),1,"")</f>
        <v/>
      </c>
      <c r="Z84">
        <f>IF(AND($A84&lt;&gt;"",Z$3&gt;=$J84,Z$3&lt;=$M84),1,"")</f>
        <v/>
      </c>
      <c r="AA84">
        <f>IF(AND($A84&lt;&gt;"",AA$3&gt;=$J84,AA$3&lt;=$M84),1,"")</f>
        <v/>
      </c>
      <c r="AB84">
        <f>IF(AND($A84&lt;&gt;"",AB$3&gt;=$J84,AB$3&lt;=$M84),1,"")</f>
        <v/>
      </c>
      <c r="AC84">
        <f>IF(AND($A84&lt;&gt;"",AC$3&gt;=$J84,AC$3&lt;=$M84),1,"")</f>
        <v/>
      </c>
      <c r="AD84">
        <f>IF(AND($A84&lt;&gt;"",AD$3&gt;=$J84,AD$3&lt;=$M84),1,"")</f>
        <v/>
      </c>
      <c r="AE84">
        <f>IF(AND($A84&lt;&gt;"",AE$3&gt;=$J84,AE$3&lt;=$M84),1,"")</f>
        <v/>
      </c>
      <c r="AF84">
        <f>IF(AND($A84&lt;&gt;"",AF$3&gt;=$J84,AF$3&lt;=$M84),1,"")</f>
        <v/>
      </c>
      <c r="AG84">
        <f>IF(AND($A84&lt;&gt;"",AG$3&gt;=$J84,AG$3&lt;=$M84),1,"")</f>
        <v/>
      </c>
      <c r="AH84">
        <f>IF(AND($A84&lt;&gt;"",AH$3&gt;=$J84,AH$3&lt;=$M84),1,"")</f>
        <v/>
      </c>
      <c r="AI84">
        <f>IF(AND($A84&lt;&gt;"",AI$3&gt;=$J84,AI$3&lt;=$M84),1,"")</f>
        <v/>
      </c>
      <c r="AJ84">
        <f>IF(AND($A84&lt;&gt;"",AJ$3&gt;=$J84,AJ$3&lt;=$M84),1,"")</f>
        <v/>
      </c>
      <c r="AK84">
        <f>IF(AND($A84&lt;&gt;"",AK$3&gt;=$J84,AK$3&lt;=$M84),1,"")</f>
        <v/>
      </c>
      <c r="AL84">
        <f>IF(AND($A84&lt;&gt;"",AL$3&gt;=$J84,AL$3&lt;=$M84),1,"")</f>
        <v/>
      </c>
      <c r="AM84">
        <f>IF(AND($A84&lt;&gt;"",AM$3&gt;=$J84,AM$3&lt;=$M84),1,"")</f>
        <v/>
      </c>
      <c r="AN84">
        <f>IF(AND($A84&lt;&gt;"",AN$3&gt;=$J84,AN$3&lt;=$M84),1,"")</f>
        <v/>
      </c>
      <c r="AO84">
        <f>IF(AND($A84&lt;&gt;"",AO$3&gt;=$J84,AO$3&lt;=$M84),1,"")</f>
        <v/>
      </c>
      <c r="AP84">
        <f>IF(AND($A84&lt;&gt;"",AP$3&gt;=$J84,AP$3&lt;=$M84),1,"")</f>
        <v/>
      </c>
      <c r="AQ84">
        <f>IF(AND($A84&lt;&gt;"",AQ$3&gt;=$J84,AQ$3&lt;=$M84),1,"")</f>
        <v/>
      </c>
      <c r="AR84">
        <f>IF(AND($A84&lt;&gt;"",AR$3&gt;=$J84,AR$3&lt;=$M84),1,"")</f>
        <v/>
      </c>
      <c r="AS84">
        <f>IF(AND($A84&lt;&gt;"",AS$3&gt;=$J84,AS$3&lt;=$M84),1,"")</f>
        <v/>
      </c>
      <c r="AT84">
        <f>IF(AND($A84&lt;&gt;"",AT$3&gt;=$J84,AT$3&lt;=$M84),1,"")</f>
        <v/>
      </c>
      <c r="AU84">
        <f>IF(AND($A84&lt;&gt;"",AU$3&gt;=$J84,AU$3&lt;=$M84),1,"")</f>
        <v/>
      </c>
      <c r="AV84">
        <f>IF(AND($A84&lt;&gt;"",AV$3&gt;=$J84,AV$3&lt;=$M84),1,"")</f>
        <v/>
      </c>
      <c r="AW84">
        <f>IF(AND($A84&lt;&gt;"",AW$3&gt;=$J84,AW$3&lt;=$M84),1,"")</f>
        <v/>
      </c>
      <c r="AX84">
        <f>IF(AND($A84&lt;&gt;"",AX$3&gt;=$J84,AX$3&lt;=$M84),1,"")</f>
        <v/>
      </c>
      <c r="AY84">
        <f>IF(AND($A84&lt;&gt;"",AY$3&gt;=$J84,AY$3&lt;=$M84),1,"")</f>
        <v/>
      </c>
      <c r="AZ84">
        <f>IF(AND($A84&lt;&gt;"",AZ$3&gt;=$J84,AZ$3&lt;=$M84),1,"")</f>
        <v/>
      </c>
      <c r="BA84">
        <f>IF(AND($A84&lt;&gt;"",BA$3&gt;=$J84,BA$3&lt;=$M84),1,"")</f>
        <v/>
      </c>
      <c r="BB84">
        <f>IF(AND($A84&lt;&gt;"",BB$3&gt;=$J84,BB$3&lt;=$M84),1,"")</f>
        <v/>
      </c>
      <c r="BC84">
        <f>IF(AND($A84&lt;&gt;"",BC$3&gt;=$J84,BC$3&lt;=$M84),1,"")</f>
        <v/>
      </c>
      <c r="BD84">
        <f>IF(AND($A84&lt;&gt;"",BD$3&gt;=$J84,BD$3&lt;=$M84),1,"")</f>
        <v/>
      </c>
      <c r="BE84">
        <f>IF(AND($A84&lt;&gt;"",BE$3&gt;=$J84,BE$3&lt;=$M84),1,"")</f>
        <v/>
      </c>
      <c r="BF84">
        <f>IF(AND($A84&lt;&gt;"",BF$3&gt;=$J84,BF$3&lt;=$M84),1,"")</f>
        <v/>
      </c>
      <c r="BG84">
        <f>IF(AND($A84&lt;&gt;"",BG$3&gt;=$J84,BG$3&lt;=$M84),1,"")</f>
        <v/>
      </c>
      <c r="BH84">
        <f>IF(AND($A84&lt;&gt;"",BH$3&gt;=$J84,BH$3&lt;=$M84),1,"")</f>
        <v/>
      </c>
      <c r="BI84">
        <f>IF(AND($A84&lt;&gt;"",BI$3&gt;=$J84,BI$3&lt;=$M84),1,"")</f>
        <v/>
      </c>
      <c r="BJ84">
        <f>IF(AND($A84&lt;&gt;"",BJ$3&gt;=$J84,BJ$3&lt;=$M84),1,"")</f>
        <v/>
      </c>
      <c r="BK84">
        <f>IF(AND($A84&lt;&gt;"",BK$3&gt;=$J84,BK$3&lt;=$M84),1,"")</f>
        <v/>
      </c>
      <c r="BL84">
        <f>IF(AND($A84&lt;&gt;"",BL$3&gt;=$J84,BL$3&lt;=$M84),1,"")</f>
        <v/>
      </c>
      <c r="BM84">
        <f>IF(AND($A84&lt;&gt;"",BM$3&gt;=$J84,BM$3&lt;=$M84),1,"")</f>
        <v/>
      </c>
      <c r="BN84">
        <f>IF(AND($A84&lt;&gt;"",BN$3&gt;=$J84,BN$3&lt;=$M84),1,"")</f>
        <v/>
      </c>
      <c r="BO84">
        <f>IF(AND($A84&lt;&gt;"",BO$3&gt;=$J84,BO$3&lt;=$M84),1,"")</f>
        <v/>
      </c>
      <c r="BP84">
        <f>IF(AND($A84&lt;&gt;"",BP$3&gt;=$J84,BP$3&lt;=$M84),1,"")</f>
        <v/>
      </c>
      <c r="BQ84">
        <f>IF(AND($A84&lt;&gt;"",BQ$3&gt;=$J84,BQ$3&lt;=$M84),1,"")</f>
        <v/>
      </c>
      <c r="BR84">
        <f>IF(AND($A84&lt;&gt;"",BR$3&gt;=$J84,BR$3&lt;=$M84),1,"")</f>
        <v/>
      </c>
      <c r="BS84">
        <f>IF(AND($A84&lt;&gt;"",BS$3&gt;=$J84,BS$3&lt;=$M84),1,"")</f>
        <v/>
      </c>
      <c r="BT84">
        <f>IF(AND($A84&lt;&gt;"",BT$3&gt;=$J84,BT$3&lt;=$M84),1,"")</f>
        <v/>
      </c>
      <c r="BU84">
        <f>IF(AND($A84&lt;&gt;"",BU$3&gt;=$J84,BU$3&lt;=$M84),1,"")</f>
        <v/>
      </c>
      <c r="BV84">
        <f>IF(AND($A84&lt;&gt;"",BV$3&gt;=$J84,BV$3&lt;=$M84),1,"")</f>
        <v/>
      </c>
    </row>
    <row r="85">
      <c r="A85">
        <f>IF(Job_Master_Ring!$A85="","",Job_Master_Ring!$A85)</f>
        <v/>
      </c>
      <c r="B85">
        <f>IF($A85="","",Job_Master_Ring!B85)</f>
        <v/>
      </c>
      <c r="C85">
        <f>IF($A85="","",Job_Master_Ring!C85)</f>
        <v/>
      </c>
      <c r="D85">
        <f>IF($A85="","",Job_Master_Ring!D85)</f>
        <v/>
      </c>
      <c r="E85">
        <f>IF($A85="","",IF($I85&lt;&gt;"",$I85,IFERROR(INDEX(Machine_List!$B$82:$B$86,MATCH(1,(Machine_List!$H$82:$H$86&lt;=IFERROR(VLOOKUP($B85,CHOOSE(MATCH($C85,Settings!$L$4:$L$10,0),OPR_BR1!$A$4:$K$18,OPR_BR2!$A$4:$K$18,OPR_CR2!$A$4:$K$18,OPR_CR3!$A$4:$K$18,OPR_CR4!$A$4:$K$18,OPR_RIM!$A$4:$K$18,OPR_BPR!$A$4:$K$18),10,0),0))*(Machine_List!$I$82:$I$86&gt;=IFERROR(VLOOKUP($B85,CHOOSE(MATCH($C85,Settings!$L$4:$L$10,0),OPR_BR1!$A$4:$K$18,OPR_BR2!$A$4:$K$18,OPR_CR2!$A$4:$K$18,OPR_CR3!$A$4:$K$18,OPR_CR4!$A$4:$K$18,OPR_RIM!$A$4:$K$18,OPR_BPR!$A$4:$K$18),11,0),9999)),0)),"NO COMPATIBLE MACHINE")))</f>
        <v/>
      </c>
      <c r="F85">
        <f>IF($E85="","",IFERROR(VLOOKUP($E85,Machine_List!$B:$G,6,0),""))</f>
        <v/>
      </c>
      <c r="G85" s="17">
        <f>IF($E85="","",IFERROR(VLOOKUP($E85,Machine_List!$B:$C,2,0),""))</f>
        <v/>
      </c>
      <c r="H85">
        <f>IF($E85="","",IFERROR(VLOOKUP($E85,Machine_List!$B:$D,3,0),""))</f>
        <v/>
      </c>
      <c r="J85" s="16">
        <f>IF($A85="","",IF($I85&lt;&gt;"",$I85,MAX(FID_Plan!$M85,IFERROR(LOOKUP(2,1/($E$3:INDIRECT("E"&amp;(ROW()-1))=$E85),$M$3:INDIRECT("M"&amp;(ROW()-1))),FID_Plan!$M85))))</f>
        <v/>
      </c>
      <c r="K85">
        <f>IF($A85="","",IFERROR(VLOOKUP(B85,CHOOSE(MATCH($C85,Settings!$L$4:$L$10,0),OPR_BR1!$A$4:$I$18,OPR_BR2!$A$4:$I$18,OPR_CR2!$A$4:$I$18,OPR_CR3!$A$4:$I$18,OPR_CR4!$A$4:$I$18,OPR_RIM!$A$4:$I$18,OPR_BPR!$A$4:$I$18),9,0),0))</f>
        <v/>
      </c>
      <c r="L85">
        <f>IF($A85="","",K85*D85)</f>
        <v/>
      </c>
      <c r="M85" s="16">
        <f>IF($A85=""," ",$J85+($L85/(IF(F85="Contract Workman",Settings!$K$5,Settings!$K$4))))</f>
        <v/>
      </c>
      <c r="N85">
        <f>IF($A85="","",IF(F85="Contract Workman",IF(AND(MOD(M85,1)&gt;=8/24,MOD(M85,1)&lt;20/24),"Shift S1","Shift S2"),IF(AND(MOD(M85,1)&gt;=7/24,MOD(M85,1)&lt;15/24),"Shift A",IF(AND(MOD(M85,1)&gt;=15/24,MOD(M85,1)&lt;23/24),"Shift B","Shift C"))))</f>
        <v/>
      </c>
      <c r="O85">
        <f>IF(B85="","",IF(IFERROR(ISNUMBER(SEARCH(TEXT(B85,"0"),VLOOKUP(E85,Machine_List!$B:$J,9,0))),FALSE),"✅ "&amp; E85,"❌ Sug: "&amp;IFERROR(INDEX(Machine_List!$B$82:$B$86,MATCH(1,(Machine_List!$H$82:$H$86&lt;=IFERROR(VLOOKUP($B85,OPR_BR1!$A$4:$K$18,10,0),0))*(Machine_List!$I$82:$I$86&gt;=IFERROR(VLOOKUP($B85,OPR_BR1!$A$4:$K$18,11,0),9999)),0)),"?")))</f>
        <v/>
      </c>
      <c r="P85">
        <f>IF(AND($A85&lt;&gt;"",P$3&gt;=$J85,P$3&lt;=$M85),1,"")</f>
        <v/>
      </c>
      <c r="Q85">
        <f>IF(AND($A85&lt;&gt;"",Q$3&gt;=$J85,Q$3&lt;=$M85),1,"")</f>
        <v/>
      </c>
      <c r="R85">
        <f>IF(AND($A85&lt;&gt;"",R$3&gt;=$J85,R$3&lt;=$M85),1,"")</f>
        <v/>
      </c>
      <c r="S85">
        <f>IF(AND($A85&lt;&gt;"",S$3&gt;=$J85,S$3&lt;=$M85),1,"")</f>
        <v/>
      </c>
      <c r="T85">
        <f>IF(AND($A85&lt;&gt;"",T$3&gt;=$J85,T$3&lt;=$M85),1,"")</f>
        <v/>
      </c>
      <c r="U85">
        <f>IF(AND($A85&lt;&gt;"",U$3&gt;=$J85,U$3&lt;=$M85),1,"")</f>
        <v/>
      </c>
      <c r="V85">
        <f>IF(AND($A85&lt;&gt;"",V$3&gt;=$J85,V$3&lt;=$M85),1,"")</f>
        <v/>
      </c>
      <c r="W85">
        <f>IF(AND($A85&lt;&gt;"",W$3&gt;=$J85,W$3&lt;=$M85),1,"")</f>
        <v/>
      </c>
      <c r="X85">
        <f>IF(AND($A85&lt;&gt;"",X$3&gt;=$J85,X$3&lt;=$M85),1,"")</f>
        <v/>
      </c>
      <c r="Y85">
        <f>IF(AND($A85&lt;&gt;"",Y$3&gt;=$J85,Y$3&lt;=$M85),1,"")</f>
        <v/>
      </c>
      <c r="Z85">
        <f>IF(AND($A85&lt;&gt;"",Z$3&gt;=$J85,Z$3&lt;=$M85),1,"")</f>
        <v/>
      </c>
      <c r="AA85">
        <f>IF(AND($A85&lt;&gt;"",AA$3&gt;=$J85,AA$3&lt;=$M85),1,"")</f>
        <v/>
      </c>
      <c r="AB85">
        <f>IF(AND($A85&lt;&gt;"",AB$3&gt;=$J85,AB$3&lt;=$M85),1,"")</f>
        <v/>
      </c>
      <c r="AC85">
        <f>IF(AND($A85&lt;&gt;"",AC$3&gt;=$J85,AC$3&lt;=$M85),1,"")</f>
        <v/>
      </c>
      <c r="AD85">
        <f>IF(AND($A85&lt;&gt;"",AD$3&gt;=$J85,AD$3&lt;=$M85),1,"")</f>
        <v/>
      </c>
      <c r="AE85">
        <f>IF(AND($A85&lt;&gt;"",AE$3&gt;=$J85,AE$3&lt;=$M85),1,"")</f>
        <v/>
      </c>
      <c r="AF85">
        <f>IF(AND($A85&lt;&gt;"",AF$3&gt;=$J85,AF$3&lt;=$M85),1,"")</f>
        <v/>
      </c>
      <c r="AG85">
        <f>IF(AND($A85&lt;&gt;"",AG$3&gt;=$J85,AG$3&lt;=$M85),1,"")</f>
        <v/>
      </c>
      <c r="AH85">
        <f>IF(AND($A85&lt;&gt;"",AH$3&gt;=$J85,AH$3&lt;=$M85),1,"")</f>
        <v/>
      </c>
      <c r="AI85">
        <f>IF(AND($A85&lt;&gt;"",AI$3&gt;=$J85,AI$3&lt;=$M85),1,"")</f>
        <v/>
      </c>
      <c r="AJ85">
        <f>IF(AND($A85&lt;&gt;"",AJ$3&gt;=$J85,AJ$3&lt;=$M85),1,"")</f>
        <v/>
      </c>
      <c r="AK85">
        <f>IF(AND($A85&lt;&gt;"",AK$3&gt;=$J85,AK$3&lt;=$M85),1,"")</f>
        <v/>
      </c>
      <c r="AL85">
        <f>IF(AND($A85&lt;&gt;"",AL$3&gt;=$J85,AL$3&lt;=$M85),1,"")</f>
        <v/>
      </c>
      <c r="AM85">
        <f>IF(AND($A85&lt;&gt;"",AM$3&gt;=$J85,AM$3&lt;=$M85),1,"")</f>
        <v/>
      </c>
      <c r="AN85">
        <f>IF(AND($A85&lt;&gt;"",AN$3&gt;=$J85,AN$3&lt;=$M85),1,"")</f>
        <v/>
      </c>
      <c r="AO85">
        <f>IF(AND($A85&lt;&gt;"",AO$3&gt;=$J85,AO$3&lt;=$M85),1,"")</f>
        <v/>
      </c>
      <c r="AP85">
        <f>IF(AND($A85&lt;&gt;"",AP$3&gt;=$J85,AP$3&lt;=$M85),1,"")</f>
        <v/>
      </c>
      <c r="AQ85">
        <f>IF(AND($A85&lt;&gt;"",AQ$3&gt;=$J85,AQ$3&lt;=$M85),1,"")</f>
        <v/>
      </c>
      <c r="AR85">
        <f>IF(AND($A85&lt;&gt;"",AR$3&gt;=$J85,AR$3&lt;=$M85),1,"")</f>
        <v/>
      </c>
      <c r="AS85">
        <f>IF(AND($A85&lt;&gt;"",AS$3&gt;=$J85,AS$3&lt;=$M85),1,"")</f>
        <v/>
      </c>
      <c r="AT85">
        <f>IF(AND($A85&lt;&gt;"",AT$3&gt;=$J85,AT$3&lt;=$M85),1,"")</f>
        <v/>
      </c>
      <c r="AU85">
        <f>IF(AND($A85&lt;&gt;"",AU$3&gt;=$J85,AU$3&lt;=$M85),1,"")</f>
        <v/>
      </c>
      <c r="AV85">
        <f>IF(AND($A85&lt;&gt;"",AV$3&gt;=$J85,AV$3&lt;=$M85),1,"")</f>
        <v/>
      </c>
      <c r="AW85">
        <f>IF(AND($A85&lt;&gt;"",AW$3&gt;=$J85,AW$3&lt;=$M85),1,"")</f>
        <v/>
      </c>
      <c r="AX85">
        <f>IF(AND($A85&lt;&gt;"",AX$3&gt;=$J85,AX$3&lt;=$M85),1,"")</f>
        <v/>
      </c>
      <c r="AY85">
        <f>IF(AND($A85&lt;&gt;"",AY$3&gt;=$J85,AY$3&lt;=$M85),1,"")</f>
        <v/>
      </c>
      <c r="AZ85">
        <f>IF(AND($A85&lt;&gt;"",AZ$3&gt;=$J85,AZ$3&lt;=$M85),1,"")</f>
        <v/>
      </c>
      <c r="BA85">
        <f>IF(AND($A85&lt;&gt;"",BA$3&gt;=$J85,BA$3&lt;=$M85),1,"")</f>
        <v/>
      </c>
      <c r="BB85">
        <f>IF(AND($A85&lt;&gt;"",BB$3&gt;=$J85,BB$3&lt;=$M85),1,"")</f>
        <v/>
      </c>
      <c r="BC85">
        <f>IF(AND($A85&lt;&gt;"",BC$3&gt;=$J85,BC$3&lt;=$M85),1,"")</f>
        <v/>
      </c>
      <c r="BD85">
        <f>IF(AND($A85&lt;&gt;"",BD$3&gt;=$J85,BD$3&lt;=$M85),1,"")</f>
        <v/>
      </c>
      <c r="BE85">
        <f>IF(AND($A85&lt;&gt;"",BE$3&gt;=$J85,BE$3&lt;=$M85),1,"")</f>
        <v/>
      </c>
      <c r="BF85">
        <f>IF(AND($A85&lt;&gt;"",BF$3&gt;=$J85,BF$3&lt;=$M85),1,"")</f>
        <v/>
      </c>
      <c r="BG85">
        <f>IF(AND($A85&lt;&gt;"",BG$3&gt;=$J85,BG$3&lt;=$M85),1,"")</f>
        <v/>
      </c>
      <c r="BH85">
        <f>IF(AND($A85&lt;&gt;"",BH$3&gt;=$J85,BH$3&lt;=$M85),1,"")</f>
        <v/>
      </c>
      <c r="BI85">
        <f>IF(AND($A85&lt;&gt;"",BI$3&gt;=$J85,BI$3&lt;=$M85),1,"")</f>
        <v/>
      </c>
      <c r="BJ85">
        <f>IF(AND($A85&lt;&gt;"",BJ$3&gt;=$J85,BJ$3&lt;=$M85),1,"")</f>
        <v/>
      </c>
      <c r="BK85">
        <f>IF(AND($A85&lt;&gt;"",BK$3&gt;=$J85,BK$3&lt;=$M85),1,"")</f>
        <v/>
      </c>
      <c r="BL85">
        <f>IF(AND($A85&lt;&gt;"",BL$3&gt;=$J85,BL$3&lt;=$M85),1,"")</f>
        <v/>
      </c>
      <c r="BM85">
        <f>IF(AND($A85&lt;&gt;"",BM$3&gt;=$J85,BM$3&lt;=$M85),1,"")</f>
        <v/>
      </c>
      <c r="BN85">
        <f>IF(AND($A85&lt;&gt;"",BN$3&gt;=$J85,BN$3&lt;=$M85),1,"")</f>
        <v/>
      </c>
      <c r="BO85">
        <f>IF(AND($A85&lt;&gt;"",BO$3&gt;=$J85,BO$3&lt;=$M85),1,"")</f>
        <v/>
      </c>
      <c r="BP85">
        <f>IF(AND($A85&lt;&gt;"",BP$3&gt;=$J85,BP$3&lt;=$M85),1,"")</f>
        <v/>
      </c>
      <c r="BQ85">
        <f>IF(AND($A85&lt;&gt;"",BQ$3&gt;=$J85,BQ$3&lt;=$M85),1,"")</f>
        <v/>
      </c>
      <c r="BR85">
        <f>IF(AND($A85&lt;&gt;"",BR$3&gt;=$J85,BR$3&lt;=$M85),1,"")</f>
        <v/>
      </c>
      <c r="BS85">
        <f>IF(AND($A85&lt;&gt;"",BS$3&gt;=$J85,BS$3&lt;=$M85),1,"")</f>
        <v/>
      </c>
      <c r="BT85">
        <f>IF(AND($A85&lt;&gt;"",BT$3&gt;=$J85,BT$3&lt;=$M85),1,"")</f>
        <v/>
      </c>
      <c r="BU85">
        <f>IF(AND($A85&lt;&gt;"",BU$3&gt;=$J85,BU$3&lt;=$M85),1,"")</f>
        <v/>
      </c>
      <c r="BV85">
        <f>IF(AND($A85&lt;&gt;"",BV$3&gt;=$J85,BV$3&lt;=$M85),1,"")</f>
        <v/>
      </c>
    </row>
    <row r="86">
      <c r="A86">
        <f>IF(Job_Master_Ring!$A86="","",Job_Master_Ring!$A86)</f>
        <v/>
      </c>
      <c r="B86">
        <f>IF($A86="","",Job_Master_Ring!B86)</f>
        <v/>
      </c>
      <c r="C86">
        <f>IF($A86="","",Job_Master_Ring!C86)</f>
        <v/>
      </c>
      <c r="D86">
        <f>IF($A86="","",Job_Master_Ring!D86)</f>
        <v/>
      </c>
      <c r="E86">
        <f>IF($A86="","",IF($I86&lt;&gt;"",$I86,IFERROR(INDEX(Machine_List!$B$82:$B$86,MATCH(1,(Machine_List!$H$82:$H$86&lt;=IFERROR(VLOOKUP($B86,CHOOSE(MATCH($C86,Settings!$L$4:$L$10,0),OPR_BR1!$A$4:$K$18,OPR_BR2!$A$4:$K$18,OPR_CR2!$A$4:$K$18,OPR_CR3!$A$4:$K$18,OPR_CR4!$A$4:$K$18,OPR_RIM!$A$4:$K$18,OPR_BPR!$A$4:$K$18),10,0),0))*(Machine_List!$I$82:$I$86&gt;=IFERROR(VLOOKUP($B86,CHOOSE(MATCH($C86,Settings!$L$4:$L$10,0),OPR_BR1!$A$4:$K$18,OPR_BR2!$A$4:$K$18,OPR_CR2!$A$4:$K$18,OPR_CR3!$A$4:$K$18,OPR_CR4!$A$4:$K$18,OPR_RIM!$A$4:$K$18,OPR_BPR!$A$4:$K$18),11,0),9999)),0)),"NO COMPATIBLE MACHINE")))</f>
        <v/>
      </c>
      <c r="F86">
        <f>IF($E86="","",IFERROR(VLOOKUP($E86,Machine_List!$B:$G,6,0),""))</f>
        <v/>
      </c>
      <c r="G86" s="17">
        <f>IF($E86="","",IFERROR(VLOOKUP($E86,Machine_List!$B:$C,2,0),""))</f>
        <v/>
      </c>
      <c r="H86">
        <f>IF($E86="","",IFERROR(VLOOKUP($E86,Machine_List!$B:$D,3,0),""))</f>
        <v/>
      </c>
      <c r="J86" s="16">
        <f>IF($A86="","",IF($I86&lt;&gt;"",$I86,MAX(FID_Plan!$M86,IFERROR(LOOKUP(2,1/($E$3:INDIRECT("E"&amp;(ROW()-1))=$E86),$M$3:INDIRECT("M"&amp;(ROW()-1))),FID_Plan!$M86))))</f>
        <v/>
      </c>
      <c r="K86">
        <f>IF($A86="","",IFERROR(VLOOKUP(B86,CHOOSE(MATCH($C86,Settings!$L$4:$L$10,0),OPR_BR1!$A$4:$I$18,OPR_BR2!$A$4:$I$18,OPR_CR2!$A$4:$I$18,OPR_CR3!$A$4:$I$18,OPR_CR4!$A$4:$I$18,OPR_RIM!$A$4:$I$18,OPR_BPR!$A$4:$I$18),9,0),0))</f>
        <v/>
      </c>
      <c r="L86">
        <f>IF($A86="","",K86*D86)</f>
        <v/>
      </c>
      <c r="M86" s="16">
        <f>IF($A86=""," ",$J86+($L86/(IF(F86="Contract Workman",Settings!$K$5,Settings!$K$4))))</f>
        <v/>
      </c>
      <c r="N86">
        <f>IF($A86="","",IF(F86="Contract Workman",IF(AND(MOD(M86,1)&gt;=8/24,MOD(M86,1)&lt;20/24),"Shift S1","Shift S2"),IF(AND(MOD(M86,1)&gt;=7/24,MOD(M86,1)&lt;15/24),"Shift A",IF(AND(MOD(M86,1)&gt;=15/24,MOD(M86,1)&lt;23/24),"Shift B","Shift C"))))</f>
        <v/>
      </c>
      <c r="O86">
        <f>IF(B86="","",IF(IFERROR(ISNUMBER(SEARCH(TEXT(B86,"0"),VLOOKUP(E86,Machine_List!$B:$J,9,0))),FALSE),"✅ "&amp; E86,"❌ Sug: "&amp;IFERROR(INDEX(Machine_List!$B$82:$B$86,MATCH(1,(Machine_List!$H$82:$H$86&lt;=IFERROR(VLOOKUP($B86,OPR_BR1!$A$4:$K$18,10,0),0))*(Machine_List!$I$82:$I$86&gt;=IFERROR(VLOOKUP($B86,OPR_BR1!$A$4:$K$18,11,0),9999)),0)),"?")))</f>
        <v/>
      </c>
      <c r="P86">
        <f>IF(AND($A86&lt;&gt;"",P$3&gt;=$J86,P$3&lt;=$M86),1,"")</f>
        <v/>
      </c>
      <c r="Q86">
        <f>IF(AND($A86&lt;&gt;"",Q$3&gt;=$J86,Q$3&lt;=$M86),1,"")</f>
        <v/>
      </c>
      <c r="R86">
        <f>IF(AND($A86&lt;&gt;"",R$3&gt;=$J86,R$3&lt;=$M86),1,"")</f>
        <v/>
      </c>
      <c r="S86">
        <f>IF(AND($A86&lt;&gt;"",S$3&gt;=$J86,S$3&lt;=$M86),1,"")</f>
        <v/>
      </c>
      <c r="T86">
        <f>IF(AND($A86&lt;&gt;"",T$3&gt;=$J86,T$3&lt;=$M86),1,"")</f>
        <v/>
      </c>
      <c r="U86">
        <f>IF(AND($A86&lt;&gt;"",U$3&gt;=$J86,U$3&lt;=$M86),1,"")</f>
        <v/>
      </c>
      <c r="V86">
        <f>IF(AND($A86&lt;&gt;"",V$3&gt;=$J86,V$3&lt;=$M86),1,"")</f>
        <v/>
      </c>
      <c r="W86">
        <f>IF(AND($A86&lt;&gt;"",W$3&gt;=$J86,W$3&lt;=$M86),1,"")</f>
        <v/>
      </c>
      <c r="X86">
        <f>IF(AND($A86&lt;&gt;"",X$3&gt;=$J86,X$3&lt;=$M86),1,"")</f>
        <v/>
      </c>
      <c r="Y86">
        <f>IF(AND($A86&lt;&gt;"",Y$3&gt;=$J86,Y$3&lt;=$M86),1,"")</f>
        <v/>
      </c>
      <c r="Z86">
        <f>IF(AND($A86&lt;&gt;"",Z$3&gt;=$J86,Z$3&lt;=$M86),1,"")</f>
        <v/>
      </c>
      <c r="AA86">
        <f>IF(AND($A86&lt;&gt;"",AA$3&gt;=$J86,AA$3&lt;=$M86),1,"")</f>
        <v/>
      </c>
      <c r="AB86">
        <f>IF(AND($A86&lt;&gt;"",AB$3&gt;=$J86,AB$3&lt;=$M86),1,"")</f>
        <v/>
      </c>
      <c r="AC86">
        <f>IF(AND($A86&lt;&gt;"",AC$3&gt;=$J86,AC$3&lt;=$M86),1,"")</f>
        <v/>
      </c>
      <c r="AD86">
        <f>IF(AND($A86&lt;&gt;"",AD$3&gt;=$J86,AD$3&lt;=$M86),1,"")</f>
        <v/>
      </c>
      <c r="AE86">
        <f>IF(AND($A86&lt;&gt;"",AE$3&gt;=$J86,AE$3&lt;=$M86),1,"")</f>
        <v/>
      </c>
      <c r="AF86">
        <f>IF(AND($A86&lt;&gt;"",AF$3&gt;=$J86,AF$3&lt;=$M86),1,"")</f>
        <v/>
      </c>
      <c r="AG86">
        <f>IF(AND($A86&lt;&gt;"",AG$3&gt;=$J86,AG$3&lt;=$M86),1,"")</f>
        <v/>
      </c>
      <c r="AH86">
        <f>IF(AND($A86&lt;&gt;"",AH$3&gt;=$J86,AH$3&lt;=$M86),1,"")</f>
        <v/>
      </c>
      <c r="AI86">
        <f>IF(AND($A86&lt;&gt;"",AI$3&gt;=$J86,AI$3&lt;=$M86),1,"")</f>
        <v/>
      </c>
      <c r="AJ86">
        <f>IF(AND($A86&lt;&gt;"",AJ$3&gt;=$J86,AJ$3&lt;=$M86),1,"")</f>
        <v/>
      </c>
      <c r="AK86">
        <f>IF(AND($A86&lt;&gt;"",AK$3&gt;=$J86,AK$3&lt;=$M86),1,"")</f>
        <v/>
      </c>
      <c r="AL86">
        <f>IF(AND($A86&lt;&gt;"",AL$3&gt;=$J86,AL$3&lt;=$M86),1,"")</f>
        <v/>
      </c>
      <c r="AM86">
        <f>IF(AND($A86&lt;&gt;"",AM$3&gt;=$J86,AM$3&lt;=$M86),1,"")</f>
        <v/>
      </c>
      <c r="AN86">
        <f>IF(AND($A86&lt;&gt;"",AN$3&gt;=$J86,AN$3&lt;=$M86),1,"")</f>
        <v/>
      </c>
      <c r="AO86">
        <f>IF(AND($A86&lt;&gt;"",AO$3&gt;=$J86,AO$3&lt;=$M86),1,"")</f>
        <v/>
      </c>
      <c r="AP86">
        <f>IF(AND($A86&lt;&gt;"",AP$3&gt;=$J86,AP$3&lt;=$M86),1,"")</f>
        <v/>
      </c>
      <c r="AQ86">
        <f>IF(AND($A86&lt;&gt;"",AQ$3&gt;=$J86,AQ$3&lt;=$M86),1,"")</f>
        <v/>
      </c>
      <c r="AR86">
        <f>IF(AND($A86&lt;&gt;"",AR$3&gt;=$J86,AR$3&lt;=$M86),1,"")</f>
        <v/>
      </c>
      <c r="AS86">
        <f>IF(AND($A86&lt;&gt;"",AS$3&gt;=$J86,AS$3&lt;=$M86),1,"")</f>
        <v/>
      </c>
      <c r="AT86">
        <f>IF(AND($A86&lt;&gt;"",AT$3&gt;=$J86,AT$3&lt;=$M86),1,"")</f>
        <v/>
      </c>
      <c r="AU86">
        <f>IF(AND($A86&lt;&gt;"",AU$3&gt;=$J86,AU$3&lt;=$M86),1,"")</f>
        <v/>
      </c>
      <c r="AV86">
        <f>IF(AND($A86&lt;&gt;"",AV$3&gt;=$J86,AV$3&lt;=$M86),1,"")</f>
        <v/>
      </c>
      <c r="AW86">
        <f>IF(AND($A86&lt;&gt;"",AW$3&gt;=$J86,AW$3&lt;=$M86),1,"")</f>
        <v/>
      </c>
      <c r="AX86">
        <f>IF(AND($A86&lt;&gt;"",AX$3&gt;=$J86,AX$3&lt;=$M86),1,"")</f>
        <v/>
      </c>
      <c r="AY86">
        <f>IF(AND($A86&lt;&gt;"",AY$3&gt;=$J86,AY$3&lt;=$M86),1,"")</f>
        <v/>
      </c>
      <c r="AZ86">
        <f>IF(AND($A86&lt;&gt;"",AZ$3&gt;=$J86,AZ$3&lt;=$M86),1,"")</f>
        <v/>
      </c>
      <c r="BA86">
        <f>IF(AND($A86&lt;&gt;"",BA$3&gt;=$J86,BA$3&lt;=$M86),1,"")</f>
        <v/>
      </c>
      <c r="BB86">
        <f>IF(AND($A86&lt;&gt;"",BB$3&gt;=$J86,BB$3&lt;=$M86),1,"")</f>
        <v/>
      </c>
      <c r="BC86">
        <f>IF(AND($A86&lt;&gt;"",BC$3&gt;=$J86,BC$3&lt;=$M86),1,"")</f>
        <v/>
      </c>
      <c r="BD86">
        <f>IF(AND($A86&lt;&gt;"",BD$3&gt;=$J86,BD$3&lt;=$M86),1,"")</f>
        <v/>
      </c>
      <c r="BE86">
        <f>IF(AND($A86&lt;&gt;"",BE$3&gt;=$J86,BE$3&lt;=$M86),1,"")</f>
        <v/>
      </c>
      <c r="BF86">
        <f>IF(AND($A86&lt;&gt;"",BF$3&gt;=$J86,BF$3&lt;=$M86),1,"")</f>
        <v/>
      </c>
      <c r="BG86">
        <f>IF(AND($A86&lt;&gt;"",BG$3&gt;=$J86,BG$3&lt;=$M86),1,"")</f>
        <v/>
      </c>
      <c r="BH86">
        <f>IF(AND($A86&lt;&gt;"",BH$3&gt;=$J86,BH$3&lt;=$M86),1,"")</f>
        <v/>
      </c>
      <c r="BI86">
        <f>IF(AND($A86&lt;&gt;"",BI$3&gt;=$J86,BI$3&lt;=$M86),1,"")</f>
        <v/>
      </c>
      <c r="BJ86">
        <f>IF(AND($A86&lt;&gt;"",BJ$3&gt;=$J86,BJ$3&lt;=$M86),1,"")</f>
        <v/>
      </c>
      <c r="BK86">
        <f>IF(AND($A86&lt;&gt;"",BK$3&gt;=$J86,BK$3&lt;=$M86),1,"")</f>
        <v/>
      </c>
      <c r="BL86">
        <f>IF(AND($A86&lt;&gt;"",BL$3&gt;=$J86,BL$3&lt;=$M86),1,"")</f>
        <v/>
      </c>
      <c r="BM86">
        <f>IF(AND($A86&lt;&gt;"",BM$3&gt;=$J86,BM$3&lt;=$M86),1,"")</f>
        <v/>
      </c>
      <c r="BN86">
        <f>IF(AND($A86&lt;&gt;"",BN$3&gt;=$J86,BN$3&lt;=$M86),1,"")</f>
        <v/>
      </c>
      <c r="BO86">
        <f>IF(AND($A86&lt;&gt;"",BO$3&gt;=$J86,BO$3&lt;=$M86),1,"")</f>
        <v/>
      </c>
      <c r="BP86">
        <f>IF(AND($A86&lt;&gt;"",BP$3&gt;=$J86,BP$3&lt;=$M86),1,"")</f>
        <v/>
      </c>
      <c r="BQ86">
        <f>IF(AND($A86&lt;&gt;"",BQ$3&gt;=$J86,BQ$3&lt;=$M86),1,"")</f>
        <v/>
      </c>
      <c r="BR86">
        <f>IF(AND($A86&lt;&gt;"",BR$3&gt;=$J86,BR$3&lt;=$M86),1,"")</f>
        <v/>
      </c>
      <c r="BS86">
        <f>IF(AND($A86&lt;&gt;"",BS$3&gt;=$J86,BS$3&lt;=$M86),1,"")</f>
        <v/>
      </c>
      <c r="BT86">
        <f>IF(AND($A86&lt;&gt;"",BT$3&gt;=$J86,BT$3&lt;=$M86),1,"")</f>
        <v/>
      </c>
      <c r="BU86">
        <f>IF(AND($A86&lt;&gt;"",BU$3&gt;=$J86,BU$3&lt;=$M86),1,"")</f>
        <v/>
      </c>
      <c r="BV86">
        <f>IF(AND($A86&lt;&gt;"",BV$3&gt;=$J86,BV$3&lt;=$M86),1,"")</f>
        <v/>
      </c>
    </row>
    <row r="87">
      <c r="A87">
        <f>IF(Job_Master_Ring!$A87="","",Job_Master_Ring!$A87)</f>
        <v/>
      </c>
      <c r="B87">
        <f>IF($A87="","",Job_Master_Ring!B87)</f>
        <v/>
      </c>
      <c r="C87">
        <f>IF($A87="","",Job_Master_Ring!C87)</f>
        <v/>
      </c>
      <c r="D87">
        <f>IF($A87="","",Job_Master_Ring!D87)</f>
        <v/>
      </c>
      <c r="E87">
        <f>IF($A87="","",IF($I87&lt;&gt;"",$I87,IFERROR(INDEX(Machine_List!$B$82:$B$86,MATCH(1,(Machine_List!$H$82:$H$86&lt;=IFERROR(VLOOKUP($B87,CHOOSE(MATCH($C87,Settings!$L$4:$L$10,0),OPR_BR1!$A$4:$K$18,OPR_BR2!$A$4:$K$18,OPR_CR2!$A$4:$K$18,OPR_CR3!$A$4:$K$18,OPR_CR4!$A$4:$K$18,OPR_RIM!$A$4:$K$18,OPR_BPR!$A$4:$K$18),10,0),0))*(Machine_List!$I$82:$I$86&gt;=IFERROR(VLOOKUP($B87,CHOOSE(MATCH($C87,Settings!$L$4:$L$10,0),OPR_BR1!$A$4:$K$18,OPR_BR2!$A$4:$K$18,OPR_CR2!$A$4:$K$18,OPR_CR3!$A$4:$K$18,OPR_CR4!$A$4:$K$18,OPR_RIM!$A$4:$K$18,OPR_BPR!$A$4:$K$18),11,0),9999)),0)),"NO COMPATIBLE MACHINE")))</f>
        <v/>
      </c>
      <c r="F87">
        <f>IF($E87="","",IFERROR(VLOOKUP($E87,Machine_List!$B:$G,6,0),""))</f>
        <v/>
      </c>
      <c r="G87" s="17">
        <f>IF($E87="","",IFERROR(VLOOKUP($E87,Machine_List!$B:$C,2,0),""))</f>
        <v/>
      </c>
      <c r="H87">
        <f>IF($E87="","",IFERROR(VLOOKUP($E87,Machine_List!$B:$D,3,0),""))</f>
        <v/>
      </c>
      <c r="J87" s="16">
        <f>IF($A87="","",IF($I87&lt;&gt;"",$I87,MAX(FID_Plan!$M87,IFERROR(LOOKUP(2,1/($E$3:INDIRECT("E"&amp;(ROW()-1))=$E87),$M$3:INDIRECT("M"&amp;(ROW()-1))),FID_Plan!$M87))))</f>
        <v/>
      </c>
      <c r="K87">
        <f>IF($A87="","",IFERROR(VLOOKUP(B87,CHOOSE(MATCH($C87,Settings!$L$4:$L$10,0),OPR_BR1!$A$4:$I$18,OPR_BR2!$A$4:$I$18,OPR_CR2!$A$4:$I$18,OPR_CR3!$A$4:$I$18,OPR_CR4!$A$4:$I$18,OPR_RIM!$A$4:$I$18,OPR_BPR!$A$4:$I$18),9,0),0))</f>
        <v/>
      </c>
      <c r="L87">
        <f>IF($A87="","",K87*D87)</f>
        <v/>
      </c>
      <c r="M87" s="16">
        <f>IF($A87=""," ",$J87+($L87/(IF(F87="Contract Workman",Settings!$K$5,Settings!$K$4))))</f>
        <v/>
      </c>
      <c r="N87">
        <f>IF($A87="","",IF(F87="Contract Workman",IF(AND(MOD(M87,1)&gt;=8/24,MOD(M87,1)&lt;20/24),"Shift S1","Shift S2"),IF(AND(MOD(M87,1)&gt;=7/24,MOD(M87,1)&lt;15/24),"Shift A",IF(AND(MOD(M87,1)&gt;=15/24,MOD(M87,1)&lt;23/24),"Shift B","Shift C"))))</f>
        <v/>
      </c>
      <c r="O87">
        <f>IF(B87="","",IF(IFERROR(ISNUMBER(SEARCH(TEXT(B87,"0"),VLOOKUP(E87,Machine_List!$B:$J,9,0))),FALSE),"✅ "&amp; E87,"❌ Sug: "&amp;IFERROR(INDEX(Machine_List!$B$82:$B$86,MATCH(1,(Machine_List!$H$82:$H$86&lt;=IFERROR(VLOOKUP($B87,OPR_BR1!$A$4:$K$18,10,0),0))*(Machine_List!$I$82:$I$86&gt;=IFERROR(VLOOKUP($B87,OPR_BR1!$A$4:$K$18,11,0),9999)),0)),"?")))</f>
        <v/>
      </c>
      <c r="P87">
        <f>IF(AND($A87&lt;&gt;"",P$3&gt;=$J87,P$3&lt;=$M87),1,"")</f>
        <v/>
      </c>
      <c r="Q87">
        <f>IF(AND($A87&lt;&gt;"",Q$3&gt;=$J87,Q$3&lt;=$M87),1,"")</f>
        <v/>
      </c>
      <c r="R87">
        <f>IF(AND($A87&lt;&gt;"",R$3&gt;=$J87,R$3&lt;=$M87),1,"")</f>
        <v/>
      </c>
      <c r="S87">
        <f>IF(AND($A87&lt;&gt;"",S$3&gt;=$J87,S$3&lt;=$M87),1,"")</f>
        <v/>
      </c>
      <c r="T87">
        <f>IF(AND($A87&lt;&gt;"",T$3&gt;=$J87,T$3&lt;=$M87),1,"")</f>
        <v/>
      </c>
      <c r="U87">
        <f>IF(AND($A87&lt;&gt;"",U$3&gt;=$J87,U$3&lt;=$M87),1,"")</f>
        <v/>
      </c>
      <c r="V87">
        <f>IF(AND($A87&lt;&gt;"",V$3&gt;=$J87,V$3&lt;=$M87),1,"")</f>
        <v/>
      </c>
      <c r="W87">
        <f>IF(AND($A87&lt;&gt;"",W$3&gt;=$J87,W$3&lt;=$M87),1,"")</f>
        <v/>
      </c>
      <c r="X87">
        <f>IF(AND($A87&lt;&gt;"",X$3&gt;=$J87,X$3&lt;=$M87),1,"")</f>
        <v/>
      </c>
      <c r="Y87">
        <f>IF(AND($A87&lt;&gt;"",Y$3&gt;=$J87,Y$3&lt;=$M87),1,"")</f>
        <v/>
      </c>
      <c r="Z87">
        <f>IF(AND($A87&lt;&gt;"",Z$3&gt;=$J87,Z$3&lt;=$M87),1,"")</f>
        <v/>
      </c>
      <c r="AA87">
        <f>IF(AND($A87&lt;&gt;"",AA$3&gt;=$J87,AA$3&lt;=$M87),1,"")</f>
        <v/>
      </c>
      <c r="AB87">
        <f>IF(AND($A87&lt;&gt;"",AB$3&gt;=$J87,AB$3&lt;=$M87),1,"")</f>
        <v/>
      </c>
      <c r="AC87">
        <f>IF(AND($A87&lt;&gt;"",AC$3&gt;=$J87,AC$3&lt;=$M87),1,"")</f>
        <v/>
      </c>
      <c r="AD87">
        <f>IF(AND($A87&lt;&gt;"",AD$3&gt;=$J87,AD$3&lt;=$M87),1,"")</f>
        <v/>
      </c>
      <c r="AE87">
        <f>IF(AND($A87&lt;&gt;"",AE$3&gt;=$J87,AE$3&lt;=$M87),1,"")</f>
        <v/>
      </c>
      <c r="AF87">
        <f>IF(AND($A87&lt;&gt;"",AF$3&gt;=$J87,AF$3&lt;=$M87),1,"")</f>
        <v/>
      </c>
      <c r="AG87">
        <f>IF(AND($A87&lt;&gt;"",AG$3&gt;=$J87,AG$3&lt;=$M87),1,"")</f>
        <v/>
      </c>
      <c r="AH87">
        <f>IF(AND($A87&lt;&gt;"",AH$3&gt;=$J87,AH$3&lt;=$M87),1,"")</f>
        <v/>
      </c>
      <c r="AI87">
        <f>IF(AND($A87&lt;&gt;"",AI$3&gt;=$J87,AI$3&lt;=$M87),1,"")</f>
        <v/>
      </c>
      <c r="AJ87">
        <f>IF(AND($A87&lt;&gt;"",AJ$3&gt;=$J87,AJ$3&lt;=$M87),1,"")</f>
        <v/>
      </c>
      <c r="AK87">
        <f>IF(AND($A87&lt;&gt;"",AK$3&gt;=$J87,AK$3&lt;=$M87),1,"")</f>
        <v/>
      </c>
      <c r="AL87">
        <f>IF(AND($A87&lt;&gt;"",AL$3&gt;=$J87,AL$3&lt;=$M87),1,"")</f>
        <v/>
      </c>
      <c r="AM87">
        <f>IF(AND($A87&lt;&gt;"",AM$3&gt;=$J87,AM$3&lt;=$M87),1,"")</f>
        <v/>
      </c>
      <c r="AN87">
        <f>IF(AND($A87&lt;&gt;"",AN$3&gt;=$J87,AN$3&lt;=$M87),1,"")</f>
        <v/>
      </c>
      <c r="AO87">
        <f>IF(AND($A87&lt;&gt;"",AO$3&gt;=$J87,AO$3&lt;=$M87),1,"")</f>
        <v/>
      </c>
      <c r="AP87">
        <f>IF(AND($A87&lt;&gt;"",AP$3&gt;=$J87,AP$3&lt;=$M87),1,"")</f>
        <v/>
      </c>
      <c r="AQ87">
        <f>IF(AND($A87&lt;&gt;"",AQ$3&gt;=$J87,AQ$3&lt;=$M87),1,"")</f>
        <v/>
      </c>
      <c r="AR87">
        <f>IF(AND($A87&lt;&gt;"",AR$3&gt;=$J87,AR$3&lt;=$M87),1,"")</f>
        <v/>
      </c>
      <c r="AS87">
        <f>IF(AND($A87&lt;&gt;"",AS$3&gt;=$J87,AS$3&lt;=$M87),1,"")</f>
        <v/>
      </c>
      <c r="AT87">
        <f>IF(AND($A87&lt;&gt;"",AT$3&gt;=$J87,AT$3&lt;=$M87),1,"")</f>
        <v/>
      </c>
      <c r="AU87">
        <f>IF(AND($A87&lt;&gt;"",AU$3&gt;=$J87,AU$3&lt;=$M87),1,"")</f>
        <v/>
      </c>
      <c r="AV87">
        <f>IF(AND($A87&lt;&gt;"",AV$3&gt;=$J87,AV$3&lt;=$M87),1,"")</f>
        <v/>
      </c>
      <c r="AW87">
        <f>IF(AND($A87&lt;&gt;"",AW$3&gt;=$J87,AW$3&lt;=$M87),1,"")</f>
        <v/>
      </c>
      <c r="AX87">
        <f>IF(AND($A87&lt;&gt;"",AX$3&gt;=$J87,AX$3&lt;=$M87),1,"")</f>
        <v/>
      </c>
      <c r="AY87">
        <f>IF(AND($A87&lt;&gt;"",AY$3&gt;=$J87,AY$3&lt;=$M87),1,"")</f>
        <v/>
      </c>
      <c r="AZ87">
        <f>IF(AND($A87&lt;&gt;"",AZ$3&gt;=$J87,AZ$3&lt;=$M87),1,"")</f>
        <v/>
      </c>
      <c r="BA87">
        <f>IF(AND($A87&lt;&gt;"",BA$3&gt;=$J87,BA$3&lt;=$M87),1,"")</f>
        <v/>
      </c>
      <c r="BB87">
        <f>IF(AND($A87&lt;&gt;"",BB$3&gt;=$J87,BB$3&lt;=$M87),1,"")</f>
        <v/>
      </c>
      <c r="BC87">
        <f>IF(AND($A87&lt;&gt;"",BC$3&gt;=$J87,BC$3&lt;=$M87),1,"")</f>
        <v/>
      </c>
      <c r="BD87">
        <f>IF(AND($A87&lt;&gt;"",BD$3&gt;=$J87,BD$3&lt;=$M87),1,"")</f>
        <v/>
      </c>
      <c r="BE87">
        <f>IF(AND($A87&lt;&gt;"",BE$3&gt;=$J87,BE$3&lt;=$M87),1,"")</f>
        <v/>
      </c>
      <c r="BF87">
        <f>IF(AND($A87&lt;&gt;"",BF$3&gt;=$J87,BF$3&lt;=$M87),1,"")</f>
        <v/>
      </c>
      <c r="BG87">
        <f>IF(AND($A87&lt;&gt;"",BG$3&gt;=$J87,BG$3&lt;=$M87),1,"")</f>
        <v/>
      </c>
      <c r="BH87">
        <f>IF(AND($A87&lt;&gt;"",BH$3&gt;=$J87,BH$3&lt;=$M87),1,"")</f>
        <v/>
      </c>
      <c r="BI87">
        <f>IF(AND($A87&lt;&gt;"",BI$3&gt;=$J87,BI$3&lt;=$M87),1,"")</f>
        <v/>
      </c>
      <c r="BJ87">
        <f>IF(AND($A87&lt;&gt;"",BJ$3&gt;=$J87,BJ$3&lt;=$M87),1,"")</f>
        <v/>
      </c>
      <c r="BK87">
        <f>IF(AND($A87&lt;&gt;"",BK$3&gt;=$J87,BK$3&lt;=$M87),1,"")</f>
        <v/>
      </c>
      <c r="BL87">
        <f>IF(AND($A87&lt;&gt;"",BL$3&gt;=$J87,BL$3&lt;=$M87),1,"")</f>
        <v/>
      </c>
      <c r="BM87">
        <f>IF(AND($A87&lt;&gt;"",BM$3&gt;=$J87,BM$3&lt;=$M87),1,"")</f>
        <v/>
      </c>
      <c r="BN87">
        <f>IF(AND($A87&lt;&gt;"",BN$3&gt;=$J87,BN$3&lt;=$M87),1,"")</f>
        <v/>
      </c>
      <c r="BO87">
        <f>IF(AND($A87&lt;&gt;"",BO$3&gt;=$J87,BO$3&lt;=$M87),1,"")</f>
        <v/>
      </c>
      <c r="BP87">
        <f>IF(AND($A87&lt;&gt;"",BP$3&gt;=$J87,BP$3&lt;=$M87),1,"")</f>
        <v/>
      </c>
      <c r="BQ87">
        <f>IF(AND($A87&lt;&gt;"",BQ$3&gt;=$J87,BQ$3&lt;=$M87),1,"")</f>
        <v/>
      </c>
      <c r="BR87">
        <f>IF(AND($A87&lt;&gt;"",BR$3&gt;=$J87,BR$3&lt;=$M87),1,"")</f>
        <v/>
      </c>
      <c r="BS87">
        <f>IF(AND($A87&lt;&gt;"",BS$3&gt;=$J87,BS$3&lt;=$M87),1,"")</f>
        <v/>
      </c>
      <c r="BT87">
        <f>IF(AND($A87&lt;&gt;"",BT$3&gt;=$J87,BT$3&lt;=$M87),1,"")</f>
        <v/>
      </c>
      <c r="BU87">
        <f>IF(AND($A87&lt;&gt;"",BU$3&gt;=$J87,BU$3&lt;=$M87),1,"")</f>
        <v/>
      </c>
      <c r="BV87">
        <f>IF(AND($A87&lt;&gt;"",BV$3&gt;=$J87,BV$3&lt;=$M87),1,"")</f>
        <v/>
      </c>
    </row>
    <row r="88">
      <c r="A88">
        <f>IF(Job_Master_Ring!$A88="","",Job_Master_Ring!$A88)</f>
        <v/>
      </c>
      <c r="B88">
        <f>IF($A88="","",Job_Master_Ring!B88)</f>
        <v/>
      </c>
      <c r="C88">
        <f>IF($A88="","",Job_Master_Ring!C88)</f>
        <v/>
      </c>
      <c r="D88">
        <f>IF($A88="","",Job_Master_Ring!D88)</f>
        <v/>
      </c>
      <c r="E88">
        <f>IF($A88="","",IF($I88&lt;&gt;"",$I88,IFERROR(INDEX(Machine_List!$B$82:$B$86,MATCH(1,(Machine_List!$H$82:$H$86&lt;=IFERROR(VLOOKUP($B88,CHOOSE(MATCH($C88,Settings!$L$4:$L$10,0),OPR_BR1!$A$4:$K$18,OPR_BR2!$A$4:$K$18,OPR_CR2!$A$4:$K$18,OPR_CR3!$A$4:$K$18,OPR_CR4!$A$4:$K$18,OPR_RIM!$A$4:$K$18,OPR_BPR!$A$4:$K$18),10,0),0))*(Machine_List!$I$82:$I$86&gt;=IFERROR(VLOOKUP($B88,CHOOSE(MATCH($C88,Settings!$L$4:$L$10,0),OPR_BR1!$A$4:$K$18,OPR_BR2!$A$4:$K$18,OPR_CR2!$A$4:$K$18,OPR_CR3!$A$4:$K$18,OPR_CR4!$A$4:$K$18,OPR_RIM!$A$4:$K$18,OPR_BPR!$A$4:$K$18),11,0),9999)),0)),"NO COMPATIBLE MACHINE")))</f>
        <v/>
      </c>
      <c r="F88">
        <f>IF($E88="","",IFERROR(VLOOKUP($E88,Machine_List!$B:$G,6,0),""))</f>
        <v/>
      </c>
      <c r="G88" s="17">
        <f>IF($E88="","",IFERROR(VLOOKUP($E88,Machine_List!$B:$C,2,0),""))</f>
        <v/>
      </c>
      <c r="H88">
        <f>IF($E88="","",IFERROR(VLOOKUP($E88,Machine_List!$B:$D,3,0),""))</f>
        <v/>
      </c>
      <c r="J88" s="16">
        <f>IF($A88="","",IF($I88&lt;&gt;"",$I88,MAX(FID_Plan!$M88,IFERROR(LOOKUP(2,1/($E$3:INDIRECT("E"&amp;(ROW()-1))=$E88),$M$3:INDIRECT("M"&amp;(ROW()-1))),FID_Plan!$M88))))</f>
        <v/>
      </c>
      <c r="K88">
        <f>IF($A88="","",IFERROR(VLOOKUP(B88,CHOOSE(MATCH($C88,Settings!$L$4:$L$10,0),OPR_BR1!$A$4:$I$18,OPR_BR2!$A$4:$I$18,OPR_CR2!$A$4:$I$18,OPR_CR3!$A$4:$I$18,OPR_CR4!$A$4:$I$18,OPR_RIM!$A$4:$I$18,OPR_BPR!$A$4:$I$18),9,0),0))</f>
        <v/>
      </c>
      <c r="L88">
        <f>IF($A88="","",K88*D88)</f>
        <v/>
      </c>
      <c r="M88" s="16">
        <f>IF($A88=""," ",$J88+($L88/(IF(F88="Contract Workman",Settings!$K$5,Settings!$K$4))))</f>
        <v/>
      </c>
      <c r="N88">
        <f>IF($A88="","",IF(F88="Contract Workman",IF(AND(MOD(M88,1)&gt;=8/24,MOD(M88,1)&lt;20/24),"Shift S1","Shift S2"),IF(AND(MOD(M88,1)&gt;=7/24,MOD(M88,1)&lt;15/24),"Shift A",IF(AND(MOD(M88,1)&gt;=15/24,MOD(M88,1)&lt;23/24),"Shift B","Shift C"))))</f>
        <v/>
      </c>
      <c r="O88">
        <f>IF(B88="","",IF(IFERROR(ISNUMBER(SEARCH(TEXT(B88,"0"),VLOOKUP(E88,Machine_List!$B:$J,9,0))),FALSE),"✅ "&amp; E88,"❌ Sug: "&amp;IFERROR(INDEX(Machine_List!$B$82:$B$86,MATCH(1,(Machine_List!$H$82:$H$86&lt;=IFERROR(VLOOKUP($B88,OPR_BR1!$A$4:$K$18,10,0),0))*(Machine_List!$I$82:$I$86&gt;=IFERROR(VLOOKUP($B88,OPR_BR1!$A$4:$K$18,11,0),9999)),0)),"?")))</f>
        <v/>
      </c>
      <c r="P88">
        <f>IF(AND($A88&lt;&gt;"",P$3&gt;=$J88,P$3&lt;=$M88),1,"")</f>
        <v/>
      </c>
      <c r="Q88">
        <f>IF(AND($A88&lt;&gt;"",Q$3&gt;=$J88,Q$3&lt;=$M88),1,"")</f>
        <v/>
      </c>
      <c r="R88">
        <f>IF(AND($A88&lt;&gt;"",R$3&gt;=$J88,R$3&lt;=$M88),1,"")</f>
        <v/>
      </c>
      <c r="S88">
        <f>IF(AND($A88&lt;&gt;"",S$3&gt;=$J88,S$3&lt;=$M88),1,"")</f>
        <v/>
      </c>
      <c r="T88">
        <f>IF(AND($A88&lt;&gt;"",T$3&gt;=$J88,T$3&lt;=$M88),1,"")</f>
        <v/>
      </c>
      <c r="U88">
        <f>IF(AND($A88&lt;&gt;"",U$3&gt;=$J88,U$3&lt;=$M88),1,"")</f>
        <v/>
      </c>
      <c r="V88">
        <f>IF(AND($A88&lt;&gt;"",V$3&gt;=$J88,V$3&lt;=$M88),1,"")</f>
        <v/>
      </c>
      <c r="W88">
        <f>IF(AND($A88&lt;&gt;"",W$3&gt;=$J88,W$3&lt;=$M88),1,"")</f>
        <v/>
      </c>
      <c r="X88">
        <f>IF(AND($A88&lt;&gt;"",X$3&gt;=$J88,X$3&lt;=$M88),1,"")</f>
        <v/>
      </c>
      <c r="Y88">
        <f>IF(AND($A88&lt;&gt;"",Y$3&gt;=$J88,Y$3&lt;=$M88),1,"")</f>
        <v/>
      </c>
      <c r="Z88">
        <f>IF(AND($A88&lt;&gt;"",Z$3&gt;=$J88,Z$3&lt;=$M88),1,"")</f>
        <v/>
      </c>
      <c r="AA88">
        <f>IF(AND($A88&lt;&gt;"",AA$3&gt;=$J88,AA$3&lt;=$M88),1,"")</f>
        <v/>
      </c>
      <c r="AB88">
        <f>IF(AND($A88&lt;&gt;"",AB$3&gt;=$J88,AB$3&lt;=$M88),1,"")</f>
        <v/>
      </c>
      <c r="AC88">
        <f>IF(AND($A88&lt;&gt;"",AC$3&gt;=$J88,AC$3&lt;=$M88),1,"")</f>
        <v/>
      </c>
      <c r="AD88">
        <f>IF(AND($A88&lt;&gt;"",AD$3&gt;=$J88,AD$3&lt;=$M88),1,"")</f>
        <v/>
      </c>
      <c r="AE88">
        <f>IF(AND($A88&lt;&gt;"",AE$3&gt;=$J88,AE$3&lt;=$M88),1,"")</f>
        <v/>
      </c>
      <c r="AF88">
        <f>IF(AND($A88&lt;&gt;"",AF$3&gt;=$J88,AF$3&lt;=$M88),1,"")</f>
        <v/>
      </c>
      <c r="AG88">
        <f>IF(AND($A88&lt;&gt;"",AG$3&gt;=$J88,AG$3&lt;=$M88),1,"")</f>
        <v/>
      </c>
      <c r="AH88">
        <f>IF(AND($A88&lt;&gt;"",AH$3&gt;=$J88,AH$3&lt;=$M88),1,"")</f>
        <v/>
      </c>
      <c r="AI88">
        <f>IF(AND($A88&lt;&gt;"",AI$3&gt;=$J88,AI$3&lt;=$M88),1,"")</f>
        <v/>
      </c>
      <c r="AJ88">
        <f>IF(AND($A88&lt;&gt;"",AJ$3&gt;=$J88,AJ$3&lt;=$M88),1,"")</f>
        <v/>
      </c>
      <c r="AK88">
        <f>IF(AND($A88&lt;&gt;"",AK$3&gt;=$J88,AK$3&lt;=$M88),1,"")</f>
        <v/>
      </c>
      <c r="AL88">
        <f>IF(AND($A88&lt;&gt;"",AL$3&gt;=$J88,AL$3&lt;=$M88),1,"")</f>
        <v/>
      </c>
      <c r="AM88">
        <f>IF(AND($A88&lt;&gt;"",AM$3&gt;=$J88,AM$3&lt;=$M88),1,"")</f>
        <v/>
      </c>
      <c r="AN88">
        <f>IF(AND($A88&lt;&gt;"",AN$3&gt;=$J88,AN$3&lt;=$M88),1,"")</f>
        <v/>
      </c>
      <c r="AO88">
        <f>IF(AND($A88&lt;&gt;"",AO$3&gt;=$J88,AO$3&lt;=$M88),1,"")</f>
        <v/>
      </c>
      <c r="AP88">
        <f>IF(AND($A88&lt;&gt;"",AP$3&gt;=$J88,AP$3&lt;=$M88),1,"")</f>
        <v/>
      </c>
      <c r="AQ88">
        <f>IF(AND($A88&lt;&gt;"",AQ$3&gt;=$J88,AQ$3&lt;=$M88),1,"")</f>
        <v/>
      </c>
      <c r="AR88">
        <f>IF(AND($A88&lt;&gt;"",AR$3&gt;=$J88,AR$3&lt;=$M88),1,"")</f>
        <v/>
      </c>
      <c r="AS88">
        <f>IF(AND($A88&lt;&gt;"",AS$3&gt;=$J88,AS$3&lt;=$M88),1,"")</f>
        <v/>
      </c>
      <c r="AT88">
        <f>IF(AND($A88&lt;&gt;"",AT$3&gt;=$J88,AT$3&lt;=$M88),1,"")</f>
        <v/>
      </c>
      <c r="AU88">
        <f>IF(AND($A88&lt;&gt;"",AU$3&gt;=$J88,AU$3&lt;=$M88),1,"")</f>
        <v/>
      </c>
      <c r="AV88">
        <f>IF(AND($A88&lt;&gt;"",AV$3&gt;=$J88,AV$3&lt;=$M88),1,"")</f>
        <v/>
      </c>
      <c r="AW88">
        <f>IF(AND($A88&lt;&gt;"",AW$3&gt;=$J88,AW$3&lt;=$M88),1,"")</f>
        <v/>
      </c>
      <c r="AX88">
        <f>IF(AND($A88&lt;&gt;"",AX$3&gt;=$J88,AX$3&lt;=$M88),1,"")</f>
        <v/>
      </c>
      <c r="AY88">
        <f>IF(AND($A88&lt;&gt;"",AY$3&gt;=$J88,AY$3&lt;=$M88),1,"")</f>
        <v/>
      </c>
      <c r="AZ88">
        <f>IF(AND($A88&lt;&gt;"",AZ$3&gt;=$J88,AZ$3&lt;=$M88),1,"")</f>
        <v/>
      </c>
      <c r="BA88">
        <f>IF(AND($A88&lt;&gt;"",BA$3&gt;=$J88,BA$3&lt;=$M88),1,"")</f>
        <v/>
      </c>
      <c r="BB88">
        <f>IF(AND($A88&lt;&gt;"",BB$3&gt;=$J88,BB$3&lt;=$M88),1,"")</f>
        <v/>
      </c>
      <c r="BC88">
        <f>IF(AND($A88&lt;&gt;"",BC$3&gt;=$J88,BC$3&lt;=$M88),1,"")</f>
        <v/>
      </c>
      <c r="BD88">
        <f>IF(AND($A88&lt;&gt;"",BD$3&gt;=$J88,BD$3&lt;=$M88),1,"")</f>
        <v/>
      </c>
      <c r="BE88">
        <f>IF(AND($A88&lt;&gt;"",BE$3&gt;=$J88,BE$3&lt;=$M88),1,"")</f>
        <v/>
      </c>
      <c r="BF88">
        <f>IF(AND($A88&lt;&gt;"",BF$3&gt;=$J88,BF$3&lt;=$M88),1,"")</f>
        <v/>
      </c>
      <c r="BG88">
        <f>IF(AND($A88&lt;&gt;"",BG$3&gt;=$J88,BG$3&lt;=$M88),1,"")</f>
        <v/>
      </c>
      <c r="BH88">
        <f>IF(AND($A88&lt;&gt;"",BH$3&gt;=$J88,BH$3&lt;=$M88),1,"")</f>
        <v/>
      </c>
      <c r="BI88">
        <f>IF(AND($A88&lt;&gt;"",BI$3&gt;=$J88,BI$3&lt;=$M88),1,"")</f>
        <v/>
      </c>
      <c r="BJ88">
        <f>IF(AND($A88&lt;&gt;"",BJ$3&gt;=$J88,BJ$3&lt;=$M88),1,"")</f>
        <v/>
      </c>
      <c r="BK88">
        <f>IF(AND($A88&lt;&gt;"",BK$3&gt;=$J88,BK$3&lt;=$M88),1,"")</f>
        <v/>
      </c>
      <c r="BL88">
        <f>IF(AND($A88&lt;&gt;"",BL$3&gt;=$J88,BL$3&lt;=$M88),1,"")</f>
        <v/>
      </c>
      <c r="BM88">
        <f>IF(AND($A88&lt;&gt;"",BM$3&gt;=$J88,BM$3&lt;=$M88),1,"")</f>
        <v/>
      </c>
      <c r="BN88">
        <f>IF(AND($A88&lt;&gt;"",BN$3&gt;=$J88,BN$3&lt;=$M88),1,"")</f>
        <v/>
      </c>
      <c r="BO88">
        <f>IF(AND($A88&lt;&gt;"",BO$3&gt;=$J88,BO$3&lt;=$M88),1,"")</f>
        <v/>
      </c>
      <c r="BP88">
        <f>IF(AND($A88&lt;&gt;"",BP$3&gt;=$J88,BP$3&lt;=$M88),1,"")</f>
        <v/>
      </c>
      <c r="BQ88">
        <f>IF(AND($A88&lt;&gt;"",BQ$3&gt;=$J88,BQ$3&lt;=$M88),1,"")</f>
        <v/>
      </c>
      <c r="BR88">
        <f>IF(AND($A88&lt;&gt;"",BR$3&gt;=$J88,BR$3&lt;=$M88),1,"")</f>
        <v/>
      </c>
      <c r="BS88">
        <f>IF(AND($A88&lt;&gt;"",BS$3&gt;=$J88,BS$3&lt;=$M88),1,"")</f>
        <v/>
      </c>
      <c r="BT88">
        <f>IF(AND($A88&lt;&gt;"",BT$3&gt;=$J88,BT$3&lt;=$M88),1,"")</f>
        <v/>
      </c>
      <c r="BU88">
        <f>IF(AND($A88&lt;&gt;"",BU$3&gt;=$J88,BU$3&lt;=$M88),1,"")</f>
        <v/>
      </c>
      <c r="BV88">
        <f>IF(AND($A88&lt;&gt;"",BV$3&gt;=$J88,BV$3&lt;=$M88),1,"")</f>
        <v/>
      </c>
    </row>
    <row r="89">
      <c r="A89">
        <f>IF(Job_Master_Ring!$A89="","",Job_Master_Ring!$A89)</f>
        <v/>
      </c>
      <c r="B89">
        <f>IF($A89="","",Job_Master_Ring!B89)</f>
        <v/>
      </c>
      <c r="C89">
        <f>IF($A89="","",Job_Master_Ring!C89)</f>
        <v/>
      </c>
      <c r="D89">
        <f>IF($A89="","",Job_Master_Ring!D89)</f>
        <v/>
      </c>
      <c r="E89">
        <f>IF($A89="","",IF($I89&lt;&gt;"",$I89,IFERROR(INDEX(Machine_List!$B$82:$B$86,MATCH(1,(Machine_List!$H$82:$H$86&lt;=IFERROR(VLOOKUP($B89,CHOOSE(MATCH($C89,Settings!$L$4:$L$10,0),OPR_BR1!$A$4:$K$18,OPR_BR2!$A$4:$K$18,OPR_CR2!$A$4:$K$18,OPR_CR3!$A$4:$K$18,OPR_CR4!$A$4:$K$18,OPR_RIM!$A$4:$K$18,OPR_BPR!$A$4:$K$18),10,0),0))*(Machine_List!$I$82:$I$86&gt;=IFERROR(VLOOKUP($B89,CHOOSE(MATCH($C89,Settings!$L$4:$L$10,0),OPR_BR1!$A$4:$K$18,OPR_BR2!$A$4:$K$18,OPR_CR2!$A$4:$K$18,OPR_CR3!$A$4:$K$18,OPR_CR4!$A$4:$K$18,OPR_RIM!$A$4:$K$18,OPR_BPR!$A$4:$K$18),11,0),9999)),0)),"NO COMPATIBLE MACHINE")))</f>
        <v/>
      </c>
      <c r="F89">
        <f>IF($E89="","",IFERROR(VLOOKUP($E89,Machine_List!$B:$G,6,0),""))</f>
        <v/>
      </c>
      <c r="G89" s="17">
        <f>IF($E89="","",IFERROR(VLOOKUP($E89,Machine_List!$B:$C,2,0),""))</f>
        <v/>
      </c>
      <c r="H89">
        <f>IF($E89="","",IFERROR(VLOOKUP($E89,Machine_List!$B:$D,3,0),""))</f>
        <v/>
      </c>
      <c r="J89" s="16">
        <f>IF($A89="","",IF($I89&lt;&gt;"",$I89,MAX(FID_Plan!$M89,IFERROR(LOOKUP(2,1/($E$3:INDIRECT("E"&amp;(ROW()-1))=$E89),$M$3:INDIRECT("M"&amp;(ROW()-1))),FID_Plan!$M89))))</f>
        <v/>
      </c>
      <c r="K89">
        <f>IF($A89="","",IFERROR(VLOOKUP(B89,CHOOSE(MATCH($C89,Settings!$L$4:$L$10,0),OPR_BR1!$A$4:$I$18,OPR_BR2!$A$4:$I$18,OPR_CR2!$A$4:$I$18,OPR_CR3!$A$4:$I$18,OPR_CR4!$A$4:$I$18,OPR_RIM!$A$4:$I$18,OPR_BPR!$A$4:$I$18),9,0),0))</f>
        <v/>
      </c>
      <c r="L89">
        <f>IF($A89="","",K89*D89)</f>
        <v/>
      </c>
      <c r="M89" s="16">
        <f>IF($A89=""," ",$J89+($L89/(IF(F89="Contract Workman",Settings!$K$5,Settings!$K$4))))</f>
        <v/>
      </c>
      <c r="N89">
        <f>IF($A89="","",IF(F89="Contract Workman",IF(AND(MOD(M89,1)&gt;=8/24,MOD(M89,1)&lt;20/24),"Shift S1","Shift S2"),IF(AND(MOD(M89,1)&gt;=7/24,MOD(M89,1)&lt;15/24),"Shift A",IF(AND(MOD(M89,1)&gt;=15/24,MOD(M89,1)&lt;23/24),"Shift B","Shift C"))))</f>
        <v/>
      </c>
      <c r="O89">
        <f>IF(B89="","",IF(IFERROR(ISNUMBER(SEARCH(TEXT(B89,"0"),VLOOKUP(E89,Machine_List!$B:$J,9,0))),FALSE),"✅ "&amp; E89,"❌ Sug: "&amp;IFERROR(INDEX(Machine_List!$B$82:$B$86,MATCH(1,(Machine_List!$H$82:$H$86&lt;=IFERROR(VLOOKUP($B89,OPR_BR1!$A$4:$K$18,10,0),0))*(Machine_List!$I$82:$I$86&gt;=IFERROR(VLOOKUP($B89,OPR_BR1!$A$4:$K$18,11,0),9999)),0)),"?")))</f>
        <v/>
      </c>
      <c r="P89">
        <f>IF(AND($A89&lt;&gt;"",P$3&gt;=$J89,P$3&lt;=$M89),1,"")</f>
        <v/>
      </c>
      <c r="Q89">
        <f>IF(AND($A89&lt;&gt;"",Q$3&gt;=$J89,Q$3&lt;=$M89),1,"")</f>
        <v/>
      </c>
      <c r="R89">
        <f>IF(AND($A89&lt;&gt;"",R$3&gt;=$J89,R$3&lt;=$M89),1,"")</f>
        <v/>
      </c>
      <c r="S89">
        <f>IF(AND($A89&lt;&gt;"",S$3&gt;=$J89,S$3&lt;=$M89),1,"")</f>
        <v/>
      </c>
      <c r="T89">
        <f>IF(AND($A89&lt;&gt;"",T$3&gt;=$J89,T$3&lt;=$M89),1,"")</f>
        <v/>
      </c>
      <c r="U89">
        <f>IF(AND($A89&lt;&gt;"",U$3&gt;=$J89,U$3&lt;=$M89),1,"")</f>
        <v/>
      </c>
      <c r="V89">
        <f>IF(AND($A89&lt;&gt;"",V$3&gt;=$J89,V$3&lt;=$M89),1,"")</f>
        <v/>
      </c>
      <c r="W89">
        <f>IF(AND($A89&lt;&gt;"",W$3&gt;=$J89,W$3&lt;=$M89),1,"")</f>
        <v/>
      </c>
      <c r="X89">
        <f>IF(AND($A89&lt;&gt;"",X$3&gt;=$J89,X$3&lt;=$M89),1,"")</f>
        <v/>
      </c>
      <c r="Y89">
        <f>IF(AND($A89&lt;&gt;"",Y$3&gt;=$J89,Y$3&lt;=$M89),1,"")</f>
        <v/>
      </c>
      <c r="Z89">
        <f>IF(AND($A89&lt;&gt;"",Z$3&gt;=$J89,Z$3&lt;=$M89),1,"")</f>
        <v/>
      </c>
      <c r="AA89">
        <f>IF(AND($A89&lt;&gt;"",AA$3&gt;=$J89,AA$3&lt;=$M89),1,"")</f>
        <v/>
      </c>
      <c r="AB89">
        <f>IF(AND($A89&lt;&gt;"",AB$3&gt;=$J89,AB$3&lt;=$M89),1,"")</f>
        <v/>
      </c>
      <c r="AC89">
        <f>IF(AND($A89&lt;&gt;"",AC$3&gt;=$J89,AC$3&lt;=$M89),1,"")</f>
        <v/>
      </c>
      <c r="AD89">
        <f>IF(AND($A89&lt;&gt;"",AD$3&gt;=$J89,AD$3&lt;=$M89),1,"")</f>
        <v/>
      </c>
      <c r="AE89">
        <f>IF(AND($A89&lt;&gt;"",AE$3&gt;=$J89,AE$3&lt;=$M89),1,"")</f>
        <v/>
      </c>
      <c r="AF89">
        <f>IF(AND($A89&lt;&gt;"",AF$3&gt;=$J89,AF$3&lt;=$M89),1,"")</f>
        <v/>
      </c>
      <c r="AG89">
        <f>IF(AND($A89&lt;&gt;"",AG$3&gt;=$J89,AG$3&lt;=$M89),1,"")</f>
        <v/>
      </c>
      <c r="AH89">
        <f>IF(AND($A89&lt;&gt;"",AH$3&gt;=$J89,AH$3&lt;=$M89),1,"")</f>
        <v/>
      </c>
      <c r="AI89">
        <f>IF(AND($A89&lt;&gt;"",AI$3&gt;=$J89,AI$3&lt;=$M89),1,"")</f>
        <v/>
      </c>
      <c r="AJ89">
        <f>IF(AND($A89&lt;&gt;"",AJ$3&gt;=$J89,AJ$3&lt;=$M89),1,"")</f>
        <v/>
      </c>
      <c r="AK89">
        <f>IF(AND($A89&lt;&gt;"",AK$3&gt;=$J89,AK$3&lt;=$M89),1,"")</f>
        <v/>
      </c>
      <c r="AL89">
        <f>IF(AND($A89&lt;&gt;"",AL$3&gt;=$J89,AL$3&lt;=$M89),1,"")</f>
        <v/>
      </c>
      <c r="AM89">
        <f>IF(AND($A89&lt;&gt;"",AM$3&gt;=$J89,AM$3&lt;=$M89),1,"")</f>
        <v/>
      </c>
      <c r="AN89">
        <f>IF(AND($A89&lt;&gt;"",AN$3&gt;=$J89,AN$3&lt;=$M89),1,"")</f>
        <v/>
      </c>
      <c r="AO89">
        <f>IF(AND($A89&lt;&gt;"",AO$3&gt;=$J89,AO$3&lt;=$M89),1,"")</f>
        <v/>
      </c>
      <c r="AP89">
        <f>IF(AND($A89&lt;&gt;"",AP$3&gt;=$J89,AP$3&lt;=$M89),1,"")</f>
        <v/>
      </c>
      <c r="AQ89">
        <f>IF(AND($A89&lt;&gt;"",AQ$3&gt;=$J89,AQ$3&lt;=$M89),1,"")</f>
        <v/>
      </c>
      <c r="AR89">
        <f>IF(AND($A89&lt;&gt;"",AR$3&gt;=$J89,AR$3&lt;=$M89),1,"")</f>
        <v/>
      </c>
      <c r="AS89">
        <f>IF(AND($A89&lt;&gt;"",AS$3&gt;=$J89,AS$3&lt;=$M89),1,"")</f>
        <v/>
      </c>
      <c r="AT89">
        <f>IF(AND($A89&lt;&gt;"",AT$3&gt;=$J89,AT$3&lt;=$M89),1,"")</f>
        <v/>
      </c>
      <c r="AU89">
        <f>IF(AND($A89&lt;&gt;"",AU$3&gt;=$J89,AU$3&lt;=$M89),1,"")</f>
        <v/>
      </c>
      <c r="AV89">
        <f>IF(AND($A89&lt;&gt;"",AV$3&gt;=$J89,AV$3&lt;=$M89),1,"")</f>
        <v/>
      </c>
      <c r="AW89">
        <f>IF(AND($A89&lt;&gt;"",AW$3&gt;=$J89,AW$3&lt;=$M89),1,"")</f>
        <v/>
      </c>
      <c r="AX89">
        <f>IF(AND($A89&lt;&gt;"",AX$3&gt;=$J89,AX$3&lt;=$M89),1,"")</f>
        <v/>
      </c>
      <c r="AY89">
        <f>IF(AND($A89&lt;&gt;"",AY$3&gt;=$J89,AY$3&lt;=$M89),1,"")</f>
        <v/>
      </c>
      <c r="AZ89">
        <f>IF(AND($A89&lt;&gt;"",AZ$3&gt;=$J89,AZ$3&lt;=$M89),1,"")</f>
        <v/>
      </c>
      <c r="BA89">
        <f>IF(AND($A89&lt;&gt;"",BA$3&gt;=$J89,BA$3&lt;=$M89),1,"")</f>
        <v/>
      </c>
      <c r="BB89">
        <f>IF(AND($A89&lt;&gt;"",BB$3&gt;=$J89,BB$3&lt;=$M89),1,"")</f>
        <v/>
      </c>
      <c r="BC89">
        <f>IF(AND($A89&lt;&gt;"",BC$3&gt;=$J89,BC$3&lt;=$M89),1,"")</f>
        <v/>
      </c>
      <c r="BD89">
        <f>IF(AND($A89&lt;&gt;"",BD$3&gt;=$J89,BD$3&lt;=$M89),1,"")</f>
        <v/>
      </c>
      <c r="BE89">
        <f>IF(AND($A89&lt;&gt;"",BE$3&gt;=$J89,BE$3&lt;=$M89),1,"")</f>
        <v/>
      </c>
      <c r="BF89">
        <f>IF(AND($A89&lt;&gt;"",BF$3&gt;=$J89,BF$3&lt;=$M89),1,"")</f>
        <v/>
      </c>
      <c r="BG89">
        <f>IF(AND($A89&lt;&gt;"",BG$3&gt;=$J89,BG$3&lt;=$M89),1,"")</f>
        <v/>
      </c>
      <c r="BH89">
        <f>IF(AND($A89&lt;&gt;"",BH$3&gt;=$J89,BH$3&lt;=$M89),1,"")</f>
        <v/>
      </c>
      <c r="BI89">
        <f>IF(AND($A89&lt;&gt;"",BI$3&gt;=$J89,BI$3&lt;=$M89),1,"")</f>
        <v/>
      </c>
      <c r="BJ89">
        <f>IF(AND($A89&lt;&gt;"",BJ$3&gt;=$J89,BJ$3&lt;=$M89),1,"")</f>
        <v/>
      </c>
      <c r="BK89">
        <f>IF(AND($A89&lt;&gt;"",BK$3&gt;=$J89,BK$3&lt;=$M89),1,"")</f>
        <v/>
      </c>
      <c r="BL89">
        <f>IF(AND($A89&lt;&gt;"",BL$3&gt;=$J89,BL$3&lt;=$M89),1,"")</f>
        <v/>
      </c>
      <c r="BM89">
        <f>IF(AND($A89&lt;&gt;"",BM$3&gt;=$J89,BM$3&lt;=$M89),1,"")</f>
        <v/>
      </c>
      <c r="BN89">
        <f>IF(AND($A89&lt;&gt;"",BN$3&gt;=$J89,BN$3&lt;=$M89),1,"")</f>
        <v/>
      </c>
      <c r="BO89">
        <f>IF(AND($A89&lt;&gt;"",BO$3&gt;=$J89,BO$3&lt;=$M89),1,"")</f>
        <v/>
      </c>
      <c r="BP89">
        <f>IF(AND($A89&lt;&gt;"",BP$3&gt;=$J89,BP$3&lt;=$M89),1,"")</f>
        <v/>
      </c>
      <c r="BQ89">
        <f>IF(AND($A89&lt;&gt;"",BQ$3&gt;=$J89,BQ$3&lt;=$M89),1,"")</f>
        <v/>
      </c>
      <c r="BR89">
        <f>IF(AND($A89&lt;&gt;"",BR$3&gt;=$J89,BR$3&lt;=$M89),1,"")</f>
        <v/>
      </c>
      <c r="BS89">
        <f>IF(AND($A89&lt;&gt;"",BS$3&gt;=$J89,BS$3&lt;=$M89),1,"")</f>
        <v/>
      </c>
      <c r="BT89">
        <f>IF(AND($A89&lt;&gt;"",BT$3&gt;=$J89,BT$3&lt;=$M89),1,"")</f>
        <v/>
      </c>
      <c r="BU89">
        <f>IF(AND($A89&lt;&gt;"",BU$3&gt;=$J89,BU$3&lt;=$M89),1,"")</f>
        <v/>
      </c>
      <c r="BV89">
        <f>IF(AND($A89&lt;&gt;"",BV$3&gt;=$J89,BV$3&lt;=$M89),1,"")</f>
        <v/>
      </c>
    </row>
    <row r="90">
      <c r="A90">
        <f>IF(Job_Master_Ring!$A90="","",Job_Master_Ring!$A90)</f>
        <v/>
      </c>
      <c r="B90">
        <f>IF($A90="","",Job_Master_Ring!B90)</f>
        <v/>
      </c>
      <c r="C90">
        <f>IF($A90="","",Job_Master_Ring!C90)</f>
        <v/>
      </c>
      <c r="D90">
        <f>IF($A90="","",Job_Master_Ring!D90)</f>
        <v/>
      </c>
      <c r="E90">
        <f>IF($A90="","",IF($I90&lt;&gt;"",$I90,IFERROR(INDEX(Machine_List!$B$82:$B$86,MATCH(1,(Machine_List!$H$82:$H$86&lt;=IFERROR(VLOOKUP($B90,CHOOSE(MATCH($C90,Settings!$L$4:$L$10,0),OPR_BR1!$A$4:$K$18,OPR_BR2!$A$4:$K$18,OPR_CR2!$A$4:$K$18,OPR_CR3!$A$4:$K$18,OPR_CR4!$A$4:$K$18,OPR_RIM!$A$4:$K$18,OPR_BPR!$A$4:$K$18),10,0),0))*(Machine_List!$I$82:$I$86&gt;=IFERROR(VLOOKUP($B90,CHOOSE(MATCH($C90,Settings!$L$4:$L$10,0),OPR_BR1!$A$4:$K$18,OPR_BR2!$A$4:$K$18,OPR_CR2!$A$4:$K$18,OPR_CR3!$A$4:$K$18,OPR_CR4!$A$4:$K$18,OPR_RIM!$A$4:$K$18,OPR_BPR!$A$4:$K$18),11,0),9999)),0)),"NO COMPATIBLE MACHINE")))</f>
        <v/>
      </c>
      <c r="F90">
        <f>IF($E90="","",IFERROR(VLOOKUP($E90,Machine_List!$B:$G,6,0),""))</f>
        <v/>
      </c>
      <c r="G90" s="17">
        <f>IF($E90="","",IFERROR(VLOOKUP($E90,Machine_List!$B:$C,2,0),""))</f>
        <v/>
      </c>
      <c r="H90">
        <f>IF($E90="","",IFERROR(VLOOKUP($E90,Machine_List!$B:$D,3,0),""))</f>
        <v/>
      </c>
      <c r="J90" s="16">
        <f>IF($A90="","",IF($I90&lt;&gt;"",$I90,MAX(FID_Plan!$M90,IFERROR(LOOKUP(2,1/($E$3:INDIRECT("E"&amp;(ROW()-1))=$E90),$M$3:INDIRECT("M"&amp;(ROW()-1))),FID_Plan!$M90))))</f>
        <v/>
      </c>
      <c r="K90">
        <f>IF($A90="","",IFERROR(VLOOKUP(B90,CHOOSE(MATCH($C90,Settings!$L$4:$L$10,0),OPR_BR1!$A$4:$I$18,OPR_BR2!$A$4:$I$18,OPR_CR2!$A$4:$I$18,OPR_CR3!$A$4:$I$18,OPR_CR4!$A$4:$I$18,OPR_RIM!$A$4:$I$18,OPR_BPR!$A$4:$I$18),9,0),0))</f>
        <v/>
      </c>
      <c r="L90">
        <f>IF($A90="","",K90*D90)</f>
        <v/>
      </c>
      <c r="M90" s="16">
        <f>IF($A90=""," ",$J90+($L90/(IF(F90="Contract Workman",Settings!$K$5,Settings!$K$4))))</f>
        <v/>
      </c>
      <c r="N90">
        <f>IF($A90="","",IF(F90="Contract Workman",IF(AND(MOD(M90,1)&gt;=8/24,MOD(M90,1)&lt;20/24),"Shift S1","Shift S2"),IF(AND(MOD(M90,1)&gt;=7/24,MOD(M90,1)&lt;15/24),"Shift A",IF(AND(MOD(M90,1)&gt;=15/24,MOD(M90,1)&lt;23/24),"Shift B","Shift C"))))</f>
        <v/>
      </c>
      <c r="O90">
        <f>IF(B90="","",IF(IFERROR(ISNUMBER(SEARCH(TEXT(B90,"0"),VLOOKUP(E90,Machine_List!$B:$J,9,0))),FALSE),"✅ "&amp; E90,"❌ Sug: "&amp;IFERROR(INDEX(Machine_List!$B$82:$B$86,MATCH(1,(Machine_List!$H$82:$H$86&lt;=IFERROR(VLOOKUP($B90,OPR_BR1!$A$4:$K$18,10,0),0))*(Machine_List!$I$82:$I$86&gt;=IFERROR(VLOOKUP($B90,OPR_BR1!$A$4:$K$18,11,0),9999)),0)),"?")))</f>
        <v/>
      </c>
      <c r="P90">
        <f>IF(AND($A90&lt;&gt;"",P$3&gt;=$J90,P$3&lt;=$M90),1,"")</f>
        <v/>
      </c>
      <c r="Q90">
        <f>IF(AND($A90&lt;&gt;"",Q$3&gt;=$J90,Q$3&lt;=$M90),1,"")</f>
        <v/>
      </c>
      <c r="R90">
        <f>IF(AND($A90&lt;&gt;"",R$3&gt;=$J90,R$3&lt;=$M90),1,"")</f>
        <v/>
      </c>
      <c r="S90">
        <f>IF(AND($A90&lt;&gt;"",S$3&gt;=$J90,S$3&lt;=$M90),1,"")</f>
        <v/>
      </c>
      <c r="T90">
        <f>IF(AND($A90&lt;&gt;"",T$3&gt;=$J90,T$3&lt;=$M90),1,"")</f>
        <v/>
      </c>
      <c r="U90">
        <f>IF(AND($A90&lt;&gt;"",U$3&gt;=$J90,U$3&lt;=$M90),1,"")</f>
        <v/>
      </c>
      <c r="V90">
        <f>IF(AND($A90&lt;&gt;"",V$3&gt;=$J90,V$3&lt;=$M90),1,"")</f>
        <v/>
      </c>
      <c r="W90">
        <f>IF(AND($A90&lt;&gt;"",W$3&gt;=$J90,W$3&lt;=$M90),1,"")</f>
        <v/>
      </c>
      <c r="X90">
        <f>IF(AND($A90&lt;&gt;"",X$3&gt;=$J90,X$3&lt;=$M90),1,"")</f>
        <v/>
      </c>
      <c r="Y90">
        <f>IF(AND($A90&lt;&gt;"",Y$3&gt;=$J90,Y$3&lt;=$M90),1,"")</f>
        <v/>
      </c>
      <c r="Z90">
        <f>IF(AND($A90&lt;&gt;"",Z$3&gt;=$J90,Z$3&lt;=$M90),1,"")</f>
        <v/>
      </c>
      <c r="AA90">
        <f>IF(AND($A90&lt;&gt;"",AA$3&gt;=$J90,AA$3&lt;=$M90),1,"")</f>
        <v/>
      </c>
      <c r="AB90">
        <f>IF(AND($A90&lt;&gt;"",AB$3&gt;=$J90,AB$3&lt;=$M90),1,"")</f>
        <v/>
      </c>
      <c r="AC90">
        <f>IF(AND($A90&lt;&gt;"",AC$3&gt;=$J90,AC$3&lt;=$M90),1,"")</f>
        <v/>
      </c>
      <c r="AD90">
        <f>IF(AND($A90&lt;&gt;"",AD$3&gt;=$J90,AD$3&lt;=$M90),1,"")</f>
        <v/>
      </c>
      <c r="AE90">
        <f>IF(AND($A90&lt;&gt;"",AE$3&gt;=$J90,AE$3&lt;=$M90),1,"")</f>
        <v/>
      </c>
      <c r="AF90">
        <f>IF(AND($A90&lt;&gt;"",AF$3&gt;=$J90,AF$3&lt;=$M90),1,"")</f>
        <v/>
      </c>
      <c r="AG90">
        <f>IF(AND($A90&lt;&gt;"",AG$3&gt;=$J90,AG$3&lt;=$M90),1,"")</f>
        <v/>
      </c>
      <c r="AH90">
        <f>IF(AND($A90&lt;&gt;"",AH$3&gt;=$J90,AH$3&lt;=$M90),1,"")</f>
        <v/>
      </c>
      <c r="AI90">
        <f>IF(AND($A90&lt;&gt;"",AI$3&gt;=$J90,AI$3&lt;=$M90),1,"")</f>
        <v/>
      </c>
      <c r="AJ90">
        <f>IF(AND($A90&lt;&gt;"",AJ$3&gt;=$J90,AJ$3&lt;=$M90),1,"")</f>
        <v/>
      </c>
      <c r="AK90">
        <f>IF(AND($A90&lt;&gt;"",AK$3&gt;=$J90,AK$3&lt;=$M90),1,"")</f>
        <v/>
      </c>
      <c r="AL90">
        <f>IF(AND($A90&lt;&gt;"",AL$3&gt;=$J90,AL$3&lt;=$M90),1,"")</f>
        <v/>
      </c>
      <c r="AM90">
        <f>IF(AND($A90&lt;&gt;"",AM$3&gt;=$J90,AM$3&lt;=$M90),1,"")</f>
        <v/>
      </c>
      <c r="AN90">
        <f>IF(AND($A90&lt;&gt;"",AN$3&gt;=$J90,AN$3&lt;=$M90),1,"")</f>
        <v/>
      </c>
      <c r="AO90">
        <f>IF(AND($A90&lt;&gt;"",AO$3&gt;=$J90,AO$3&lt;=$M90),1,"")</f>
        <v/>
      </c>
      <c r="AP90">
        <f>IF(AND($A90&lt;&gt;"",AP$3&gt;=$J90,AP$3&lt;=$M90),1,"")</f>
        <v/>
      </c>
      <c r="AQ90">
        <f>IF(AND($A90&lt;&gt;"",AQ$3&gt;=$J90,AQ$3&lt;=$M90),1,"")</f>
        <v/>
      </c>
      <c r="AR90">
        <f>IF(AND($A90&lt;&gt;"",AR$3&gt;=$J90,AR$3&lt;=$M90),1,"")</f>
        <v/>
      </c>
      <c r="AS90">
        <f>IF(AND($A90&lt;&gt;"",AS$3&gt;=$J90,AS$3&lt;=$M90),1,"")</f>
        <v/>
      </c>
      <c r="AT90">
        <f>IF(AND($A90&lt;&gt;"",AT$3&gt;=$J90,AT$3&lt;=$M90),1,"")</f>
        <v/>
      </c>
      <c r="AU90">
        <f>IF(AND($A90&lt;&gt;"",AU$3&gt;=$J90,AU$3&lt;=$M90),1,"")</f>
        <v/>
      </c>
      <c r="AV90">
        <f>IF(AND($A90&lt;&gt;"",AV$3&gt;=$J90,AV$3&lt;=$M90),1,"")</f>
        <v/>
      </c>
      <c r="AW90">
        <f>IF(AND($A90&lt;&gt;"",AW$3&gt;=$J90,AW$3&lt;=$M90),1,"")</f>
        <v/>
      </c>
      <c r="AX90">
        <f>IF(AND($A90&lt;&gt;"",AX$3&gt;=$J90,AX$3&lt;=$M90),1,"")</f>
        <v/>
      </c>
      <c r="AY90">
        <f>IF(AND($A90&lt;&gt;"",AY$3&gt;=$J90,AY$3&lt;=$M90),1,"")</f>
        <v/>
      </c>
      <c r="AZ90">
        <f>IF(AND($A90&lt;&gt;"",AZ$3&gt;=$J90,AZ$3&lt;=$M90),1,"")</f>
        <v/>
      </c>
      <c r="BA90">
        <f>IF(AND($A90&lt;&gt;"",BA$3&gt;=$J90,BA$3&lt;=$M90),1,"")</f>
        <v/>
      </c>
      <c r="BB90">
        <f>IF(AND($A90&lt;&gt;"",BB$3&gt;=$J90,BB$3&lt;=$M90),1,"")</f>
        <v/>
      </c>
      <c r="BC90">
        <f>IF(AND($A90&lt;&gt;"",BC$3&gt;=$J90,BC$3&lt;=$M90),1,"")</f>
        <v/>
      </c>
      <c r="BD90">
        <f>IF(AND($A90&lt;&gt;"",BD$3&gt;=$J90,BD$3&lt;=$M90),1,"")</f>
        <v/>
      </c>
      <c r="BE90">
        <f>IF(AND($A90&lt;&gt;"",BE$3&gt;=$J90,BE$3&lt;=$M90),1,"")</f>
        <v/>
      </c>
      <c r="BF90">
        <f>IF(AND($A90&lt;&gt;"",BF$3&gt;=$J90,BF$3&lt;=$M90),1,"")</f>
        <v/>
      </c>
      <c r="BG90">
        <f>IF(AND($A90&lt;&gt;"",BG$3&gt;=$J90,BG$3&lt;=$M90),1,"")</f>
        <v/>
      </c>
      <c r="BH90">
        <f>IF(AND($A90&lt;&gt;"",BH$3&gt;=$J90,BH$3&lt;=$M90),1,"")</f>
        <v/>
      </c>
      <c r="BI90">
        <f>IF(AND($A90&lt;&gt;"",BI$3&gt;=$J90,BI$3&lt;=$M90),1,"")</f>
        <v/>
      </c>
      <c r="BJ90">
        <f>IF(AND($A90&lt;&gt;"",BJ$3&gt;=$J90,BJ$3&lt;=$M90),1,"")</f>
        <v/>
      </c>
      <c r="BK90">
        <f>IF(AND($A90&lt;&gt;"",BK$3&gt;=$J90,BK$3&lt;=$M90),1,"")</f>
        <v/>
      </c>
      <c r="BL90">
        <f>IF(AND($A90&lt;&gt;"",BL$3&gt;=$J90,BL$3&lt;=$M90),1,"")</f>
        <v/>
      </c>
      <c r="BM90">
        <f>IF(AND($A90&lt;&gt;"",BM$3&gt;=$J90,BM$3&lt;=$M90),1,"")</f>
        <v/>
      </c>
      <c r="BN90">
        <f>IF(AND($A90&lt;&gt;"",BN$3&gt;=$J90,BN$3&lt;=$M90),1,"")</f>
        <v/>
      </c>
      <c r="BO90">
        <f>IF(AND($A90&lt;&gt;"",BO$3&gt;=$J90,BO$3&lt;=$M90),1,"")</f>
        <v/>
      </c>
      <c r="BP90">
        <f>IF(AND($A90&lt;&gt;"",BP$3&gt;=$J90,BP$3&lt;=$M90),1,"")</f>
        <v/>
      </c>
      <c r="BQ90">
        <f>IF(AND($A90&lt;&gt;"",BQ$3&gt;=$J90,BQ$3&lt;=$M90),1,"")</f>
        <v/>
      </c>
      <c r="BR90">
        <f>IF(AND($A90&lt;&gt;"",BR$3&gt;=$J90,BR$3&lt;=$M90),1,"")</f>
        <v/>
      </c>
      <c r="BS90">
        <f>IF(AND($A90&lt;&gt;"",BS$3&gt;=$J90,BS$3&lt;=$M90),1,"")</f>
        <v/>
      </c>
      <c r="BT90">
        <f>IF(AND($A90&lt;&gt;"",BT$3&gt;=$J90,BT$3&lt;=$M90),1,"")</f>
        <v/>
      </c>
      <c r="BU90">
        <f>IF(AND($A90&lt;&gt;"",BU$3&gt;=$J90,BU$3&lt;=$M90),1,"")</f>
        <v/>
      </c>
      <c r="BV90">
        <f>IF(AND($A90&lt;&gt;"",BV$3&gt;=$J90,BV$3&lt;=$M90),1,"")</f>
        <v/>
      </c>
    </row>
    <row r="91">
      <c r="A91">
        <f>IF(Job_Master_Ring!$A91="","",Job_Master_Ring!$A91)</f>
        <v/>
      </c>
      <c r="B91">
        <f>IF($A91="","",Job_Master_Ring!B91)</f>
        <v/>
      </c>
      <c r="C91">
        <f>IF($A91="","",Job_Master_Ring!C91)</f>
        <v/>
      </c>
      <c r="D91">
        <f>IF($A91="","",Job_Master_Ring!D91)</f>
        <v/>
      </c>
      <c r="E91">
        <f>IF($A91="","",IF($I91&lt;&gt;"",$I91,IFERROR(INDEX(Machine_List!$B$82:$B$86,MATCH(1,(Machine_List!$H$82:$H$86&lt;=IFERROR(VLOOKUP($B91,CHOOSE(MATCH($C91,Settings!$L$4:$L$10,0),OPR_BR1!$A$4:$K$18,OPR_BR2!$A$4:$K$18,OPR_CR2!$A$4:$K$18,OPR_CR3!$A$4:$K$18,OPR_CR4!$A$4:$K$18,OPR_RIM!$A$4:$K$18,OPR_BPR!$A$4:$K$18),10,0),0))*(Machine_List!$I$82:$I$86&gt;=IFERROR(VLOOKUP($B91,CHOOSE(MATCH($C91,Settings!$L$4:$L$10,0),OPR_BR1!$A$4:$K$18,OPR_BR2!$A$4:$K$18,OPR_CR2!$A$4:$K$18,OPR_CR3!$A$4:$K$18,OPR_CR4!$A$4:$K$18,OPR_RIM!$A$4:$K$18,OPR_BPR!$A$4:$K$18),11,0),9999)),0)),"NO COMPATIBLE MACHINE")))</f>
        <v/>
      </c>
      <c r="F91">
        <f>IF($E91="","",IFERROR(VLOOKUP($E91,Machine_List!$B:$G,6,0),""))</f>
        <v/>
      </c>
      <c r="G91" s="17">
        <f>IF($E91="","",IFERROR(VLOOKUP($E91,Machine_List!$B:$C,2,0),""))</f>
        <v/>
      </c>
      <c r="H91">
        <f>IF($E91="","",IFERROR(VLOOKUP($E91,Machine_List!$B:$D,3,0),""))</f>
        <v/>
      </c>
      <c r="J91" s="16">
        <f>IF($A91="","",IF($I91&lt;&gt;"",$I91,MAX(FID_Plan!$M91,IFERROR(LOOKUP(2,1/($E$3:INDIRECT("E"&amp;(ROW()-1))=$E91),$M$3:INDIRECT("M"&amp;(ROW()-1))),FID_Plan!$M91))))</f>
        <v/>
      </c>
      <c r="K91">
        <f>IF($A91="","",IFERROR(VLOOKUP(B91,CHOOSE(MATCH($C91,Settings!$L$4:$L$10,0),OPR_BR1!$A$4:$I$18,OPR_BR2!$A$4:$I$18,OPR_CR2!$A$4:$I$18,OPR_CR3!$A$4:$I$18,OPR_CR4!$A$4:$I$18,OPR_RIM!$A$4:$I$18,OPR_BPR!$A$4:$I$18),9,0),0))</f>
        <v/>
      </c>
      <c r="L91">
        <f>IF($A91="","",K91*D91)</f>
        <v/>
      </c>
      <c r="M91" s="16">
        <f>IF($A91=""," ",$J91+($L91/(IF(F91="Contract Workman",Settings!$K$5,Settings!$K$4))))</f>
        <v/>
      </c>
      <c r="N91">
        <f>IF($A91="","",IF(F91="Contract Workman",IF(AND(MOD(M91,1)&gt;=8/24,MOD(M91,1)&lt;20/24),"Shift S1","Shift S2"),IF(AND(MOD(M91,1)&gt;=7/24,MOD(M91,1)&lt;15/24),"Shift A",IF(AND(MOD(M91,1)&gt;=15/24,MOD(M91,1)&lt;23/24),"Shift B","Shift C"))))</f>
        <v/>
      </c>
      <c r="O91">
        <f>IF(B91="","",IF(IFERROR(ISNUMBER(SEARCH(TEXT(B91,"0"),VLOOKUP(E91,Machine_List!$B:$J,9,0))),FALSE),"✅ "&amp; E91,"❌ Sug: "&amp;IFERROR(INDEX(Machine_List!$B$82:$B$86,MATCH(1,(Machine_List!$H$82:$H$86&lt;=IFERROR(VLOOKUP($B91,OPR_BR1!$A$4:$K$18,10,0),0))*(Machine_List!$I$82:$I$86&gt;=IFERROR(VLOOKUP($B91,OPR_BR1!$A$4:$K$18,11,0),9999)),0)),"?")))</f>
        <v/>
      </c>
      <c r="P91">
        <f>IF(AND($A91&lt;&gt;"",P$3&gt;=$J91,P$3&lt;=$M91),1,"")</f>
        <v/>
      </c>
      <c r="Q91">
        <f>IF(AND($A91&lt;&gt;"",Q$3&gt;=$J91,Q$3&lt;=$M91),1,"")</f>
        <v/>
      </c>
      <c r="R91">
        <f>IF(AND($A91&lt;&gt;"",R$3&gt;=$J91,R$3&lt;=$M91),1,"")</f>
        <v/>
      </c>
      <c r="S91">
        <f>IF(AND($A91&lt;&gt;"",S$3&gt;=$J91,S$3&lt;=$M91),1,"")</f>
        <v/>
      </c>
      <c r="T91">
        <f>IF(AND($A91&lt;&gt;"",T$3&gt;=$J91,T$3&lt;=$M91),1,"")</f>
        <v/>
      </c>
      <c r="U91">
        <f>IF(AND($A91&lt;&gt;"",U$3&gt;=$J91,U$3&lt;=$M91),1,"")</f>
        <v/>
      </c>
      <c r="V91">
        <f>IF(AND($A91&lt;&gt;"",V$3&gt;=$J91,V$3&lt;=$M91),1,"")</f>
        <v/>
      </c>
      <c r="W91">
        <f>IF(AND($A91&lt;&gt;"",W$3&gt;=$J91,W$3&lt;=$M91),1,"")</f>
        <v/>
      </c>
      <c r="X91">
        <f>IF(AND($A91&lt;&gt;"",X$3&gt;=$J91,X$3&lt;=$M91),1,"")</f>
        <v/>
      </c>
      <c r="Y91">
        <f>IF(AND($A91&lt;&gt;"",Y$3&gt;=$J91,Y$3&lt;=$M91),1,"")</f>
        <v/>
      </c>
      <c r="Z91">
        <f>IF(AND($A91&lt;&gt;"",Z$3&gt;=$J91,Z$3&lt;=$M91),1,"")</f>
        <v/>
      </c>
      <c r="AA91">
        <f>IF(AND($A91&lt;&gt;"",AA$3&gt;=$J91,AA$3&lt;=$M91),1,"")</f>
        <v/>
      </c>
      <c r="AB91">
        <f>IF(AND($A91&lt;&gt;"",AB$3&gt;=$J91,AB$3&lt;=$M91),1,"")</f>
        <v/>
      </c>
      <c r="AC91">
        <f>IF(AND($A91&lt;&gt;"",AC$3&gt;=$J91,AC$3&lt;=$M91),1,"")</f>
        <v/>
      </c>
      <c r="AD91">
        <f>IF(AND($A91&lt;&gt;"",AD$3&gt;=$J91,AD$3&lt;=$M91),1,"")</f>
        <v/>
      </c>
      <c r="AE91">
        <f>IF(AND($A91&lt;&gt;"",AE$3&gt;=$J91,AE$3&lt;=$M91),1,"")</f>
        <v/>
      </c>
      <c r="AF91">
        <f>IF(AND($A91&lt;&gt;"",AF$3&gt;=$J91,AF$3&lt;=$M91),1,"")</f>
        <v/>
      </c>
      <c r="AG91">
        <f>IF(AND($A91&lt;&gt;"",AG$3&gt;=$J91,AG$3&lt;=$M91),1,"")</f>
        <v/>
      </c>
      <c r="AH91">
        <f>IF(AND($A91&lt;&gt;"",AH$3&gt;=$J91,AH$3&lt;=$M91),1,"")</f>
        <v/>
      </c>
      <c r="AI91">
        <f>IF(AND($A91&lt;&gt;"",AI$3&gt;=$J91,AI$3&lt;=$M91),1,"")</f>
        <v/>
      </c>
      <c r="AJ91">
        <f>IF(AND($A91&lt;&gt;"",AJ$3&gt;=$J91,AJ$3&lt;=$M91),1,"")</f>
        <v/>
      </c>
      <c r="AK91">
        <f>IF(AND($A91&lt;&gt;"",AK$3&gt;=$J91,AK$3&lt;=$M91),1,"")</f>
        <v/>
      </c>
      <c r="AL91">
        <f>IF(AND($A91&lt;&gt;"",AL$3&gt;=$J91,AL$3&lt;=$M91),1,"")</f>
        <v/>
      </c>
      <c r="AM91">
        <f>IF(AND($A91&lt;&gt;"",AM$3&gt;=$J91,AM$3&lt;=$M91),1,"")</f>
        <v/>
      </c>
      <c r="AN91">
        <f>IF(AND($A91&lt;&gt;"",AN$3&gt;=$J91,AN$3&lt;=$M91),1,"")</f>
        <v/>
      </c>
      <c r="AO91">
        <f>IF(AND($A91&lt;&gt;"",AO$3&gt;=$J91,AO$3&lt;=$M91),1,"")</f>
        <v/>
      </c>
      <c r="AP91">
        <f>IF(AND($A91&lt;&gt;"",AP$3&gt;=$J91,AP$3&lt;=$M91),1,"")</f>
        <v/>
      </c>
      <c r="AQ91">
        <f>IF(AND($A91&lt;&gt;"",AQ$3&gt;=$J91,AQ$3&lt;=$M91),1,"")</f>
        <v/>
      </c>
      <c r="AR91">
        <f>IF(AND($A91&lt;&gt;"",AR$3&gt;=$J91,AR$3&lt;=$M91),1,"")</f>
        <v/>
      </c>
      <c r="AS91">
        <f>IF(AND($A91&lt;&gt;"",AS$3&gt;=$J91,AS$3&lt;=$M91),1,"")</f>
        <v/>
      </c>
      <c r="AT91">
        <f>IF(AND($A91&lt;&gt;"",AT$3&gt;=$J91,AT$3&lt;=$M91),1,"")</f>
        <v/>
      </c>
      <c r="AU91">
        <f>IF(AND($A91&lt;&gt;"",AU$3&gt;=$J91,AU$3&lt;=$M91),1,"")</f>
        <v/>
      </c>
      <c r="AV91">
        <f>IF(AND($A91&lt;&gt;"",AV$3&gt;=$J91,AV$3&lt;=$M91),1,"")</f>
        <v/>
      </c>
      <c r="AW91">
        <f>IF(AND($A91&lt;&gt;"",AW$3&gt;=$J91,AW$3&lt;=$M91),1,"")</f>
        <v/>
      </c>
      <c r="AX91">
        <f>IF(AND($A91&lt;&gt;"",AX$3&gt;=$J91,AX$3&lt;=$M91),1,"")</f>
        <v/>
      </c>
      <c r="AY91">
        <f>IF(AND($A91&lt;&gt;"",AY$3&gt;=$J91,AY$3&lt;=$M91),1,"")</f>
        <v/>
      </c>
      <c r="AZ91">
        <f>IF(AND($A91&lt;&gt;"",AZ$3&gt;=$J91,AZ$3&lt;=$M91),1,"")</f>
        <v/>
      </c>
      <c r="BA91">
        <f>IF(AND($A91&lt;&gt;"",BA$3&gt;=$J91,BA$3&lt;=$M91),1,"")</f>
        <v/>
      </c>
      <c r="BB91">
        <f>IF(AND($A91&lt;&gt;"",BB$3&gt;=$J91,BB$3&lt;=$M91),1,"")</f>
        <v/>
      </c>
      <c r="BC91">
        <f>IF(AND($A91&lt;&gt;"",BC$3&gt;=$J91,BC$3&lt;=$M91),1,"")</f>
        <v/>
      </c>
      <c r="BD91">
        <f>IF(AND($A91&lt;&gt;"",BD$3&gt;=$J91,BD$3&lt;=$M91),1,"")</f>
        <v/>
      </c>
      <c r="BE91">
        <f>IF(AND($A91&lt;&gt;"",BE$3&gt;=$J91,BE$3&lt;=$M91),1,"")</f>
        <v/>
      </c>
      <c r="BF91">
        <f>IF(AND($A91&lt;&gt;"",BF$3&gt;=$J91,BF$3&lt;=$M91),1,"")</f>
        <v/>
      </c>
      <c r="BG91">
        <f>IF(AND($A91&lt;&gt;"",BG$3&gt;=$J91,BG$3&lt;=$M91),1,"")</f>
        <v/>
      </c>
      <c r="BH91">
        <f>IF(AND($A91&lt;&gt;"",BH$3&gt;=$J91,BH$3&lt;=$M91),1,"")</f>
        <v/>
      </c>
      <c r="BI91">
        <f>IF(AND($A91&lt;&gt;"",BI$3&gt;=$J91,BI$3&lt;=$M91),1,"")</f>
        <v/>
      </c>
      <c r="BJ91">
        <f>IF(AND($A91&lt;&gt;"",BJ$3&gt;=$J91,BJ$3&lt;=$M91),1,"")</f>
        <v/>
      </c>
      <c r="BK91">
        <f>IF(AND($A91&lt;&gt;"",BK$3&gt;=$J91,BK$3&lt;=$M91),1,"")</f>
        <v/>
      </c>
      <c r="BL91">
        <f>IF(AND($A91&lt;&gt;"",BL$3&gt;=$J91,BL$3&lt;=$M91),1,"")</f>
        <v/>
      </c>
      <c r="BM91">
        <f>IF(AND($A91&lt;&gt;"",BM$3&gt;=$J91,BM$3&lt;=$M91),1,"")</f>
        <v/>
      </c>
      <c r="BN91">
        <f>IF(AND($A91&lt;&gt;"",BN$3&gt;=$J91,BN$3&lt;=$M91),1,"")</f>
        <v/>
      </c>
      <c r="BO91">
        <f>IF(AND($A91&lt;&gt;"",BO$3&gt;=$J91,BO$3&lt;=$M91),1,"")</f>
        <v/>
      </c>
      <c r="BP91">
        <f>IF(AND($A91&lt;&gt;"",BP$3&gt;=$J91,BP$3&lt;=$M91),1,"")</f>
        <v/>
      </c>
      <c r="BQ91">
        <f>IF(AND($A91&lt;&gt;"",BQ$3&gt;=$J91,BQ$3&lt;=$M91),1,"")</f>
        <v/>
      </c>
      <c r="BR91">
        <f>IF(AND($A91&lt;&gt;"",BR$3&gt;=$J91,BR$3&lt;=$M91),1,"")</f>
        <v/>
      </c>
      <c r="BS91">
        <f>IF(AND($A91&lt;&gt;"",BS$3&gt;=$J91,BS$3&lt;=$M91),1,"")</f>
        <v/>
      </c>
      <c r="BT91">
        <f>IF(AND($A91&lt;&gt;"",BT$3&gt;=$J91,BT$3&lt;=$M91),1,"")</f>
        <v/>
      </c>
      <c r="BU91">
        <f>IF(AND($A91&lt;&gt;"",BU$3&gt;=$J91,BU$3&lt;=$M91),1,"")</f>
        <v/>
      </c>
      <c r="BV91">
        <f>IF(AND($A91&lt;&gt;"",BV$3&gt;=$J91,BV$3&lt;=$M91),1,"")</f>
        <v/>
      </c>
    </row>
    <row r="92">
      <c r="A92">
        <f>IF(Job_Master_Ring!$A92="","",Job_Master_Ring!$A92)</f>
        <v/>
      </c>
      <c r="B92">
        <f>IF($A92="","",Job_Master_Ring!B92)</f>
        <v/>
      </c>
      <c r="C92">
        <f>IF($A92="","",Job_Master_Ring!C92)</f>
        <v/>
      </c>
      <c r="D92">
        <f>IF($A92="","",Job_Master_Ring!D92)</f>
        <v/>
      </c>
      <c r="E92">
        <f>IF($A92="","",IF($I92&lt;&gt;"",$I92,IFERROR(INDEX(Machine_List!$B$82:$B$86,MATCH(1,(Machine_List!$H$82:$H$86&lt;=IFERROR(VLOOKUP($B92,CHOOSE(MATCH($C92,Settings!$L$4:$L$10,0),OPR_BR1!$A$4:$K$18,OPR_BR2!$A$4:$K$18,OPR_CR2!$A$4:$K$18,OPR_CR3!$A$4:$K$18,OPR_CR4!$A$4:$K$18,OPR_RIM!$A$4:$K$18,OPR_BPR!$A$4:$K$18),10,0),0))*(Machine_List!$I$82:$I$86&gt;=IFERROR(VLOOKUP($B92,CHOOSE(MATCH($C92,Settings!$L$4:$L$10,0),OPR_BR1!$A$4:$K$18,OPR_BR2!$A$4:$K$18,OPR_CR2!$A$4:$K$18,OPR_CR3!$A$4:$K$18,OPR_CR4!$A$4:$K$18,OPR_RIM!$A$4:$K$18,OPR_BPR!$A$4:$K$18),11,0),9999)),0)),"NO COMPATIBLE MACHINE")))</f>
        <v/>
      </c>
      <c r="F92">
        <f>IF($E92="","",IFERROR(VLOOKUP($E92,Machine_List!$B:$G,6,0),""))</f>
        <v/>
      </c>
      <c r="G92" s="17">
        <f>IF($E92="","",IFERROR(VLOOKUP($E92,Machine_List!$B:$C,2,0),""))</f>
        <v/>
      </c>
      <c r="H92">
        <f>IF($E92="","",IFERROR(VLOOKUP($E92,Machine_List!$B:$D,3,0),""))</f>
        <v/>
      </c>
      <c r="J92" s="16">
        <f>IF($A92="","",IF($I92&lt;&gt;"",$I92,MAX(FID_Plan!$M92,IFERROR(LOOKUP(2,1/($E$3:INDIRECT("E"&amp;(ROW()-1))=$E92),$M$3:INDIRECT("M"&amp;(ROW()-1))),FID_Plan!$M92))))</f>
        <v/>
      </c>
      <c r="K92">
        <f>IF($A92="","",IFERROR(VLOOKUP(B92,CHOOSE(MATCH($C92,Settings!$L$4:$L$10,0),OPR_BR1!$A$4:$I$18,OPR_BR2!$A$4:$I$18,OPR_CR2!$A$4:$I$18,OPR_CR3!$A$4:$I$18,OPR_CR4!$A$4:$I$18,OPR_RIM!$A$4:$I$18,OPR_BPR!$A$4:$I$18),9,0),0))</f>
        <v/>
      </c>
      <c r="L92">
        <f>IF($A92="","",K92*D92)</f>
        <v/>
      </c>
      <c r="M92" s="16">
        <f>IF($A92=""," ",$J92+($L92/(IF(F92="Contract Workman",Settings!$K$5,Settings!$K$4))))</f>
        <v/>
      </c>
      <c r="N92">
        <f>IF($A92="","",IF(F92="Contract Workman",IF(AND(MOD(M92,1)&gt;=8/24,MOD(M92,1)&lt;20/24),"Shift S1","Shift S2"),IF(AND(MOD(M92,1)&gt;=7/24,MOD(M92,1)&lt;15/24),"Shift A",IF(AND(MOD(M92,1)&gt;=15/24,MOD(M92,1)&lt;23/24),"Shift B","Shift C"))))</f>
        <v/>
      </c>
      <c r="O92">
        <f>IF(B92="","",IF(IFERROR(ISNUMBER(SEARCH(TEXT(B92,"0"),VLOOKUP(E92,Machine_List!$B:$J,9,0))),FALSE),"✅ "&amp; E92,"❌ Sug: "&amp;IFERROR(INDEX(Machine_List!$B$82:$B$86,MATCH(1,(Machine_List!$H$82:$H$86&lt;=IFERROR(VLOOKUP($B92,OPR_BR1!$A$4:$K$18,10,0),0))*(Machine_List!$I$82:$I$86&gt;=IFERROR(VLOOKUP($B92,OPR_BR1!$A$4:$K$18,11,0),9999)),0)),"?")))</f>
        <v/>
      </c>
      <c r="P92">
        <f>IF(AND($A92&lt;&gt;"",P$3&gt;=$J92,P$3&lt;=$M92),1,"")</f>
        <v/>
      </c>
      <c r="Q92">
        <f>IF(AND($A92&lt;&gt;"",Q$3&gt;=$J92,Q$3&lt;=$M92),1,"")</f>
        <v/>
      </c>
      <c r="R92">
        <f>IF(AND($A92&lt;&gt;"",R$3&gt;=$J92,R$3&lt;=$M92),1,"")</f>
        <v/>
      </c>
      <c r="S92">
        <f>IF(AND($A92&lt;&gt;"",S$3&gt;=$J92,S$3&lt;=$M92),1,"")</f>
        <v/>
      </c>
      <c r="T92">
        <f>IF(AND($A92&lt;&gt;"",T$3&gt;=$J92,T$3&lt;=$M92),1,"")</f>
        <v/>
      </c>
      <c r="U92">
        <f>IF(AND($A92&lt;&gt;"",U$3&gt;=$J92,U$3&lt;=$M92),1,"")</f>
        <v/>
      </c>
      <c r="V92">
        <f>IF(AND($A92&lt;&gt;"",V$3&gt;=$J92,V$3&lt;=$M92),1,"")</f>
        <v/>
      </c>
      <c r="W92">
        <f>IF(AND($A92&lt;&gt;"",W$3&gt;=$J92,W$3&lt;=$M92),1,"")</f>
        <v/>
      </c>
      <c r="X92">
        <f>IF(AND($A92&lt;&gt;"",X$3&gt;=$J92,X$3&lt;=$M92),1,"")</f>
        <v/>
      </c>
      <c r="Y92">
        <f>IF(AND($A92&lt;&gt;"",Y$3&gt;=$J92,Y$3&lt;=$M92),1,"")</f>
        <v/>
      </c>
      <c r="Z92">
        <f>IF(AND($A92&lt;&gt;"",Z$3&gt;=$J92,Z$3&lt;=$M92),1,"")</f>
        <v/>
      </c>
      <c r="AA92">
        <f>IF(AND($A92&lt;&gt;"",AA$3&gt;=$J92,AA$3&lt;=$M92),1,"")</f>
        <v/>
      </c>
      <c r="AB92">
        <f>IF(AND($A92&lt;&gt;"",AB$3&gt;=$J92,AB$3&lt;=$M92),1,"")</f>
        <v/>
      </c>
      <c r="AC92">
        <f>IF(AND($A92&lt;&gt;"",AC$3&gt;=$J92,AC$3&lt;=$M92),1,"")</f>
        <v/>
      </c>
      <c r="AD92">
        <f>IF(AND($A92&lt;&gt;"",AD$3&gt;=$J92,AD$3&lt;=$M92),1,"")</f>
        <v/>
      </c>
      <c r="AE92">
        <f>IF(AND($A92&lt;&gt;"",AE$3&gt;=$J92,AE$3&lt;=$M92),1,"")</f>
        <v/>
      </c>
      <c r="AF92">
        <f>IF(AND($A92&lt;&gt;"",AF$3&gt;=$J92,AF$3&lt;=$M92),1,"")</f>
        <v/>
      </c>
      <c r="AG92">
        <f>IF(AND($A92&lt;&gt;"",AG$3&gt;=$J92,AG$3&lt;=$M92),1,"")</f>
        <v/>
      </c>
      <c r="AH92">
        <f>IF(AND($A92&lt;&gt;"",AH$3&gt;=$J92,AH$3&lt;=$M92),1,"")</f>
        <v/>
      </c>
      <c r="AI92">
        <f>IF(AND($A92&lt;&gt;"",AI$3&gt;=$J92,AI$3&lt;=$M92),1,"")</f>
        <v/>
      </c>
      <c r="AJ92">
        <f>IF(AND($A92&lt;&gt;"",AJ$3&gt;=$J92,AJ$3&lt;=$M92),1,"")</f>
        <v/>
      </c>
      <c r="AK92">
        <f>IF(AND($A92&lt;&gt;"",AK$3&gt;=$J92,AK$3&lt;=$M92),1,"")</f>
        <v/>
      </c>
      <c r="AL92">
        <f>IF(AND($A92&lt;&gt;"",AL$3&gt;=$J92,AL$3&lt;=$M92),1,"")</f>
        <v/>
      </c>
      <c r="AM92">
        <f>IF(AND($A92&lt;&gt;"",AM$3&gt;=$J92,AM$3&lt;=$M92),1,"")</f>
        <v/>
      </c>
      <c r="AN92">
        <f>IF(AND($A92&lt;&gt;"",AN$3&gt;=$J92,AN$3&lt;=$M92),1,"")</f>
        <v/>
      </c>
      <c r="AO92">
        <f>IF(AND($A92&lt;&gt;"",AO$3&gt;=$J92,AO$3&lt;=$M92),1,"")</f>
        <v/>
      </c>
      <c r="AP92">
        <f>IF(AND($A92&lt;&gt;"",AP$3&gt;=$J92,AP$3&lt;=$M92),1,"")</f>
        <v/>
      </c>
      <c r="AQ92">
        <f>IF(AND($A92&lt;&gt;"",AQ$3&gt;=$J92,AQ$3&lt;=$M92),1,"")</f>
        <v/>
      </c>
      <c r="AR92">
        <f>IF(AND($A92&lt;&gt;"",AR$3&gt;=$J92,AR$3&lt;=$M92),1,"")</f>
        <v/>
      </c>
      <c r="AS92">
        <f>IF(AND($A92&lt;&gt;"",AS$3&gt;=$J92,AS$3&lt;=$M92),1,"")</f>
        <v/>
      </c>
      <c r="AT92">
        <f>IF(AND($A92&lt;&gt;"",AT$3&gt;=$J92,AT$3&lt;=$M92),1,"")</f>
        <v/>
      </c>
      <c r="AU92">
        <f>IF(AND($A92&lt;&gt;"",AU$3&gt;=$J92,AU$3&lt;=$M92),1,"")</f>
        <v/>
      </c>
      <c r="AV92">
        <f>IF(AND($A92&lt;&gt;"",AV$3&gt;=$J92,AV$3&lt;=$M92),1,"")</f>
        <v/>
      </c>
      <c r="AW92">
        <f>IF(AND($A92&lt;&gt;"",AW$3&gt;=$J92,AW$3&lt;=$M92),1,"")</f>
        <v/>
      </c>
      <c r="AX92">
        <f>IF(AND($A92&lt;&gt;"",AX$3&gt;=$J92,AX$3&lt;=$M92),1,"")</f>
        <v/>
      </c>
      <c r="AY92">
        <f>IF(AND($A92&lt;&gt;"",AY$3&gt;=$J92,AY$3&lt;=$M92),1,"")</f>
        <v/>
      </c>
      <c r="AZ92">
        <f>IF(AND($A92&lt;&gt;"",AZ$3&gt;=$J92,AZ$3&lt;=$M92),1,"")</f>
        <v/>
      </c>
      <c r="BA92">
        <f>IF(AND($A92&lt;&gt;"",BA$3&gt;=$J92,BA$3&lt;=$M92),1,"")</f>
        <v/>
      </c>
      <c r="BB92">
        <f>IF(AND($A92&lt;&gt;"",BB$3&gt;=$J92,BB$3&lt;=$M92),1,"")</f>
        <v/>
      </c>
      <c r="BC92">
        <f>IF(AND($A92&lt;&gt;"",BC$3&gt;=$J92,BC$3&lt;=$M92),1,"")</f>
        <v/>
      </c>
      <c r="BD92">
        <f>IF(AND($A92&lt;&gt;"",BD$3&gt;=$J92,BD$3&lt;=$M92),1,"")</f>
        <v/>
      </c>
      <c r="BE92">
        <f>IF(AND($A92&lt;&gt;"",BE$3&gt;=$J92,BE$3&lt;=$M92),1,"")</f>
        <v/>
      </c>
      <c r="BF92">
        <f>IF(AND($A92&lt;&gt;"",BF$3&gt;=$J92,BF$3&lt;=$M92),1,"")</f>
        <v/>
      </c>
      <c r="BG92">
        <f>IF(AND($A92&lt;&gt;"",BG$3&gt;=$J92,BG$3&lt;=$M92),1,"")</f>
        <v/>
      </c>
      <c r="BH92">
        <f>IF(AND($A92&lt;&gt;"",BH$3&gt;=$J92,BH$3&lt;=$M92),1,"")</f>
        <v/>
      </c>
      <c r="BI92">
        <f>IF(AND($A92&lt;&gt;"",BI$3&gt;=$J92,BI$3&lt;=$M92),1,"")</f>
        <v/>
      </c>
      <c r="BJ92">
        <f>IF(AND($A92&lt;&gt;"",BJ$3&gt;=$J92,BJ$3&lt;=$M92),1,"")</f>
        <v/>
      </c>
      <c r="BK92">
        <f>IF(AND($A92&lt;&gt;"",BK$3&gt;=$J92,BK$3&lt;=$M92),1,"")</f>
        <v/>
      </c>
      <c r="BL92">
        <f>IF(AND($A92&lt;&gt;"",BL$3&gt;=$J92,BL$3&lt;=$M92),1,"")</f>
        <v/>
      </c>
      <c r="BM92">
        <f>IF(AND($A92&lt;&gt;"",BM$3&gt;=$J92,BM$3&lt;=$M92),1,"")</f>
        <v/>
      </c>
      <c r="BN92">
        <f>IF(AND($A92&lt;&gt;"",BN$3&gt;=$J92,BN$3&lt;=$M92),1,"")</f>
        <v/>
      </c>
      <c r="BO92">
        <f>IF(AND($A92&lt;&gt;"",BO$3&gt;=$J92,BO$3&lt;=$M92),1,"")</f>
        <v/>
      </c>
      <c r="BP92">
        <f>IF(AND($A92&lt;&gt;"",BP$3&gt;=$J92,BP$3&lt;=$M92),1,"")</f>
        <v/>
      </c>
      <c r="BQ92">
        <f>IF(AND($A92&lt;&gt;"",BQ$3&gt;=$J92,BQ$3&lt;=$M92),1,"")</f>
        <v/>
      </c>
      <c r="BR92">
        <f>IF(AND($A92&lt;&gt;"",BR$3&gt;=$J92,BR$3&lt;=$M92),1,"")</f>
        <v/>
      </c>
      <c r="BS92">
        <f>IF(AND($A92&lt;&gt;"",BS$3&gt;=$J92,BS$3&lt;=$M92),1,"")</f>
        <v/>
      </c>
      <c r="BT92">
        <f>IF(AND($A92&lt;&gt;"",BT$3&gt;=$J92,BT$3&lt;=$M92),1,"")</f>
        <v/>
      </c>
      <c r="BU92">
        <f>IF(AND($A92&lt;&gt;"",BU$3&gt;=$J92,BU$3&lt;=$M92),1,"")</f>
        <v/>
      </c>
      <c r="BV92">
        <f>IF(AND($A92&lt;&gt;"",BV$3&gt;=$J92,BV$3&lt;=$M92),1,"")</f>
        <v/>
      </c>
    </row>
    <row r="93">
      <c r="A93">
        <f>IF(Job_Master_Ring!$A93="","",Job_Master_Ring!$A93)</f>
        <v/>
      </c>
      <c r="B93">
        <f>IF($A93="","",Job_Master_Ring!B93)</f>
        <v/>
      </c>
      <c r="C93">
        <f>IF($A93="","",Job_Master_Ring!C93)</f>
        <v/>
      </c>
      <c r="D93">
        <f>IF($A93="","",Job_Master_Ring!D93)</f>
        <v/>
      </c>
      <c r="E93">
        <f>IF($A93="","",IF($I93&lt;&gt;"",$I93,IFERROR(INDEX(Machine_List!$B$82:$B$86,MATCH(1,(Machine_List!$H$82:$H$86&lt;=IFERROR(VLOOKUP($B93,CHOOSE(MATCH($C93,Settings!$L$4:$L$10,0),OPR_BR1!$A$4:$K$18,OPR_BR2!$A$4:$K$18,OPR_CR2!$A$4:$K$18,OPR_CR3!$A$4:$K$18,OPR_CR4!$A$4:$K$18,OPR_RIM!$A$4:$K$18,OPR_BPR!$A$4:$K$18),10,0),0))*(Machine_List!$I$82:$I$86&gt;=IFERROR(VLOOKUP($B93,CHOOSE(MATCH($C93,Settings!$L$4:$L$10,0),OPR_BR1!$A$4:$K$18,OPR_BR2!$A$4:$K$18,OPR_CR2!$A$4:$K$18,OPR_CR3!$A$4:$K$18,OPR_CR4!$A$4:$K$18,OPR_RIM!$A$4:$K$18,OPR_BPR!$A$4:$K$18),11,0),9999)),0)),"NO COMPATIBLE MACHINE")))</f>
        <v/>
      </c>
      <c r="F93">
        <f>IF($E93="","",IFERROR(VLOOKUP($E93,Machine_List!$B:$G,6,0),""))</f>
        <v/>
      </c>
      <c r="G93" s="17">
        <f>IF($E93="","",IFERROR(VLOOKUP($E93,Machine_List!$B:$C,2,0),""))</f>
        <v/>
      </c>
      <c r="H93">
        <f>IF($E93="","",IFERROR(VLOOKUP($E93,Machine_List!$B:$D,3,0),""))</f>
        <v/>
      </c>
      <c r="J93" s="16">
        <f>IF($A93="","",IF($I93&lt;&gt;"",$I93,MAX(FID_Plan!$M93,IFERROR(LOOKUP(2,1/($E$3:INDIRECT("E"&amp;(ROW()-1))=$E93),$M$3:INDIRECT("M"&amp;(ROW()-1))),FID_Plan!$M93))))</f>
        <v/>
      </c>
      <c r="K93">
        <f>IF($A93="","",IFERROR(VLOOKUP(B93,CHOOSE(MATCH($C93,Settings!$L$4:$L$10,0),OPR_BR1!$A$4:$I$18,OPR_BR2!$A$4:$I$18,OPR_CR2!$A$4:$I$18,OPR_CR3!$A$4:$I$18,OPR_CR4!$A$4:$I$18,OPR_RIM!$A$4:$I$18,OPR_BPR!$A$4:$I$18),9,0),0))</f>
        <v/>
      </c>
      <c r="L93">
        <f>IF($A93="","",K93*D93)</f>
        <v/>
      </c>
      <c r="M93" s="16">
        <f>IF($A93=""," ",$J93+($L93/(IF(F93="Contract Workman",Settings!$K$5,Settings!$K$4))))</f>
        <v/>
      </c>
      <c r="N93">
        <f>IF($A93="","",IF(F93="Contract Workman",IF(AND(MOD(M93,1)&gt;=8/24,MOD(M93,1)&lt;20/24),"Shift S1","Shift S2"),IF(AND(MOD(M93,1)&gt;=7/24,MOD(M93,1)&lt;15/24),"Shift A",IF(AND(MOD(M93,1)&gt;=15/24,MOD(M93,1)&lt;23/24),"Shift B","Shift C"))))</f>
        <v/>
      </c>
      <c r="O93">
        <f>IF(B93="","",IF(IFERROR(ISNUMBER(SEARCH(TEXT(B93,"0"),VLOOKUP(E93,Machine_List!$B:$J,9,0))),FALSE),"✅ "&amp; E93,"❌ Sug: "&amp;IFERROR(INDEX(Machine_List!$B$82:$B$86,MATCH(1,(Machine_List!$H$82:$H$86&lt;=IFERROR(VLOOKUP($B93,OPR_BR1!$A$4:$K$18,10,0),0))*(Machine_List!$I$82:$I$86&gt;=IFERROR(VLOOKUP($B93,OPR_BR1!$A$4:$K$18,11,0),9999)),0)),"?")))</f>
        <v/>
      </c>
      <c r="P93">
        <f>IF(AND($A93&lt;&gt;"",P$3&gt;=$J93,P$3&lt;=$M93),1,"")</f>
        <v/>
      </c>
      <c r="Q93">
        <f>IF(AND($A93&lt;&gt;"",Q$3&gt;=$J93,Q$3&lt;=$M93),1,"")</f>
        <v/>
      </c>
      <c r="R93">
        <f>IF(AND($A93&lt;&gt;"",R$3&gt;=$J93,R$3&lt;=$M93),1,"")</f>
        <v/>
      </c>
      <c r="S93">
        <f>IF(AND($A93&lt;&gt;"",S$3&gt;=$J93,S$3&lt;=$M93),1,"")</f>
        <v/>
      </c>
      <c r="T93">
        <f>IF(AND($A93&lt;&gt;"",T$3&gt;=$J93,T$3&lt;=$M93),1,"")</f>
        <v/>
      </c>
      <c r="U93">
        <f>IF(AND($A93&lt;&gt;"",U$3&gt;=$J93,U$3&lt;=$M93),1,"")</f>
        <v/>
      </c>
      <c r="V93">
        <f>IF(AND($A93&lt;&gt;"",V$3&gt;=$J93,V$3&lt;=$M93),1,"")</f>
        <v/>
      </c>
      <c r="W93">
        <f>IF(AND($A93&lt;&gt;"",W$3&gt;=$J93,W$3&lt;=$M93),1,"")</f>
        <v/>
      </c>
      <c r="X93">
        <f>IF(AND($A93&lt;&gt;"",X$3&gt;=$J93,X$3&lt;=$M93),1,"")</f>
        <v/>
      </c>
      <c r="Y93">
        <f>IF(AND($A93&lt;&gt;"",Y$3&gt;=$J93,Y$3&lt;=$M93),1,"")</f>
        <v/>
      </c>
      <c r="Z93">
        <f>IF(AND($A93&lt;&gt;"",Z$3&gt;=$J93,Z$3&lt;=$M93),1,"")</f>
        <v/>
      </c>
      <c r="AA93">
        <f>IF(AND($A93&lt;&gt;"",AA$3&gt;=$J93,AA$3&lt;=$M93),1,"")</f>
        <v/>
      </c>
      <c r="AB93">
        <f>IF(AND($A93&lt;&gt;"",AB$3&gt;=$J93,AB$3&lt;=$M93),1,"")</f>
        <v/>
      </c>
      <c r="AC93">
        <f>IF(AND($A93&lt;&gt;"",AC$3&gt;=$J93,AC$3&lt;=$M93),1,"")</f>
        <v/>
      </c>
      <c r="AD93">
        <f>IF(AND($A93&lt;&gt;"",AD$3&gt;=$J93,AD$3&lt;=$M93),1,"")</f>
        <v/>
      </c>
      <c r="AE93">
        <f>IF(AND($A93&lt;&gt;"",AE$3&gt;=$J93,AE$3&lt;=$M93),1,"")</f>
        <v/>
      </c>
      <c r="AF93">
        <f>IF(AND($A93&lt;&gt;"",AF$3&gt;=$J93,AF$3&lt;=$M93),1,"")</f>
        <v/>
      </c>
      <c r="AG93">
        <f>IF(AND($A93&lt;&gt;"",AG$3&gt;=$J93,AG$3&lt;=$M93),1,"")</f>
        <v/>
      </c>
      <c r="AH93">
        <f>IF(AND($A93&lt;&gt;"",AH$3&gt;=$J93,AH$3&lt;=$M93),1,"")</f>
        <v/>
      </c>
      <c r="AI93">
        <f>IF(AND($A93&lt;&gt;"",AI$3&gt;=$J93,AI$3&lt;=$M93),1,"")</f>
        <v/>
      </c>
      <c r="AJ93">
        <f>IF(AND($A93&lt;&gt;"",AJ$3&gt;=$J93,AJ$3&lt;=$M93),1,"")</f>
        <v/>
      </c>
      <c r="AK93">
        <f>IF(AND($A93&lt;&gt;"",AK$3&gt;=$J93,AK$3&lt;=$M93),1,"")</f>
        <v/>
      </c>
      <c r="AL93">
        <f>IF(AND($A93&lt;&gt;"",AL$3&gt;=$J93,AL$3&lt;=$M93),1,"")</f>
        <v/>
      </c>
      <c r="AM93">
        <f>IF(AND($A93&lt;&gt;"",AM$3&gt;=$J93,AM$3&lt;=$M93),1,"")</f>
        <v/>
      </c>
      <c r="AN93">
        <f>IF(AND($A93&lt;&gt;"",AN$3&gt;=$J93,AN$3&lt;=$M93),1,"")</f>
        <v/>
      </c>
      <c r="AO93">
        <f>IF(AND($A93&lt;&gt;"",AO$3&gt;=$J93,AO$3&lt;=$M93),1,"")</f>
        <v/>
      </c>
      <c r="AP93">
        <f>IF(AND($A93&lt;&gt;"",AP$3&gt;=$J93,AP$3&lt;=$M93),1,"")</f>
        <v/>
      </c>
      <c r="AQ93">
        <f>IF(AND($A93&lt;&gt;"",AQ$3&gt;=$J93,AQ$3&lt;=$M93),1,"")</f>
        <v/>
      </c>
      <c r="AR93">
        <f>IF(AND($A93&lt;&gt;"",AR$3&gt;=$J93,AR$3&lt;=$M93),1,"")</f>
        <v/>
      </c>
      <c r="AS93">
        <f>IF(AND($A93&lt;&gt;"",AS$3&gt;=$J93,AS$3&lt;=$M93),1,"")</f>
        <v/>
      </c>
      <c r="AT93">
        <f>IF(AND($A93&lt;&gt;"",AT$3&gt;=$J93,AT$3&lt;=$M93),1,"")</f>
        <v/>
      </c>
      <c r="AU93">
        <f>IF(AND($A93&lt;&gt;"",AU$3&gt;=$J93,AU$3&lt;=$M93),1,"")</f>
        <v/>
      </c>
      <c r="AV93">
        <f>IF(AND($A93&lt;&gt;"",AV$3&gt;=$J93,AV$3&lt;=$M93),1,"")</f>
        <v/>
      </c>
      <c r="AW93">
        <f>IF(AND($A93&lt;&gt;"",AW$3&gt;=$J93,AW$3&lt;=$M93),1,"")</f>
        <v/>
      </c>
      <c r="AX93">
        <f>IF(AND($A93&lt;&gt;"",AX$3&gt;=$J93,AX$3&lt;=$M93),1,"")</f>
        <v/>
      </c>
      <c r="AY93">
        <f>IF(AND($A93&lt;&gt;"",AY$3&gt;=$J93,AY$3&lt;=$M93),1,"")</f>
        <v/>
      </c>
      <c r="AZ93">
        <f>IF(AND($A93&lt;&gt;"",AZ$3&gt;=$J93,AZ$3&lt;=$M93),1,"")</f>
        <v/>
      </c>
      <c r="BA93">
        <f>IF(AND($A93&lt;&gt;"",BA$3&gt;=$J93,BA$3&lt;=$M93),1,"")</f>
        <v/>
      </c>
      <c r="BB93">
        <f>IF(AND($A93&lt;&gt;"",BB$3&gt;=$J93,BB$3&lt;=$M93),1,"")</f>
        <v/>
      </c>
      <c r="BC93">
        <f>IF(AND($A93&lt;&gt;"",BC$3&gt;=$J93,BC$3&lt;=$M93),1,"")</f>
        <v/>
      </c>
      <c r="BD93">
        <f>IF(AND($A93&lt;&gt;"",BD$3&gt;=$J93,BD$3&lt;=$M93),1,"")</f>
        <v/>
      </c>
      <c r="BE93">
        <f>IF(AND($A93&lt;&gt;"",BE$3&gt;=$J93,BE$3&lt;=$M93),1,"")</f>
        <v/>
      </c>
      <c r="BF93">
        <f>IF(AND($A93&lt;&gt;"",BF$3&gt;=$J93,BF$3&lt;=$M93),1,"")</f>
        <v/>
      </c>
      <c r="BG93">
        <f>IF(AND($A93&lt;&gt;"",BG$3&gt;=$J93,BG$3&lt;=$M93),1,"")</f>
        <v/>
      </c>
      <c r="BH93">
        <f>IF(AND($A93&lt;&gt;"",BH$3&gt;=$J93,BH$3&lt;=$M93),1,"")</f>
        <v/>
      </c>
      <c r="BI93">
        <f>IF(AND($A93&lt;&gt;"",BI$3&gt;=$J93,BI$3&lt;=$M93),1,"")</f>
        <v/>
      </c>
      <c r="BJ93">
        <f>IF(AND($A93&lt;&gt;"",BJ$3&gt;=$J93,BJ$3&lt;=$M93),1,"")</f>
        <v/>
      </c>
      <c r="BK93">
        <f>IF(AND($A93&lt;&gt;"",BK$3&gt;=$J93,BK$3&lt;=$M93),1,"")</f>
        <v/>
      </c>
      <c r="BL93">
        <f>IF(AND($A93&lt;&gt;"",BL$3&gt;=$J93,BL$3&lt;=$M93),1,"")</f>
        <v/>
      </c>
      <c r="BM93">
        <f>IF(AND($A93&lt;&gt;"",BM$3&gt;=$J93,BM$3&lt;=$M93),1,"")</f>
        <v/>
      </c>
      <c r="BN93">
        <f>IF(AND($A93&lt;&gt;"",BN$3&gt;=$J93,BN$3&lt;=$M93),1,"")</f>
        <v/>
      </c>
      <c r="BO93">
        <f>IF(AND($A93&lt;&gt;"",BO$3&gt;=$J93,BO$3&lt;=$M93),1,"")</f>
        <v/>
      </c>
      <c r="BP93">
        <f>IF(AND($A93&lt;&gt;"",BP$3&gt;=$J93,BP$3&lt;=$M93),1,"")</f>
        <v/>
      </c>
      <c r="BQ93">
        <f>IF(AND($A93&lt;&gt;"",BQ$3&gt;=$J93,BQ$3&lt;=$M93),1,"")</f>
        <v/>
      </c>
      <c r="BR93">
        <f>IF(AND($A93&lt;&gt;"",BR$3&gt;=$J93,BR$3&lt;=$M93),1,"")</f>
        <v/>
      </c>
      <c r="BS93">
        <f>IF(AND($A93&lt;&gt;"",BS$3&gt;=$J93,BS$3&lt;=$M93),1,"")</f>
        <v/>
      </c>
      <c r="BT93">
        <f>IF(AND($A93&lt;&gt;"",BT$3&gt;=$J93,BT$3&lt;=$M93),1,"")</f>
        <v/>
      </c>
      <c r="BU93">
        <f>IF(AND($A93&lt;&gt;"",BU$3&gt;=$J93,BU$3&lt;=$M93),1,"")</f>
        <v/>
      </c>
      <c r="BV93">
        <f>IF(AND($A93&lt;&gt;"",BV$3&gt;=$J93,BV$3&lt;=$M93),1,"")</f>
        <v/>
      </c>
    </row>
    <row r="94">
      <c r="A94">
        <f>IF(Job_Master_Ring!$A94="","",Job_Master_Ring!$A94)</f>
        <v/>
      </c>
      <c r="B94">
        <f>IF($A94="","",Job_Master_Ring!B94)</f>
        <v/>
      </c>
      <c r="C94">
        <f>IF($A94="","",Job_Master_Ring!C94)</f>
        <v/>
      </c>
      <c r="D94">
        <f>IF($A94="","",Job_Master_Ring!D94)</f>
        <v/>
      </c>
      <c r="E94">
        <f>IF($A94="","",IF($I94&lt;&gt;"",$I94,IFERROR(INDEX(Machine_List!$B$82:$B$86,MATCH(1,(Machine_List!$H$82:$H$86&lt;=IFERROR(VLOOKUP($B94,CHOOSE(MATCH($C94,Settings!$L$4:$L$10,0),OPR_BR1!$A$4:$K$18,OPR_BR2!$A$4:$K$18,OPR_CR2!$A$4:$K$18,OPR_CR3!$A$4:$K$18,OPR_CR4!$A$4:$K$18,OPR_RIM!$A$4:$K$18,OPR_BPR!$A$4:$K$18),10,0),0))*(Machine_List!$I$82:$I$86&gt;=IFERROR(VLOOKUP($B94,CHOOSE(MATCH($C94,Settings!$L$4:$L$10,0),OPR_BR1!$A$4:$K$18,OPR_BR2!$A$4:$K$18,OPR_CR2!$A$4:$K$18,OPR_CR3!$A$4:$K$18,OPR_CR4!$A$4:$K$18,OPR_RIM!$A$4:$K$18,OPR_BPR!$A$4:$K$18),11,0),9999)),0)),"NO COMPATIBLE MACHINE")))</f>
        <v/>
      </c>
      <c r="F94">
        <f>IF($E94="","",IFERROR(VLOOKUP($E94,Machine_List!$B:$G,6,0),""))</f>
        <v/>
      </c>
      <c r="G94" s="17">
        <f>IF($E94="","",IFERROR(VLOOKUP($E94,Machine_List!$B:$C,2,0),""))</f>
        <v/>
      </c>
      <c r="H94">
        <f>IF($E94="","",IFERROR(VLOOKUP($E94,Machine_List!$B:$D,3,0),""))</f>
        <v/>
      </c>
      <c r="J94" s="16">
        <f>IF($A94="","",IF($I94&lt;&gt;"",$I94,MAX(FID_Plan!$M94,IFERROR(LOOKUP(2,1/($E$3:INDIRECT("E"&amp;(ROW()-1))=$E94),$M$3:INDIRECT("M"&amp;(ROW()-1))),FID_Plan!$M94))))</f>
        <v/>
      </c>
      <c r="K94">
        <f>IF($A94="","",IFERROR(VLOOKUP(B94,CHOOSE(MATCH($C94,Settings!$L$4:$L$10,0),OPR_BR1!$A$4:$I$18,OPR_BR2!$A$4:$I$18,OPR_CR2!$A$4:$I$18,OPR_CR3!$A$4:$I$18,OPR_CR4!$A$4:$I$18,OPR_RIM!$A$4:$I$18,OPR_BPR!$A$4:$I$18),9,0),0))</f>
        <v/>
      </c>
      <c r="L94">
        <f>IF($A94="","",K94*D94)</f>
        <v/>
      </c>
      <c r="M94" s="16">
        <f>IF($A94=""," ",$J94+($L94/(IF(F94="Contract Workman",Settings!$K$5,Settings!$K$4))))</f>
        <v/>
      </c>
      <c r="N94">
        <f>IF($A94="","",IF(F94="Contract Workman",IF(AND(MOD(M94,1)&gt;=8/24,MOD(M94,1)&lt;20/24),"Shift S1","Shift S2"),IF(AND(MOD(M94,1)&gt;=7/24,MOD(M94,1)&lt;15/24),"Shift A",IF(AND(MOD(M94,1)&gt;=15/24,MOD(M94,1)&lt;23/24),"Shift B","Shift C"))))</f>
        <v/>
      </c>
      <c r="O94">
        <f>IF(B94="","",IF(IFERROR(ISNUMBER(SEARCH(TEXT(B94,"0"),VLOOKUP(E94,Machine_List!$B:$J,9,0))),FALSE),"✅ "&amp; E94,"❌ Sug: "&amp;IFERROR(INDEX(Machine_List!$B$82:$B$86,MATCH(1,(Machine_List!$H$82:$H$86&lt;=IFERROR(VLOOKUP($B94,OPR_BR1!$A$4:$K$18,10,0),0))*(Machine_List!$I$82:$I$86&gt;=IFERROR(VLOOKUP($B94,OPR_BR1!$A$4:$K$18,11,0),9999)),0)),"?")))</f>
        <v/>
      </c>
      <c r="P94">
        <f>IF(AND($A94&lt;&gt;"",P$3&gt;=$J94,P$3&lt;=$M94),1,"")</f>
        <v/>
      </c>
      <c r="Q94">
        <f>IF(AND($A94&lt;&gt;"",Q$3&gt;=$J94,Q$3&lt;=$M94),1,"")</f>
        <v/>
      </c>
      <c r="R94">
        <f>IF(AND($A94&lt;&gt;"",R$3&gt;=$J94,R$3&lt;=$M94),1,"")</f>
        <v/>
      </c>
      <c r="S94">
        <f>IF(AND($A94&lt;&gt;"",S$3&gt;=$J94,S$3&lt;=$M94),1,"")</f>
        <v/>
      </c>
      <c r="T94">
        <f>IF(AND($A94&lt;&gt;"",T$3&gt;=$J94,T$3&lt;=$M94),1,"")</f>
        <v/>
      </c>
      <c r="U94">
        <f>IF(AND($A94&lt;&gt;"",U$3&gt;=$J94,U$3&lt;=$M94),1,"")</f>
        <v/>
      </c>
      <c r="V94">
        <f>IF(AND($A94&lt;&gt;"",V$3&gt;=$J94,V$3&lt;=$M94),1,"")</f>
        <v/>
      </c>
      <c r="W94">
        <f>IF(AND($A94&lt;&gt;"",W$3&gt;=$J94,W$3&lt;=$M94),1,"")</f>
        <v/>
      </c>
      <c r="X94">
        <f>IF(AND($A94&lt;&gt;"",X$3&gt;=$J94,X$3&lt;=$M94),1,"")</f>
        <v/>
      </c>
      <c r="Y94">
        <f>IF(AND($A94&lt;&gt;"",Y$3&gt;=$J94,Y$3&lt;=$M94),1,"")</f>
        <v/>
      </c>
      <c r="Z94">
        <f>IF(AND($A94&lt;&gt;"",Z$3&gt;=$J94,Z$3&lt;=$M94),1,"")</f>
        <v/>
      </c>
      <c r="AA94">
        <f>IF(AND($A94&lt;&gt;"",AA$3&gt;=$J94,AA$3&lt;=$M94),1,"")</f>
        <v/>
      </c>
      <c r="AB94">
        <f>IF(AND($A94&lt;&gt;"",AB$3&gt;=$J94,AB$3&lt;=$M94),1,"")</f>
        <v/>
      </c>
      <c r="AC94">
        <f>IF(AND($A94&lt;&gt;"",AC$3&gt;=$J94,AC$3&lt;=$M94),1,"")</f>
        <v/>
      </c>
      <c r="AD94">
        <f>IF(AND($A94&lt;&gt;"",AD$3&gt;=$J94,AD$3&lt;=$M94),1,"")</f>
        <v/>
      </c>
      <c r="AE94">
        <f>IF(AND($A94&lt;&gt;"",AE$3&gt;=$J94,AE$3&lt;=$M94),1,"")</f>
        <v/>
      </c>
      <c r="AF94">
        <f>IF(AND($A94&lt;&gt;"",AF$3&gt;=$J94,AF$3&lt;=$M94),1,"")</f>
        <v/>
      </c>
      <c r="AG94">
        <f>IF(AND($A94&lt;&gt;"",AG$3&gt;=$J94,AG$3&lt;=$M94),1,"")</f>
        <v/>
      </c>
      <c r="AH94">
        <f>IF(AND($A94&lt;&gt;"",AH$3&gt;=$J94,AH$3&lt;=$M94),1,"")</f>
        <v/>
      </c>
      <c r="AI94">
        <f>IF(AND($A94&lt;&gt;"",AI$3&gt;=$J94,AI$3&lt;=$M94),1,"")</f>
        <v/>
      </c>
      <c r="AJ94">
        <f>IF(AND($A94&lt;&gt;"",AJ$3&gt;=$J94,AJ$3&lt;=$M94),1,"")</f>
        <v/>
      </c>
      <c r="AK94">
        <f>IF(AND($A94&lt;&gt;"",AK$3&gt;=$J94,AK$3&lt;=$M94),1,"")</f>
        <v/>
      </c>
      <c r="AL94">
        <f>IF(AND($A94&lt;&gt;"",AL$3&gt;=$J94,AL$3&lt;=$M94),1,"")</f>
        <v/>
      </c>
      <c r="AM94">
        <f>IF(AND($A94&lt;&gt;"",AM$3&gt;=$J94,AM$3&lt;=$M94),1,"")</f>
        <v/>
      </c>
      <c r="AN94">
        <f>IF(AND($A94&lt;&gt;"",AN$3&gt;=$J94,AN$3&lt;=$M94),1,"")</f>
        <v/>
      </c>
      <c r="AO94">
        <f>IF(AND($A94&lt;&gt;"",AO$3&gt;=$J94,AO$3&lt;=$M94),1,"")</f>
        <v/>
      </c>
      <c r="AP94">
        <f>IF(AND($A94&lt;&gt;"",AP$3&gt;=$J94,AP$3&lt;=$M94),1,"")</f>
        <v/>
      </c>
      <c r="AQ94">
        <f>IF(AND($A94&lt;&gt;"",AQ$3&gt;=$J94,AQ$3&lt;=$M94),1,"")</f>
        <v/>
      </c>
      <c r="AR94">
        <f>IF(AND($A94&lt;&gt;"",AR$3&gt;=$J94,AR$3&lt;=$M94),1,"")</f>
        <v/>
      </c>
      <c r="AS94">
        <f>IF(AND($A94&lt;&gt;"",AS$3&gt;=$J94,AS$3&lt;=$M94),1,"")</f>
        <v/>
      </c>
      <c r="AT94">
        <f>IF(AND($A94&lt;&gt;"",AT$3&gt;=$J94,AT$3&lt;=$M94),1,"")</f>
        <v/>
      </c>
      <c r="AU94">
        <f>IF(AND($A94&lt;&gt;"",AU$3&gt;=$J94,AU$3&lt;=$M94),1,"")</f>
        <v/>
      </c>
      <c r="AV94">
        <f>IF(AND($A94&lt;&gt;"",AV$3&gt;=$J94,AV$3&lt;=$M94),1,"")</f>
        <v/>
      </c>
      <c r="AW94">
        <f>IF(AND($A94&lt;&gt;"",AW$3&gt;=$J94,AW$3&lt;=$M94),1,"")</f>
        <v/>
      </c>
      <c r="AX94">
        <f>IF(AND($A94&lt;&gt;"",AX$3&gt;=$J94,AX$3&lt;=$M94),1,"")</f>
        <v/>
      </c>
      <c r="AY94">
        <f>IF(AND($A94&lt;&gt;"",AY$3&gt;=$J94,AY$3&lt;=$M94),1,"")</f>
        <v/>
      </c>
      <c r="AZ94">
        <f>IF(AND($A94&lt;&gt;"",AZ$3&gt;=$J94,AZ$3&lt;=$M94),1,"")</f>
        <v/>
      </c>
      <c r="BA94">
        <f>IF(AND($A94&lt;&gt;"",BA$3&gt;=$J94,BA$3&lt;=$M94),1,"")</f>
        <v/>
      </c>
      <c r="BB94">
        <f>IF(AND($A94&lt;&gt;"",BB$3&gt;=$J94,BB$3&lt;=$M94),1,"")</f>
        <v/>
      </c>
      <c r="BC94">
        <f>IF(AND($A94&lt;&gt;"",BC$3&gt;=$J94,BC$3&lt;=$M94),1,"")</f>
        <v/>
      </c>
      <c r="BD94">
        <f>IF(AND($A94&lt;&gt;"",BD$3&gt;=$J94,BD$3&lt;=$M94),1,"")</f>
        <v/>
      </c>
      <c r="BE94">
        <f>IF(AND($A94&lt;&gt;"",BE$3&gt;=$J94,BE$3&lt;=$M94),1,"")</f>
        <v/>
      </c>
      <c r="BF94">
        <f>IF(AND($A94&lt;&gt;"",BF$3&gt;=$J94,BF$3&lt;=$M94),1,"")</f>
        <v/>
      </c>
      <c r="BG94">
        <f>IF(AND($A94&lt;&gt;"",BG$3&gt;=$J94,BG$3&lt;=$M94),1,"")</f>
        <v/>
      </c>
      <c r="BH94">
        <f>IF(AND($A94&lt;&gt;"",BH$3&gt;=$J94,BH$3&lt;=$M94),1,"")</f>
        <v/>
      </c>
      <c r="BI94">
        <f>IF(AND($A94&lt;&gt;"",BI$3&gt;=$J94,BI$3&lt;=$M94),1,"")</f>
        <v/>
      </c>
      <c r="BJ94">
        <f>IF(AND($A94&lt;&gt;"",BJ$3&gt;=$J94,BJ$3&lt;=$M94),1,"")</f>
        <v/>
      </c>
      <c r="BK94">
        <f>IF(AND($A94&lt;&gt;"",BK$3&gt;=$J94,BK$3&lt;=$M94),1,"")</f>
        <v/>
      </c>
      <c r="BL94">
        <f>IF(AND($A94&lt;&gt;"",BL$3&gt;=$J94,BL$3&lt;=$M94),1,"")</f>
        <v/>
      </c>
      <c r="BM94">
        <f>IF(AND($A94&lt;&gt;"",BM$3&gt;=$J94,BM$3&lt;=$M94),1,"")</f>
        <v/>
      </c>
      <c r="BN94">
        <f>IF(AND($A94&lt;&gt;"",BN$3&gt;=$J94,BN$3&lt;=$M94),1,"")</f>
        <v/>
      </c>
      <c r="BO94">
        <f>IF(AND($A94&lt;&gt;"",BO$3&gt;=$J94,BO$3&lt;=$M94),1,"")</f>
        <v/>
      </c>
      <c r="BP94">
        <f>IF(AND($A94&lt;&gt;"",BP$3&gt;=$J94,BP$3&lt;=$M94),1,"")</f>
        <v/>
      </c>
      <c r="BQ94">
        <f>IF(AND($A94&lt;&gt;"",BQ$3&gt;=$J94,BQ$3&lt;=$M94),1,"")</f>
        <v/>
      </c>
      <c r="BR94">
        <f>IF(AND($A94&lt;&gt;"",BR$3&gt;=$J94,BR$3&lt;=$M94),1,"")</f>
        <v/>
      </c>
      <c r="BS94">
        <f>IF(AND($A94&lt;&gt;"",BS$3&gt;=$J94,BS$3&lt;=$M94),1,"")</f>
        <v/>
      </c>
      <c r="BT94">
        <f>IF(AND($A94&lt;&gt;"",BT$3&gt;=$J94,BT$3&lt;=$M94),1,"")</f>
        <v/>
      </c>
      <c r="BU94">
        <f>IF(AND($A94&lt;&gt;"",BU$3&gt;=$J94,BU$3&lt;=$M94),1,"")</f>
        <v/>
      </c>
      <c r="BV94">
        <f>IF(AND($A94&lt;&gt;"",BV$3&gt;=$J94,BV$3&lt;=$M94),1,"")</f>
        <v/>
      </c>
    </row>
    <row r="95">
      <c r="A95">
        <f>IF(Job_Master_Ring!$A95="","",Job_Master_Ring!$A95)</f>
        <v/>
      </c>
      <c r="B95">
        <f>IF($A95="","",Job_Master_Ring!B95)</f>
        <v/>
      </c>
      <c r="C95">
        <f>IF($A95="","",Job_Master_Ring!C95)</f>
        <v/>
      </c>
      <c r="D95">
        <f>IF($A95="","",Job_Master_Ring!D95)</f>
        <v/>
      </c>
      <c r="E95">
        <f>IF($A95="","",IF($I95&lt;&gt;"",$I95,IFERROR(INDEX(Machine_List!$B$82:$B$86,MATCH(1,(Machine_List!$H$82:$H$86&lt;=IFERROR(VLOOKUP($B95,CHOOSE(MATCH($C95,Settings!$L$4:$L$10,0),OPR_BR1!$A$4:$K$18,OPR_BR2!$A$4:$K$18,OPR_CR2!$A$4:$K$18,OPR_CR3!$A$4:$K$18,OPR_CR4!$A$4:$K$18,OPR_RIM!$A$4:$K$18,OPR_BPR!$A$4:$K$18),10,0),0))*(Machine_List!$I$82:$I$86&gt;=IFERROR(VLOOKUP($B95,CHOOSE(MATCH($C95,Settings!$L$4:$L$10,0),OPR_BR1!$A$4:$K$18,OPR_BR2!$A$4:$K$18,OPR_CR2!$A$4:$K$18,OPR_CR3!$A$4:$K$18,OPR_CR4!$A$4:$K$18,OPR_RIM!$A$4:$K$18,OPR_BPR!$A$4:$K$18),11,0),9999)),0)),"NO COMPATIBLE MACHINE")))</f>
        <v/>
      </c>
      <c r="F95">
        <f>IF($E95="","",IFERROR(VLOOKUP($E95,Machine_List!$B:$G,6,0),""))</f>
        <v/>
      </c>
      <c r="G95" s="17">
        <f>IF($E95="","",IFERROR(VLOOKUP($E95,Machine_List!$B:$C,2,0),""))</f>
        <v/>
      </c>
      <c r="H95">
        <f>IF($E95="","",IFERROR(VLOOKUP($E95,Machine_List!$B:$D,3,0),""))</f>
        <v/>
      </c>
      <c r="J95" s="16">
        <f>IF($A95="","",IF($I95&lt;&gt;"",$I95,MAX(FID_Plan!$M95,IFERROR(LOOKUP(2,1/($E$3:INDIRECT("E"&amp;(ROW()-1))=$E95),$M$3:INDIRECT("M"&amp;(ROW()-1))),FID_Plan!$M95))))</f>
        <v/>
      </c>
      <c r="K95">
        <f>IF($A95="","",IFERROR(VLOOKUP(B95,CHOOSE(MATCH($C95,Settings!$L$4:$L$10,0),OPR_BR1!$A$4:$I$18,OPR_BR2!$A$4:$I$18,OPR_CR2!$A$4:$I$18,OPR_CR3!$A$4:$I$18,OPR_CR4!$A$4:$I$18,OPR_RIM!$A$4:$I$18,OPR_BPR!$A$4:$I$18),9,0),0))</f>
        <v/>
      </c>
      <c r="L95">
        <f>IF($A95="","",K95*D95)</f>
        <v/>
      </c>
      <c r="M95" s="16">
        <f>IF($A95=""," ",$J95+($L95/(IF(F95="Contract Workman",Settings!$K$5,Settings!$K$4))))</f>
        <v/>
      </c>
      <c r="N95">
        <f>IF($A95="","",IF(F95="Contract Workman",IF(AND(MOD(M95,1)&gt;=8/24,MOD(M95,1)&lt;20/24),"Shift S1","Shift S2"),IF(AND(MOD(M95,1)&gt;=7/24,MOD(M95,1)&lt;15/24),"Shift A",IF(AND(MOD(M95,1)&gt;=15/24,MOD(M95,1)&lt;23/24),"Shift B","Shift C"))))</f>
        <v/>
      </c>
      <c r="O95">
        <f>IF(B95="","",IF(IFERROR(ISNUMBER(SEARCH(TEXT(B95,"0"),VLOOKUP(E95,Machine_List!$B:$J,9,0))),FALSE),"✅ "&amp; E95,"❌ Sug: "&amp;IFERROR(INDEX(Machine_List!$B$82:$B$86,MATCH(1,(Machine_List!$H$82:$H$86&lt;=IFERROR(VLOOKUP($B95,OPR_BR1!$A$4:$K$18,10,0),0))*(Machine_List!$I$82:$I$86&gt;=IFERROR(VLOOKUP($B95,OPR_BR1!$A$4:$K$18,11,0),9999)),0)),"?")))</f>
        <v/>
      </c>
      <c r="P95">
        <f>IF(AND($A95&lt;&gt;"",P$3&gt;=$J95,P$3&lt;=$M95),1,"")</f>
        <v/>
      </c>
      <c r="Q95">
        <f>IF(AND($A95&lt;&gt;"",Q$3&gt;=$J95,Q$3&lt;=$M95),1,"")</f>
        <v/>
      </c>
      <c r="R95">
        <f>IF(AND($A95&lt;&gt;"",R$3&gt;=$J95,R$3&lt;=$M95),1,"")</f>
        <v/>
      </c>
      <c r="S95">
        <f>IF(AND($A95&lt;&gt;"",S$3&gt;=$J95,S$3&lt;=$M95),1,"")</f>
        <v/>
      </c>
      <c r="T95">
        <f>IF(AND($A95&lt;&gt;"",T$3&gt;=$J95,T$3&lt;=$M95),1,"")</f>
        <v/>
      </c>
      <c r="U95">
        <f>IF(AND($A95&lt;&gt;"",U$3&gt;=$J95,U$3&lt;=$M95),1,"")</f>
        <v/>
      </c>
      <c r="V95">
        <f>IF(AND($A95&lt;&gt;"",V$3&gt;=$J95,V$3&lt;=$M95),1,"")</f>
        <v/>
      </c>
      <c r="W95">
        <f>IF(AND($A95&lt;&gt;"",W$3&gt;=$J95,W$3&lt;=$M95),1,"")</f>
        <v/>
      </c>
      <c r="X95">
        <f>IF(AND($A95&lt;&gt;"",X$3&gt;=$J95,X$3&lt;=$M95),1,"")</f>
        <v/>
      </c>
      <c r="Y95">
        <f>IF(AND($A95&lt;&gt;"",Y$3&gt;=$J95,Y$3&lt;=$M95),1,"")</f>
        <v/>
      </c>
      <c r="Z95">
        <f>IF(AND($A95&lt;&gt;"",Z$3&gt;=$J95,Z$3&lt;=$M95),1,"")</f>
        <v/>
      </c>
      <c r="AA95">
        <f>IF(AND($A95&lt;&gt;"",AA$3&gt;=$J95,AA$3&lt;=$M95),1,"")</f>
        <v/>
      </c>
      <c r="AB95">
        <f>IF(AND($A95&lt;&gt;"",AB$3&gt;=$J95,AB$3&lt;=$M95),1,"")</f>
        <v/>
      </c>
      <c r="AC95">
        <f>IF(AND($A95&lt;&gt;"",AC$3&gt;=$J95,AC$3&lt;=$M95),1,"")</f>
        <v/>
      </c>
      <c r="AD95">
        <f>IF(AND($A95&lt;&gt;"",AD$3&gt;=$J95,AD$3&lt;=$M95),1,"")</f>
        <v/>
      </c>
      <c r="AE95">
        <f>IF(AND($A95&lt;&gt;"",AE$3&gt;=$J95,AE$3&lt;=$M95),1,"")</f>
        <v/>
      </c>
      <c r="AF95">
        <f>IF(AND($A95&lt;&gt;"",AF$3&gt;=$J95,AF$3&lt;=$M95),1,"")</f>
        <v/>
      </c>
      <c r="AG95">
        <f>IF(AND($A95&lt;&gt;"",AG$3&gt;=$J95,AG$3&lt;=$M95),1,"")</f>
        <v/>
      </c>
      <c r="AH95">
        <f>IF(AND($A95&lt;&gt;"",AH$3&gt;=$J95,AH$3&lt;=$M95),1,"")</f>
        <v/>
      </c>
      <c r="AI95">
        <f>IF(AND($A95&lt;&gt;"",AI$3&gt;=$J95,AI$3&lt;=$M95),1,"")</f>
        <v/>
      </c>
      <c r="AJ95">
        <f>IF(AND($A95&lt;&gt;"",AJ$3&gt;=$J95,AJ$3&lt;=$M95),1,"")</f>
        <v/>
      </c>
      <c r="AK95">
        <f>IF(AND($A95&lt;&gt;"",AK$3&gt;=$J95,AK$3&lt;=$M95),1,"")</f>
        <v/>
      </c>
      <c r="AL95">
        <f>IF(AND($A95&lt;&gt;"",AL$3&gt;=$J95,AL$3&lt;=$M95),1,"")</f>
        <v/>
      </c>
      <c r="AM95">
        <f>IF(AND($A95&lt;&gt;"",AM$3&gt;=$J95,AM$3&lt;=$M95),1,"")</f>
        <v/>
      </c>
      <c r="AN95">
        <f>IF(AND($A95&lt;&gt;"",AN$3&gt;=$J95,AN$3&lt;=$M95),1,"")</f>
        <v/>
      </c>
      <c r="AO95">
        <f>IF(AND($A95&lt;&gt;"",AO$3&gt;=$J95,AO$3&lt;=$M95),1,"")</f>
        <v/>
      </c>
      <c r="AP95">
        <f>IF(AND($A95&lt;&gt;"",AP$3&gt;=$J95,AP$3&lt;=$M95),1,"")</f>
        <v/>
      </c>
      <c r="AQ95">
        <f>IF(AND($A95&lt;&gt;"",AQ$3&gt;=$J95,AQ$3&lt;=$M95),1,"")</f>
        <v/>
      </c>
      <c r="AR95">
        <f>IF(AND($A95&lt;&gt;"",AR$3&gt;=$J95,AR$3&lt;=$M95),1,"")</f>
        <v/>
      </c>
      <c r="AS95">
        <f>IF(AND($A95&lt;&gt;"",AS$3&gt;=$J95,AS$3&lt;=$M95),1,"")</f>
        <v/>
      </c>
      <c r="AT95">
        <f>IF(AND($A95&lt;&gt;"",AT$3&gt;=$J95,AT$3&lt;=$M95),1,"")</f>
        <v/>
      </c>
      <c r="AU95">
        <f>IF(AND($A95&lt;&gt;"",AU$3&gt;=$J95,AU$3&lt;=$M95),1,"")</f>
        <v/>
      </c>
      <c r="AV95">
        <f>IF(AND($A95&lt;&gt;"",AV$3&gt;=$J95,AV$3&lt;=$M95),1,"")</f>
        <v/>
      </c>
      <c r="AW95">
        <f>IF(AND($A95&lt;&gt;"",AW$3&gt;=$J95,AW$3&lt;=$M95),1,"")</f>
        <v/>
      </c>
      <c r="AX95">
        <f>IF(AND($A95&lt;&gt;"",AX$3&gt;=$J95,AX$3&lt;=$M95),1,"")</f>
        <v/>
      </c>
      <c r="AY95">
        <f>IF(AND($A95&lt;&gt;"",AY$3&gt;=$J95,AY$3&lt;=$M95),1,"")</f>
        <v/>
      </c>
      <c r="AZ95">
        <f>IF(AND($A95&lt;&gt;"",AZ$3&gt;=$J95,AZ$3&lt;=$M95),1,"")</f>
        <v/>
      </c>
      <c r="BA95">
        <f>IF(AND($A95&lt;&gt;"",BA$3&gt;=$J95,BA$3&lt;=$M95),1,"")</f>
        <v/>
      </c>
      <c r="BB95">
        <f>IF(AND($A95&lt;&gt;"",BB$3&gt;=$J95,BB$3&lt;=$M95),1,"")</f>
        <v/>
      </c>
      <c r="BC95">
        <f>IF(AND($A95&lt;&gt;"",BC$3&gt;=$J95,BC$3&lt;=$M95),1,"")</f>
        <v/>
      </c>
      <c r="BD95">
        <f>IF(AND($A95&lt;&gt;"",BD$3&gt;=$J95,BD$3&lt;=$M95),1,"")</f>
        <v/>
      </c>
      <c r="BE95">
        <f>IF(AND($A95&lt;&gt;"",BE$3&gt;=$J95,BE$3&lt;=$M95),1,"")</f>
        <v/>
      </c>
      <c r="BF95">
        <f>IF(AND($A95&lt;&gt;"",BF$3&gt;=$J95,BF$3&lt;=$M95),1,"")</f>
        <v/>
      </c>
      <c r="BG95">
        <f>IF(AND($A95&lt;&gt;"",BG$3&gt;=$J95,BG$3&lt;=$M95),1,"")</f>
        <v/>
      </c>
      <c r="BH95">
        <f>IF(AND($A95&lt;&gt;"",BH$3&gt;=$J95,BH$3&lt;=$M95),1,"")</f>
        <v/>
      </c>
      <c r="BI95">
        <f>IF(AND($A95&lt;&gt;"",BI$3&gt;=$J95,BI$3&lt;=$M95),1,"")</f>
        <v/>
      </c>
      <c r="BJ95">
        <f>IF(AND($A95&lt;&gt;"",BJ$3&gt;=$J95,BJ$3&lt;=$M95),1,"")</f>
        <v/>
      </c>
      <c r="BK95">
        <f>IF(AND($A95&lt;&gt;"",BK$3&gt;=$J95,BK$3&lt;=$M95),1,"")</f>
        <v/>
      </c>
      <c r="BL95">
        <f>IF(AND($A95&lt;&gt;"",BL$3&gt;=$J95,BL$3&lt;=$M95),1,"")</f>
        <v/>
      </c>
      <c r="BM95">
        <f>IF(AND($A95&lt;&gt;"",BM$3&gt;=$J95,BM$3&lt;=$M95),1,"")</f>
        <v/>
      </c>
      <c r="BN95">
        <f>IF(AND($A95&lt;&gt;"",BN$3&gt;=$J95,BN$3&lt;=$M95),1,"")</f>
        <v/>
      </c>
      <c r="BO95">
        <f>IF(AND($A95&lt;&gt;"",BO$3&gt;=$J95,BO$3&lt;=$M95),1,"")</f>
        <v/>
      </c>
      <c r="BP95">
        <f>IF(AND($A95&lt;&gt;"",BP$3&gt;=$J95,BP$3&lt;=$M95),1,"")</f>
        <v/>
      </c>
      <c r="BQ95">
        <f>IF(AND($A95&lt;&gt;"",BQ$3&gt;=$J95,BQ$3&lt;=$M95),1,"")</f>
        <v/>
      </c>
      <c r="BR95">
        <f>IF(AND($A95&lt;&gt;"",BR$3&gt;=$J95,BR$3&lt;=$M95),1,"")</f>
        <v/>
      </c>
      <c r="BS95">
        <f>IF(AND($A95&lt;&gt;"",BS$3&gt;=$J95,BS$3&lt;=$M95),1,"")</f>
        <v/>
      </c>
      <c r="BT95">
        <f>IF(AND($A95&lt;&gt;"",BT$3&gt;=$J95,BT$3&lt;=$M95),1,"")</f>
        <v/>
      </c>
      <c r="BU95">
        <f>IF(AND($A95&lt;&gt;"",BU$3&gt;=$J95,BU$3&lt;=$M95),1,"")</f>
        <v/>
      </c>
      <c r="BV95">
        <f>IF(AND($A95&lt;&gt;"",BV$3&gt;=$J95,BV$3&lt;=$M95),1,"")</f>
        <v/>
      </c>
    </row>
    <row r="96">
      <c r="A96">
        <f>IF(Job_Master_Ring!$A96="","",Job_Master_Ring!$A96)</f>
        <v/>
      </c>
      <c r="B96">
        <f>IF($A96="","",Job_Master_Ring!B96)</f>
        <v/>
      </c>
      <c r="C96">
        <f>IF($A96="","",Job_Master_Ring!C96)</f>
        <v/>
      </c>
      <c r="D96">
        <f>IF($A96="","",Job_Master_Ring!D96)</f>
        <v/>
      </c>
      <c r="E96">
        <f>IF($A96="","",IF($I96&lt;&gt;"",$I96,IFERROR(INDEX(Machine_List!$B$82:$B$86,MATCH(1,(Machine_List!$H$82:$H$86&lt;=IFERROR(VLOOKUP($B96,CHOOSE(MATCH($C96,Settings!$L$4:$L$10,0),OPR_BR1!$A$4:$K$18,OPR_BR2!$A$4:$K$18,OPR_CR2!$A$4:$K$18,OPR_CR3!$A$4:$K$18,OPR_CR4!$A$4:$K$18,OPR_RIM!$A$4:$K$18,OPR_BPR!$A$4:$K$18),10,0),0))*(Machine_List!$I$82:$I$86&gt;=IFERROR(VLOOKUP($B96,CHOOSE(MATCH($C96,Settings!$L$4:$L$10,0),OPR_BR1!$A$4:$K$18,OPR_BR2!$A$4:$K$18,OPR_CR2!$A$4:$K$18,OPR_CR3!$A$4:$K$18,OPR_CR4!$A$4:$K$18,OPR_RIM!$A$4:$K$18,OPR_BPR!$A$4:$K$18),11,0),9999)),0)),"NO COMPATIBLE MACHINE")))</f>
        <v/>
      </c>
      <c r="F96">
        <f>IF($E96="","",IFERROR(VLOOKUP($E96,Machine_List!$B:$G,6,0),""))</f>
        <v/>
      </c>
      <c r="G96" s="17">
        <f>IF($E96="","",IFERROR(VLOOKUP($E96,Machine_List!$B:$C,2,0),""))</f>
        <v/>
      </c>
      <c r="H96">
        <f>IF($E96="","",IFERROR(VLOOKUP($E96,Machine_List!$B:$D,3,0),""))</f>
        <v/>
      </c>
      <c r="J96" s="16">
        <f>IF($A96="","",IF($I96&lt;&gt;"",$I96,MAX(FID_Plan!$M96,IFERROR(LOOKUP(2,1/($E$3:INDIRECT("E"&amp;(ROW()-1))=$E96),$M$3:INDIRECT("M"&amp;(ROW()-1))),FID_Plan!$M96))))</f>
        <v/>
      </c>
      <c r="K96">
        <f>IF($A96="","",IFERROR(VLOOKUP(B96,CHOOSE(MATCH($C96,Settings!$L$4:$L$10,0),OPR_BR1!$A$4:$I$18,OPR_BR2!$A$4:$I$18,OPR_CR2!$A$4:$I$18,OPR_CR3!$A$4:$I$18,OPR_CR4!$A$4:$I$18,OPR_RIM!$A$4:$I$18,OPR_BPR!$A$4:$I$18),9,0),0))</f>
        <v/>
      </c>
      <c r="L96">
        <f>IF($A96="","",K96*D96)</f>
        <v/>
      </c>
      <c r="M96" s="16">
        <f>IF($A96=""," ",$J96+($L96/(IF(F96="Contract Workman",Settings!$K$5,Settings!$K$4))))</f>
        <v/>
      </c>
      <c r="N96">
        <f>IF($A96="","",IF(F96="Contract Workman",IF(AND(MOD(M96,1)&gt;=8/24,MOD(M96,1)&lt;20/24),"Shift S1","Shift S2"),IF(AND(MOD(M96,1)&gt;=7/24,MOD(M96,1)&lt;15/24),"Shift A",IF(AND(MOD(M96,1)&gt;=15/24,MOD(M96,1)&lt;23/24),"Shift B","Shift C"))))</f>
        <v/>
      </c>
      <c r="O96">
        <f>IF(B96="","",IF(IFERROR(ISNUMBER(SEARCH(TEXT(B96,"0"),VLOOKUP(E96,Machine_List!$B:$J,9,0))),FALSE),"✅ "&amp; E96,"❌ Sug: "&amp;IFERROR(INDEX(Machine_List!$B$82:$B$86,MATCH(1,(Machine_List!$H$82:$H$86&lt;=IFERROR(VLOOKUP($B96,OPR_BR1!$A$4:$K$18,10,0),0))*(Machine_List!$I$82:$I$86&gt;=IFERROR(VLOOKUP($B96,OPR_BR1!$A$4:$K$18,11,0),9999)),0)),"?")))</f>
        <v/>
      </c>
      <c r="P96">
        <f>IF(AND($A96&lt;&gt;"",P$3&gt;=$J96,P$3&lt;=$M96),1,"")</f>
        <v/>
      </c>
      <c r="Q96">
        <f>IF(AND($A96&lt;&gt;"",Q$3&gt;=$J96,Q$3&lt;=$M96),1,"")</f>
        <v/>
      </c>
      <c r="R96">
        <f>IF(AND($A96&lt;&gt;"",R$3&gt;=$J96,R$3&lt;=$M96),1,"")</f>
        <v/>
      </c>
      <c r="S96">
        <f>IF(AND($A96&lt;&gt;"",S$3&gt;=$J96,S$3&lt;=$M96),1,"")</f>
        <v/>
      </c>
      <c r="T96">
        <f>IF(AND($A96&lt;&gt;"",T$3&gt;=$J96,T$3&lt;=$M96),1,"")</f>
        <v/>
      </c>
      <c r="U96">
        <f>IF(AND($A96&lt;&gt;"",U$3&gt;=$J96,U$3&lt;=$M96),1,"")</f>
        <v/>
      </c>
      <c r="V96">
        <f>IF(AND($A96&lt;&gt;"",V$3&gt;=$J96,V$3&lt;=$M96),1,"")</f>
        <v/>
      </c>
      <c r="W96">
        <f>IF(AND($A96&lt;&gt;"",W$3&gt;=$J96,W$3&lt;=$M96),1,"")</f>
        <v/>
      </c>
      <c r="X96">
        <f>IF(AND($A96&lt;&gt;"",X$3&gt;=$J96,X$3&lt;=$M96),1,"")</f>
        <v/>
      </c>
      <c r="Y96">
        <f>IF(AND($A96&lt;&gt;"",Y$3&gt;=$J96,Y$3&lt;=$M96),1,"")</f>
        <v/>
      </c>
      <c r="Z96">
        <f>IF(AND($A96&lt;&gt;"",Z$3&gt;=$J96,Z$3&lt;=$M96),1,"")</f>
        <v/>
      </c>
      <c r="AA96">
        <f>IF(AND($A96&lt;&gt;"",AA$3&gt;=$J96,AA$3&lt;=$M96),1,"")</f>
        <v/>
      </c>
      <c r="AB96">
        <f>IF(AND($A96&lt;&gt;"",AB$3&gt;=$J96,AB$3&lt;=$M96),1,"")</f>
        <v/>
      </c>
      <c r="AC96">
        <f>IF(AND($A96&lt;&gt;"",AC$3&gt;=$J96,AC$3&lt;=$M96),1,"")</f>
        <v/>
      </c>
      <c r="AD96">
        <f>IF(AND($A96&lt;&gt;"",AD$3&gt;=$J96,AD$3&lt;=$M96),1,"")</f>
        <v/>
      </c>
      <c r="AE96">
        <f>IF(AND($A96&lt;&gt;"",AE$3&gt;=$J96,AE$3&lt;=$M96),1,"")</f>
        <v/>
      </c>
      <c r="AF96">
        <f>IF(AND($A96&lt;&gt;"",AF$3&gt;=$J96,AF$3&lt;=$M96),1,"")</f>
        <v/>
      </c>
      <c r="AG96">
        <f>IF(AND($A96&lt;&gt;"",AG$3&gt;=$J96,AG$3&lt;=$M96),1,"")</f>
        <v/>
      </c>
      <c r="AH96">
        <f>IF(AND($A96&lt;&gt;"",AH$3&gt;=$J96,AH$3&lt;=$M96),1,"")</f>
        <v/>
      </c>
      <c r="AI96">
        <f>IF(AND($A96&lt;&gt;"",AI$3&gt;=$J96,AI$3&lt;=$M96),1,"")</f>
        <v/>
      </c>
      <c r="AJ96">
        <f>IF(AND($A96&lt;&gt;"",AJ$3&gt;=$J96,AJ$3&lt;=$M96),1,"")</f>
        <v/>
      </c>
      <c r="AK96">
        <f>IF(AND($A96&lt;&gt;"",AK$3&gt;=$J96,AK$3&lt;=$M96),1,"")</f>
        <v/>
      </c>
      <c r="AL96">
        <f>IF(AND($A96&lt;&gt;"",AL$3&gt;=$J96,AL$3&lt;=$M96),1,"")</f>
        <v/>
      </c>
      <c r="AM96">
        <f>IF(AND($A96&lt;&gt;"",AM$3&gt;=$J96,AM$3&lt;=$M96),1,"")</f>
        <v/>
      </c>
      <c r="AN96">
        <f>IF(AND($A96&lt;&gt;"",AN$3&gt;=$J96,AN$3&lt;=$M96),1,"")</f>
        <v/>
      </c>
      <c r="AO96">
        <f>IF(AND($A96&lt;&gt;"",AO$3&gt;=$J96,AO$3&lt;=$M96),1,"")</f>
        <v/>
      </c>
      <c r="AP96">
        <f>IF(AND($A96&lt;&gt;"",AP$3&gt;=$J96,AP$3&lt;=$M96),1,"")</f>
        <v/>
      </c>
      <c r="AQ96">
        <f>IF(AND($A96&lt;&gt;"",AQ$3&gt;=$J96,AQ$3&lt;=$M96),1,"")</f>
        <v/>
      </c>
      <c r="AR96">
        <f>IF(AND($A96&lt;&gt;"",AR$3&gt;=$J96,AR$3&lt;=$M96),1,"")</f>
        <v/>
      </c>
      <c r="AS96">
        <f>IF(AND($A96&lt;&gt;"",AS$3&gt;=$J96,AS$3&lt;=$M96),1,"")</f>
        <v/>
      </c>
      <c r="AT96">
        <f>IF(AND($A96&lt;&gt;"",AT$3&gt;=$J96,AT$3&lt;=$M96),1,"")</f>
        <v/>
      </c>
      <c r="AU96">
        <f>IF(AND($A96&lt;&gt;"",AU$3&gt;=$J96,AU$3&lt;=$M96),1,"")</f>
        <v/>
      </c>
      <c r="AV96">
        <f>IF(AND($A96&lt;&gt;"",AV$3&gt;=$J96,AV$3&lt;=$M96),1,"")</f>
        <v/>
      </c>
      <c r="AW96">
        <f>IF(AND($A96&lt;&gt;"",AW$3&gt;=$J96,AW$3&lt;=$M96),1,"")</f>
        <v/>
      </c>
      <c r="AX96">
        <f>IF(AND($A96&lt;&gt;"",AX$3&gt;=$J96,AX$3&lt;=$M96),1,"")</f>
        <v/>
      </c>
      <c r="AY96">
        <f>IF(AND($A96&lt;&gt;"",AY$3&gt;=$J96,AY$3&lt;=$M96),1,"")</f>
        <v/>
      </c>
      <c r="AZ96">
        <f>IF(AND($A96&lt;&gt;"",AZ$3&gt;=$J96,AZ$3&lt;=$M96),1,"")</f>
        <v/>
      </c>
      <c r="BA96">
        <f>IF(AND($A96&lt;&gt;"",BA$3&gt;=$J96,BA$3&lt;=$M96),1,"")</f>
        <v/>
      </c>
      <c r="BB96">
        <f>IF(AND($A96&lt;&gt;"",BB$3&gt;=$J96,BB$3&lt;=$M96),1,"")</f>
        <v/>
      </c>
      <c r="BC96">
        <f>IF(AND($A96&lt;&gt;"",BC$3&gt;=$J96,BC$3&lt;=$M96),1,"")</f>
        <v/>
      </c>
      <c r="BD96">
        <f>IF(AND($A96&lt;&gt;"",BD$3&gt;=$J96,BD$3&lt;=$M96),1,"")</f>
        <v/>
      </c>
      <c r="BE96">
        <f>IF(AND($A96&lt;&gt;"",BE$3&gt;=$J96,BE$3&lt;=$M96),1,"")</f>
        <v/>
      </c>
      <c r="BF96">
        <f>IF(AND($A96&lt;&gt;"",BF$3&gt;=$J96,BF$3&lt;=$M96),1,"")</f>
        <v/>
      </c>
      <c r="BG96">
        <f>IF(AND($A96&lt;&gt;"",BG$3&gt;=$J96,BG$3&lt;=$M96),1,"")</f>
        <v/>
      </c>
      <c r="BH96">
        <f>IF(AND($A96&lt;&gt;"",BH$3&gt;=$J96,BH$3&lt;=$M96),1,"")</f>
        <v/>
      </c>
      <c r="BI96">
        <f>IF(AND($A96&lt;&gt;"",BI$3&gt;=$J96,BI$3&lt;=$M96),1,"")</f>
        <v/>
      </c>
      <c r="BJ96">
        <f>IF(AND($A96&lt;&gt;"",BJ$3&gt;=$J96,BJ$3&lt;=$M96),1,"")</f>
        <v/>
      </c>
      <c r="BK96">
        <f>IF(AND($A96&lt;&gt;"",BK$3&gt;=$J96,BK$3&lt;=$M96),1,"")</f>
        <v/>
      </c>
      <c r="BL96">
        <f>IF(AND($A96&lt;&gt;"",BL$3&gt;=$J96,BL$3&lt;=$M96),1,"")</f>
        <v/>
      </c>
      <c r="BM96">
        <f>IF(AND($A96&lt;&gt;"",BM$3&gt;=$J96,BM$3&lt;=$M96),1,"")</f>
        <v/>
      </c>
      <c r="BN96">
        <f>IF(AND($A96&lt;&gt;"",BN$3&gt;=$J96,BN$3&lt;=$M96),1,"")</f>
        <v/>
      </c>
      <c r="BO96">
        <f>IF(AND($A96&lt;&gt;"",BO$3&gt;=$J96,BO$3&lt;=$M96),1,"")</f>
        <v/>
      </c>
      <c r="BP96">
        <f>IF(AND($A96&lt;&gt;"",BP$3&gt;=$J96,BP$3&lt;=$M96),1,"")</f>
        <v/>
      </c>
      <c r="BQ96">
        <f>IF(AND($A96&lt;&gt;"",BQ$3&gt;=$J96,BQ$3&lt;=$M96),1,"")</f>
        <v/>
      </c>
      <c r="BR96">
        <f>IF(AND($A96&lt;&gt;"",BR$3&gt;=$J96,BR$3&lt;=$M96),1,"")</f>
        <v/>
      </c>
      <c r="BS96">
        <f>IF(AND($A96&lt;&gt;"",BS$3&gt;=$J96,BS$3&lt;=$M96),1,"")</f>
        <v/>
      </c>
      <c r="BT96">
        <f>IF(AND($A96&lt;&gt;"",BT$3&gt;=$J96,BT$3&lt;=$M96),1,"")</f>
        <v/>
      </c>
      <c r="BU96">
        <f>IF(AND($A96&lt;&gt;"",BU$3&gt;=$J96,BU$3&lt;=$M96),1,"")</f>
        <v/>
      </c>
      <c r="BV96">
        <f>IF(AND($A96&lt;&gt;"",BV$3&gt;=$J96,BV$3&lt;=$M96),1,"")</f>
        <v/>
      </c>
    </row>
    <row r="97">
      <c r="A97">
        <f>IF(Job_Master_Ring!$A97="","",Job_Master_Ring!$A97)</f>
        <v/>
      </c>
      <c r="B97">
        <f>IF($A97="","",Job_Master_Ring!B97)</f>
        <v/>
      </c>
      <c r="C97">
        <f>IF($A97="","",Job_Master_Ring!C97)</f>
        <v/>
      </c>
      <c r="D97">
        <f>IF($A97="","",Job_Master_Ring!D97)</f>
        <v/>
      </c>
      <c r="E97">
        <f>IF($A97="","",IF($I97&lt;&gt;"",$I97,IFERROR(INDEX(Machine_List!$B$82:$B$86,MATCH(1,(Machine_List!$H$82:$H$86&lt;=IFERROR(VLOOKUP($B97,CHOOSE(MATCH($C97,Settings!$L$4:$L$10,0),OPR_BR1!$A$4:$K$18,OPR_BR2!$A$4:$K$18,OPR_CR2!$A$4:$K$18,OPR_CR3!$A$4:$K$18,OPR_CR4!$A$4:$K$18,OPR_RIM!$A$4:$K$18,OPR_BPR!$A$4:$K$18),10,0),0))*(Machine_List!$I$82:$I$86&gt;=IFERROR(VLOOKUP($B97,CHOOSE(MATCH($C97,Settings!$L$4:$L$10,0),OPR_BR1!$A$4:$K$18,OPR_BR2!$A$4:$K$18,OPR_CR2!$A$4:$K$18,OPR_CR3!$A$4:$K$18,OPR_CR4!$A$4:$K$18,OPR_RIM!$A$4:$K$18,OPR_BPR!$A$4:$K$18),11,0),9999)),0)),"NO COMPATIBLE MACHINE")))</f>
        <v/>
      </c>
      <c r="F97">
        <f>IF($E97="","",IFERROR(VLOOKUP($E97,Machine_List!$B:$G,6,0),""))</f>
        <v/>
      </c>
      <c r="G97" s="17">
        <f>IF($E97="","",IFERROR(VLOOKUP($E97,Machine_List!$B:$C,2,0),""))</f>
        <v/>
      </c>
      <c r="H97">
        <f>IF($E97="","",IFERROR(VLOOKUP($E97,Machine_List!$B:$D,3,0),""))</f>
        <v/>
      </c>
      <c r="J97" s="16">
        <f>IF($A97="","",IF($I97&lt;&gt;"",$I97,MAX(FID_Plan!$M97,IFERROR(LOOKUP(2,1/($E$3:INDIRECT("E"&amp;(ROW()-1))=$E97),$M$3:INDIRECT("M"&amp;(ROW()-1))),FID_Plan!$M97))))</f>
        <v/>
      </c>
      <c r="K97">
        <f>IF($A97="","",IFERROR(VLOOKUP(B97,CHOOSE(MATCH($C97,Settings!$L$4:$L$10,0),OPR_BR1!$A$4:$I$18,OPR_BR2!$A$4:$I$18,OPR_CR2!$A$4:$I$18,OPR_CR3!$A$4:$I$18,OPR_CR4!$A$4:$I$18,OPR_RIM!$A$4:$I$18,OPR_BPR!$A$4:$I$18),9,0),0))</f>
        <v/>
      </c>
      <c r="L97">
        <f>IF($A97="","",K97*D97)</f>
        <v/>
      </c>
      <c r="M97" s="16">
        <f>IF($A97=""," ",$J97+($L97/(IF(F97="Contract Workman",Settings!$K$5,Settings!$K$4))))</f>
        <v/>
      </c>
      <c r="N97">
        <f>IF($A97="","",IF(F97="Contract Workman",IF(AND(MOD(M97,1)&gt;=8/24,MOD(M97,1)&lt;20/24),"Shift S1","Shift S2"),IF(AND(MOD(M97,1)&gt;=7/24,MOD(M97,1)&lt;15/24),"Shift A",IF(AND(MOD(M97,1)&gt;=15/24,MOD(M97,1)&lt;23/24),"Shift B","Shift C"))))</f>
        <v/>
      </c>
      <c r="O97">
        <f>IF(B97="","",IF(IFERROR(ISNUMBER(SEARCH(TEXT(B97,"0"),VLOOKUP(E97,Machine_List!$B:$J,9,0))),FALSE),"✅ "&amp; E97,"❌ Sug: "&amp;IFERROR(INDEX(Machine_List!$B$82:$B$86,MATCH(1,(Machine_List!$H$82:$H$86&lt;=IFERROR(VLOOKUP($B97,OPR_BR1!$A$4:$K$18,10,0),0))*(Machine_List!$I$82:$I$86&gt;=IFERROR(VLOOKUP($B97,OPR_BR1!$A$4:$K$18,11,0),9999)),0)),"?")))</f>
        <v/>
      </c>
      <c r="P97">
        <f>IF(AND($A97&lt;&gt;"",P$3&gt;=$J97,P$3&lt;=$M97),1,"")</f>
        <v/>
      </c>
      <c r="Q97">
        <f>IF(AND($A97&lt;&gt;"",Q$3&gt;=$J97,Q$3&lt;=$M97),1,"")</f>
        <v/>
      </c>
      <c r="R97">
        <f>IF(AND($A97&lt;&gt;"",R$3&gt;=$J97,R$3&lt;=$M97),1,"")</f>
        <v/>
      </c>
      <c r="S97">
        <f>IF(AND($A97&lt;&gt;"",S$3&gt;=$J97,S$3&lt;=$M97),1,"")</f>
        <v/>
      </c>
      <c r="T97">
        <f>IF(AND($A97&lt;&gt;"",T$3&gt;=$J97,T$3&lt;=$M97),1,"")</f>
        <v/>
      </c>
      <c r="U97">
        <f>IF(AND($A97&lt;&gt;"",U$3&gt;=$J97,U$3&lt;=$M97),1,"")</f>
        <v/>
      </c>
      <c r="V97">
        <f>IF(AND($A97&lt;&gt;"",V$3&gt;=$J97,V$3&lt;=$M97),1,"")</f>
        <v/>
      </c>
      <c r="W97">
        <f>IF(AND($A97&lt;&gt;"",W$3&gt;=$J97,W$3&lt;=$M97),1,"")</f>
        <v/>
      </c>
      <c r="X97">
        <f>IF(AND($A97&lt;&gt;"",X$3&gt;=$J97,X$3&lt;=$M97),1,"")</f>
        <v/>
      </c>
      <c r="Y97">
        <f>IF(AND($A97&lt;&gt;"",Y$3&gt;=$J97,Y$3&lt;=$M97),1,"")</f>
        <v/>
      </c>
      <c r="Z97">
        <f>IF(AND($A97&lt;&gt;"",Z$3&gt;=$J97,Z$3&lt;=$M97),1,"")</f>
        <v/>
      </c>
      <c r="AA97">
        <f>IF(AND($A97&lt;&gt;"",AA$3&gt;=$J97,AA$3&lt;=$M97),1,"")</f>
        <v/>
      </c>
      <c r="AB97">
        <f>IF(AND($A97&lt;&gt;"",AB$3&gt;=$J97,AB$3&lt;=$M97),1,"")</f>
        <v/>
      </c>
      <c r="AC97">
        <f>IF(AND($A97&lt;&gt;"",AC$3&gt;=$J97,AC$3&lt;=$M97),1,"")</f>
        <v/>
      </c>
      <c r="AD97">
        <f>IF(AND($A97&lt;&gt;"",AD$3&gt;=$J97,AD$3&lt;=$M97),1,"")</f>
        <v/>
      </c>
      <c r="AE97">
        <f>IF(AND($A97&lt;&gt;"",AE$3&gt;=$J97,AE$3&lt;=$M97),1,"")</f>
        <v/>
      </c>
      <c r="AF97">
        <f>IF(AND($A97&lt;&gt;"",AF$3&gt;=$J97,AF$3&lt;=$M97),1,"")</f>
        <v/>
      </c>
      <c r="AG97">
        <f>IF(AND($A97&lt;&gt;"",AG$3&gt;=$J97,AG$3&lt;=$M97),1,"")</f>
        <v/>
      </c>
      <c r="AH97">
        <f>IF(AND($A97&lt;&gt;"",AH$3&gt;=$J97,AH$3&lt;=$M97),1,"")</f>
        <v/>
      </c>
      <c r="AI97">
        <f>IF(AND($A97&lt;&gt;"",AI$3&gt;=$J97,AI$3&lt;=$M97),1,"")</f>
        <v/>
      </c>
      <c r="AJ97">
        <f>IF(AND($A97&lt;&gt;"",AJ$3&gt;=$J97,AJ$3&lt;=$M97),1,"")</f>
        <v/>
      </c>
      <c r="AK97">
        <f>IF(AND($A97&lt;&gt;"",AK$3&gt;=$J97,AK$3&lt;=$M97),1,"")</f>
        <v/>
      </c>
      <c r="AL97">
        <f>IF(AND($A97&lt;&gt;"",AL$3&gt;=$J97,AL$3&lt;=$M97),1,"")</f>
        <v/>
      </c>
      <c r="AM97">
        <f>IF(AND($A97&lt;&gt;"",AM$3&gt;=$J97,AM$3&lt;=$M97),1,"")</f>
        <v/>
      </c>
      <c r="AN97">
        <f>IF(AND($A97&lt;&gt;"",AN$3&gt;=$J97,AN$3&lt;=$M97),1,"")</f>
        <v/>
      </c>
      <c r="AO97">
        <f>IF(AND($A97&lt;&gt;"",AO$3&gt;=$J97,AO$3&lt;=$M97),1,"")</f>
        <v/>
      </c>
      <c r="AP97">
        <f>IF(AND($A97&lt;&gt;"",AP$3&gt;=$J97,AP$3&lt;=$M97),1,"")</f>
        <v/>
      </c>
      <c r="AQ97">
        <f>IF(AND($A97&lt;&gt;"",AQ$3&gt;=$J97,AQ$3&lt;=$M97),1,"")</f>
        <v/>
      </c>
      <c r="AR97">
        <f>IF(AND($A97&lt;&gt;"",AR$3&gt;=$J97,AR$3&lt;=$M97),1,"")</f>
        <v/>
      </c>
      <c r="AS97">
        <f>IF(AND($A97&lt;&gt;"",AS$3&gt;=$J97,AS$3&lt;=$M97),1,"")</f>
        <v/>
      </c>
      <c r="AT97">
        <f>IF(AND($A97&lt;&gt;"",AT$3&gt;=$J97,AT$3&lt;=$M97),1,"")</f>
        <v/>
      </c>
      <c r="AU97">
        <f>IF(AND($A97&lt;&gt;"",AU$3&gt;=$J97,AU$3&lt;=$M97),1,"")</f>
        <v/>
      </c>
      <c r="AV97">
        <f>IF(AND($A97&lt;&gt;"",AV$3&gt;=$J97,AV$3&lt;=$M97),1,"")</f>
        <v/>
      </c>
      <c r="AW97">
        <f>IF(AND($A97&lt;&gt;"",AW$3&gt;=$J97,AW$3&lt;=$M97),1,"")</f>
        <v/>
      </c>
      <c r="AX97">
        <f>IF(AND($A97&lt;&gt;"",AX$3&gt;=$J97,AX$3&lt;=$M97),1,"")</f>
        <v/>
      </c>
      <c r="AY97">
        <f>IF(AND($A97&lt;&gt;"",AY$3&gt;=$J97,AY$3&lt;=$M97),1,"")</f>
        <v/>
      </c>
      <c r="AZ97">
        <f>IF(AND($A97&lt;&gt;"",AZ$3&gt;=$J97,AZ$3&lt;=$M97),1,"")</f>
        <v/>
      </c>
      <c r="BA97">
        <f>IF(AND($A97&lt;&gt;"",BA$3&gt;=$J97,BA$3&lt;=$M97),1,"")</f>
        <v/>
      </c>
      <c r="BB97">
        <f>IF(AND($A97&lt;&gt;"",BB$3&gt;=$J97,BB$3&lt;=$M97),1,"")</f>
        <v/>
      </c>
      <c r="BC97">
        <f>IF(AND($A97&lt;&gt;"",BC$3&gt;=$J97,BC$3&lt;=$M97),1,"")</f>
        <v/>
      </c>
      <c r="BD97">
        <f>IF(AND($A97&lt;&gt;"",BD$3&gt;=$J97,BD$3&lt;=$M97),1,"")</f>
        <v/>
      </c>
      <c r="BE97">
        <f>IF(AND($A97&lt;&gt;"",BE$3&gt;=$J97,BE$3&lt;=$M97),1,"")</f>
        <v/>
      </c>
      <c r="BF97">
        <f>IF(AND($A97&lt;&gt;"",BF$3&gt;=$J97,BF$3&lt;=$M97),1,"")</f>
        <v/>
      </c>
      <c r="BG97">
        <f>IF(AND($A97&lt;&gt;"",BG$3&gt;=$J97,BG$3&lt;=$M97),1,"")</f>
        <v/>
      </c>
      <c r="BH97">
        <f>IF(AND($A97&lt;&gt;"",BH$3&gt;=$J97,BH$3&lt;=$M97),1,"")</f>
        <v/>
      </c>
      <c r="BI97">
        <f>IF(AND($A97&lt;&gt;"",BI$3&gt;=$J97,BI$3&lt;=$M97),1,"")</f>
        <v/>
      </c>
      <c r="BJ97">
        <f>IF(AND($A97&lt;&gt;"",BJ$3&gt;=$J97,BJ$3&lt;=$M97),1,"")</f>
        <v/>
      </c>
      <c r="BK97">
        <f>IF(AND($A97&lt;&gt;"",BK$3&gt;=$J97,BK$3&lt;=$M97),1,"")</f>
        <v/>
      </c>
      <c r="BL97">
        <f>IF(AND($A97&lt;&gt;"",BL$3&gt;=$J97,BL$3&lt;=$M97),1,"")</f>
        <v/>
      </c>
      <c r="BM97">
        <f>IF(AND($A97&lt;&gt;"",BM$3&gt;=$J97,BM$3&lt;=$M97),1,"")</f>
        <v/>
      </c>
      <c r="BN97">
        <f>IF(AND($A97&lt;&gt;"",BN$3&gt;=$J97,BN$3&lt;=$M97),1,"")</f>
        <v/>
      </c>
      <c r="BO97">
        <f>IF(AND($A97&lt;&gt;"",BO$3&gt;=$J97,BO$3&lt;=$M97),1,"")</f>
        <v/>
      </c>
      <c r="BP97">
        <f>IF(AND($A97&lt;&gt;"",BP$3&gt;=$J97,BP$3&lt;=$M97),1,"")</f>
        <v/>
      </c>
      <c r="BQ97">
        <f>IF(AND($A97&lt;&gt;"",BQ$3&gt;=$J97,BQ$3&lt;=$M97),1,"")</f>
        <v/>
      </c>
      <c r="BR97">
        <f>IF(AND($A97&lt;&gt;"",BR$3&gt;=$J97,BR$3&lt;=$M97),1,"")</f>
        <v/>
      </c>
      <c r="BS97">
        <f>IF(AND($A97&lt;&gt;"",BS$3&gt;=$J97,BS$3&lt;=$M97),1,"")</f>
        <v/>
      </c>
      <c r="BT97">
        <f>IF(AND($A97&lt;&gt;"",BT$3&gt;=$J97,BT$3&lt;=$M97),1,"")</f>
        <v/>
      </c>
      <c r="BU97">
        <f>IF(AND($A97&lt;&gt;"",BU$3&gt;=$J97,BU$3&lt;=$M97),1,"")</f>
        <v/>
      </c>
      <c r="BV97">
        <f>IF(AND($A97&lt;&gt;"",BV$3&gt;=$J97,BV$3&lt;=$M97),1,"")</f>
        <v/>
      </c>
    </row>
    <row r="98">
      <c r="A98">
        <f>IF(Job_Master_Ring!$A98="","",Job_Master_Ring!$A98)</f>
        <v/>
      </c>
      <c r="B98">
        <f>IF($A98="","",Job_Master_Ring!B98)</f>
        <v/>
      </c>
      <c r="C98">
        <f>IF($A98="","",Job_Master_Ring!C98)</f>
        <v/>
      </c>
      <c r="D98">
        <f>IF($A98="","",Job_Master_Ring!D98)</f>
        <v/>
      </c>
      <c r="E98">
        <f>IF($A98="","",IF($I98&lt;&gt;"",$I98,IFERROR(INDEX(Machine_List!$B$82:$B$86,MATCH(1,(Machine_List!$H$82:$H$86&lt;=IFERROR(VLOOKUP($B98,CHOOSE(MATCH($C98,Settings!$L$4:$L$10,0),OPR_BR1!$A$4:$K$18,OPR_BR2!$A$4:$K$18,OPR_CR2!$A$4:$K$18,OPR_CR3!$A$4:$K$18,OPR_CR4!$A$4:$K$18,OPR_RIM!$A$4:$K$18,OPR_BPR!$A$4:$K$18),10,0),0))*(Machine_List!$I$82:$I$86&gt;=IFERROR(VLOOKUP($B98,CHOOSE(MATCH($C98,Settings!$L$4:$L$10,0),OPR_BR1!$A$4:$K$18,OPR_BR2!$A$4:$K$18,OPR_CR2!$A$4:$K$18,OPR_CR3!$A$4:$K$18,OPR_CR4!$A$4:$K$18,OPR_RIM!$A$4:$K$18,OPR_BPR!$A$4:$K$18),11,0),9999)),0)),"NO COMPATIBLE MACHINE")))</f>
        <v/>
      </c>
      <c r="F98">
        <f>IF($E98="","",IFERROR(VLOOKUP($E98,Machine_List!$B:$G,6,0),""))</f>
        <v/>
      </c>
      <c r="G98" s="17">
        <f>IF($E98="","",IFERROR(VLOOKUP($E98,Machine_List!$B:$C,2,0),""))</f>
        <v/>
      </c>
      <c r="H98">
        <f>IF($E98="","",IFERROR(VLOOKUP($E98,Machine_List!$B:$D,3,0),""))</f>
        <v/>
      </c>
      <c r="J98" s="16">
        <f>IF($A98="","",IF($I98&lt;&gt;"",$I98,MAX(FID_Plan!$M98,IFERROR(LOOKUP(2,1/($E$3:INDIRECT("E"&amp;(ROW()-1))=$E98),$M$3:INDIRECT("M"&amp;(ROW()-1))),FID_Plan!$M98))))</f>
        <v/>
      </c>
      <c r="K98">
        <f>IF($A98="","",IFERROR(VLOOKUP(B98,CHOOSE(MATCH($C98,Settings!$L$4:$L$10,0),OPR_BR1!$A$4:$I$18,OPR_BR2!$A$4:$I$18,OPR_CR2!$A$4:$I$18,OPR_CR3!$A$4:$I$18,OPR_CR4!$A$4:$I$18,OPR_RIM!$A$4:$I$18,OPR_BPR!$A$4:$I$18),9,0),0))</f>
        <v/>
      </c>
      <c r="L98">
        <f>IF($A98="","",K98*D98)</f>
        <v/>
      </c>
      <c r="M98" s="16">
        <f>IF($A98=""," ",$J98+($L98/(IF(F98="Contract Workman",Settings!$K$5,Settings!$K$4))))</f>
        <v/>
      </c>
      <c r="N98">
        <f>IF($A98="","",IF(F98="Contract Workman",IF(AND(MOD(M98,1)&gt;=8/24,MOD(M98,1)&lt;20/24),"Shift S1","Shift S2"),IF(AND(MOD(M98,1)&gt;=7/24,MOD(M98,1)&lt;15/24),"Shift A",IF(AND(MOD(M98,1)&gt;=15/24,MOD(M98,1)&lt;23/24),"Shift B","Shift C"))))</f>
        <v/>
      </c>
      <c r="O98">
        <f>IF(B98="","",IF(IFERROR(ISNUMBER(SEARCH(TEXT(B98,"0"),VLOOKUP(E98,Machine_List!$B:$J,9,0))),FALSE),"✅ "&amp; E98,"❌ Sug: "&amp;IFERROR(INDEX(Machine_List!$B$82:$B$86,MATCH(1,(Machine_List!$H$82:$H$86&lt;=IFERROR(VLOOKUP($B98,OPR_BR1!$A$4:$K$18,10,0),0))*(Machine_List!$I$82:$I$86&gt;=IFERROR(VLOOKUP($B98,OPR_BR1!$A$4:$K$18,11,0),9999)),0)),"?")))</f>
        <v/>
      </c>
      <c r="P98">
        <f>IF(AND($A98&lt;&gt;"",P$3&gt;=$J98,P$3&lt;=$M98),1,"")</f>
        <v/>
      </c>
      <c r="Q98">
        <f>IF(AND($A98&lt;&gt;"",Q$3&gt;=$J98,Q$3&lt;=$M98),1,"")</f>
        <v/>
      </c>
      <c r="R98">
        <f>IF(AND($A98&lt;&gt;"",R$3&gt;=$J98,R$3&lt;=$M98),1,"")</f>
        <v/>
      </c>
      <c r="S98">
        <f>IF(AND($A98&lt;&gt;"",S$3&gt;=$J98,S$3&lt;=$M98),1,"")</f>
        <v/>
      </c>
      <c r="T98">
        <f>IF(AND($A98&lt;&gt;"",T$3&gt;=$J98,T$3&lt;=$M98),1,"")</f>
        <v/>
      </c>
      <c r="U98">
        <f>IF(AND($A98&lt;&gt;"",U$3&gt;=$J98,U$3&lt;=$M98),1,"")</f>
        <v/>
      </c>
      <c r="V98">
        <f>IF(AND($A98&lt;&gt;"",V$3&gt;=$J98,V$3&lt;=$M98),1,"")</f>
        <v/>
      </c>
      <c r="W98">
        <f>IF(AND($A98&lt;&gt;"",W$3&gt;=$J98,W$3&lt;=$M98),1,"")</f>
        <v/>
      </c>
      <c r="X98">
        <f>IF(AND($A98&lt;&gt;"",X$3&gt;=$J98,X$3&lt;=$M98),1,"")</f>
        <v/>
      </c>
      <c r="Y98">
        <f>IF(AND($A98&lt;&gt;"",Y$3&gt;=$J98,Y$3&lt;=$M98),1,"")</f>
        <v/>
      </c>
      <c r="Z98">
        <f>IF(AND($A98&lt;&gt;"",Z$3&gt;=$J98,Z$3&lt;=$M98),1,"")</f>
        <v/>
      </c>
      <c r="AA98">
        <f>IF(AND($A98&lt;&gt;"",AA$3&gt;=$J98,AA$3&lt;=$M98),1,"")</f>
        <v/>
      </c>
      <c r="AB98">
        <f>IF(AND($A98&lt;&gt;"",AB$3&gt;=$J98,AB$3&lt;=$M98),1,"")</f>
        <v/>
      </c>
      <c r="AC98">
        <f>IF(AND($A98&lt;&gt;"",AC$3&gt;=$J98,AC$3&lt;=$M98),1,"")</f>
        <v/>
      </c>
      <c r="AD98">
        <f>IF(AND($A98&lt;&gt;"",AD$3&gt;=$J98,AD$3&lt;=$M98),1,"")</f>
        <v/>
      </c>
      <c r="AE98">
        <f>IF(AND($A98&lt;&gt;"",AE$3&gt;=$J98,AE$3&lt;=$M98),1,"")</f>
        <v/>
      </c>
      <c r="AF98">
        <f>IF(AND($A98&lt;&gt;"",AF$3&gt;=$J98,AF$3&lt;=$M98),1,"")</f>
        <v/>
      </c>
      <c r="AG98">
        <f>IF(AND($A98&lt;&gt;"",AG$3&gt;=$J98,AG$3&lt;=$M98),1,"")</f>
        <v/>
      </c>
      <c r="AH98">
        <f>IF(AND($A98&lt;&gt;"",AH$3&gt;=$J98,AH$3&lt;=$M98),1,"")</f>
        <v/>
      </c>
      <c r="AI98">
        <f>IF(AND($A98&lt;&gt;"",AI$3&gt;=$J98,AI$3&lt;=$M98),1,"")</f>
        <v/>
      </c>
      <c r="AJ98">
        <f>IF(AND($A98&lt;&gt;"",AJ$3&gt;=$J98,AJ$3&lt;=$M98),1,"")</f>
        <v/>
      </c>
      <c r="AK98">
        <f>IF(AND($A98&lt;&gt;"",AK$3&gt;=$J98,AK$3&lt;=$M98),1,"")</f>
        <v/>
      </c>
      <c r="AL98">
        <f>IF(AND($A98&lt;&gt;"",AL$3&gt;=$J98,AL$3&lt;=$M98),1,"")</f>
        <v/>
      </c>
      <c r="AM98">
        <f>IF(AND($A98&lt;&gt;"",AM$3&gt;=$J98,AM$3&lt;=$M98),1,"")</f>
        <v/>
      </c>
      <c r="AN98">
        <f>IF(AND($A98&lt;&gt;"",AN$3&gt;=$J98,AN$3&lt;=$M98),1,"")</f>
        <v/>
      </c>
      <c r="AO98">
        <f>IF(AND($A98&lt;&gt;"",AO$3&gt;=$J98,AO$3&lt;=$M98),1,"")</f>
        <v/>
      </c>
      <c r="AP98">
        <f>IF(AND($A98&lt;&gt;"",AP$3&gt;=$J98,AP$3&lt;=$M98),1,"")</f>
        <v/>
      </c>
      <c r="AQ98">
        <f>IF(AND($A98&lt;&gt;"",AQ$3&gt;=$J98,AQ$3&lt;=$M98),1,"")</f>
        <v/>
      </c>
      <c r="AR98">
        <f>IF(AND($A98&lt;&gt;"",AR$3&gt;=$J98,AR$3&lt;=$M98),1,"")</f>
        <v/>
      </c>
      <c r="AS98">
        <f>IF(AND($A98&lt;&gt;"",AS$3&gt;=$J98,AS$3&lt;=$M98),1,"")</f>
        <v/>
      </c>
      <c r="AT98">
        <f>IF(AND($A98&lt;&gt;"",AT$3&gt;=$J98,AT$3&lt;=$M98),1,"")</f>
        <v/>
      </c>
      <c r="AU98">
        <f>IF(AND($A98&lt;&gt;"",AU$3&gt;=$J98,AU$3&lt;=$M98),1,"")</f>
        <v/>
      </c>
      <c r="AV98">
        <f>IF(AND($A98&lt;&gt;"",AV$3&gt;=$J98,AV$3&lt;=$M98),1,"")</f>
        <v/>
      </c>
      <c r="AW98">
        <f>IF(AND($A98&lt;&gt;"",AW$3&gt;=$J98,AW$3&lt;=$M98),1,"")</f>
        <v/>
      </c>
      <c r="AX98">
        <f>IF(AND($A98&lt;&gt;"",AX$3&gt;=$J98,AX$3&lt;=$M98),1,"")</f>
        <v/>
      </c>
      <c r="AY98">
        <f>IF(AND($A98&lt;&gt;"",AY$3&gt;=$J98,AY$3&lt;=$M98),1,"")</f>
        <v/>
      </c>
      <c r="AZ98">
        <f>IF(AND($A98&lt;&gt;"",AZ$3&gt;=$J98,AZ$3&lt;=$M98),1,"")</f>
        <v/>
      </c>
      <c r="BA98">
        <f>IF(AND($A98&lt;&gt;"",BA$3&gt;=$J98,BA$3&lt;=$M98),1,"")</f>
        <v/>
      </c>
      <c r="BB98">
        <f>IF(AND($A98&lt;&gt;"",BB$3&gt;=$J98,BB$3&lt;=$M98),1,"")</f>
        <v/>
      </c>
      <c r="BC98">
        <f>IF(AND($A98&lt;&gt;"",BC$3&gt;=$J98,BC$3&lt;=$M98),1,"")</f>
        <v/>
      </c>
      <c r="BD98">
        <f>IF(AND($A98&lt;&gt;"",BD$3&gt;=$J98,BD$3&lt;=$M98),1,"")</f>
        <v/>
      </c>
      <c r="BE98">
        <f>IF(AND($A98&lt;&gt;"",BE$3&gt;=$J98,BE$3&lt;=$M98),1,"")</f>
        <v/>
      </c>
      <c r="BF98">
        <f>IF(AND($A98&lt;&gt;"",BF$3&gt;=$J98,BF$3&lt;=$M98),1,"")</f>
        <v/>
      </c>
      <c r="BG98">
        <f>IF(AND($A98&lt;&gt;"",BG$3&gt;=$J98,BG$3&lt;=$M98),1,"")</f>
        <v/>
      </c>
      <c r="BH98">
        <f>IF(AND($A98&lt;&gt;"",BH$3&gt;=$J98,BH$3&lt;=$M98),1,"")</f>
        <v/>
      </c>
      <c r="BI98">
        <f>IF(AND($A98&lt;&gt;"",BI$3&gt;=$J98,BI$3&lt;=$M98),1,"")</f>
        <v/>
      </c>
      <c r="BJ98">
        <f>IF(AND($A98&lt;&gt;"",BJ$3&gt;=$J98,BJ$3&lt;=$M98),1,"")</f>
        <v/>
      </c>
      <c r="BK98">
        <f>IF(AND($A98&lt;&gt;"",BK$3&gt;=$J98,BK$3&lt;=$M98),1,"")</f>
        <v/>
      </c>
      <c r="BL98">
        <f>IF(AND($A98&lt;&gt;"",BL$3&gt;=$J98,BL$3&lt;=$M98),1,"")</f>
        <v/>
      </c>
      <c r="BM98">
        <f>IF(AND($A98&lt;&gt;"",BM$3&gt;=$J98,BM$3&lt;=$M98),1,"")</f>
        <v/>
      </c>
      <c r="BN98">
        <f>IF(AND($A98&lt;&gt;"",BN$3&gt;=$J98,BN$3&lt;=$M98),1,"")</f>
        <v/>
      </c>
      <c r="BO98">
        <f>IF(AND($A98&lt;&gt;"",BO$3&gt;=$J98,BO$3&lt;=$M98),1,"")</f>
        <v/>
      </c>
      <c r="BP98">
        <f>IF(AND($A98&lt;&gt;"",BP$3&gt;=$J98,BP$3&lt;=$M98),1,"")</f>
        <v/>
      </c>
      <c r="BQ98">
        <f>IF(AND($A98&lt;&gt;"",BQ$3&gt;=$J98,BQ$3&lt;=$M98),1,"")</f>
        <v/>
      </c>
      <c r="BR98">
        <f>IF(AND($A98&lt;&gt;"",BR$3&gt;=$J98,BR$3&lt;=$M98),1,"")</f>
        <v/>
      </c>
      <c r="BS98">
        <f>IF(AND($A98&lt;&gt;"",BS$3&gt;=$J98,BS$3&lt;=$M98),1,"")</f>
        <v/>
      </c>
      <c r="BT98">
        <f>IF(AND($A98&lt;&gt;"",BT$3&gt;=$J98,BT$3&lt;=$M98),1,"")</f>
        <v/>
      </c>
      <c r="BU98">
        <f>IF(AND($A98&lt;&gt;"",BU$3&gt;=$J98,BU$3&lt;=$M98),1,"")</f>
        <v/>
      </c>
      <c r="BV98">
        <f>IF(AND($A98&lt;&gt;"",BV$3&gt;=$J98,BV$3&lt;=$M98),1,"")</f>
        <v/>
      </c>
    </row>
    <row r="99">
      <c r="A99">
        <f>IF(Job_Master_Ring!$A99="","",Job_Master_Ring!$A99)</f>
        <v/>
      </c>
      <c r="B99">
        <f>IF($A99="","",Job_Master_Ring!B99)</f>
        <v/>
      </c>
      <c r="C99">
        <f>IF($A99="","",Job_Master_Ring!C99)</f>
        <v/>
      </c>
      <c r="D99">
        <f>IF($A99="","",Job_Master_Ring!D99)</f>
        <v/>
      </c>
      <c r="E99">
        <f>IF($A99="","",IF($I99&lt;&gt;"",$I99,IFERROR(INDEX(Machine_List!$B$82:$B$86,MATCH(1,(Machine_List!$H$82:$H$86&lt;=IFERROR(VLOOKUP($B99,CHOOSE(MATCH($C99,Settings!$L$4:$L$10,0),OPR_BR1!$A$4:$K$18,OPR_BR2!$A$4:$K$18,OPR_CR2!$A$4:$K$18,OPR_CR3!$A$4:$K$18,OPR_CR4!$A$4:$K$18,OPR_RIM!$A$4:$K$18,OPR_BPR!$A$4:$K$18),10,0),0))*(Machine_List!$I$82:$I$86&gt;=IFERROR(VLOOKUP($B99,CHOOSE(MATCH($C99,Settings!$L$4:$L$10,0),OPR_BR1!$A$4:$K$18,OPR_BR2!$A$4:$K$18,OPR_CR2!$A$4:$K$18,OPR_CR3!$A$4:$K$18,OPR_CR4!$A$4:$K$18,OPR_RIM!$A$4:$K$18,OPR_BPR!$A$4:$K$18),11,0),9999)),0)),"NO COMPATIBLE MACHINE")))</f>
        <v/>
      </c>
      <c r="F99">
        <f>IF($E99="","",IFERROR(VLOOKUP($E99,Machine_List!$B:$G,6,0),""))</f>
        <v/>
      </c>
      <c r="G99" s="17">
        <f>IF($E99="","",IFERROR(VLOOKUP($E99,Machine_List!$B:$C,2,0),""))</f>
        <v/>
      </c>
      <c r="H99">
        <f>IF($E99="","",IFERROR(VLOOKUP($E99,Machine_List!$B:$D,3,0),""))</f>
        <v/>
      </c>
      <c r="J99" s="16">
        <f>IF($A99="","",IF($I99&lt;&gt;"",$I99,MAX(FID_Plan!$M99,IFERROR(LOOKUP(2,1/($E$3:INDIRECT("E"&amp;(ROW()-1))=$E99),$M$3:INDIRECT("M"&amp;(ROW()-1))),FID_Plan!$M99))))</f>
        <v/>
      </c>
      <c r="K99">
        <f>IF($A99="","",IFERROR(VLOOKUP(B99,CHOOSE(MATCH($C99,Settings!$L$4:$L$10,0),OPR_BR1!$A$4:$I$18,OPR_BR2!$A$4:$I$18,OPR_CR2!$A$4:$I$18,OPR_CR3!$A$4:$I$18,OPR_CR4!$A$4:$I$18,OPR_RIM!$A$4:$I$18,OPR_BPR!$A$4:$I$18),9,0),0))</f>
        <v/>
      </c>
      <c r="L99">
        <f>IF($A99="","",K99*D99)</f>
        <v/>
      </c>
      <c r="M99" s="16">
        <f>IF($A99=""," ",$J99+($L99/(IF(F99="Contract Workman",Settings!$K$5,Settings!$K$4))))</f>
        <v/>
      </c>
      <c r="N99">
        <f>IF($A99="","",IF(F99="Contract Workman",IF(AND(MOD(M99,1)&gt;=8/24,MOD(M99,1)&lt;20/24),"Shift S1","Shift S2"),IF(AND(MOD(M99,1)&gt;=7/24,MOD(M99,1)&lt;15/24),"Shift A",IF(AND(MOD(M99,1)&gt;=15/24,MOD(M99,1)&lt;23/24),"Shift B","Shift C"))))</f>
        <v/>
      </c>
      <c r="O99">
        <f>IF(B99="","",IF(IFERROR(ISNUMBER(SEARCH(TEXT(B99,"0"),VLOOKUP(E99,Machine_List!$B:$J,9,0))),FALSE),"✅ "&amp; E99,"❌ Sug: "&amp;IFERROR(INDEX(Machine_List!$B$82:$B$86,MATCH(1,(Machine_List!$H$82:$H$86&lt;=IFERROR(VLOOKUP($B99,OPR_BR1!$A$4:$K$18,10,0),0))*(Machine_List!$I$82:$I$86&gt;=IFERROR(VLOOKUP($B99,OPR_BR1!$A$4:$K$18,11,0),9999)),0)),"?")))</f>
        <v/>
      </c>
      <c r="P99">
        <f>IF(AND($A99&lt;&gt;"",P$3&gt;=$J99,P$3&lt;=$M99),1,"")</f>
        <v/>
      </c>
      <c r="Q99">
        <f>IF(AND($A99&lt;&gt;"",Q$3&gt;=$J99,Q$3&lt;=$M99),1,"")</f>
        <v/>
      </c>
      <c r="R99">
        <f>IF(AND($A99&lt;&gt;"",R$3&gt;=$J99,R$3&lt;=$M99),1,"")</f>
        <v/>
      </c>
      <c r="S99">
        <f>IF(AND($A99&lt;&gt;"",S$3&gt;=$J99,S$3&lt;=$M99),1,"")</f>
        <v/>
      </c>
      <c r="T99">
        <f>IF(AND($A99&lt;&gt;"",T$3&gt;=$J99,T$3&lt;=$M99),1,"")</f>
        <v/>
      </c>
      <c r="U99">
        <f>IF(AND($A99&lt;&gt;"",U$3&gt;=$J99,U$3&lt;=$M99),1,"")</f>
        <v/>
      </c>
      <c r="V99">
        <f>IF(AND($A99&lt;&gt;"",V$3&gt;=$J99,V$3&lt;=$M99),1,"")</f>
        <v/>
      </c>
      <c r="W99">
        <f>IF(AND($A99&lt;&gt;"",W$3&gt;=$J99,W$3&lt;=$M99),1,"")</f>
        <v/>
      </c>
      <c r="X99">
        <f>IF(AND($A99&lt;&gt;"",X$3&gt;=$J99,X$3&lt;=$M99),1,"")</f>
        <v/>
      </c>
      <c r="Y99">
        <f>IF(AND($A99&lt;&gt;"",Y$3&gt;=$J99,Y$3&lt;=$M99),1,"")</f>
        <v/>
      </c>
      <c r="Z99">
        <f>IF(AND($A99&lt;&gt;"",Z$3&gt;=$J99,Z$3&lt;=$M99),1,"")</f>
        <v/>
      </c>
      <c r="AA99">
        <f>IF(AND($A99&lt;&gt;"",AA$3&gt;=$J99,AA$3&lt;=$M99),1,"")</f>
        <v/>
      </c>
      <c r="AB99">
        <f>IF(AND($A99&lt;&gt;"",AB$3&gt;=$J99,AB$3&lt;=$M99),1,"")</f>
        <v/>
      </c>
      <c r="AC99">
        <f>IF(AND($A99&lt;&gt;"",AC$3&gt;=$J99,AC$3&lt;=$M99),1,"")</f>
        <v/>
      </c>
      <c r="AD99">
        <f>IF(AND($A99&lt;&gt;"",AD$3&gt;=$J99,AD$3&lt;=$M99),1,"")</f>
        <v/>
      </c>
      <c r="AE99">
        <f>IF(AND($A99&lt;&gt;"",AE$3&gt;=$J99,AE$3&lt;=$M99),1,"")</f>
        <v/>
      </c>
      <c r="AF99">
        <f>IF(AND($A99&lt;&gt;"",AF$3&gt;=$J99,AF$3&lt;=$M99),1,"")</f>
        <v/>
      </c>
      <c r="AG99">
        <f>IF(AND($A99&lt;&gt;"",AG$3&gt;=$J99,AG$3&lt;=$M99),1,"")</f>
        <v/>
      </c>
      <c r="AH99">
        <f>IF(AND($A99&lt;&gt;"",AH$3&gt;=$J99,AH$3&lt;=$M99),1,"")</f>
        <v/>
      </c>
      <c r="AI99">
        <f>IF(AND($A99&lt;&gt;"",AI$3&gt;=$J99,AI$3&lt;=$M99),1,"")</f>
        <v/>
      </c>
      <c r="AJ99">
        <f>IF(AND($A99&lt;&gt;"",AJ$3&gt;=$J99,AJ$3&lt;=$M99),1,"")</f>
        <v/>
      </c>
      <c r="AK99">
        <f>IF(AND($A99&lt;&gt;"",AK$3&gt;=$J99,AK$3&lt;=$M99),1,"")</f>
        <v/>
      </c>
      <c r="AL99">
        <f>IF(AND($A99&lt;&gt;"",AL$3&gt;=$J99,AL$3&lt;=$M99),1,"")</f>
        <v/>
      </c>
      <c r="AM99">
        <f>IF(AND($A99&lt;&gt;"",AM$3&gt;=$J99,AM$3&lt;=$M99),1,"")</f>
        <v/>
      </c>
      <c r="AN99">
        <f>IF(AND($A99&lt;&gt;"",AN$3&gt;=$J99,AN$3&lt;=$M99),1,"")</f>
        <v/>
      </c>
      <c r="AO99">
        <f>IF(AND($A99&lt;&gt;"",AO$3&gt;=$J99,AO$3&lt;=$M99),1,"")</f>
        <v/>
      </c>
      <c r="AP99">
        <f>IF(AND($A99&lt;&gt;"",AP$3&gt;=$J99,AP$3&lt;=$M99),1,"")</f>
        <v/>
      </c>
      <c r="AQ99">
        <f>IF(AND($A99&lt;&gt;"",AQ$3&gt;=$J99,AQ$3&lt;=$M99),1,"")</f>
        <v/>
      </c>
      <c r="AR99">
        <f>IF(AND($A99&lt;&gt;"",AR$3&gt;=$J99,AR$3&lt;=$M99),1,"")</f>
        <v/>
      </c>
      <c r="AS99">
        <f>IF(AND($A99&lt;&gt;"",AS$3&gt;=$J99,AS$3&lt;=$M99),1,"")</f>
        <v/>
      </c>
      <c r="AT99">
        <f>IF(AND($A99&lt;&gt;"",AT$3&gt;=$J99,AT$3&lt;=$M99),1,"")</f>
        <v/>
      </c>
      <c r="AU99">
        <f>IF(AND($A99&lt;&gt;"",AU$3&gt;=$J99,AU$3&lt;=$M99),1,"")</f>
        <v/>
      </c>
      <c r="AV99">
        <f>IF(AND($A99&lt;&gt;"",AV$3&gt;=$J99,AV$3&lt;=$M99),1,"")</f>
        <v/>
      </c>
      <c r="AW99">
        <f>IF(AND($A99&lt;&gt;"",AW$3&gt;=$J99,AW$3&lt;=$M99),1,"")</f>
        <v/>
      </c>
      <c r="AX99">
        <f>IF(AND($A99&lt;&gt;"",AX$3&gt;=$J99,AX$3&lt;=$M99),1,"")</f>
        <v/>
      </c>
      <c r="AY99">
        <f>IF(AND($A99&lt;&gt;"",AY$3&gt;=$J99,AY$3&lt;=$M99),1,"")</f>
        <v/>
      </c>
      <c r="AZ99">
        <f>IF(AND($A99&lt;&gt;"",AZ$3&gt;=$J99,AZ$3&lt;=$M99),1,"")</f>
        <v/>
      </c>
      <c r="BA99">
        <f>IF(AND($A99&lt;&gt;"",BA$3&gt;=$J99,BA$3&lt;=$M99),1,"")</f>
        <v/>
      </c>
      <c r="BB99">
        <f>IF(AND($A99&lt;&gt;"",BB$3&gt;=$J99,BB$3&lt;=$M99),1,"")</f>
        <v/>
      </c>
      <c r="BC99">
        <f>IF(AND($A99&lt;&gt;"",BC$3&gt;=$J99,BC$3&lt;=$M99),1,"")</f>
        <v/>
      </c>
      <c r="BD99">
        <f>IF(AND($A99&lt;&gt;"",BD$3&gt;=$J99,BD$3&lt;=$M99),1,"")</f>
        <v/>
      </c>
      <c r="BE99">
        <f>IF(AND($A99&lt;&gt;"",BE$3&gt;=$J99,BE$3&lt;=$M99),1,"")</f>
        <v/>
      </c>
      <c r="BF99">
        <f>IF(AND($A99&lt;&gt;"",BF$3&gt;=$J99,BF$3&lt;=$M99),1,"")</f>
        <v/>
      </c>
      <c r="BG99">
        <f>IF(AND($A99&lt;&gt;"",BG$3&gt;=$J99,BG$3&lt;=$M99),1,"")</f>
        <v/>
      </c>
      <c r="BH99">
        <f>IF(AND($A99&lt;&gt;"",BH$3&gt;=$J99,BH$3&lt;=$M99),1,"")</f>
        <v/>
      </c>
      <c r="BI99">
        <f>IF(AND($A99&lt;&gt;"",BI$3&gt;=$J99,BI$3&lt;=$M99),1,"")</f>
        <v/>
      </c>
      <c r="BJ99">
        <f>IF(AND($A99&lt;&gt;"",BJ$3&gt;=$J99,BJ$3&lt;=$M99),1,"")</f>
        <v/>
      </c>
      <c r="BK99">
        <f>IF(AND($A99&lt;&gt;"",BK$3&gt;=$J99,BK$3&lt;=$M99),1,"")</f>
        <v/>
      </c>
      <c r="BL99">
        <f>IF(AND($A99&lt;&gt;"",BL$3&gt;=$J99,BL$3&lt;=$M99),1,"")</f>
        <v/>
      </c>
      <c r="BM99">
        <f>IF(AND($A99&lt;&gt;"",BM$3&gt;=$J99,BM$3&lt;=$M99),1,"")</f>
        <v/>
      </c>
      <c r="BN99">
        <f>IF(AND($A99&lt;&gt;"",BN$3&gt;=$J99,BN$3&lt;=$M99),1,"")</f>
        <v/>
      </c>
      <c r="BO99">
        <f>IF(AND($A99&lt;&gt;"",BO$3&gt;=$J99,BO$3&lt;=$M99),1,"")</f>
        <v/>
      </c>
      <c r="BP99">
        <f>IF(AND($A99&lt;&gt;"",BP$3&gt;=$J99,BP$3&lt;=$M99),1,"")</f>
        <v/>
      </c>
      <c r="BQ99">
        <f>IF(AND($A99&lt;&gt;"",BQ$3&gt;=$J99,BQ$3&lt;=$M99),1,"")</f>
        <v/>
      </c>
      <c r="BR99">
        <f>IF(AND($A99&lt;&gt;"",BR$3&gt;=$J99,BR$3&lt;=$M99),1,"")</f>
        <v/>
      </c>
      <c r="BS99">
        <f>IF(AND($A99&lt;&gt;"",BS$3&gt;=$J99,BS$3&lt;=$M99),1,"")</f>
        <v/>
      </c>
      <c r="BT99">
        <f>IF(AND($A99&lt;&gt;"",BT$3&gt;=$J99,BT$3&lt;=$M99),1,"")</f>
        <v/>
      </c>
      <c r="BU99">
        <f>IF(AND($A99&lt;&gt;"",BU$3&gt;=$J99,BU$3&lt;=$M99),1,"")</f>
        <v/>
      </c>
      <c r="BV99">
        <f>IF(AND($A99&lt;&gt;"",BV$3&gt;=$J99,BV$3&lt;=$M99),1,"")</f>
        <v/>
      </c>
    </row>
    <row r="100">
      <c r="A100">
        <f>IF(Job_Master_Ring!$A100="","",Job_Master_Ring!$A100)</f>
        <v/>
      </c>
      <c r="B100">
        <f>IF($A100="","",Job_Master_Ring!B100)</f>
        <v/>
      </c>
      <c r="C100">
        <f>IF($A100="","",Job_Master_Ring!C100)</f>
        <v/>
      </c>
      <c r="D100">
        <f>IF($A100="","",Job_Master_Ring!D100)</f>
        <v/>
      </c>
      <c r="E100">
        <f>IF($A100="","",IF($I100&lt;&gt;"",$I100,IFERROR(INDEX(Machine_List!$B$82:$B$86,MATCH(1,(Machine_List!$H$82:$H$86&lt;=IFERROR(VLOOKUP($B100,CHOOSE(MATCH($C100,Settings!$L$4:$L$10,0),OPR_BR1!$A$4:$K$18,OPR_BR2!$A$4:$K$18,OPR_CR2!$A$4:$K$18,OPR_CR3!$A$4:$K$18,OPR_CR4!$A$4:$K$18,OPR_RIM!$A$4:$K$18,OPR_BPR!$A$4:$K$18),10,0),0))*(Machine_List!$I$82:$I$86&gt;=IFERROR(VLOOKUP($B100,CHOOSE(MATCH($C100,Settings!$L$4:$L$10,0),OPR_BR1!$A$4:$K$18,OPR_BR2!$A$4:$K$18,OPR_CR2!$A$4:$K$18,OPR_CR3!$A$4:$K$18,OPR_CR4!$A$4:$K$18,OPR_RIM!$A$4:$K$18,OPR_BPR!$A$4:$K$18),11,0),9999)),0)),"NO COMPATIBLE MACHINE")))</f>
        <v/>
      </c>
      <c r="F100">
        <f>IF($E100="","",IFERROR(VLOOKUP($E100,Machine_List!$B:$G,6,0),""))</f>
        <v/>
      </c>
      <c r="G100" s="17">
        <f>IF($E100="","",IFERROR(VLOOKUP($E100,Machine_List!$B:$C,2,0),""))</f>
        <v/>
      </c>
      <c r="H100">
        <f>IF($E100="","",IFERROR(VLOOKUP($E100,Machine_List!$B:$D,3,0),""))</f>
        <v/>
      </c>
      <c r="J100" s="16">
        <f>IF($A100="","",IF($I100&lt;&gt;"",$I100,MAX(FID_Plan!$M100,IFERROR(LOOKUP(2,1/($E$3:INDIRECT("E"&amp;(ROW()-1))=$E100),$M$3:INDIRECT("M"&amp;(ROW()-1))),FID_Plan!$M100))))</f>
        <v/>
      </c>
      <c r="K100">
        <f>IF($A100="","",IFERROR(VLOOKUP(B100,CHOOSE(MATCH($C100,Settings!$L$4:$L$10,0),OPR_BR1!$A$4:$I$18,OPR_BR2!$A$4:$I$18,OPR_CR2!$A$4:$I$18,OPR_CR3!$A$4:$I$18,OPR_CR4!$A$4:$I$18,OPR_RIM!$A$4:$I$18,OPR_BPR!$A$4:$I$18),9,0),0))</f>
        <v/>
      </c>
      <c r="L100">
        <f>IF($A100="","",K100*D100)</f>
        <v/>
      </c>
      <c r="M100" s="16">
        <f>IF($A100=""," ",$J100+($L100/(IF(F100="Contract Workman",Settings!$K$5,Settings!$K$4))))</f>
        <v/>
      </c>
      <c r="N100">
        <f>IF($A100="","",IF(F100="Contract Workman",IF(AND(MOD(M100,1)&gt;=8/24,MOD(M100,1)&lt;20/24),"Shift S1","Shift S2"),IF(AND(MOD(M100,1)&gt;=7/24,MOD(M100,1)&lt;15/24),"Shift A",IF(AND(MOD(M100,1)&gt;=15/24,MOD(M100,1)&lt;23/24),"Shift B","Shift C"))))</f>
        <v/>
      </c>
      <c r="O100">
        <f>IF(B100="","",IF(IFERROR(ISNUMBER(SEARCH(TEXT(B100,"0"),VLOOKUP(E100,Machine_List!$B:$J,9,0))),FALSE),"✅ "&amp; E100,"❌ Sug: "&amp;IFERROR(INDEX(Machine_List!$B$82:$B$86,MATCH(1,(Machine_List!$H$82:$H$86&lt;=IFERROR(VLOOKUP($B100,OPR_BR1!$A$4:$K$18,10,0),0))*(Machine_List!$I$82:$I$86&gt;=IFERROR(VLOOKUP($B100,OPR_BR1!$A$4:$K$18,11,0),9999)),0)),"?")))</f>
        <v/>
      </c>
      <c r="P100">
        <f>IF(AND($A100&lt;&gt;"",P$3&gt;=$J100,P$3&lt;=$M100),1,"")</f>
        <v/>
      </c>
      <c r="Q100">
        <f>IF(AND($A100&lt;&gt;"",Q$3&gt;=$J100,Q$3&lt;=$M100),1,"")</f>
        <v/>
      </c>
      <c r="R100">
        <f>IF(AND($A100&lt;&gt;"",R$3&gt;=$J100,R$3&lt;=$M100),1,"")</f>
        <v/>
      </c>
      <c r="S100">
        <f>IF(AND($A100&lt;&gt;"",S$3&gt;=$J100,S$3&lt;=$M100),1,"")</f>
        <v/>
      </c>
      <c r="T100">
        <f>IF(AND($A100&lt;&gt;"",T$3&gt;=$J100,T$3&lt;=$M100),1,"")</f>
        <v/>
      </c>
      <c r="U100">
        <f>IF(AND($A100&lt;&gt;"",U$3&gt;=$J100,U$3&lt;=$M100),1,"")</f>
        <v/>
      </c>
      <c r="V100">
        <f>IF(AND($A100&lt;&gt;"",V$3&gt;=$J100,V$3&lt;=$M100),1,"")</f>
        <v/>
      </c>
      <c r="W100">
        <f>IF(AND($A100&lt;&gt;"",W$3&gt;=$J100,W$3&lt;=$M100),1,"")</f>
        <v/>
      </c>
      <c r="X100">
        <f>IF(AND($A100&lt;&gt;"",X$3&gt;=$J100,X$3&lt;=$M100),1,"")</f>
        <v/>
      </c>
      <c r="Y100">
        <f>IF(AND($A100&lt;&gt;"",Y$3&gt;=$J100,Y$3&lt;=$M100),1,"")</f>
        <v/>
      </c>
      <c r="Z100">
        <f>IF(AND($A100&lt;&gt;"",Z$3&gt;=$J100,Z$3&lt;=$M100),1,"")</f>
        <v/>
      </c>
      <c r="AA100">
        <f>IF(AND($A100&lt;&gt;"",AA$3&gt;=$J100,AA$3&lt;=$M100),1,"")</f>
        <v/>
      </c>
      <c r="AB100">
        <f>IF(AND($A100&lt;&gt;"",AB$3&gt;=$J100,AB$3&lt;=$M100),1,"")</f>
        <v/>
      </c>
      <c r="AC100">
        <f>IF(AND($A100&lt;&gt;"",AC$3&gt;=$J100,AC$3&lt;=$M100),1,"")</f>
        <v/>
      </c>
      <c r="AD100">
        <f>IF(AND($A100&lt;&gt;"",AD$3&gt;=$J100,AD$3&lt;=$M100),1,"")</f>
        <v/>
      </c>
      <c r="AE100">
        <f>IF(AND($A100&lt;&gt;"",AE$3&gt;=$J100,AE$3&lt;=$M100),1,"")</f>
        <v/>
      </c>
      <c r="AF100">
        <f>IF(AND($A100&lt;&gt;"",AF$3&gt;=$J100,AF$3&lt;=$M100),1,"")</f>
        <v/>
      </c>
      <c r="AG100">
        <f>IF(AND($A100&lt;&gt;"",AG$3&gt;=$J100,AG$3&lt;=$M100),1,"")</f>
        <v/>
      </c>
      <c r="AH100">
        <f>IF(AND($A100&lt;&gt;"",AH$3&gt;=$J100,AH$3&lt;=$M100),1,"")</f>
        <v/>
      </c>
      <c r="AI100">
        <f>IF(AND($A100&lt;&gt;"",AI$3&gt;=$J100,AI$3&lt;=$M100),1,"")</f>
        <v/>
      </c>
      <c r="AJ100">
        <f>IF(AND($A100&lt;&gt;"",AJ$3&gt;=$J100,AJ$3&lt;=$M100),1,"")</f>
        <v/>
      </c>
      <c r="AK100">
        <f>IF(AND($A100&lt;&gt;"",AK$3&gt;=$J100,AK$3&lt;=$M100),1,"")</f>
        <v/>
      </c>
      <c r="AL100">
        <f>IF(AND($A100&lt;&gt;"",AL$3&gt;=$J100,AL$3&lt;=$M100),1,"")</f>
        <v/>
      </c>
      <c r="AM100">
        <f>IF(AND($A100&lt;&gt;"",AM$3&gt;=$J100,AM$3&lt;=$M100),1,"")</f>
        <v/>
      </c>
      <c r="AN100">
        <f>IF(AND($A100&lt;&gt;"",AN$3&gt;=$J100,AN$3&lt;=$M100),1,"")</f>
        <v/>
      </c>
      <c r="AO100">
        <f>IF(AND($A100&lt;&gt;"",AO$3&gt;=$J100,AO$3&lt;=$M100),1,"")</f>
        <v/>
      </c>
      <c r="AP100">
        <f>IF(AND($A100&lt;&gt;"",AP$3&gt;=$J100,AP$3&lt;=$M100),1,"")</f>
        <v/>
      </c>
      <c r="AQ100">
        <f>IF(AND($A100&lt;&gt;"",AQ$3&gt;=$J100,AQ$3&lt;=$M100),1,"")</f>
        <v/>
      </c>
      <c r="AR100">
        <f>IF(AND($A100&lt;&gt;"",AR$3&gt;=$J100,AR$3&lt;=$M100),1,"")</f>
        <v/>
      </c>
      <c r="AS100">
        <f>IF(AND($A100&lt;&gt;"",AS$3&gt;=$J100,AS$3&lt;=$M100),1,"")</f>
        <v/>
      </c>
      <c r="AT100">
        <f>IF(AND($A100&lt;&gt;"",AT$3&gt;=$J100,AT$3&lt;=$M100),1,"")</f>
        <v/>
      </c>
      <c r="AU100">
        <f>IF(AND($A100&lt;&gt;"",AU$3&gt;=$J100,AU$3&lt;=$M100),1,"")</f>
        <v/>
      </c>
      <c r="AV100">
        <f>IF(AND($A100&lt;&gt;"",AV$3&gt;=$J100,AV$3&lt;=$M100),1,"")</f>
        <v/>
      </c>
      <c r="AW100">
        <f>IF(AND($A100&lt;&gt;"",AW$3&gt;=$J100,AW$3&lt;=$M100),1,"")</f>
        <v/>
      </c>
      <c r="AX100">
        <f>IF(AND($A100&lt;&gt;"",AX$3&gt;=$J100,AX$3&lt;=$M100),1,"")</f>
        <v/>
      </c>
      <c r="AY100">
        <f>IF(AND($A100&lt;&gt;"",AY$3&gt;=$J100,AY$3&lt;=$M100),1,"")</f>
        <v/>
      </c>
      <c r="AZ100">
        <f>IF(AND($A100&lt;&gt;"",AZ$3&gt;=$J100,AZ$3&lt;=$M100),1,"")</f>
        <v/>
      </c>
      <c r="BA100">
        <f>IF(AND($A100&lt;&gt;"",BA$3&gt;=$J100,BA$3&lt;=$M100),1,"")</f>
        <v/>
      </c>
      <c r="BB100">
        <f>IF(AND($A100&lt;&gt;"",BB$3&gt;=$J100,BB$3&lt;=$M100),1,"")</f>
        <v/>
      </c>
      <c r="BC100">
        <f>IF(AND($A100&lt;&gt;"",BC$3&gt;=$J100,BC$3&lt;=$M100),1,"")</f>
        <v/>
      </c>
      <c r="BD100">
        <f>IF(AND($A100&lt;&gt;"",BD$3&gt;=$J100,BD$3&lt;=$M100),1,"")</f>
        <v/>
      </c>
      <c r="BE100">
        <f>IF(AND($A100&lt;&gt;"",BE$3&gt;=$J100,BE$3&lt;=$M100),1,"")</f>
        <v/>
      </c>
      <c r="BF100">
        <f>IF(AND($A100&lt;&gt;"",BF$3&gt;=$J100,BF$3&lt;=$M100),1,"")</f>
        <v/>
      </c>
      <c r="BG100">
        <f>IF(AND($A100&lt;&gt;"",BG$3&gt;=$J100,BG$3&lt;=$M100),1,"")</f>
        <v/>
      </c>
      <c r="BH100">
        <f>IF(AND($A100&lt;&gt;"",BH$3&gt;=$J100,BH$3&lt;=$M100),1,"")</f>
        <v/>
      </c>
      <c r="BI100">
        <f>IF(AND($A100&lt;&gt;"",BI$3&gt;=$J100,BI$3&lt;=$M100),1,"")</f>
        <v/>
      </c>
      <c r="BJ100">
        <f>IF(AND($A100&lt;&gt;"",BJ$3&gt;=$J100,BJ$3&lt;=$M100),1,"")</f>
        <v/>
      </c>
      <c r="BK100">
        <f>IF(AND($A100&lt;&gt;"",BK$3&gt;=$J100,BK$3&lt;=$M100),1,"")</f>
        <v/>
      </c>
      <c r="BL100">
        <f>IF(AND($A100&lt;&gt;"",BL$3&gt;=$J100,BL$3&lt;=$M100),1,"")</f>
        <v/>
      </c>
      <c r="BM100">
        <f>IF(AND($A100&lt;&gt;"",BM$3&gt;=$J100,BM$3&lt;=$M100),1,"")</f>
        <v/>
      </c>
      <c r="BN100">
        <f>IF(AND($A100&lt;&gt;"",BN$3&gt;=$J100,BN$3&lt;=$M100),1,"")</f>
        <v/>
      </c>
      <c r="BO100">
        <f>IF(AND($A100&lt;&gt;"",BO$3&gt;=$J100,BO$3&lt;=$M100),1,"")</f>
        <v/>
      </c>
      <c r="BP100">
        <f>IF(AND($A100&lt;&gt;"",BP$3&gt;=$J100,BP$3&lt;=$M100),1,"")</f>
        <v/>
      </c>
      <c r="BQ100">
        <f>IF(AND($A100&lt;&gt;"",BQ$3&gt;=$J100,BQ$3&lt;=$M100),1,"")</f>
        <v/>
      </c>
      <c r="BR100">
        <f>IF(AND($A100&lt;&gt;"",BR$3&gt;=$J100,BR$3&lt;=$M100),1,"")</f>
        <v/>
      </c>
      <c r="BS100">
        <f>IF(AND($A100&lt;&gt;"",BS$3&gt;=$J100,BS$3&lt;=$M100),1,"")</f>
        <v/>
      </c>
      <c r="BT100">
        <f>IF(AND($A100&lt;&gt;"",BT$3&gt;=$J100,BT$3&lt;=$M100),1,"")</f>
        <v/>
      </c>
      <c r="BU100">
        <f>IF(AND($A100&lt;&gt;"",BU$3&gt;=$J100,BU$3&lt;=$M100),1,"")</f>
        <v/>
      </c>
      <c r="BV100">
        <f>IF(AND($A100&lt;&gt;"",BV$3&gt;=$J100,BV$3&lt;=$M100),1,"")</f>
        <v/>
      </c>
    </row>
    <row r="101">
      <c r="A101">
        <f>IF(Job_Master_Ring!$A101="","",Job_Master_Ring!$A101)</f>
        <v/>
      </c>
      <c r="B101">
        <f>IF($A101="","",Job_Master_Ring!B101)</f>
        <v/>
      </c>
      <c r="C101">
        <f>IF($A101="","",Job_Master_Ring!C101)</f>
        <v/>
      </c>
      <c r="D101">
        <f>IF($A101="","",Job_Master_Ring!D101)</f>
        <v/>
      </c>
      <c r="E101">
        <f>IF($A101="","",IF($I101&lt;&gt;"",$I101,IFERROR(INDEX(Machine_List!$B$82:$B$86,MATCH(1,(Machine_List!$H$82:$H$86&lt;=IFERROR(VLOOKUP($B101,CHOOSE(MATCH($C101,Settings!$L$4:$L$10,0),OPR_BR1!$A$4:$K$18,OPR_BR2!$A$4:$K$18,OPR_CR2!$A$4:$K$18,OPR_CR3!$A$4:$K$18,OPR_CR4!$A$4:$K$18,OPR_RIM!$A$4:$K$18,OPR_BPR!$A$4:$K$18),10,0),0))*(Machine_List!$I$82:$I$86&gt;=IFERROR(VLOOKUP($B101,CHOOSE(MATCH($C101,Settings!$L$4:$L$10,0),OPR_BR1!$A$4:$K$18,OPR_BR2!$A$4:$K$18,OPR_CR2!$A$4:$K$18,OPR_CR3!$A$4:$K$18,OPR_CR4!$A$4:$K$18,OPR_RIM!$A$4:$K$18,OPR_BPR!$A$4:$K$18),11,0),9999)),0)),"NO COMPATIBLE MACHINE")))</f>
        <v/>
      </c>
      <c r="F101">
        <f>IF($E101="","",IFERROR(VLOOKUP($E101,Machine_List!$B:$G,6,0),""))</f>
        <v/>
      </c>
      <c r="G101" s="17">
        <f>IF($E101="","",IFERROR(VLOOKUP($E101,Machine_List!$B:$C,2,0),""))</f>
        <v/>
      </c>
      <c r="H101">
        <f>IF($E101="","",IFERROR(VLOOKUP($E101,Machine_List!$B:$D,3,0),""))</f>
        <v/>
      </c>
      <c r="J101" s="16">
        <f>IF($A101="","",IF($I101&lt;&gt;"",$I101,MAX(FID_Plan!$M101,IFERROR(LOOKUP(2,1/($E$3:INDIRECT("E"&amp;(ROW()-1))=$E101),$M$3:INDIRECT("M"&amp;(ROW()-1))),FID_Plan!$M101))))</f>
        <v/>
      </c>
      <c r="K101">
        <f>IF($A101="","",IFERROR(VLOOKUP(B101,CHOOSE(MATCH($C101,Settings!$L$4:$L$10,0),OPR_BR1!$A$4:$I$18,OPR_BR2!$A$4:$I$18,OPR_CR2!$A$4:$I$18,OPR_CR3!$A$4:$I$18,OPR_CR4!$A$4:$I$18,OPR_RIM!$A$4:$I$18,OPR_BPR!$A$4:$I$18),9,0),0))</f>
        <v/>
      </c>
      <c r="L101">
        <f>IF($A101="","",K101*D101)</f>
        <v/>
      </c>
      <c r="M101" s="16">
        <f>IF($A101=""," ",$J101+($L101/(IF(F101="Contract Workman",Settings!$K$5,Settings!$K$4))))</f>
        <v/>
      </c>
      <c r="N101">
        <f>IF($A101="","",IF(F101="Contract Workman",IF(AND(MOD(M101,1)&gt;=8/24,MOD(M101,1)&lt;20/24),"Shift S1","Shift S2"),IF(AND(MOD(M101,1)&gt;=7/24,MOD(M101,1)&lt;15/24),"Shift A",IF(AND(MOD(M101,1)&gt;=15/24,MOD(M101,1)&lt;23/24),"Shift B","Shift C"))))</f>
        <v/>
      </c>
      <c r="O101">
        <f>IF(B101="","",IF(IFERROR(ISNUMBER(SEARCH(TEXT(B101,"0"),VLOOKUP(E101,Machine_List!$B:$J,9,0))),FALSE),"✅ "&amp; E101,"❌ Sug: "&amp;IFERROR(INDEX(Machine_List!$B$82:$B$86,MATCH(1,(Machine_List!$H$82:$H$86&lt;=IFERROR(VLOOKUP($B101,OPR_BR1!$A$4:$K$18,10,0),0))*(Machine_List!$I$82:$I$86&gt;=IFERROR(VLOOKUP($B101,OPR_BR1!$A$4:$K$18,11,0),9999)),0)),"?")))</f>
        <v/>
      </c>
      <c r="P101">
        <f>IF(AND($A101&lt;&gt;"",P$3&gt;=$J101,P$3&lt;=$M101),1,"")</f>
        <v/>
      </c>
      <c r="Q101">
        <f>IF(AND($A101&lt;&gt;"",Q$3&gt;=$J101,Q$3&lt;=$M101),1,"")</f>
        <v/>
      </c>
      <c r="R101">
        <f>IF(AND($A101&lt;&gt;"",R$3&gt;=$J101,R$3&lt;=$M101),1,"")</f>
        <v/>
      </c>
      <c r="S101">
        <f>IF(AND($A101&lt;&gt;"",S$3&gt;=$J101,S$3&lt;=$M101),1,"")</f>
        <v/>
      </c>
      <c r="T101">
        <f>IF(AND($A101&lt;&gt;"",T$3&gt;=$J101,T$3&lt;=$M101),1,"")</f>
        <v/>
      </c>
      <c r="U101">
        <f>IF(AND($A101&lt;&gt;"",U$3&gt;=$J101,U$3&lt;=$M101),1,"")</f>
        <v/>
      </c>
      <c r="V101">
        <f>IF(AND($A101&lt;&gt;"",V$3&gt;=$J101,V$3&lt;=$M101),1,"")</f>
        <v/>
      </c>
      <c r="W101">
        <f>IF(AND($A101&lt;&gt;"",W$3&gt;=$J101,W$3&lt;=$M101),1,"")</f>
        <v/>
      </c>
      <c r="X101">
        <f>IF(AND($A101&lt;&gt;"",X$3&gt;=$J101,X$3&lt;=$M101),1,"")</f>
        <v/>
      </c>
      <c r="Y101">
        <f>IF(AND($A101&lt;&gt;"",Y$3&gt;=$J101,Y$3&lt;=$M101),1,"")</f>
        <v/>
      </c>
      <c r="Z101">
        <f>IF(AND($A101&lt;&gt;"",Z$3&gt;=$J101,Z$3&lt;=$M101),1,"")</f>
        <v/>
      </c>
      <c r="AA101">
        <f>IF(AND($A101&lt;&gt;"",AA$3&gt;=$J101,AA$3&lt;=$M101),1,"")</f>
        <v/>
      </c>
      <c r="AB101">
        <f>IF(AND($A101&lt;&gt;"",AB$3&gt;=$J101,AB$3&lt;=$M101),1,"")</f>
        <v/>
      </c>
      <c r="AC101">
        <f>IF(AND($A101&lt;&gt;"",AC$3&gt;=$J101,AC$3&lt;=$M101),1,"")</f>
        <v/>
      </c>
      <c r="AD101">
        <f>IF(AND($A101&lt;&gt;"",AD$3&gt;=$J101,AD$3&lt;=$M101),1,"")</f>
        <v/>
      </c>
      <c r="AE101">
        <f>IF(AND($A101&lt;&gt;"",AE$3&gt;=$J101,AE$3&lt;=$M101),1,"")</f>
        <v/>
      </c>
      <c r="AF101">
        <f>IF(AND($A101&lt;&gt;"",AF$3&gt;=$J101,AF$3&lt;=$M101),1,"")</f>
        <v/>
      </c>
      <c r="AG101">
        <f>IF(AND($A101&lt;&gt;"",AG$3&gt;=$J101,AG$3&lt;=$M101),1,"")</f>
        <v/>
      </c>
      <c r="AH101">
        <f>IF(AND($A101&lt;&gt;"",AH$3&gt;=$J101,AH$3&lt;=$M101),1,"")</f>
        <v/>
      </c>
      <c r="AI101">
        <f>IF(AND($A101&lt;&gt;"",AI$3&gt;=$J101,AI$3&lt;=$M101),1,"")</f>
        <v/>
      </c>
      <c r="AJ101">
        <f>IF(AND($A101&lt;&gt;"",AJ$3&gt;=$J101,AJ$3&lt;=$M101),1,"")</f>
        <v/>
      </c>
      <c r="AK101">
        <f>IF(AND($A101&lt;&gt;"",AK$3&gt;=$J101,AK$3&lt;=$M101),1,"")</f>
        <v/>
      </c>
      <c r="AL101">
        <f>IF(AND($A101&lt;&gt;"",AL$3&gt;=$J101,AL$3&lt;=$M101),1,"")</f>
        <v/>
      </c>
      <c r="AM101">
        <f>IF(AND($A101&lt;&gt;"",AM$3&gt;=$J101,AM$3&lt;=$M101),1,"")</f>
        <v/>
      </c>
      <c r="AN101">
        <f>IF(AND($A101&lt;&gt;"",AN$3&gt;=$J101,AN$3&lt;=$M101),1,"")</f>
        <v/>
      </c>
      <c r="AO101">
        <f>IF(AND($A101&lt;&gt;"",AO$3&gt;=$J101,AO$3&lt;=$M101),1,"")</f>
        <v/>
      </c>
      <c r="AP101">
        <f>IF(AND($A101&lt;&gt;"",AP$3&gt;=$J101,AP$3&lt;=$M101),1,"")</f>
        <v/>
      </c>
      <c r="AQ101">
        <f>IF(AND($A101&lt;&gt;"",AQ$3&gt;=$J101,AQ$3&lt;=$M101),1,"")</f>
        <v/>
      </c>
      <c r="AR101">
        <f>IF(AND($A101&lt;&gt;"",AR$3&gt;=$J101,AR$3&lt;=$M101),1,"")</f>
        <v/>
      </c>
      <c r="AS101">
        <f>IF(AND($A101&lt;&gt;"",AS$3&gt;=$J101,AS$3&lt;=$M101),1,"")</f>
        <v/>
      </c>
      <c r="AT101">
        <f>IF(AND($A101&lt;&gt;"",AT$3&gt;=$J101,AT$3&lt;=$M101),1,"")</f>
        <v/>
      </c>
      <c r="AU101">
        <f>IF(AND($A101&lt;&gt;"",AU$3&gt;=$J101,AU$3&lt;=$M101),1,"")</f>
        <v/>
      </c>
      <c r="AV101">
        <f>IF(AND($A101&lt;&gt;"",AV$3&gt;=$J101,AV$3&lt;=$M101),1,"")</f>
        <v/>
      </c>
      <c r="AW101">
        <f>IF(AND($A101&lt;&gt;"",AW$3&gt;=$J101,AW$3&lt;=$M101),1,"")</f>
        <v/>
      </c>
      <c r="AX101">
        <f>IF(AND($A101&lt;&gt;"",AX$3&gt;=$J101,AX$3&lt;=$M101),1,"")</f>
        <v/>
      </c>
      <c r="AY101">
        <f>IF(AND($A101&lt;&gt;"",AY$3&gt;=$J101,AY$3&lt;=$M101),1,"")</f>
        <v/>
      </c>
      <c r="AZ101">
        <f>IF(AND($A101&lt;&gt;"",AZ$3&gt;=$J101,AZ$3&lt;=$M101),1,"")</f>
        <v/>
      </c>
      <c r="BA101">
        <f>IF(AND($A101&lt;&gt;"",BA$3&gt;=$J101,BA$3&lt;=$M101),1,"")</f>
        <v/>
      </c>
      <c r="BB101">
        <f>IF(AND($A101&lt;&gt;"",BB$3&gt;=$J101,BB$3&lt;=$M101),1,"")</f>
        <v/>
      </c>
      <c r="BC101">
        <f>IF(AND($A101&lt;&gt;"",BC$3&gt;=$J101,BC$3&lt;=$M101),1,"")</f>
        <v/>
      </c>
      <c r="BD101">
        <f>IF(AND($A101&lt;&gt;"",BD$3&gt;=$J101,BD$3&lt;=$M101),1,"")</f>
        <v/>
      </c>
      <c r="BE101">
        <f>IF(AND($A101&lt;&gt;"",BE$3&gt;=$J101,BE$3&lt;=$M101),1,"")</f>
        <v/>
      </c>
      <c r="BF101">
        <f>IF(AND($A101&lt;&gt;"",BF$3&gt;=$J101,BF$3&lt;=$M101),1,"")</f>
        <v/>
      </c>
      <c r="BG101">
        <f>IF(AND($A101&lt;&gt;"",BG$3&gt;=$J101,BG$3&lt;=$M101),1,"")</f>
        <v/>
      </c>
      <c r="BH101">
        <f>IF(AND($A101&lt;&gt;"",BH$3&gt;=$J101,BH$3&lt;=$M101),1,"")</f>
        <v/>
      </c>
      <c r="BI101">
        <f>IF(AND($A101&lt;&gt;"",BI$3&gt;=$J101,BI$3&lt;=$M101),1,"")</f>
        <v/>
      </c>
      <c r="BJ101">
        <f>IF(AND($A101&lt;&gt;"",BJ$3&gt;=$J101,BJ$3&lt;=$M101),1,"")</f>
        <v/>
      </c>
      <c r="BK101">
        <f>IF(AND($A101&lt;&gt;"",BK$3&gt;=$J101,BK$3&lt;=$M101),1,"")</f>
        <v/>
      </c>
      <c r="BL101">
        <f>IF(AND($A101&lt;&gt;"",BL$3&gt;=$J101,BL$3&lt;=$M101),1,"")</f>
        <v/>
      </c>
      <c r="BM101">
        <f>IF(AND($A101&lt;&gt;"",BM$3&gt;=$J101,BM$3&lt;=$M101),1,"")</f>
        <v/>
      </c>
      <c r="BN101">
        <f>IF(AND($A101&lt;&gt;"",BN$3&gt;=$J101,BN$3&lt;=$M101),1,"")</f>
        <v/>
      </c>
      <c r="BO101">
        <f>IF(AND($A101&lt;&gt;"",BO$3&gt;=$J101,BO$3&lt;=$M101),1,"")</f>
        <v/>
      </c>
      <c r="BP101">
        <f>IF(AND($A101&lt;&gt;"",BP$3&gt;=$J101,BP$3&lt;=$M101),1,"")</f>
        <v/>
      </c>
      <c r="BQ101">
        <f>IF(AND($A101&lt;&gt;"",BQ$3&gt;=$J101,BQ$3&lt;=$M101),1,"")</f>
        <v/>
      </c>
      <c r="BR101">
        <f>IF(AND($A101&lt;&gt;"",BR$3&gt;=$J101,BR$3&lt;=$M101),1,"")</f>
        <v/>
      </c>
      <c r="BS101">
        <f>IF(AND($A101&lt;&gt;"",BS$3&gt;=$J101,BS$3&lt;=$M101),1,"")</f>
        <v/>
      </c>
      <c r="BT101">
        <f>IF(AND($A101&lt;&gt;"",BT$3&gt;=$J101,BT$3&lt;=$M101),1,"")</f>
        <v/>
      </c>
      <c r="BU101">
        <f>IF(AND($A101&lt;&gt;"",BU$3&gt;=$J101,BU$3&lt;=$M101),1,"")</f>
        <v/>
      </c>
      <c r="BV101">
        <f>IF(AND($A101&lt;&gt;"",BV$3&gt;=$J101,BV$3&lt;=$M101),1,"")</f>
        <v/>
      </c>
    </row>
    <row r="102">
      <c r="A102">
        <f>IF(Job_Master_Ring!$A102="","",Job_Master_Ring!$A102)</f>
        <v/>
      </c>
      <c r="B102">
        <f>IF($A102="","",Job_Master_Ring!B102)</f>
        <v/>
      </c>
      <c r="C102">
        <f>IF($A102="","",Job_Master_Ring!C102)</f>
        <v/>
      </c>
      <c r="D102">
        <f>IF($A102="","",Job_Master_Ring!D102)</f>
        <v/>
      </c>
      <c r="E102">
        <f>IF($A102="","",IF($I102&lt;&gt;"",$I102,IFERROR(INDEX(Machine_List!$B$82:$B$86,MATCH(1,(Machine_List!$H$82:$H$86&lt;=IFERROR(VLOOKUP($B102,CHOOSE(MATCH($C102,Settings!$L$4:$L$10,0),OPR_BR1!$A$4:$K$18,OPR_BR2!$A$4:$K$18,OPR_CR2!$A$4:$K$18,OPR_CR3!$A$4:$K$18,OPR_CR4!$A$4:$K$18,OPR_RIM!$A$4:$K$18,OPR_BPR!$A$4:$K$18),10,0),0))*(Machine_List!$I$82:$I$86&gt;=IFERROR(VLOOKUP($B102,CHOOSE(MATCH($C102,Settings!$L$4:$L$10,0),OPR_BR1!$A$4:$K$18,OPR_BR2!$A$4:$K$18,OPR_CR2!$A$4:$K$18,OPR_CR3!$A$4:$K$18,OPR_CR4!$A$4:$K$18,OPR_RIM!$A$4:$K$18,OPR_BPR!$A$4:$K$18),11,0),9999)),0)),"NO COMPATIBLE MACHINE")))</f>
        <v/>
      </c>
      <c r="F102">
        <f>IF($E102="","",IFERROR(VLOOKUP($E102,Machine_List!$B:$G,6,0),""))</f>
        <v/>
      </c>
      <c r="G102" s="17">
        <f>IF($E102="","",IFERROR(VLOOKUP($E102,Machine_List!$B:$C,2,0),""))</f>
        <v/>
      </c>
      <c r="H102">
        <f>IF($E102="","",IFERROR(VLOOKUP($E102,Machine_List!$B:$D,3,0),""))</f>
        <v/>
      </c>
      <c r="J102" s="16">
        <f>IF($A102="","",IF($I102&lt;&gt;"",$I102,MAX(FID_Plan!$M102,IFERROR(LOOKUP(2,1/($E$3:INDIRECT("E"&amp;(ROW()-1))=$E102),$M$3:INDIRECT("M"&amp;(ROW()-1))),FID_Plan!$M102))))</f>
        <v/>
      </c>
      <c r="K102">
        <f>IF($A102="","",IFERROR(VLOOKUP(B102,CHOOSE(MATCH($C102,Settings!$L$4:$L$10,0),OPR_BR1!$A$4:$I$18,OPR_BR2!$A$4:$I$18,OPR_CR2!$A$4:$I$18,OPR_CR3!$A$4:$I$18,OPR_CR4!$A$4:$I$18,OPR_RIM!$A$4:$I$18,OPR_BPR!$A$4:$I$18),9,0),0))</f>
        <v/>
      </c>
      <c r="L102">
        <f>IF($A102="","",K102*D102)</f>
        <v/>
      </c>
      <c r="M102" s="16">
        <f>IF($A102=""," ",$J102+($L102/(IF(F102="Contract Workman",Settings!$K$5,Settings!$K$4))))</f>
        <v/>
      </c>
      <c r="N102">
        <f>IF($A102="","",IF(F102="Contract Workman",IF(AND(MOD(M102,1)&gt;=8/24,MOD(M102,1)&lt;20/24),"Shift S1","Shift S2"),IF(AND(MOD(M102,1)&gt;=7/24,MOD(M102,1)&lt;15/24),"Shift A",IF(AND(MOD(M102,1)&gt;=15/24,MOD(M102,1)&lt;23/24),"Shift B","Shift C"))))</f>
        <v/>
      </c>
      <c r="O102">
        <f>IF(B102="","",IF(IFERROR(ISNUMBER(SEARCH(TEXT(B102,"0"),VLOOKUP(E102,Machine_List!$B:$J,9,0))),FALSE),"✅ "&amp; E102,"❌ Sug: "&amp;IFERROR(INDEX(Machine_List!$B$82:$B$86,MATCH(1,(Machine_List!$H$82:$H$86&lt;=IFERROR(VLOOKUP($B102,OPR_BR1!$A$4:$K$18,10,0),0))*(Machine_List!$I$82:$I$86&gt;=IFERROR(VLOOKUP($B102,OPR_BR1!$A$4:$K$18,11,0),9999)),0)),"?")))</f>
        <v/>
      </c>
      <c r="P102">
        <f>IF(AND($A102&lt;&gt;"",P$3&gt;=$J102,P$3&lt;=$M102),1,"")</f>
        <v/>
      </c>
      <c r="Q102">
        <f>IF(AND($A102&lt;&gt;"",Q$3&gt;=$J102,Q$3&lt;=$M102),1,"")</f>
        <v/>
      </c>
      <c r="R102">
        <f>IF(AND($A102&lt;&gt;"",R$3&gt;=$J102,R$3&lt;=$M102),1,"")</f>
        <v/>
      </c>
      <c r="S102">
        <f>IF(AND($A102&lt;&gt;"",S$3&gt;=$J102,S$3&lt;=$M102),1,"")</f>
        <v/>
      </c>
      <c r="T102">
        <f>IF(AND($A102&lt;&gt;"",T$3&gt;=$J102,T$3&lt;=$M102),1,"")</f>
        <v/>
      </c>
      <c r="U102">
        <f>IF(AND($A102&lt;&gt;"",U$3&gt;=$J102,U$3&lt;=$M102),1,"")</f>
        <v/>
      </c>
      <c r="V102">
        <f>IF(AND($A102&lt;&gt;"",V$3&gt;=$J102,V$3&lt;=$M102),1,"")</f>
        <v/>
      </c>
      <c r="W102">
        <f>IF(AND($A102&lt;&gt;"",W$3&gt;=$J102,W$3&lt;=$M102),1,"")</f>
        <v/>
      </c>
      <c r="X102">
        <f>IF(AND($A102&lt;&gt;"",X$3&gt;=$J102,X$3&lt;=$M102),1,"")</f>
        <v/>
      </c>
      <c r="Y102">
        <f>IF(AND($A102&lt;&gt;"",Y$3&gt;=$J102,Y$3&lt;=$M102),1,"")</f>
        <v/>
      </c>
      <c r="Z102">
        <f>IF(AND($A102&lt;&gt;"",Z$3&gt;=$J102,Z$3&lt;=$M102),1,"")</f>
        <v/>
      </c>
      <c r="AA102">
        <f>IF(AND($A102&lt;&gt;"",AA$3&gt;=$J102,AA$3&lt;=$M102),1,"")</f>
        <v/>
      </c>
      <c r="AB102">
        <f>IF(AND($A102&lt;&gt;"",AB$3&gt;=$J102,AB$3&lt;=$M102),1,"")</f>
        <v/>
      </c>
      <c r="AC102">
        <f>IF(AND($A102&lt;&gt;"",AC$3&gt;=$J102,AC$3&lt;=$M102),1,"")</f>
        <v/>
      </c>
      <c r="AD102">
        <f>IF(AND($A102&lt;&gt;"",AD$3&gt;=$J102,AD$3&lt;=$M102),1,"")</f>
        <v/>
      </c>
      <c r="AE102">
        <f>IF(AND($A102&lt;&gt;"",AE$3&gt;=$J102,AE$3&lt;=$M102),1,"")</f>
        <v/>
      </c>
      <c r="AF102">
        <f>IF(AND($A102&lt;&gt;"",AF$3&gt;=$J102,AF$3&lt;=$M102),1,"")</f>
        <v/>
      </c>
      <c r="AG102">
        <f>IF(AND($A102&lt;&gt;"",AG$3&gt;=$J102,AG$3&lt;=$M102),1,"")</f>
        <v/>
      </c>
      <c r="AH102">
        <f>IF(AND($A102&lt;&gt;"",AH$3&gt;=$J102,AH$3&lt;=$M102),1,"")</f>
        <v/>
      </c>
      <c r="AI102">
        <f>IF(AND($A102&lt;&gt;"",AI$3&gt;=$J102,AI$3&lt;=$M102),1,"")</f>
        <v/>
      </c>
      <c r="AJ102">
        <f>IF(AND($A102&lt;&gt;"",AJ$3&gt;=$J102,AJ$3&lt;=$M102),1,"")</f>
        <v/>
      </c>
      <c r="AK102">
        <f>IF(AND($A102&lt;&gt;"",AK$3&gt;=$J102,AK$3&lt;=$M102),1,"")</f>
        <v/>
      </c>
      <c r="AL102">
        <f>IF(AND($A102&lt;&gt;"",AL$3&gt;=$J102,AL$3&lt;=$M102),1,"")</f>
        <v/>
      </c>
      <c r="AM102">
        <f>IF(AND($A102&lt;&gt;"",AM$3&gt;=$J102,AM$3&lt;=$M102),1,"")</f>
        <v/>
      </c>
      <c r="AN102">
        <f>IF(AND($A102&lt;&gt;"",AN$3&gt;=$J102,AN$3&lt;=$M102),1,"")</f>
        <v/>
      </c>
      <c r="AO102">
        <f>IF(AND($A102&lt;&gt;"",AO$3&gt;=$J102,AO$3&lt;=$M102),1,"")</f>
        <v/>
      </c>
      <c r="AP102">
        <f>IF(AND($A102&lt;&gt;"",AP$3&gt;=$J102,AP$3&lt;=$M102),1,"")</f>
        <v/>
      </c>
      <c r="AQ102">
        <f>IF(AND($A102&lt;&gt;"",AQ$3&gt;=$J102,AQ$3&lt;=$M102),1,"")</f>
        <v/>
      </c>
      <c r="AR102">
        <f>IF(AND($A102&lt;&gt;"",AR$3&gt;=$J102,AR$3&lt;=$M102),1,"")</f>
        <v/>
      </c>
      <c r="AS102">
        <f>IF(AND($A102&lt;&gt;"",AS$3&gt;=$J102,AS$3&lt;=$M102),1,"")</f>
        <v/>
      </c>
      <c r="AT102">
        <f>IF(AND($A102&lt;&gt;"",AT$3&gt;=$J102,AT$3&lt;=$M102),1,"")</f>
        <v/>
      </c>
      <c r="AU102">
        <f>IF(AND($A102&lt;&gt;"",AU$3&gt;=$J102,AU$3&lt;=$M102),1,"")</f>
        <v/>
      </c>
      <c r="AV102">
        <f>IF(AND($A102&lt;&gt;"",AV$3&gt;=$J102,AV$3&lt;=$M102),1,"")</f>
        <v/>
      </c>
      <c r="AW102">
        <f>IF(AND($A102&lt;&gt;"",AW$3&gt;=$J102,AW$3&lt;=$M102),1,"")</f>
        <v/>
      </c>
      <c r="AX102">
        <f>IF(AND($A102&lt;&gt;"",AX$3&gt;=$J102,AX$3&lt;=$M102),1,"")</f>
        <v/>
      </c>
      <c r="AY102">
        <f>IF(AND($A102&lt;&gt;"",AY$3&gt;=$J102,AY$3&lt;=$M102),1,"")</f>
        <v/>
      </c>
      <c r="AZ102">
        <f>IF(AND($A102&lt;&gt;"",AZ$3&gt;=$J102,AZ$3&lt;=$M102),1,"")</f>
        <v/>
      </c>
      <c r="BA102">
        <f>IF(AND($A102&lt;&gt;"",BA$3&gt;=$J102,BA$3&lt;=$M102),1,"")</f>
        <v/>
      </c>
      <c r="BB102">
        <f>IF(AND($A102&lt;&gt;"",BB$3&gt;=$J102,BB$3&lt;=$M102),1,"")</f>
        <v/>
      </c>
      <c r="BC102">
        <f>IF(AND($A102&lt;&gt;"",BC$3&gt;=$J102,BC$3&lt;=$M102),1,"")</f>
        <v/>
      </c>
      <c r="BD102">
        <f>IF(AND($A102&lt;&gt;"",BD$3&gt;=$J102,BD$3&lt;=$M102),1,"")</f>
        <v/>
      </c>
      <c r="BE102">
        <f>IF(AND($A102&lt;&gt;"",BE$3&gt;=$J102,BE$3&lt;=$M102),1,"")</f>
        <v/>
      </c>
      <c r="BF102">
        <f>IF(AND($A102&lt;&gt;"",BF$3&gt;=$J102,BF$3&lt;=$M102),1,"")</f>
        <v/>
      </c>
      <c r="BG102">
        <f>IF(AND($A102&lt;&gt;"",BG$3&gt;=$J102,BG$3&lt;=$M102),1,"")</f>
        <v/>
      </c>
      <c r="BH102">
        <f>IF(AND($A102&lt;&gt;"",BH$3&gt;=$J102,BH$3&lt;=$M102),1,"")</f>
        <v/>
      </c>
      <c r="BI102">
        <f>IF(AND($A102&lt;&gt;"",BI$3&gt;=$J102,BI$3&lt;=$M102),1,"")</f>
        <v/>
      </c>
      <c r="BJ102">
        <f>IF(AND($A102&lt;&gt;"",BJ$3&gt;=$J102,BJ$3&lt;=$M102),1,"")</f>
        <v/>
      </c>
      <c r="BK102">
        <f>IF(AND($A102&lt;&gt;"",BK$3&gt;=$J102,BK$3&lt;=$M102),1,"")</f>
        <v/>
      </c>
      <c r="BL102">
        <f>IF(AND($A102&lt;&gt;"",BL$3&gt;=$J102,BL$3&lt;=$M102),1,"")</f>
        <v/>
      </c>
      <c r="BM102">
        <f>IF(AND($A102&lt;&gt;"",BM$3&gt;=$J102,BM$3&lt;=$M102),1,"")</f>
        <v/>
      </c>
      <c r="BN102">
        <f>IF(AND($A102&lt;&gt;"",BN$3&gt;=$J102,BN$3&lt;=$M102),1,"")</f>
        <v/>
      </c>
      <c r="BO102">
        <f>IF(AND($A102&lt;&gt;"",BO$3&gt;=$J102,BO$3&lt;=$M102),1,"")</f>
        <v/>
      </c>
      <c r="BP102">
        <f>IF(AND($A102&lt;&gt;"",BP$3&gt;=$J102,BP$3&lt;=$M102),1,"")</f>
        <v/>
      </c>
      <c r="BQ102">
        <f>IF(AND($A102&lt;&gt;"",BQ$3&gt;=$J102,BQ$3&lt;=$M102),1,"")</f>
        <v/>
      </c>
      <c r="BR102">
        <f>IF(AND($A102&lt;&gt;"",BR$3&gt;=$J102,BR$3&lt;=$M102),1,"")</f>
        <v/>
      </c>
      <c r="BS102">
        <f>IF(AND($A102&lt;&gt;"",BS$3&gt;=$J102,BS$3&lt;=$M102),1,"")</f>
        <v/>
      </c>
      <c r="BT102">
        <f>IF(AND($A102&lt;&gt;"",BT$3&gt;=$J102,BT$3&lt;=$M102),1,"")</f>
        <v/>
      </c>
      <c r="BU102">
        <f>IF(AND($A102&lt;&gt;"",BU$3&gt;=$J102,BU$3&lt;=$M102),1,"")</f>
        <v/>
      </c>
      <c r="BV102">
        <f>IF(AND($A102&lt;&gt;"",BV$3&gt;=$J102,BV$3&lt;=$M102),1,"")</f>
        <v/>
      </c>
    </row>
    <row r="103">
      <c r="A103">
        <f>IF(Job_Master_Ring!$A103="","",Job_Master_Ring!$A103)</f>
        <v/>
      </c>
      <c r="B103">
        <f>IF($A103="","",Job_Master_Ring!B103)</f>
        <v/>
      </c>
      <c r="C103">
        <f>IF($A103="","",Job_Master_Ring!C103)</f>
        <v/>
      </c>
      <c r="D103">
        <f>IF($A103="","",Job_Master_Ring!D103)</f>
        <v/>
      </c>
      <c r="E103">
        <f>IF($A103="","",IF($I103&lt;&gt;"",$I103,IFERROR(INDEX(Machine_List!$B$82:$B$86,MATCH(1,(Machine_List!$H$82:$H$86&lt;=IFERROR(VLOOKUP($B103,CHOOSE(MATCH($C103,Settings!$L$4:$L$10,0),OPR_BR1!$A$4:$K$18,OPR_BR2!$A$4:$K$18,OPR_CR2!$A$4:$K$18,OPR_CR3!$A$4:$K$18,OPR_CR4!$A$4:$K$18,OPR_RIM!$A$4:$K$18,OPR_BPR!$A$4:$K$18),10,0),0))*(Machine_List!$I$82:$I$86&gt;=IFERROR(VLOOKUP($B103,CHOOSE(MATCH($C103,Settings!$L$4:$L$10,0),OPR_BR1!$A$4:$K$18,OPR_BR2!$A$4:$K$18,OPR_CR2!$A$4:$K$18,OPR_CR3!$A$4:$K$18,OPR_CR4!$A$4:$K$18,OPR_RIM!$A$4:$K$18,OPR_BPR!$A$4:$K$18),11,0),9999)),0)),"NO COMPATIBLE MACHINE")))</f>
        <v/>
      </c>
      <c r="F103">
        <f>IF($E103="","",IFERROR(VLOOKUP($E103,Machine_List!$B:$G,6,0),""))</f>
        <v/>
      </c>
      <c r="G103" s="17">
        <f>IF($E103="","",IFERROR(VLOOKUP($E103,Machine_List!$B:$C,2,0),""))</f>
        <v/>
      </c>
      <c r="H103">
        <f>IF($E103="","",IFERROR(VLOOKUP($E103,Machine_List!$B:$D,3,0),""))</f>
        <v/>
      </c>
      <c r="J103" s="16">
        <f>IF($A103="","",IF($I103&lt;&gt;"",$I103,MAX(FID_Plan!$M103,IFERROR(LOOKUP(2,1/($E$3:INDIRECT("E"&amp;(ROW()-1))=$E103),$M$3:INDIRECT("M"&amp;(ROW()-1))),FID_Plan!$M103))))</f>
        <v/>
      </c>
      <c r="K103">
        <f>IF($A103="","",IFERROR(VLOOKUP(B103,CHOOSE(MATCH($C103,Settings!$L$4:$L$10,0),OPR_BR1!$A$4:$I$18,OPR_BR2!$A$4:$I$18,OPR_CR2!$A$4:$I$18,OPR_CR3!$A$4:$I$18,OPR_CR4!$A$4:$I$18,OPR_RIM!$A$4:$I$18,OPR_BPR!$A$4:$I$18),9,0),0))</f>
        <v/>
      </c>
      <c r="L103">
        <f>IF($A103="","",K103*D103)</f>
        <v/>
      </c>
      <c r="M103" s="16">
        <f>IF($A103=""," ",$J103+($L103/(IF(F103="Contract Workman",Settings!$K$5,Settings!$K$4))))</f>
        <v/>
      </c>
      <c r="N103">
        <f>IF($A103="","",IF(F103="Contract Workman",IF(AND(MOD(M103,1)&gt;=8/24,MOD(M103,1)&lt;20/24),"Shift S1","Shift S2"),IF(AND(MOD(M103,1)&gt;=7/24,MOD(M103,1)&lt;15/24),"Shift A",IF(AND(MOD(M103,1)&gt;=15/24,MOD(M103,1)&lt;23/24),"Shift B","Shift C"))))</f>
        <v/>
      </c>
      <c r="O103">
        <f>IF(B103="","",IF(IFERROR(ISNUMBER(SEARCH(TEXT(B103,"0"),VLOOKUP(E103,Machine_List!$B:$J,9,0))),FALSE),"✅ "&amp; E103,"❌ Sug: "&amp;IFERROR(INDEX(Machine_List!$B$82:$B$86,MATCH(1,(Machine_List!$H$82:$H$86&lt;=IFERROR(VLOOKUP($B103,OPR_BR1!$A$4:$K$18,10,0),0))*(Machine_List!$I$82:$I$86&gt;=IFERROR(VLOOKUP($B103,OPR_BR1!$A$4:$K$18,11,0),9999)),0)),"?")))</f>
        <v/>
      </c>
      <c r="P103">
        <f>IF(AND($A103&lt;&gt;"",P$3&gt;=$J103,P$3&lt;=$M103),1,"")</f>
        <v/>
      </c>
      <c r="Q103">
        <f>IF(AND($A103&lt;&gt;"",Q$3&gt;=$J103,Q$3&lt;=$M103),1,"")</f>
        <v/>
      </c>
      <c r="R103">
        <f>IF(AND($A103&lt;&gt;"",R$3&gt;=$J103,R$3&lt;=$M103),1,"")</f>
        <v/>
      </c>
      <c r="S103">
        <f>IF(AND($A103&lt;&gt;"",S$3&gt;=$J103,S$3&lt;=$M103),1,"")</f>
        <v/>
      </c>
      <c r="T103">
        <f>IF(AND($A103&lt;&gt;"",T$3&gt;=$J103,T$3&lt;=$M103),1,"")</f>
        <v/>
      </c>
      <c r="U103">
        <f>IF(AND($A103&lt;&gt;"",U$3&gt;=$J103,U$3&lt;=$M103),1,"")</f>
        <v/>
      </c>
      <c r="V103">
        <f>IF(AND($A103&lt;&gt;"",V$3&gt;=$J103,V$3&lt;=$M103),1,"")</f>
        <v/>
      </c>
      <c r="W103">
        <f>IF(AND($A103&lt;&gt;"",W$3&gt;=$J103,W$3&lt;=$M103),1,"")</f>
        <v/>
      </c>
      <c r="X103">
        <f>IF(AND($A103&lt;&gt;"",X$3&gt;=$J103,X$3&lt;=$M103),1,"")</f>
        <v/>
      </c>
      <c r="Y103">
        <f>IF(AND($A103&lt;&gt;"",Y$3&gt;=$J103,Y$3&lt;=$M103),1,"")</f>
        <v/>
      </c>
      <c r="Z103">
        <f>IF(AND($A103&lt;&gt;"",Z$3&gt;=$J103,Z$3&lt;=$M103),1,"")</f>
        <v/>
      </c>
      <c r="AA103">
        <f>IF(AND($A103&lt;&gt;"",AA$3&gt;=$J103,AA$3&lt;=$M103),1,"")</f>
        <v/>
      </c>
      <c r="AB103">
        <f>IF(AND($A103&lt;&gt;"",AB$3&gt;=$J103,AB$3&lt;=$M103),1,"")</f>
        <v/>
      </c>
      <c r="AC103">
        <f>IF(AND($A103&lt;&gt;"",AC$3&gt;=$J103,AC$3&lt;=$M103),1,"")</f>
        <v/>
      </c>
      <c r="AD103">
        <f>IF(AND($A103&lt;&gt;"",AD$3&gt;=$J103,AD$3&lt;=$M103),1,"")</f>
        <v/>
      </c>
      <c r="AE103">
        <f>IF(AND($A103&lt;&gt;"",AE$3&gt;=$J103,AE$3&lt;=$M103),1,"")</f>
        <v/>
      </c>
      <c r="AF103">
        <f>IF(AND($A103&lt;&gt;"",AF$3&gt;=$J103,AF$3&lt;=$M103),1,"")</f>
        <v/>
      </c>
      <c r="AG103">
        <f>IF(AND($A103&lt;&gt;"",AG$3&gt;=$J103,AG$3&lt;=$M103),1,"")</f>
        <v/>
      </c>
      <c r="AH103">
        <f>IF(AND($A103&lt;&gt;"",AH$3&gt;=$J103,AH$3&lt;=$M103),1,"")</f>
        <v/>
      </c>
      <c r="AI103">
        <f>IF(AND($A103&lt;&gt;"",AI$3&gt;=$J103,AI$3&lt;=$M103),1,"")</f>
        <v/>
      </c>
      <c r="AJ103">
        <f>IF(AND($A103&lt;&gt;"",AJ$3&gt;=$J103,AJ$3&lt;=$M103),1,"")</f>
        <v/>
      </c>
      <c r="AK103">
        <f>IF(AND($A103&lt;&gt;"",AK$3&gt;=$J103,AK$3&lt;=$M103),1,"")</f>
        <v/>
      </c>
      <c r="AL103">
        <f>IF(AND($A103&lt;&gt;"",AL$3&gt;=$J103,AL$3&lt;=$M103),1,"")</f>
        <v/>
      </c>
      <c r="AM103">
        <f>IF(AND($A103&lt;&gt;"",AM$3&gt;=$J103,AM$3&lt;=$M103),1,"")</f>
        <v/>
      </c>
      <c r="AN103">
        <f>IF(AND($A103&lt;&gt;"",AN$3&gt;=$J103,AN$3&lt;=$M103),1,"")</f>
        <v/>
      </c>
      <c r="AO103">
        <f>IF(AND($A103&lt;&gt;"",AO$3&gt;=$J103,AO$3&lt;=$M103),1,"")</f>
        <v/>
      </c>
      <c r="AP103">
        <f>IF(AND($A103&lt;&gt;"",AP$3&gt;=$J103,AP$3&lt;=$M103),1,"")</f>
        <v/>
      </c>
      <c r="AQ103">
        <f>IF(AND($A103&lt;&gt;"",AQ$3&gt;=$J103,AQ$3&lt;=$M103),1,"")</f>
        <v/>
      </c>
      <c r="AR103">
        <f>IF(AND($A103&lt;&gt;"",AR$3&gt;=$J103,AR$3&lt;=$M103),1,"")</f>
        <v/>
      </c>
      <c r="AS103">
        <f>IF(AND($A103&lt;&gt;"",AS$3&gt;=$J103,AS$3&lt;=$M103),1,"")</f>
        <v/>
      </c>
      <c r="AT103">
        <f>IF(AND($A103&lt;&gt;"",AT$3&gt;=$J103,AT$3&lt;=$M103),1,"")</f>
        <v/>
      </c>
      <c r="AU103">
        <f>IF(AND($A103&lt;&gt;"",AU$3&gt;=$J103,AU$3&lt;=$M103),1,"")</f>
        <v/>
      </c>
      <c r="AV103">
        <f>IF(AND($A103&lt;&gt;"",AV$3&gt;=$J103,AV$3&lt;=$M103),1,"")</f>
        <v/>
      </c>
      <c r="AW103">
        <f>IF(AND($A103&lt;&gt;"",AW$3&gt;=$J103,AW$3&lt;=$M103),1,"")</f>
        <v/>
      </c>
      <c r="AX103">
        <f>IF(AND($A103&lt;&gt;"",AX$3&gt;=$J103,AX$3&lt;=$M103),1,"")</f>
        <v/>
      </c>
      <c r="AY103">
        <f>IF(AND($A103&lt;&gt;"",AY$3&gt;=$J103,AY$3&lt;=$M103),1,"")</f>
        <v/>
      </c>
      <c r="AZ103">
        <f>IF(AND($A103&lt;&gt;"",AZ$3&gt;=$J103,AZ$3&lt;=$M103),1,"")</f>
        <v/>
      </c>
      <c r="BA103">
        <f>IF(AND($A103&lt;&gt;"",BA$3&gt;=$J103,BA$3&lt;=$M103),1,"")</f>
        <v/>
      </c>
      <c r="BB103">
        <f>IF(AND($A103&lt;&gt;"",BB$3&gt;=$J103,BB$3&lt;=$M103),1,"")</f>
        <v/>
      </c>
      <c r="BC103">
        <f>IF(AND($A103&lt;&gt;"",BC$3&gt;=$J103,BC$3&lt;=$M103),1,"")</f>
        <v/>
      </c>
      <c r="BD103">
        <f>IF(AND($A103&lt;&gt;"",BD$3&gt;=$J103,BD$3&lt;=$M103),1,"")</f>
        <v/>
      </c>
      <c r="BE103">
        <f>IF(AND($A103&lt;&gt;"",BE$3&gt;=$J103,BE$3&lt;=$M103),1,"")</f>
        <v/>
      </c>
      <c r="BF103">
        <f>IF(AND($A103&lt;&gt;"",BF$3&gt;=$J103,BF$3&lt;=$M103),1,"")</f>
        <v/>
      </c>
      <c r="BG103">
        <f>IF(AND($A103&lt;&gt;"",BG$3&gt;=$J103,BG$3&lt;=$M103),1,"")</f>
        <v/>
      </c>
      <c r="BH103">
        <f>IF(AND($A103&lt;&gt;"",BH$3&gt;=$J103,BH$3&lt;=$M103),1,"")</f>
        <v/>
      </c>
      <c r="BI103">
        <f>IF(AND($A103&lt;&gt;"",BI$3&gt;=$J103,BI$3&lt;=$M103),1,"")</f>
        <v/>
      </c>
      <c r="BJ103">
        <f>IF(AND($A103&lt;&gt;"",BJ$3&gt;=$J103,BJ$3&lt;=$M103),1,"")</f>
        <v/>
      </c>
      <c r="BK103">
        <f>IF(AND($A103&lt;&gt;"",BK$3&gt;=$J103,BK$3&lt;=$M103),1,"")</f>
        <v/>
      </c>
      <c r="BL103">
        <f>IF(AND($A103&lt;&gt;"",BL$3&gt;=$J103,BL$3&lt;=$M103),1,"")</f>
        <v/>
      </c>
      <c r="BM103">
        <f>IF(AND($A103&lt;&gt;"",BM$3&gt;=$J103,BM$3&lt;=$M103),1,"")</f>
        <v/>
      </c>
      <c r="BN103">
        <f>IF(AND($A103&lt;&gt;"",BN$3&gt;=$J103,BN$3&lt;=$M103),1,"")</f>
        <v/>
      </c>
      <c r="BO103">
        <f>IF(AND($A103&lt;&gt;"",BO$3&gt;=$J103,BO$3&lt;=$M103),1,"")</f>
        <v/>
      </c>
      <c r="BP103">
        <f>IF(AND($A103&lt;&gt;"",BP$3&gt;=$J103,BP$3&lt;=$M103),1,"")</f>
        <v/>
      </c>
      <c r="BQ103">
        <f>IF(AND($A103&lt;&gt;"",BQ$3&gt;=$J103,BQ$3&lt;=$M103),1,"")</f>
        <v/>
      </c>
      <c r="BR103">
        <f>IF(AND($A103&lt;&gt;"",BR$3&gt;=$J103,BR$3&lt;=$M103),1,"")</f>
        <v/>
      </c>
      <c r="BS103">
        <f>IF(AND($A103&lt;&gt;"",BS$3&gt;=$J103,BS$3&lt;=$M103),1,"")</f>
        <v/>
      </c>
      <c r="BT103">
        <f>IF(AND($A103&lt;&gt;"",BT$3&gt;=$J103,BT$3&lt;=$M103),1,"")</f>
        <v/>
      </c>
      <c r="BU103">
        <f>IF(AND($A103&lt;&gt;"",BU$3&gt;=$J103,BU$3&lt;=$M103),1,"")</f>
        <v/>
      </c>
      <c r="BV103">
        <f>IF(AND($A103&lt;&gt;"",BV$3&gt;=$J103,BV$3&lt;=$M103),1,"")</f>
        <v/>
      </c>
    </row>
  </sheetData>
  <conditionalFormatting sqref="A4:A103">
    <cfRule type="expression" priority="1" dxfId="0">
      <formula>VLOOKUP($A4,Job_Master_Ring!$A:$G,7,0)="High"</formula>
    </cfRule>
    <cfRule type="expression" priority="2" dxfId="1">
      <formula>VLOOKUP($A4,Job_Master_Ring!$A:$G,7,0)="Medium"</formula>
    </cfRule>
    <cfRule type="expression" priority="3" dxfId="2">
      <formula>VLOOKUP($A4,Job_Master_Ring!$A:$G,7,0)="Low"</formula>
    </cfRule>
  </conditionalFormatting>
  <conditionalFormatting sqref="P4:BV103">
    <cfRule type="expression" priority="4" dxfId="7">
      <formula>P4=1</formula>
    </cfRule>
    <cfRule type="expression" priority="5" dxfId="8">
      <formula>WEEKDAY(P$3,2)&gt;=6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2026-04-06T03:17:26Z</dcterms:created>
  <dcterms:modified xmlns:dcterms="http://purl.org/dc/terms/" xmlns:xsi="http://www.w3.org/2001/XMLSchema-instance" xsi:type="dcterms:W3CDTF">2026-04-06T03:34:51Z</dcterms:modified>
</cp:coreProperties>
</file>